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71d6f1804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财富模型" sheetId="1" r:id="Re7bb204ac1474079"/>
    <x:sheet xmlns:r="http://schemas.openxmlformats.org/officeDocument/2006/relationships" name="Lookups" sheetId="2" r:id="R1ce7ea7055674b4a"/>
    <x:sheet xmlns:r="http://schemas.openxmlformats.org/officeDocument/2006/relationships" name="Calc" sheetId="3" r:id="Rd219c5bc49744c48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0.00"/>
    <x:numFmt numFmtId="203" formatCode="$#,##0"/>
    <x:numFmt numFmtId="204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355C7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6314A"/>
      </x:patternFill>
    </x:fill>
    <x:fill>
      <x:patternFill patternType="solid">
        <x:fgColor rgb="EAF2F8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4" fontId="1" fillId="2" borderId="0" xfId="0" applyNumberFormat="1" applyFont="1" applyFill="1" applyBorder="1"/>
    <x:xf numFmtId="204" fontId="0" fillId="5" borderId="0" xfId="0" applyNumberFormat="1" applyFont="1" applyFill="1" applyBorder="1"/>
    <x:xf numFmtId="204" fontId="1" fillId="2" borderId="1" xfId="0" applyNumberFormat="1" applyFont="1" applyFill="1" applyBorder="1"/>
    <x:xf numFmtId="204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4" fontId="1" fillId="2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e6163f3ab4da6" /><Relationship Type="http://schemas.openxmlformats.org/officeDocument/2006/relationships/theme" Target="/xl/theme/theme1.xml" Id="R9dd3feb98c0e4742" /><Relationship Type="http://schemas.openxmlformats.org/officeDocument/2006/relationships/sharedStrings" Target="/xl/sharedStrings.xml" Id="R2f3abd46978644b7" /><Relationship Type="http://schemas.openxmlformats.org/officeDocument/2006/relationships/worksheet" Target="/xl/worksheets/sheet1.xml" Id="Re7bb204ac1474079" /><Relationship Type="http://schemas.openxmlformats.org/officeDocument/2006/relationships/worksheet" Target="/xl/worksheets/sheet2.xml" Id="R1ce7ea7055674b4a" /><Relationship Type="http://schemas.openxmlformats.org/officeDocument/2006/relationships/worksheet" Target="/xl/worksheets/sheet3.xml" Id="Rd219c5bc4974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09999084472656" hidden="0" customWidth="1"/>
    <x:col min="2" max="2" width="12" hidden="0" customWidth="1"/>
    <x:col min="3" max="3" width="10.430000305175781" hidden="0" customWidth="1"/>
    <x:col min="4" max="4" width="18.860000610351562" hidden="0" customWidth="1"/>
    <x:col min="5" max="5" width="10.430000305175781" hidden="0" customWidth="1"/>
    <x:col min="6" max="6" width="8.710000038146973" hidden="0" customWidth="1"/>
    <x:col min="7" max="7" width="12" hidden="0" customWidth="1"/>
    <x:col min="8" max="8" width="14.569999694824219" hidden="0" customWidth="1"/>
    <x:col min="9" max="9" width="6.289999961853027" hidden="0" customWidth="1"/>
    <x:col min="10" max="10" width="6.289999961853027" hidden="0" customWidth="1"/>
    <x:col min="11" max="11" width="8.710000038146973" hidden="0" customWidth="1"/>
    <x:col min="12" max="12" width="16.860000610351562" hidden="0" customWidth="1"/>
    <x:col min="13" max="13" width="10.430000305175781" hidden="0" customWidth="1"/>
    <x:col min="14" max="14" width="8.710000038146973" hidden="0" customWidth="1"/>
    <x:col min="15" max="15" width="10.430000305175781" hidden="0" customWidth="1"/>
    <x:col min="16" max="16" width="8.289999961853027" hidden="0" customWidth="1"/>
    <x:col min="17" max="17" width="8.289999961853027" hidden="0" customWidth="1"/>
  </x:cols>
  <x:sheetData>
    <x:row r="1">
      <x:c r="A1" s="24" t="str">
        <x:v>财富模型 Excel 工作簿</x:v>
      </x:c>
    </x:row>
    <x:row r="2">
      <x:c r="A2" s="28" t="str">
        <x:v>黄色单元格可编辑；结果表、图表和隐藏 Calc / Lookups 会自动联动更新。</x:v>
      </x:c>
    </x:row>
    <x:row r="3">
      <x:c r="A3" s="44" t="str">
        <x:v>男方年龄</x:v>
      </x:c>
      <x:c r="B3" s="45" t="n">
        <x:v>29</x:v>
      </x:c>
      <x:c r="C3" s="10"/>
      <x:c r="D3" s="44" t="str">
        <x:v>全局输入</x:v>
      </x:c>
      <x:c r="E3" s="44" t="str">
        <x:v>值</x:v>
      </x:c>
      <x:c r="F3" s="10"/>
      <x:c r="G3" s="10"/>
      <x:c r="H3" s="44" t="str">
        <x:v>方案</x:v>
      </x:c>
      <x:c r="I3" s="44" t="str">
        <x:v>项目</x:v>
      </x:c>
      <x:c r="J3" s="44" t="str">
        <x:v>类型</x:v>
      </x:c>
      <x:c r="K3" s="44" t="str">
        <x:v>价格</x:v>
      </x:c>
      <x:c r="L3" s="44" t="str">
        <x:v>面积 sqft</x:v>
      </x:c>
      <x:c r="M3" s="44" t="str">
        <x:v>固定月成本</x:v>
      </x:c>
      <x:c r="N3" s="44" t="str">
        <x:v>年增值</x:v>
      </x:c>
      <x:c r="O3" s="10"/>
      <x:c r="P3" s="10"/>
      <x:c r="Q3" s="10"/>
    </x:row>
    <x:row r="4">
      <x:c r="A4" s="10" t="str">
        <x:v>男方税前月工资</x:v>
      </x:c>
      <x:c r="B4" s="46" t="n">
        <x:v>8750</x:v>
      </x:c>
      <x:c r="C4" s="10"/>
      <x:c r="D4" s="10" t="str">
        <x:v>起始投入资金（K）</x:v>
      </x:c>
      <x:c r="E4" s="47" t="n">
        <x:v>800</x:v>
      </x:c>
      <x:c r="F4" s="10"/>
      <x:c r="G4" s="10"/>
      <x:c r="H4" s="10" t="str">
        <x:v>A: LG 2B1B</x:v>
      </x:c>
      <x:c r="I4" s="10" t="str">
        <x:v>Lake Grande</x:v>
      </x:c>
      <x:c r="J4" s="10" t="str">
        <x:v>buy</x:v>
      </x:c>
      <x:c r="K4" s="48" t="n">
        <x:v>1275000</x:v>
      </x:c>
      <x:c r="L4" s="48" t="n">
        <x:v>613</x:v>
      </x:c>
      <x:c r="M4" s="48" t="n">
        <x:v>360</x:v>
      </x:c>
      <x:c r="N4" s="10" t="n">
        <x:f>IF(I4="Lakeville",$E$7,IF(I4="Lake Grande",$E$8,0))</x:f>
        <x:v>0.02</x:v>
      </x:c>
      <x:c r="O4" s="10"/>
      <x:c r="P4" s="10"/>
      <x:c r="Q4" s="10"/>
    </x:row>
    <x:row r="5">
      <x:c r="A5" s="10" t="str">
        <x:v>男方年终奖（月）</x:v>
      </x:c>
      <x:c r="B5" s="47" t="n">
        <x:v>1</x:v>
      </x:c>
      <x:c r="C5" s="10"/>
      <x:c r="D5" s="10" t="str">
        <x:v>月生活费</x:v>
      </x:c>
      <x:c r="E5" s="46" t="n">
        <x:v>3000</x:v>
      </x:c>
      <x:c r="F5" s="10"/>
      <x:c r="G5" s="10"/>
      <x:c r="H5" s="10" t="str">
        <x:v>B: LV 2B2B</x:v>
      </x:c>
      <x:c r="I5" s="10" t="str">
        <x:v>Lakeville</x:v>
      </x:c>
      <x:c r="J5" s="10" t="str">
        <x:v>buy</x:v>
      </x:c>
      <x:c r="K5" s="48" t="n">
        <x:v>1260000</x:v>
      </x:c>
      <x:c r="L5" s="48" t="n">
        <x:v>731</x:v>
      </x:c>
      <x:c r="M5" s="48" t="n">
        <x:v>430</x:v>
      </x:c>
      <x:c r="N5" s="16" t="n">
        <x:f>IF(I5="Lakeville",$E$7,IF(I5="Lake Grande",$E$8,0))</x:f>
        <x:v>0.02</x:v>
      </x:c>
      <x:c r="O5" s="10"/>
      <x:c r="P5" s="10"/>
      <x:c r="Q5" s="10"/>
    </x:row>
    <x:row r="6">
      <x:c r="A6" s="10" t="str">
        <x:v>男方初始 OA</x:v>
      </x:c>
      <x:c r="B6" s="46" t="n">
        <x:v>0</x:v>
      </x:c>
      <x:c r="C6" s="10"/>
      <x:c r="D6" s="10" t="str">
        <x:v>股票年化回报</x:v>
      </x:c>
      <x:c r="E6" s="49" t="n">
        <x:v>0.07</x:v>
      </x:c>
      <x:c r="F6" s="10"/>
      <x:c r="G6" s="10"/>
      <x:c r="H6" s="10" t="str">
        <x:v>C: LG 2B2B</x:v>
      </x:c>
      <x:c r="I6" s="10" t="str">
        <x:v>Lake Grande</x:v>
      </x:c>
      <x:c r="J6" s="10" t="str">
        <x:v>buy</x:v>
      </x:c>
      <x:c r="K6" s="48" t="n">
        <x:v>1513888</x:v>
      </x:c>
      <x:c r="L6" s="48" t="n">
        <x:v>818</x:v>
      </x:c>
      <x:c r="M6" s="48" t="n">
        <x:v>440</x:v>
      </x:c>
      <x:c r="N6" s="16" t="n">
        <x:f>IF(I6="Lakeville",$E$7,IF(I6="Lake Grande",$E$8,0))</x:f>
        <x:v>0.02</x:v>
      </x:c>
      <x:c r="O6" s="10"/>
      <x:c r="P6" s="10"/>
      <x:c r="Q6" s="10"/>
    </x:row>
    <x:row r="7">
      <x:c r="A7" s="10" t="str">
        <x:v>女方年龄</x:v>
      </x:c>
      <x:c r="B7" s="47" t="n">
        <x:v>40</x:v>
      </x:c>
      <x:c r="C7" s="10"/>
      <x:c r="D7" s="10" t="str">
        <x:v>Lakeville 年增值</x:v>
      </x:c>
      <x:c r="E7" s="49" t="n">
        <x:v>0.02</x:v>
      </x:c>
      <x:c r="F7" s="10"/>
      <x:c r="G7" s="10"/>
      <x:c r="H7" s="10" t="str">
        <x:v>D: LG 3B2B</x:v>
      </x:c>
      <x:c r="I7" s="10" t="str">
        <x:v>Lake Grande</x:v>
      </x:c>
      <x:c r="J7" s="10" t="str">
        <x:v>buy</x:v>
      </x:c>
      <x:c r="K7" s="48" t="n">
        <x:v>1739000</x:v>
      </x:c>
      <x:c r="L7" s="48" t="n">
        <x:v>904</x:v>
      </x:c>
      <x:c r="M7" s="48" t="n">
        <x:v>520</x:v>
      </x:c>
      <x:c r="N7" s="16" t="n">
        <x:f>IF(I7="Lakeville",$E$7,IF(I7="Lake Grande",$E$8,0))</x:f>
        <x:v>0.02</x:v>
      </x:c>
      <x:c r="O7" s="10"/>
      <x:c r="P7" s="10"/>
      <x:c r="Q7" s="10"/>
    </x:row>
    <x:row r="8">
      <x:c r="A8" s="10" t="str">
        <x:v>女方税前月工资</x:v>
      </x:c>
      <x:c r="B8" s="46" t="n">
        <x:v>4000</x:v>
      </x:c>
      <x:c r="C8" s="10"/>
      <x:c r="D8" s="10" t="str">
        <x:v>Lake Grande 年增值</x:v>
      </x:c>
      <x:c r="E8" s="49" t="n">
        <x:v>0.02</x:v>
      </x:c>
      <x:c r="F8" s="10"/>
      <x:c r="G8" s="10"/>
      <x:c r="H8" s="10" t="str">
        <x:v>E: LV 3B2B</x:v>
      </x:c>
      <x:c r="I8" s="10" t="str">
        <x:v>Lakeville</x:v>
      </x:c>
      <x:c r="J8" s="10" t="str">
        <x:v>buy</x:v>
      </x:c>
      <x:c r="K8" s="48" t="n">
        <x:v>1795000</x:v>
      </x:c>
      <x:c r="L8" s="48" t="n">
        <x:v>968</x:v>
      </x:c>
      <x:c r="M8" s="48" t="n">
        <x:v>530</x:v>
      </x:c>
      <x:c r="N8" s="16" t="n">
        <x:f>IF(I8="Lakeville",$E$7,IF(I8="Lake Grande",$E$8,0))</x:f>
        <x:v>0.02</x:v>
      </x:c>
      <x:c r="O8" s="10"/>
      <x:c r="P8" s="10"/>
      <x:c r="Q8" s="10"/>
    </x:row>
    <x:row r="9">
      <x:c r="A9" s="10" t="str">
        <x:v>女方年终奖（月）</x:v>
      </x:c>
      <x:c r="B9" s="47" t="n">
        <x:v>0</x:v>
      </x:c>
      <x:c r="C9" s="10"/>
      <x:c r="D9" s="10" t="str">
        <x:v>纯租房月租</x:v>
      </x:c>
      <x:c r="E9" s="46" t="n">
        <x:v>4000</x:v>
      </x:c>
      <x:c r="F9" s="10"/>
      <x:c r="G9" s="10"/>
      <x:c r="H9" s="10" t="str">
        <x:v>F: 纯租房</x:v>
      </x:c>
      <x:c r="I9" s="10" t="str">
        <x:v>纯租房</x:v>
      </x:c>
      <x:c r="J9" s="10" t="str">
        <x:v>rent</x:v>
      </x:c>
      <x:c r="K9" s="48" t="n">
        <x:v>0</x:v>
      </x:c>
      <x:c r="L9" s="48" t="n">
        <x:v>0</x:v>
      </x:c>
      <x:c r="M9" s="48" t="n">
        <x:v>0</x:v>
      </x:c>
      <x:c r="N9" s="16" t="n">
        <x:f>IF(I9="Lakeville",$E$7,IF(I9="Lake Grande",$E$8,0))</x:f>
        <x:v>0</x:v>
      </x:c>
      <x:c r="O9" s="10"/>
      <x:c r="P9" s="10"/>
      <x:c r="Q9" s="10"/>
    </x:row>
    <x:row r="10">
      <x:c r="A10" s="10" t="str">
        <x:v>女方初始 OA</x:v>
      </x:c>
      <x:c r="B10" s="46" t="n">
        <x:v>0</x:v>
      </x:c>
      <x:c r="C10" s="10"/>
      <x:c r="D10" s="10" t="str">
        <x:v>固定利率</x:v>
      </x:c>
      <x:c r="E10" s="49" t="n">
        <x:v>0.015</x:v>
      </x:c>
      <x:c r="F10" s="10"/>
      <x:c r="G10" s="10"/>
      <x:c r="H10" s="10"/>
      <x:c r="I10" s="10"/>
      <x:c r="J10" s="10"/>
      <x:c r="K10" s="48"/>
      <x:c r="L10" s="48"/>
      <x:c r="M10" s="48"/>
      <x:c r="N10" s="16"/>
      <x:c r="O10" s="10"/>
      <x:c r="P10" s="10"/>
      <x:c r="Q10" s="10"/>
    </x:row>
    <x:row r="11">
      <x:c r="A11" s="10" t="str"/>
      <x:c r="B11" s="48" t="str"/>
      <x:c r="C11" s="10"/>
      <x:c r="D11" s="10" t="str">
        <x:v>固定期年数</x:v>
      </x:c>
      <x:c r="E11" s="47" t="n">
        <x:v>2</x:v>
      </x:c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>
      <x:c r="A12" s="10"/>
      <x:c r="B12" s="10"/>
      <x:c r="C12" s="10"/>
      <x:c r="D12" s="10" t="str">
        <x:v>浮动利率</x:v>
      </x:c>
      <x:c r="E12" s="49" t="n">
        <x:v>0.025</x:v>
      </x:c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>
      <x:c r="A13" s="10"/>
      <x:c r="B13" s="10"/>
      <x:c r="C13" s="10"/>
      <x:c r="D13" s="10" t="str">
        <x:v>模拟年限</x:v>
      </x:c>
      <x:c r="E13" s="47" t="n">
        <x:v>4</x:v>
      </x:c>
      <x:c r="F13" s="10"/>
      <x:c r="G13" s="10"/>
      <x:c r="H13" s="44" t="str">
        <x:v>家庭现金流摘要</x:v>
      </x:c>
      <x:c r="I13" s="44" t="str">
        <x:v>男方</x:v>
      </x:c>
      <x:c r="J13" s="44" t="str">
        <x:v>女方</x:v>
      </x:c>
      <x:c r="K13" s="44" t="str">
        <x:v>合计</x:v>
      </x:c>
      <x:c r="L13" s="10"/>
      <x:c r="M13" s="10"/>
      <x:c r="N13" s="10"/>
      <x:c r="O13" s="10"/>
      <x:c r="P13" s="10"/>
      <x:c r="Q13" s="10"/>
    </x:row>
    <x:row r="14">
      <x:c r="A14" s="10"/>
      <x:c r="B14" s="10"/>
      <x:c r="C14" s="10"/>
      <x:c r="D14" s="10" t="str">
        <x:v>贷款上限</x:v>
      </x:c>
      <x:c r="E14" s="46" t="n">
        <x:v>1100000</x:v>
      </x:c>
      <x:c r="F14" s="10"/>
      <x:c r="G14" s="10"/>
      <x:c r="H14" s="10" t="str">
        <x:v>月到手现金</x:v>
      </x:c>
      <x:c r="I14" s="14" t="n">
        <x:f>'Calc'!$B$1</x:f>
        <x:v>7733.333333333333</x:v>
      </x:c>
      <x:c r="J14" s="14" t="n">
        <x:f>'Calc'!$B$3</x:f>
        <x:v>3200</x:v>
      </x:c>
      <x:c r="K14" s="14" t="n">
        <x:f>'Calc'!$B$5</x:f>
        <x:v>10933.333333333332</x:v>
      </x:c>
      <x:c r="L14" s="10"/>
      <x:c r="M14" s="10"/>
      <x:c r="N14" s="10"/>
      <x:c r="O14" s="10"/>
      <x:c r="P14" s="10"/>
      <x:c r="Q14" s="10"/>
    </x:row>
    <x:row r="15">
      <x:c r="A15" s="10"/>
      <x:c r="B15" s="10"/>
      <x:c r="C15" s="10"/>
      <x:c r="D15" s="10" t="str">
        <x:v>LTV</x:v>
      </x:c>
      <x:c r="E15" s="49" t="n">
        <x:v>0.75</x:v>
      </x:c>
      <x:c r="F15" s="10"/>
      <x:c r="G15" s="10"/>
      <x:c r="H15" s="10" t="str">
        <x:v>月 OA 入账</x:v>
      </x:c>
      <x:c r="I15" s="14" t="n">
        <x:f>'Calc'!$B$2</x:f>
        <x:v>2007.75</x:v>
      </x:c>
      <x:c r="J15" s="14" t="n">
        <x:f>'Calc'!$B$4</x:f>
        <x:v>840</x:v>
      </x:c>
      <x:c r="K15" s="14" t="n">
        <x:f>'Calc'!$B$6</x:f>
        <x:v>2847.75</x:v>
      </x:c>
      <x:c r="L15" s="10"/>
      <x:c r="M15" s="10"/>
      <x:c r="N15" s="10"/>
      <x:c r="O15" s="10"/>
      <x:c r="P15" s="10"/>
      <x:c r="Q15" s="10"/>
    </x:row>
    <x:row r="16">
      <x:c r="A16" s="10"/>
      <x:c r="B16" s="10"/>
      <x:c r="C16" s="10"/>
      <x:c r="D16" s="10" t="str">
        <x:v>ABSD</x:v>
      </x:c>
      <x:c r="E16" s="49" t="n">
        <x:v>0.05</x:v>
      </x:c>
      <x:c r="F16" s="10"/>
      <x:c r="G16" s="10"/>
      <x:c r="H16" s="10" t="str">
        <x:v>起始净资产</x:v>
      </x:c>
      <x:c r="I16" s="14" t="str"/>
      <x:c r="J16" s="14" t="str"/>
      <x:c r="K16" s="14" t="n">
        <x:f>'Calc'!$B$7</x:f>
        <x:v>800000</x:v>
      </x:c>
      <x:c r="L16" s="10"/>
      <x:c r="M16" s="10"/>
      <x:c r="N16" s="10"/>
      <x:c r="O16" s="10"/>
      <x:c r="P16" s="10"/>
      <x:c r="Q16" s="10"/>
    </x:row>
    <x:row r="17">
      <x:c r="A17" s="10"/>
      <x:c r="B17" s="10"/>
      <x:c r="C17" s="10"/>
      <x:c r="D17" s="10" t="str">
        <x:v>律师费</x:v>
      </x:c>
      <x:c r="E17" s="46" t="n">
        <x:v>5000</x:v>
      </x:c>
      <x:c r="F17" s="10"/>
      <x:c r="G17" s="10"/>
      <x:c r="H17" s="10" t="str">
        <x:v>模拟总月数</x:v>
      </x:c>
      <x:c r="I17" s="14" t="str"/>
      <x:c r="J17" s="14" t="str"/>
      <x:c r="K17" s="14" t="n">
        <x:f>'Calc'!$B$8</x:f>
        <x:v>48</x:v>
      </x:c>
      <x:c r="L17" s="10"/>
      <x:c r="M17" s="10"/>
      <x:c r="N17" s="10"/>
      <x:c r="O17" s="10"/>
      <x:c r="P17" s="10"/>
      <x:c r="Q17" s="10"/>
    </x:row>
    <x:row r="18">
      <x:c r="A18" s="10"/>
      <x:c r="B18" s="10"/>
      <x:c r="C18" s="10"/>
      <x:c r="D18" s="10" t="str">
        <x:v>强制现金首付</x:v>
      </x:c>
      <x:c r="E18" s="49" t="n">
        <x:v>0.05</x:v>
      </x:c>
      <x:c r="F18" s="10"/>
      <x:c r="G18" s="10"/>
      <x:c r="H18" s="10" t="str">
        <x:v>固定期覆盖月数</x:v>
      </x:c>
      <x:c r="I18" s="14" t="str"/>
      <x:c r="J18" s="14" t="str"/>
      <x:c r="K18" s="14" t="n">
        <x:f>'Calc'!$B$9</x:f>
        <x:v>24</x:v>
      </x:c>
      <x:c r="L18" s="10"/>
      <x:c r="M18" s="10"/>
      <x:c r="N18" s="10"/>
      <x:c r="O18" s="10"/>
      <x:c r="P18" s="10"/>
      <x:c r="Q18" s="10"/>
    </x:row>
    <x:row r="19">
      <x:c r="A19" s="10"/>
      <x:c r="B19" s="10"/>
      <x:c r="C19" s="10"/>
      <x:c r="D19" s="10" t="str">
        <x:v>贷款年限</x:v>
      </x:c>
      <x:c r="E19" s="47" t="n">
        <x:v>30</x:v>
      </x:c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>
      <x:c r="A20" s="10"/>
      <x:c r="B20" s="10"/>
      <x:c r="C20" s="10"/>
      <x:c r="D20" s="10" t="str">
        <x:v>OA 利率</x:v>
      </x:c>
      <x:c r="E20" s="49" t="n">
        <x:v>0.025</x:v>
      </x:c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>
      <x:c r="A21" s="10"/>
      <x:c r="B21" s="10"/>
      <x:c r="C21" s="10"/>
      <x:c r="D21" s="10" t="str">
        <x:v>CPF OW Ceiling</x:v>
      </x:c>
      <x:c r="E21" s="46" t="n">
        <x:v>8000</x:v>
      </x:c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</x:row>
    <x:row r="23" ht="18" customHeight="1">
      <x:c r="A23" s="50" t="str">
        <x:v>方案</x:v>
      </x:c>
      <x:c r="B23" s="50" t="str">
        <x:v>项目</x:v>
      </x:c>
      <x:c r="C23" s="50" t="str">
        <x:v>价格</x:v>
      </x:c>
      <x:c r="D23" s="50" t="str">
        <x:v>面积</x:v>
      </x:c>
      <x:c r="E23" s="50" t="str">
        <x:v>贷款</x:v>
      </x:c>
      <x:c r="F23" s="50" t="str">
        <x:v>前期现金</x:v>
      </x:c>
      <x:c r="G23" s="50" t="str">
        <x:v>前期CPF OA</x:v>
      </x:c>
      <x:c r="H23" s="50" t="str">
        <x:v>OA缺口转现金</x:v>
      </x:c>
      <x:c r="I23" s="50" t="str">
        <x:v>月住房现金(Y1-Y固定)</x:v>
      </x:c>
      <x:c r="J23" s="50" t="str">
        <x:v>月住房OA(Y1-Y固定)</x:v>
      </x:c>
      <x:c r="K23" s="50" t="str">
        <x:v>月住房现金(浮动期)</x:v>
      </x:c>
      <x:c r="L23" s="50" t="str">
        <x:v>月住房OA(浮动期)</x:v>
      </x:c>
      <x:c r="M23" s="50" t="str">
        <x:v>期末股票</x:v>
      </x:c>
      <x:c r="N23" s="50" t="str">
        <x:v>期末OA</x:v>
      </x:c>
      <x:c r="O23" s="50" t="str">
        <x:v>房产净权益</x:v>
      </x:c>
      <x:c r="P23" s="50" t="str">
        <x:v>总财富</x:v>
      </x:c>
      <x:c r="Q23" s="50" t="str">
        <x:v>CAGR</x:v>
      </x:c>
    </x:row>
    <x:row r="24" ht="18" customHeight="1">
      <x:c r="A24" s="14" t="str">
        <x:f>H4</x:f>
        <x:v>A: LG 2B1B</x:v>
      </x:c>
      <x:c r="B24" s="14" t="str">
        <x:f>I4</x:f>
        <x:v>Lake Grande</x:v>
      </x:c>
      <x:c r="C24" s="14" t="n">
        <x:f>K4</x:f>
        <x:v>1275000</x:v>
      </x:c>
      <x:c r="D24" s="14" t="n">
        <x:f>L4</x:f>
        <x:v>613</x:v>
      </x:c>
      <x:c r="E24" s="14" t="n">
        <x:f>'Calc'!$I$12</x:f>
        <x:v>956250</x:v>
      </x:c>
      <x:c r="F24" s="14" t="n">
        <x:f>'Calc'!$S$12</x:f>
        <x:v>423100</x:v>
      </x:c>
      <x:c r="G24" s="14" t="n">
        <x:f>'Calc'!$Q$12</x:f>
        <x:v>0</x:v>
      </x:c>
      <x:c r="H24" s="14" t="n">
        <x:f>'Calc'!$R$12</x:f>
        <x:v>255000</x:v>
      </x:c>
      <x:c r="I24" s="14" t="n">
        <x:f>'Calc'!$AC$12</x:f>
        <x:v>812.25</x:v>
      </x:c>
      <x:c r="J24" s="14" t="n">
        <x:f>'Calc'!$AD$12</x:f>
        <x:v>2847.75</x:v>
      </x:c>
      <x:c r="K24" s="14" t="n">
        <x:f>'Calc'!$AE$12</x:f>
        <x:v>1260.25</x:v>
      </x:c>
      <x:c r="L24" s="14" t="n">
        <x:f>'Calc'!$AF$12</x:f>
        <x:v>2847.75</x:v>
      </x:c>
      <x:c r="M24" s="14" t="n">
        <x:f>'Calc'!$AJ$12</x:f>
        <x:v>879926.576244178</x:v>
      </x:c>
      <x:c r="N24" s="14" t="n">
        <x:f>'Calc'!$AK$12</x:f>
        <x:v>0</x:v>
      </x:c>
      <x:c r="O24" s="14" t="n">
        <x:f>'Calc'!$Z$12</x:f>
        <x:v>520889.7226016909</x:v>
      </x:c>
      <x:c r="P24" s="14" t="n">
        <x:f>'Calc'!$AA$12</x:f>
        <x:v>1400816.298845869</x:v>
      </x:c>
      <x:c r="Q24" s="16" t="n">
        <x:f>'Calc'!$AB$12</x:f>
        <x:v>0.15033093685472765</x:v>
      </x:c>
    </x:row>
    <x:row r="25" ht="18" customHeight="1">
      <x:c r="A25" s="14" t="str">
        <x:f>H5</x:f>
        <x:v>B: LV 2B2B</x:v>
      </x:c>
      <x:c r="B25" s="14" t="str">
        <x:f>I5</x:f>
        <x:v>Lakeville</x:v>
      </x:c>
      <x:c r="C25" s="14" t="n">
        <x:f>K5</x:f>
        <x:v>1260000</x:v>
      </x:c>
      <x:c r="D25" s="14" t="n">
        <x:f>L5</x:f>
        <x:v>731</x:v>
      </x:c>
      <x:c r="E25" s="14" t="n">
        <x:f>'Calc'!$I$13</x:f>
        <x:v>945000</x:v>
      </x:c>
      <x:c r="F25" s="14" t="n">
        <x:f>'Calc'!$S$13</x:f>
        <x:v>418000</x:v>
      </x:c>
      <x:c r="G25" s="14" t="n">
        <x:f>'Calc'!$Q$13</x:f>
        <x:v>0</x:v>
      </x:c>
      <x:c r="H25" s="14" t="n">
        <x:f>'Calc'!$R$13</x:f>
        <x:v>252000</x:v>
      </x:c>
      <x:c r="I25" s="14" t="n">
        <x:f>'Calc'!$AC$13</x:f>
        <x:v>843.25</x:v>
      </x:c>
      <x:c r="J25" s="14" t="n">
        <x:f>'Calc'!$AD$13</x:f>
        <x:v>2847.75</x:v>
      </x:c>
      <x:c r="K25" s="14" t="n">
        <x:f>'Calc'!$AE$13</x:f>
        <x:v>1286.25</x:v>
      </x:c>
      <x:c r="L25" s="14" t="n">
        <x:f>'Calc'!$AF$13</x:f>
        <x:v>2847.75</x:v>
      </x:c>
      <x:c r="M25" s="14" t="n">
        <x:f>'Calc'!$AJ$13</x:f>
        <x:v>885085.9698567761</x:v>
      </x:c>
      <x:c r="N25" s="14" t="n">
        <x:f>'Calc'!$AK$13</x:f>
        <x:v>0</x:v>
      </x:c>
      <x:c r="O25" s="14" t="n">
        <x:f>'Calc'!$Z$13</x:f>
        <x:v>514761.6082181416</x:v>
      </x:c>
      <x:c r="P25" s="14" t="n">
        <x:f>'Calc'!$AA$13</x:f>
        <x:v>1399847.5780749177</x:v>
      </x:c>
      <x:c r="Q25" s="16" t="n">
        <x:f>'Calc'!$AB$13</x:f>
        <x:v>0.15013201024117206</x:v>
      </x:c>
    </x:row>
    <x:row r="26" ht="18" customHeight="1">
      <x:c r="A26" s="14" t="str">
        <x:f>H6</x:f>
        <x:v>C: LG 2B2B</x:v>
      </x:c>
      <x:c r="B26" s="14" t="str">
        <x:f>I6</x:f>
        <x:v>Lake Grande</x:v>
      </x:c>
      <x:c r="C26" s="14" t="n">
        <x:f>K6</x:f>
        <x:v>1513888</x:v>
      </x:c>
      <x:c r="D26" s="14" t="n">
        <x:f>L6</x:f>
        <x:v>818</x:v>
      </x:c>
      <x:c r="E26" s="14" t="n">
        <x:f>'Calc'!$I$14</x:f>
        <x:v>1100000</x:v>
      </x:c>
      <x:c r="F26" s="14" t="n">
        <x:f>'Calc'!$S$14</x:f>
        <x:v>539876</x:v>
      </x:c>
      <x:c r="G26" s="14" t="n">
        <x:f>'Calc'!$Q$14</x:f>
        <x:v>0</x:v>
      </x:c>
      <x:c r="H26" s="14" t="n">
        <x:f>'Calc'!$R$14</x:f>
        <x:v>338194</x:v>
      </x:c>
      <x:c r="I26" s="14" t="n">
        <x:f>'Calc'!$AC$14</x:f>
        <x:v>1388.25</x:v>
      </x:c>
      <x:c r="J26" s="14" t="n">
        <x:f>'Calc'!$AD$14</x:f>
        <x:v>2847.75</x:v>
      </x:c>
      <x:c r="K26" s="14" t="n">
        <x:f>'Calc'!$AE$14</x:f>
        <x:v>1903.25</x:v>
      </x:c>
      <x:c r="L26" s="14" t="n">
        <x:f>'Calc'!$AF$14</x:f>
        <x:v>2847.75</x:v>
      </x:c>
      <x:c r="M26" s="14" t="n">
        <x:f>'Calc'!$AJ$14</x:f>
        <x:v>692021.2634285827</x:v>
      </x:c>
      <x:c r="N26" s="14" t="n">
        <x:f>'Calc'!$AK$14</x:f>
        <x:v>0</x:v>
      </x:c>
      <x:c r="O26" s="14" t="n">
        <x:f>'Calc'!$Z$14</x:f>
        <x:v>650307.2962295677</x:v>
      </x:c>
      <x:c r="P26" s="14" t="n">
        <x:f>'Calc'!$AA$14</x:f>
        <x:v>1342328.5596581504</x:v>
      </x:c>
      <x:c r="Q26" s="16" t="n">
        <x:f>'Calc'!$AB$14</x:f>
        <x:v>0.13813089045472182</x:v>
      </x:c>
    </x:row>
    <x:row r="27" ht="18" customHeight="1">
      <x:c r="A27" s="14" t="str">
        <x:f>H7</x:f>
        <x:v>D: LG 3B2B</x:v>
      </x:c>
      <x:c r="B27" s="14" t="str">
        <x:f>I7</x:f>
        <x:v>Lake Grande</x:v>
      </x:c>
      <x:c r="C27" s="14" t="n">
        <x:f>K7</x:f>
        <x:v>1739000</x:v>
      </x:c>
      <x:c r="D27" s="14" t="n">
        <x:f>L7</x:f>
        <x:v>904</x:v>
      </x:c>
      <x:c r="E27" s="14" t="n">
        <x:f>'Calc'!$I$15</x:f>
        <x:v>1100000</x:v>
      </x:c>
      <x:c r="F27" s="14" t="n">
        <x:f>'Calc'!$S$15</x:f>
        <x:v>787500</x:v>
      </x:c>
      <x:c r="G27" s="14" t="n">
        <x:f>'Calc'!$Q$15</x:f>
        <x:v>0</x:v>
      </x:c>
      <x:c r="H27" s="14" t="n">
        <x:f>'Calc'!$R$15</x:f>
        <x:v>552050</x:v>
      </x:c>
      <x:c r="I27" s="14" t="n">
        <x:f>'Calc'!$AC$15</x:f>
        <x:v>1468.25</x:v>
      </x:c>
      <x:c r="J27" s="14" t="n">
        <x:f>'Calc'!$AD$15</x:f>
        <x:v>2847.75</x:v>
      </x:c>
      <x:c r="K27" s="14" t="n">
        <x:f>'Calc'!$AE$15</x:f>
        <x:v>1983.25</x:v>
      </x:c>
      <x:c r="L27" s="14" t="n">
        <x:f>'Calc'!$AF$15</x:f>
        <x:v>2847.75</x:v>
      </x:c>
      <x:c r="M27" s="14" t="n">
        <x:f>'Calc'!$AJ$15</x:f>
        <x:v>360232.2550743853</x:v>
      </x:c>
      <x:c r="N27" s="14" t="n">
        <x:f>'Calc'!$AK$15</x:f>
        <x:v>0</x:v>
      </x:c>
      <x:c r="O27" s="14" t="n">
        <x:f>'Calc'!$Z$15</x:f>
        <x:v>893975.7646314878</x:v>
      </x:c>
      <x:c r="P27" s="14" t="n">
        <x:f>'Calc'!$AA$15</x:f>
        <x:v>1254208.019705873</x:v>
      </x:c>
      <x:c r="Q27" s="16" t="n">
        <x:f>'Calc'!$AB$15</x:f>
        <x:v>0.11897374503793623</x:v>
      </x:c>
    </x:row>
    <x:row r="28" ht="18" customHeight="1">
      <x:c r="A28" s="14" t="str">
        <x:f>H8</x:f>
        <x:v>E: LV 3B2B</x:v>
      </x:c>
      <x:c r="B28" s="14" t="str">
        <x:f>I8</x:f>
        <x:v>Lakeville</x:v>
      </x:c>
      <x:c r="C28" s="14" t="n">
        <x:f>K8</x:f>
        <x:v>1795000</x:v>
      </x:c>
      <x:c r="D28" s="14" t="n">
        <x:f>L8</x:f>
        <x:v>968</x:v>
      </x:c>
      <x:c r="E28" s="14" t="n">
        <x:f>'Calc'!$I$16</x:f>
        <x:v>1100000</x:v>
      </x:c>
      <x:c r="F28" s="14" t="n">
        <x:f>'Calc'!$S$16</x:f>
        <x:v>849100</x:v>
      </x:c>
      <x:c r="G28" s="14" t="n">
        <x:f>'Calc'!$Q$16</x:f>
        <x:v>0</x:v>
      </x:c>
      <x:c r="H28" s="14" t="n">
        <x:f>'Calc'!$R$16</x:f>
        <x:v>605250</x:v>
      </x:c>
      <x:c r="I28" s="14" t="n">
        <x:f>'Calc'!$AC$16</x:f>
        <x:v>1478.25</x:v>
      </x:c>
      <x:c r="J28" s="14" t="n">
        <x:f>'Calc'!$AD$16</x:f>
        <x:v>2847.75</x:v>
      </x:c>
      <x:c r="K28" s="14" t="n">
        <x:f>'Calc'!$AE$16</x:f>
        <x:v>1993.25</x:v>
      </x:c>
      <x:c r="L28" s="14" t="n">
        <x:f>'Calc'!$AF$16</x:f>
        <x:v>2847.75</x:v>
      </x:c>
      <x:c r="M28" s="14" t="n">
        <x:f>'Calc'!$AJ$16</x:f>
        <x:v>343154.4892387291</x:v>
      </x:c>
      <x:c r="N28" s="14" t="n">
        <x:f>'Calc'!$AK$16</x:f>
        <x:v>0</x:v>
      </x:c>
      <x:c r="O28" s="14" t="n">
        <x:f>'Calc'!$Z$16</x:f>
        <x:v>954591.9655914876</x:v>
      </x:c>
      <x:c r="P28" s="14" t="n">
        <x:f>'Calc'!$AA$16</x:f>
        <x:v>1297746.4548302167</x:v>
      </x:c>
      <x:c r="Q28" s="16" t="n">
        <x:f>'Calc'!$AB$16</x:f>
        <x:v>0.12856081259663754</x:v>
      </x:c>
    </x:row>
    <x:row r="29" ht="18" customHeight="1">
      <x:c r="A29" s="14" t="str">
        <x:f>H9</x:f>
        <x:v>F: 纯租房</x:v>
      </x:c>
      <x:c r="B29" s="14" t="str">
        <x:f>I9</x:f>
        <x:v>纯租房</x:v>
      </x:c>
      <x:c r="C29" s="14" t="n">
        <x:f>K9</x:f>
        <x:v>0</x:v>
      </x:c>
      <x:c r="D29" s="14" t="n">
        <x:f>L9</x:f>
        <x:v>0</x:v>
      </x:c>
      <x:c r="E29" s="14" t="n">
        <x:f>'Calc'!$I$17</x:f>
        <x:v>0</x:v>
      </x:c>
      <x:c r="F29" s="14" t="n">
        <x:f>'Calc'!$S$17</x:f>
        <x:v>0</x:v>
      </x:c>
      <x:c r="G29" s="14" t="n">
        <x:f>'Calc'!$Q$17</x:f>
        <x:v>0</x:v>
      </x:c>
      <x:c r="H29" s="14" t="n">
        <x:f>'Calc'!$R$17</x:f>
        <x:v>0</x:v>
      </x:c>
      <x:c r="I29" s="14" t="n">
        <x:f>'Calc'!$AC$17</x:f>
        <x:v>4000</x:v>
      </x:c>
      <x:c r="J29" s="14" t="n">
        <x:f>'Calc'!$AD$17</x:f>
        <x:v>0</x:v>
      </x:c>
      <x:c r="K29" s="14" t="n">
        <x:f>'Calc'!$AE$17</x:f>
        <x:v>4000</x:v>
      </x:c>
      <x:c r="L29" s="14" t="n">
        <x:f>'Calc'!$AF$17</x:f>
        <x:v>0</x:v>
      </x:c>
      <x:c r="M29" s="14" t="n">
        <x:f>'Calc'!$AJ$17</x:f>
        <x:v>1274799.4313966967</x:v>
      </x:c>
      <x:c r="N29" s="14" t="n">
        <x:f>'Calc'!$AK$17</x:f>
        <x:v>143603.0952029641</x:v>
      </x:c>
      <x:c r="O29" s="14" t="n">
        <x:f>'Calc'!$Z$17</x:f>
        <x:v>0</x:v>
      </x:c>
      <x:c r="P29" s="14" t="n">
        <x:f>'Calc'!$AA$17</x:f>
        <x:v>1418402.5265996607</x:v>
      </x:c>
      <x:c r="Q29" s="16" t="n">
        <x:f>'Calc'!$AB$17</x:f>
        <x:v>0.153924454723128</x:v>
      </x:c>
    </x:row>
    <x:row r="30" ht="18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6"/>
    </x:row>
    <x:row r="35">
      <x:c r="S35" s="4" t="str">
        <x:v>Year</x:v>
      </x:c>
      <x:c r="T35" s="4" t="str">
        <x:v>A: LG 2B1B</x:v>
      </x:c>
      <x:c r="U35" s="4" t="str">
        <x:v>B: LV 2B2B</x:v>
      </x:c>
      <x:c r="V35" s="4" t="str">
        <x:v>C: LG 2B2B</x:v>
      </x:c>
      <x:c r="W35" s="4" t="str">
        <x:v>D: LG 3B2B</x:v>
      </x:c>
      <x:c r="X35" s="4" t="str">
        <x:v>E: LV 3B2B</x:v>
      </x:c>
      <x:c r="Y35" s="4" t="str">
        <x:v>F: 纯租房</x:v>
      </x:c>
    </x:row>
    <x:row r="36">
      <x:c r="S36" t="n">
        <x:f>0</x:f>
        <x:v>0</x:v>
      </x:c>
      <x:c r="T36" s="42" t="n">
        <x:f>IF($S36=0,'Calc'!$B$7,IF($S36&gt;'财富模型'!$E$13,"",INDEX(Calc!$B$21:$B$381,$S36*12+1)+INDEX(Calc!$C$21:$C$381,$S36*12+1)+IF('Calc'!$E$12=1,0,'Calc'!$F$12*(1+'Calc'!$G$12)^$S36-INDEX(Calc!$G$21:$G$381,$S36*12+1))))</x:f>
        <x:v>800000</x:v>
      </x:c>
      <x:c r="U36" s="42" t="n">
        <x:f>IF($S36=0,'Calc'!$B$7,IF($S36&gt;'财富模型'!$E$13,"",INDEX(Calc!$J$21:$J$381,$S36*12+1)+INDEX(Calc!$K$21:$K$381,$S36*12+1)+IF('Calc'!$E$13=1,0,'Calc'!$F$13*(1+'Calc'!$G$13)^$S36-INDEX(Calc!$O$21:$O$381,$S36*12+1))))</x:f>
        <x:v>800000</x:v>
      </x:c>
      <x:c r="V36" s="42" t="n">
        <x:f>IF($S36=0,'Calc'!$B$7,IF($S36&gt;'财富模型'!$E$13,"",INDEX(Calc!$R$21:$R$381,$S36*12+1)+INDEX(Calc!$S$21:$S$381,$S36*12+1)+IF('Calc'!$E$14=1,0,'Calc'!$F$14*(1+'Calc'!$G$14)^$S36-INDEX(Calc!$W$21:$W$381,$S36*12+1))))</x:f>
        <x:v>800000</x:v>
      </x:c>
      <x:c r="W36" s="42" t="n">
        <x:f>IF($S36=0,'Calc'!$B$7,IF($S36&gt;'财富模型'!$E$13,"",INDEX(Calc!$Z$21:$Z$381,$S36*12+1)+INDEX(Calc!$AA$21:$AA$381,$S36*12+1)+IF('Calc'!$E$15=1,0,'Calc'!$F$15*(1+'Calc'!$G$15)^$S36-INDEX(Calc!$AE$21:$AE$381,$S36*12+1))))</x:f>
        <x:v>800000</x:v>
      </x:c>
      <x:c r="X36" s="42" t="n">
        <x:f>IF($S36=0,'Calc'!$B$7,IF($S36&gt;'财富模型'!$E$13,"",INDEX(Calc!$AH$21:$AH$381,$S36*12+1)+INDEX(Calc!$AI$21:$AI$381,$S36*12+1)+IF('Calc'!$E$16=1,0,'Calc'!$F$16*(1+'Calc'!$G$16)^$S36-INDEX(Calc!$AM$21:$AM$381,$S36*12+1))))</x:f>
        <x:v>800000</x:v>
      </x:c>
      <x:c r="Y36" s="42" t="n">
        <x:f>IF($S36=0,'Calc'!$B$7,IF($S36&gt;'财富模型'!$E$13,"",INDEX(Calc!$AP$21:$AP$381,$S36*12+1)+INDEX(Calc!$AQ$21:$AQ$381,$S36*12+1)+IF('Calc'!$E$17=1,0,'Calc'!$F$17*(1+'Calc'!$G$17)^$S36-INDEX(Calc!$AU$21:$AU$381,$S36*12+1))))</x:f>
        <x:v>800000</x:v>
      </x:c>
    </x:row>
    <x:row r="37">
      <x:c r="S37" t="n">
        <x:f>1</x:f>
        <x:v>1</x:v>
      </x:c>
      <x:c r="T37" s="42" t="n">
        <x:f>IF($S37=0,'Calc'!$B$7,IF($S37&gt;'财富模型'!$E$13,"",INDEX(Calc!$B$21:$B$381,$S37*12+1)+INDEX(Calc!$C$21:$C$381,$S37*12+1)+IF('Calc'!$E$12=1,0,'Calc'!$F$12*(1+'Calc'!$G$12)^$S37-INDEX(Calc!$G$21:$G$381,$S37*12+1))))</x:f>
        <x:v>862077.937995773</x:v>
      </x:c>
      <x:c r="U37" s="42" t="n">
        <x:f>IF($S37=0,'Calc'!$B$7,IF($S37&gt;'财富模型'!$E$13,"",INDEX(Calc!$J$21:$J$381,$S37*12+1)+INDEX(Calc!$K$21:$K$381,$S37*12+1)+IF('Calc'!$E$13=1,0,'Calc'!$F$13*(1+'Calc'!$G$13)^$S37-INDEX(Calc!$O$21:$O$381,$S37*12+1))))</x:f>
        <x:v>862813.2334528891</x:v>
      </x:c>
      <x:c r="V37" s="42" t="n">
        <x:f>IF($S37=0,'Calc'!$B$7,IF($S37&gt;'财富模型'!$E$13,"",INDEX(Calc!$R$21:$R$381,$S37*12+1)+INDEX(Calc!$S$21:$S$381,$S37*12+1)+IF('Calc'!$E$14=1,0,'Calc'!$F$14*(1+'Calc'!$G$14)^$S37-INDEX(Calc!$W$21:$W$381,$S37*12+1))))</x:f>
        <x:v>833461.1099753431</x:v>
      </x:c>
      <x:c r="W37" s="42" t="n">
        <x:f>IF($S37=0,'Calc'!$B$7,IF($S37&gt;'财富模型'!$E$13,"",INDEX(Calc!$Z$21:$Z$381,$S37*12+1)+INDEX(Calc!$AA$21:$AA$381,$S37*12+1)+IF('Calc'!$E$15=1,0,'Calc'!$F$15*(1+'Calc'!$G$15)^$S37-INDEX(Calc!$AE$21:$AE$381,$S37*12+1))))</x:f>
        <x:v>796559.1841702276</x:v>
      </x:c>
      <x:c r="X37" s="42" t="n">
        <x:f>IF($S37=0,'Calc'!$B$7,IF($S37&gt;'财富模型'!$E$13,"",INDEX(Calc!$AH$21:$AH$381,$S37*12+1)+INDEX(Calc!$AI$21:$AI$381,$S37*12+1)+IF('Calc'!$E$16=1,0,'Calc'!$F$16*(1+'Calc'!$G$16)^$S37-INDEX(Calc!$AM$21:$AM$381,$S37*12+1))))</x:f>
        <x:v>840151.6323066282</x:v>
      </x:c>
      <x:c r="Y37" s="42" t="n">
        <x:f>IF($S37=0,'Calc'!$B$7,IF($S37&gt;'财富模型'!$E$13,"",INDEX(Calc!$AP$21:$AP$381,$S37*12+1)+INDEX(Calc!$AQ$21:$AQ$381,$S37*12+1)+IF('Calc'!$E$17=1,0,'Calc'!$F$17*(1+'Calc'!$G$17)^$S37-INDEX(Calc!$AU$21:$AU$381,$S37*12+1))))</x:f>
        <x:v>941143.5311105052</x:v>
      </x:c>
    </x:row>
    <x:row r="38">
      <x:c r="S38" t="n">
        <x:f>2</x:f>
        <x:v>2</x:v>
      </x:c>
      <x:c r="T38" s="42" t="n">
        <x:f>IF($S38=0,'Calc'!$B$7,IF($S38&gt;'财富模型'!$E$13,"",INDEX(Calc!$B$21:$B$381,$S38*12+1)+INDEX(Calc!$C$21:$C$381,$S38*12+1)+IF('Calc'!$E$12=1,0,'Calc'!$F$12*(1+'Calc'!$G$12)^$S38-INDEX(Calc!$G$21:$G$381,$S38*12+1))))</x:f>
        <x:v>1037749.1331868529</x:v>
      </x:c>
      <x:c r="U38" s="42" t="n">
        <x:f>IF($S38=0,'Calc'!$B$7,IF($S38&gt;'财富模型'!$E$13,"",INDEX(Calc!$J$21:$J$381,$S38*12+1)+INDEX(Calc!$K$21:$K$381,$S38*12+1)+IF('Calc'!$E$13=1,0,'Calc'!$F$13*(1+'Calc'!$G$13)^$S38-INDEX(Calc!$O$21:$O$381,$S38*12+1))))</x:f>
        <x:v>1037858.0850823206</x:v>
      </x:c>
      <x:c r="V38" s="42" t="n">
        <x:f>IF($S38=0,'Calc'!$B$7,IF($S38&gt;'财富模型'!$E$13,"",INDEX(Calc!$R$21:$R$381,$S38*12+1)+INDEX(Calc!$S$21:$S$381,$S38*12+1)+IF('Calc'!$E$14=1,0,'Calc'!$F$14*(1+'Calc'!$G$14)^$S38-INDEX(Calc!$W$21:$W$381,$S38*12+1))))</x:f>
        <x:v>1001180.5071163028</x:v>
      </x:c>
      <x:c r="W38" s="42" t="n">
        <x:f>IF($S38=0,'Calc'!$B$7,IF($S38&gt;'财富模型'!$E$13,"",INDEX(Calc!$Z$21:$Z$381,$S38*12+1)+INDEX(Calc!$AA$21:$AA$381,$S38*12+1)+IF('Calc'!$E$15=1,0,'Calc'!$F$15*(1+'Calc'!$G$15)^$S38-INDEX(Calc!$AE$21:$AE$381,$S38*12+1))))</x:f>
        <x:v>948612.9841124706</x:v>
      </x:c>
      <x:c r="X38" s="42" t="n">
        <x:f>IF($S38=0,'Calc'!$B$7,IF($S38&gt;'财富模型'!$E$13,"",INDEX(Calc!$AH$21:$AH$381,$S38*12+1)+INDEX(Calc!$AI$21:$AI$381,$S38*12+1)+IF('Calc'!$E$16=1,0,'Calc'!$F$16*(1+'Calc'!$G$16)^$S38-INDEX(Calc!$AM$21:$AM$381,$S38*12+1))))</x:f>
        <x:v>992245.9985779682</x:v>
      </x:c>
      <x:c r="Y38" s="42" t="n">
        <x:f>IF($S38=0,'Calc'!$B$7,IF($S38&gt;'财富模型'!$E$13,"",INDEX(Calc!$AP$21:$AP$381,$S38*12+1)+INDEX(Calc!$AQ$21:$AQ$381,$S38*12+1)+IF('Calc'!$E$17=1,0,'Calc'!$F$17*(1+'Calc'!$G$17)^$S38-INDEX(Calc!$AU$21:$AU$381,$S38*12+1))))</x:f>
        <x:v>1090865.620376303</x:v>
      </x:c>
    </x:row>
    <x:row r="39">
      <x:c r="S39" t="n">
        <x:f>3</x:f>
        <x:v>3</x:v>
      </x:c>
      <x:c r="T39" s="42" t="n">
        <x:f>IF($S39=0,'Calc'!$B$7,IF($S39&gt;'财富模型'!$E$13,"",INDEX(Calc!$B$21:$B$381,$S39*12+1)+INDEX(Calc!$C$21:$C$381,$S39*12+1)+IF('Calc'!$E$12=1,0,'Calc'!$F$12*(1+'Calc'!$G$12)^$S39-INDEX(Calc!$G$21:$G$381,$S39*12+1))))</x:f>
        <x:v>1214132.2853671713</x:v>
      </x:c>
      <x:c r="U39" s="42" t="n">
        <x:f>IF($S39=0,'Calc'!$B$7,IF($S39&gt;'财富模型'!$E$13,"",INDEX(Calc!$J$21:$J$381,$S39*12+1)+INDEX(Calc!$K$21:$K$381,$S39*12+1)+IF('Calc'!$E$13=1,0,'Calc'!$F$13*(1+'Calc'!$G$13)^$S39-INDEX(Calc!$O$21:$O$381,$S39*12+1))))</x:f>
        <x:v>1213707.289373729</x:v>
      </x:c>
      <x:c r="V39" s="42" t="n">
        <x:f>IF($S39=0,'Calc'!$B$7,IF($S39&gt;'财富模型'!$E$13,"",INDEX(Calc!$R$21:$R$381,$S39*12+1)+INDEX(Calc!$S$21:$S$381,$S39*12+1)+IF('Calc'!$E$14=1,0,'Calc'!$F$14*(1+'Calc'!$G$14)^$S39-INDEX(Calc!$W$21:$W$381,$S39*12+1))))</x:f>
        <x:v>1167188.9295344409</x:v>
      </x:c>
      <x:c r="W39" s="42" t="n">
        <x:f>IF($S39=0,'Calc'!$B$7,IF($S39&gt;'财富模型'!$E$13,"",INDEX(Calc!$Z$21:$Z$381,$S39*12+1)+INDEX(Calc!$AA$21:$AA$381,$S39*12+1)+IF('Calc'!$E$15=1,0,'Calc'!$F$15*(1+'Calc'!$G$15)^$S39-INDEX(Calc!$AE$21:$AE$381,$S39*12+1))))</x:f>
        <x:v>1097583.2111002286</x:v>
      </x:c>
      <x:c r="X39" s="42" t="n">
        <x:f>IF($S39=0,'Calc'!$B$7,IF($S39&gt;'财富模型'!$E$13,"",INDEX(Calc!$AH$21:$AH$381,$S39*12+1)+INDEX(Calc!$AI$21:$AI$381,$S39*12+1)+IF('Calc'!$E$16=1,0,'Calc'!$F$16*(1+'Calc'!$G$16)^$S39-INDEX(Calc!$AM$21:$AM$381,$S39*12+1))))</x:f>
        <x:v>1141199.9882496637</x:v>
      </x:c>
      <x:c r="Y39" s="42" t="n">
        <x:f>IF($S39=0,'Calc'!$B$7,IF($S39&gt;'财富模型'!$E$13,"",INDEX(Calc!$AP$21:$AP$381,$S39*12+1)+INDEX(Calc!$AQ$21:$AQ$381,$S39*12+1)+IF('Calc'!$E$17=1,0,'Calc'!$F$17*(1+'Calc'!$G$17)^$S39-INDEX(Calc!$AU$21:$AU$381,$S39*12+1))))</x:f>
        <x:v>1249745.3258204665</x:v>
      </x:c>
    </x:row>
    <x:row r="40">
      <x:c r="S40" t="n">
        <x:f>4</x:f>
        <x:v>4</x:v>
      </x:c>
      <x:c r="T40" s="42" t="n">
        <x:f>IF($S40=0,'Calc'!$B$7,IF($S40&gt;'财富模型'!$E$13,"",INDEX(Calc!$B$21:$B$381,$S40*12+1)+INDEX(Calc!$C$21:$C$381,$S40*12+1)+IF('Calc'!$E$12=1,0,'Calc'!$F$12*(1+'Calc'!$G$12)^$S40-INDEX(Calc!$G$21:$G$381,$S40*12+1))))</x:f>
        <x:v>1400816.298845869</x:v>
      </x:c>
      <x:c r="U40" s="42" t="n">
        <x:f>IF($S40=0,'Calc'!$B$7,IF($S40&gt;'财富模型'!$E$13,"",INDEX(Calc!$J$21:$J$381,$S40*12+1)+INDEX(Calc!$K$21:$K$381,$S40*12+1)+IF('Calc'!$E$13=1,0,'Calc'!$F$13*(1+'Calc'!$G$13)^$S40-INDEX(Calc!$O$21:$O$381,$S40*12+1))))</x:f>
        <x:v>1399847.5780749177</x:v>
      </x:c>
      <x:c r="V40" s="42" t="n">
        <x:f>IF($S40=0,'Calc'!$B$7,IF($S40&gt;'财富模型'!$E$13,"",INDEX(Calc!$R$21:$R$381,$S40*12+1)+INDEX(Calc!$S$21:$S$381,$S40*12+1)+IF('Calc'!$E$14=1,0,'Calc'!$F$14*(1+'Calc'!$G$14)^$S40-INDEX(Calc!$W$21:$W$381,$S40*12+1))))</x:f>
        <x:v>1342328.5596581504</x:v>
      </x:c>
      <x:c r="W40" s="42" t="n">
        <x:f>IF($S40=0,'Calc'!$B$7,IF($S40&gt;'财富模型'!$E$13,"",INDEX(Calc!$Z$21:$Z$381,$S40*12+1)+INDEX(Calc!$AA$21:$AA$381,$S40*12+1)+IF('Calc'!$E$15=1,0,'Calc'!$F$15*(1+'Calc'!$G$15)^$S40-INDEX(Calc!$AE$21:$AE$381,$S40*12+1))))</x:f>
        <x:v>1254208.019705873</x:v>
      </x:c>
      <x:c r="X40" s="42" t="n">
        <x:f>IF($S40=0,'Calc'!$B$7,IF($S40&gt;'财富模型'!$E$13,"",INDEX(Calc!$AH$21:$AH$381,$S40*12+1)+INDEX(Calc!$AI$21:$AI$381,$S40*12+1)+IF('Calc'!$E$16=1,0,'Calc'!$F$16*(1+'Calc'!$G$16)^$S40-INDEX(Calc!$AM$21:$AM$381,$S40*12+1))))</x:f>
        <x:v>1297746.4548302167</x:v>
      </x:c>
      <x:c r="Y40" s="42" t="n">
        <x:f>IF($S40=0,'Calc'!$B$7,IF($S40&gt;'财富模型'!$E$13,"",INDEX(Calc!$AP$21:$AP$381,$S40*12+1)+INDEX(Calc!$AQ$21:$AQ$381,$S40*12+1)+IF('Calc'!$E$17=1,0,'Calc'!$F$17*(1+'Calc'!$G$17)^$S40-INDEX(Calc!$AU$21:$AU$381,$S40*12+1))))</x:f>
        <x:v>1418402.5265996607</x:v>
      </x:c>
    </x:row>
    <x:row r="41">
      <x:c r="S41" t="n">
        <x:f>5</x:f>
        <x:v>5</x:v>
      </x:c>
      <x:c r="T41" s="42" t="str">
        <x:f>IF($S41=0,'Calc'!$B$7,IF($S41&gt;'财富模型'!$E$13,"",INDEX(Calc!$B$21:$B$381,$S41*12+1)+INDEX(Calc!$C$21:$C$381,$S41*12+1)+IF('Calc'!$E$12=1,0,'Calc'!$F$12*(1+'Calc'!$G$12)^$S41-INDEX(Calc!$G$21:$G$381,$S41*12+1))))</x:f>
        <x:v/>
      </x:c>
      <x:c r="U41" s="42" t="str">
        <x:f>IF($S41=0,'Calc'!$B$7,IF($S41&gt;'财富模型'!$E$13,"",INDEX(Calc!$J$21:$J$381,$S41*12+1)+INDEX(Calc!$K$21:$K$381,$S41*12+1)+IF('Calc'!$E$13=1,0,'Calc'!$F$13*(1+'Calc'!$G$13)^$S41-INDEX(Calc!$O$21:$O$381,$S41*12+1))))</x:f>
        <x:v/>
      </x:c>
      <x:c r="V41" s="42" t="str">
        <x:f>IF($S41=0,'Calc'!$B$7,IF($S41&gt;'财富模型'!$E$13,"",INDEX(Calc!$R$21:$R$381,$S41*12+1)+INDEX(Calc!$S$21:$S$381,$S41*12+1)+IF('Calc'!$E$14=1,0,'Calc'!$F$14*(1+'Calc'!$G$14)^$S41-INDEX(Calc!$W$21:$W$381,$S41*12+1))))</x:f>
        <x:v/>
      </x:c>
      <x:c r="W41" s="42" t="str">
        <x:f>IF($S41=0,'Calc'!$B$7,IF($S41&gt;'财富模型'!$E$13,"",INDEX(Calc!$Z$21:$Z$381,$S41*12+1)+INDEX(Calc!$AA$21:$AA$381,$S41*12+1)+IF('Calc'!$E$15=1,0,'Calc'!$F$15*(1+'Calc'!$G$15)^$S41-INDEX(Calc!$AE$21:$AE$381,$S41*12+1))))</x:f>
        <x:v/>
      </x:c>
      <x:c r="X41" s="42" t="str">
        <x:f>IF($S41=0,'Calc'!$B$7,IF($S41&gt;'财富模型'!$E$13,"",INDEX(Calc!$AH$21:$AH$381,$S41*12+1)+INDEX(Calc!$AI$21:$AI$381,$S41*12+1)+IF('Calc'!$E$16=1,0,'Calc'!$F$16*(1+'Calc'!$G$16)^$S41-INDEX(Calc!$AM$21:$AM$381,$S41*12+1))))</x:f>
        <x:v/>
      </x:c>
      <x:c r="Y41" s="42" t="str">
        <x:f>IF($S41=0,'Calc'!$B$7,IF($S41&gt;'财富模型'!$E$13,"",INDEX(Calc!$AP$21:$AP$381,$S41*12+1)+INDEX(Calc!$AQ$21:$AQ$381,$S41*12+1)+IF('Calc'!$E$17=1,0,'Calc'!$F$17*(1+'Calc'!$G$17)^$S41-INDEX(Calc!$AU$21:$AU$381,$S41*12+1))))</x:f>
        <x:v/>
      </x:c>
    </x:row>
    <x:row r="42">
      <x:c r="S42" t="n">
        <x:f>6</x:f>
        <x:v>6</x:v>
      </x:c>
      <x:c r="T42" s="42" t="str">
        <x:f>IF($S42=0,'Calc'!$B$7,IF($S42&gt;'财富模型'!$E$13,"",INDEX(Calc!$B$21:$B$381,$S42*12+1)+INDEX(Calc!$C$21:$C$381,$S42*12+1)+IF('Calc'!$E$12=1,0,'Calc'!$F$12*(1+'Calc'!$G$12)^$S42-INDEX(Calc!$G$21:$G$381,$S42*12+1))))</x:f>
        <x:v/>
      </x:c>
      <x:c r="U42" s="42" t="str">
        <x:f>IF($S42=0,'Calc'!$B$7,IF($S42&gt;'财富模型'!$E$13,"",INDEX(Calc!$J$21:$J$381,$S42*12+1)+INDEX(Calc!$K$21:$K$381,$S42*12+1)+IF('Calc'!$E$13=1,0,'Calc'!$F$13*(1+'Calc'!$G$13)^$S42-INDEX(Calc!$O$21:$O$381,$S42*12+1))))</x:f>
        <x:v/>
      </x:c>
      <x:c r="V42" s="42" t="str">
        <x:f>IF($S42=0,'Calc'!$B$7,IF($S42&gt;'财富模型'!$E$13,"",INDEX(Calc!$R$21:$R$381,$S42*12+1)+INDEX(Calc!$S$21:$S$381,$S42*12+1)+IF('Calc'!$E$14=1,0,'Calc'!$F$14*(1+'Calc'!$G$14)^$S42-INDEX(Calc!$W$21:$W$381,$S42*12+1))))</x:f>
        <x:v/>
      </x:c>
      <x:c r="W42" s="42" t="str">
        <x:f>IF($S42=0,'Calc'!$B$7,IF($S42&gt;'财富模型'!$E$13,"",INDEX(Calc!$Z$21:$Z$381,$S42*12+1)+INDEX(Calc!$AA$21:$AA$381,$S42*12+1)+IF('Calc'!$E$15=1,0,'Calc'!$F$15*(1+'Calc'!$G$15)^$S42-INDEX(Calc!$AE$21:$AE$381,$S42*12+1))))</x:f>
        <x:v/>
      </x:c>
      <x:c r="X42" s="42" t="str">
        <x:f>IF($S42=0,'Calc'!$B$7,IF($S42&gt;'财富模型'!$E$13,"",INDEX(Calc!$AH$21:$AH$381,$S42*12+1)+INDEX(Calc!$AI$21:$AI$381,$S42*12+1)+IF('Calc'!$E$16=1,0,'Calc'!$F$16*(1+'Calc'!$G$16)^$S42-INDEX(Calc!$AM$21:$AM$381,$S42*12+1))))</x:f>
        <x:v/>
      </x:c>
      <x:c r="Y42" s="42" t="str">
        <x:f>IF($S42=0,'Calc'!$B$7,IF($S42&gt;'财富模型'!$E$13,"",INDEX(Calc!$AP$21:$AP$381,$S42*12+1)+INDEX(Calc!$AQ$21:$AQ$381,$S42*12+1)+IF('Calc'!$E$17=1,0,'Calc'!$F$17*(1+'Calc'!$G$17)^$S42-INDEX(Calc!$AU$21:$AU$381,$S42*12+1))))</x:f>
        <x:v/>
      </x:c>
    </x:row>
    <x:row r="43">
      <x:c r="S43" t="n">
        <x:f>7</x:f>
        <x:v>7</x:v>
      </x:c>
      <x:c r="T43" s="42" t="str">
        <x:f>IF($S43=0,'Calc'!$B$7,IF($S43&gt;'财富模型'!$E$13,"",INDEX(Calc!$B$21:$B$381,$S43*12+1)+INDEX(Calc!$C$21:$C$381,$S43*12+1)+IF('Calc'!$E$12=1,0,'Calc'!$F$12*(1+'Calc'!$G$12)^$S43-INDEX(Calc!$G$21:$G$381,$S43*12+1))))</x:f>
        <x:v/>
      </x:c>
      <x:c r="U43" s="42" t="str">
        <x:f>IF($S43=0,'Calc'!$B$7,IF($S43&gt;'财富模型'!$E$13,"",INDEX(Calc!$J$21:$J$381,$S43*12+1)+INDEX(Calc!$K$21:$K$381,$S43*12+1)+IF('Calc'!$E$13=1,0,'Calc'!$F$13*(1+'Calc'!$G$13)^$S43-INDEX(Calc!$O$21:$O$381,$S43*12+1))))</x:f>
        <x:v/>
      </x:c>
      <x:c r="V43" s="42" t="str">
        <x:f>IF($S43=0,'Calc'!$B$7,IF($S43&gt;'财富模型'!$E$13,"",INDEX(Calc!$R$21:$R$381,$S43*12+1)+INDEX(Calc!$S$21:$S$381,$S43*12+1)+IF('Calc'!$E$14=1,0,'Calc'!$F$14*(1+'Calc'!$G$14)^$S43-INDEX(Calc!$W$21:$W$381,$S43*12+1))))</x:f>
        <x:v/>
      </x:c>
      <x:c r="W43" s="42" t="str">
        <x:f>IF($S43=0,'Calc'!$B$7,IF($S43&gt;'财富模型'!$E$13,"",INDEX(Calc!$Z$21:$Z$381,$S43*12+1)+INDEX(Calc!$AA$21:$AA$381,$S43*12+1)+IF('Calc'!$E$15=1,0,'Calc'!$F$15*(1+'Calc'!$G$15)^$S43-INDEX(Calc!$AE$21:$AE$381,$S43*12+1))))</x:f>
        <x:v/>
      </x:c>
      <x:c r="X43" s="42" t="str">
        <x:f>IF($S43=0,'Calc'!$B$7,IF($S43&gt;'财富模型'!$E$13,"",INDEX(Calc!$AH$21:$AH$381,$S43*12+1)+INDEX(Calc!$AI$21:$AI$381,$S43*12+1)+IF('Calc'!$E$16=1,0,'Calc'!$F$16*(1+'Calc'!$G$16)^$S43-INDEX(Calc!$AM$21:$AM$381,$S43*12+1))))</x:f>
        <x:v/>
      </x:c>
      <x:c r="Y43" s="42" t="str">
        <x:f>IF($S43=0,'Calc'!$B$7,IF($S43&gt;'财富模型'!$E$13,"",INDEX(Calc!$AP$21:$AP$381,$S43*12+1)+INDEX(Calc!$AQ$21:$AQ$381,$S43*12+1)+IF('Calc'!$E$17=1,0,'Calc'!$F$17*(1+'Calc'!$G$17)^$S43-INDEX(Calc!$AU$21:$AU$381,$S43*12+1))))</x:f>
        <x:v/>
      </x:c>
    </x:row>
    <x:row r="44">
      <x:c r="S44" t="n">
        <x:f>8</x:f>
        <x:v>8</x:v>
      </x:c>
      <x:c r="T44" s="42" t="str">
        <x:f>IF($S44=0,'Calc'!$B$7,IF($S44&gt;'财富模型'!$E$13,"",INDEX(Calc!$B$21:$B$381,$S44*12+1)+INDEX(Calc!$C$21:$C$381,$S44*12+1)+IF('Calc'!$E$12=1,0,'Calc'!$F$12*(1+'Calc'!$G$12)^$S44-INDEX(Calc!$G$21:$G$381,$S44*12+1))))</x:f>
        <x:v/>
      </x:c>
      <x:c r="U44" s="42" t="str">
        <x:f>IF($S44=0,'Calc'!$B$7,IF($S44&gt;'财富模型'!$E$13,"",INDEX(Calc!$J$21:$J$381,$S44*12+1)+INDEX(Calc!$K$21:$K$381,$S44*12+1)+IF('Calc'!$E$13=1,0,'Calc'!$F$13*(1+'Calc'!$G$13)^$S44-INDEX(Calc!$O$21:$O$381,$S44*12+1))))</x:f>
        <x:v/>
      </x:c>
      <x:c r="V44" s="42" t="str">
        <x:f>IF($S44=0,'Calc'!$B$7,IF($S44&gt;'财富模型'!$E$13,"",INDEX(Calc!$R$21:$R$381,$S44*12+1)+INDEX(Calc!$S$21:$S$381,$S44*12+1)+IF('Calc'!$E$14=1,0,'Calc'!$F$14*(1+'Calc'!$G$14)^$S44-INDEX(Calc!$W$21:$W$381,$S44*12+1))))</x:f>
        <x:v/>
      </x:c>
      <x:c r="W44" s="42" t="str">
        <x:f>IF($S44=0,'Calc'!$B$7,IF($S44&gt;'财富模型'!$E$13,"",INDEX(Calc!$Z$21:$Z$381,$S44*12+1)+INDEX(Calc!$AA$21:$AA$381,$S44*12+1)+IF('Calc'!$E$15=1,0,'Calc'!$F$15*(1+'Calc'!$G$15)^$S44-INDEX(Calc!$AE$21:$AE$381,$S44*12+1))))</x:f>
        <x:v/>
      </x:c>
      <x:c r="X44" s="42" t="str">
        <x:f>IF($S44=0,'Calc'!$B$7,IF($S44&gt;'财富模型'!$E$13,"",INDEX(Calc!$AH$21:$AH$381,$S44*12+1)+INDEX(Calc!$AI$21:$AI$381,$S44*12+1)+IF('Calc'!$E$16=1,0,'Calc'!$F$16*(1+'Calc'!$G$16)^$S44-INDEX(Calc!$AM$21:$AM$381,$S44*12+1))))</x:f>
        <x:v/>
      </x:c>
      <x:c r="Y44" s="42" t="str">
        <x:f>IF($S44=0,'Calc'!$B$7,IF($S44&gt;'财富模型'!$E$13,"",INDEX(Calc!$AP$21:$AP$381,$S44*12+1)+INDEX(Calc!$AQ$21:$AQ$381,$S44*12+1)+IF('Calc'!$E$17=1,0,'Calc'!$F$17*(1+'Calc'!$G$17)^$S44-INDEX(Calc!$AU$21:$AU$381,$S44*12+1))))</x:f>
        <x:v/>
      </x:c>
    </x:row>
    <x:row r="45">
      <x:c r="S45" t="n">
        <x:f>9</x:f>
        <x:v>9</x:v>
      </x:c>
      <x:c r="T45" s="42" t="str">
        <x:f>IF($S45=0,'Calc'!$B$7,IF($S45&gt;'财富模型'!$E$13,"",INDEX(Calc!$B$21:$B$381,$S45*12+1)+INDEX(Calc!$C$21:$C$381,$S45*12+1)+IF('Calc'!$E$12=1,0,'Calc'!$F$12*(1+'Calc'!$G$12)^$S45-INDEX(Calc!$G$21:$G$381,$S45*12+1))))</x:f>
        <x:v/>
      </x:c>
      <x:c r="U45" s="42" t="str">
        <x:f>IF($S45=0,'Calc'!$B$7,IF($S45&gt;'财富模型'!$E$13,"",INDEX(Calc!$J$21:$J$381,$S45*12+1)+INDEX(Calc!$K$21:$K$381,$S45*12+1)+IF('Calc'!$E$13=1,0,'Calc'!$F$13*(1+'Calc'!$G$13)^$S45-INDEX(Calc!$O$21:$O$381,$S45*12+1))))</x:f>
        <x:v/>
      </x:c>
      <x:c r="V45" s="42" t="str">
        <x:f>IF($S45=0,'Calc'!$B$7,IF($S45&gt;'财富模型'!$E$13,"",INDEX(Calc!$R$21:$R$381,$S45*12+1)+INDEX(Calc!$S$21:$S$381,$S45*12+1)+IF('Calc'!$E$14=1,0,'Calc'!$F$14*(1+'Calc'!$G$14)^$S45-INDEX(Calc!$W$21:$W$381,$S45*12+1))))</x:f>
        <x:v/>
      </x:c>
      <x:c r="W45" s="42" t="str">
        <x:f>IF($S45=0,'Calc'!$B$7,IF($S45&gt;'财富模型'!$E$13,"",INDEX(Calc!$Z$21:$Z$381,$S45*12+1)+INDEX(Calc!$AA$21:$AA$381,$S45*12+1)+IF('Calc'!$E$15=1,0,'Calc'!$F$15*(1+'Calc'!$G$15)^$S45-INDEX(Calc!$AE$21:$AE$381,$S45*12+1))))</x:f>
        <x:v/>
      </x:c>
      <x:c r="X45" s="42" t="str">
        <x:f>IF($S45=0,'Calc'!$B$7,IF($S45&gt;'财富模型'!$E$13,"",INDEX(Calc!$AH$21:$AH$381,$S45*12+1)+INDEX(Calc!$AI$21:$AI$381,$S45*12+1)+IF('Calc'!$E$16=1,0,'Calc'!$F$16*(1+'Calc'!$G$16)^$S45-INDEX(Calc!$AM$21:$AM$381,$S45*12+1))))</x:f>
        <x:v/>
      </x:c>
      <x:c r="Y45" s="42" t="str">
        <x:f>IF($S45=0,'Calc'!$B$7,IF($S45&gt;'财富模型'!$E$13,"",INDEX(Calc!$AP$21:$AP$381,$S45*12+1)+INDEX(Calc!$AQ$21:$AQ$381,$S45*12+1)+IF('Calc'!$E$17=1,0,'Calc'!$F$17*(1+'Calc'!$G$17)^$S45-INDEX(Calc!$AU$21:$AU$381,$S45*12+1))))</x:f>
        <x:v/>
      </x:c>
    </x:row>
    <x:row r="46">
      <x:c r="S46" t="n">
        <x:f>10</x:f>
        <x:v>10</x:v>
      </x:c>
      <x:c r="T46" s="42" t="str">
        <x:f>IF($S46=0,'Calc'!$B$7,IF($S46&gt;'财富模型'!$E$13,"",INDEX(Calc!$B$21:$B$381,$S46*12+1)+INDEX(Calc!$C$21:$C$381,$S46*12+1)+IF('Calc'!$E$12=1,0,'Calc'!$F$12*(1+'Calc'!$G$12)^$S46-INDEX(Calc!$G$21:$G$381,$S46*12+1))))</x:f>
        <x:v/>
      </x:c>
      <x:c r="U46" s="42" t="str">
        <x:f>IF($S46=0,'Calc'!$B$7,IF($S46&gt;'财富模型'!$E$13,"",INDEX(Calc!$J$21:$J$381,$S46*12+1)+INDEX(Calc!$K$21:$K$381,$S46*12+1)+IF('Calc'!$E$13=1,0,'Calc'!$F$13*(1+'Calc'!$G$13)^$S46-INDEX(Calc!$O$21:$O$381,$S46*12+1))))</x:f>
        <x:v/>
      </x:c>
      <x:c r="V46" s="42" t="str">
        <x:f>IF($S46=0,'Calc'!$B$7,IF($S46&gt;'财富模型'!$E$13,"",INDEX(Calc!$R$21:$R$381,$S46*12+1)+INDEX(Calc!$S$21:$S$381,$S46*12+1)+IF('Calc'!$E$14=1,0,'Calc'!$F$14*(1+'Calc'!$G$14)^$S46-INDEX(Calc!$W$21:$W$381,$S46*12+1))))</x:f>
        <x:v/>
      </x:c>
      <x:c r="W46" s="42" t="str">
        <x:f>IF($S46=0,'Calc'!$B$7,IF($S46&gt;'财富模型'!$E$13,"",INDEX(Calc!$Z$21:$Z$381,$S46*12+1)+INDEX(Calc!$AA$21:$AA$381,$S46*12+1)+IF('Calc'!$E$15=1,0,'Calc'!$F$15*(1+'Calc'!$G$15)^$S46-INDEX(Calc!$AE$21:$AE$381,$S46*12+1))))</x:f>
        <x:v/>
      </x:c>
      <x:c r="X46" s="42" t="str">
        <x:f>IF($S46=0,'Calc'!$B$7,IF($S46&gt;'财富模型'!$E$13,"",INDEX(Calc!$AH$21:$AH$381,$S46*12+1)+INDEX(Calc!$AI$21:$AI$381,$S46*12+1)+IF('Calc'!$E$16=1,0,'Calc'!$F$16*(1+'Calc'!$G$16)^$S46-INDEX(Calc!$AM$21:$AM$381,$S46*12+1))))</x:f>
        <x:v/>
      </x:c>
      <x:c r="Y46" s="42" t="str">
        <x:f>IF($S46=0,'Calc'!$B$7,IF($S46&gt;'财富模型'!$E$13,"",INDEX(Calc!$AP$21:$AP$381,$S46*12+1)+INDEX(Calc!$AQ$21:$AQ$381,$S46*12+1)+IF('Calc'!$E$17=1,0,'Calc'!$F$17*(1+'Calc'!$G$17)^$S46-INDEX(Calc!$AU$21:$AU$381,$S46*12+1))))</x:f>
        <x:v/>
      </x:c>
    </x:row>
    <x:row r="47">
      <x:c r="S47" t="n">
        <x:f>11</x:f>
        <x:v>11</x:v>
      </x:c>
      <x:c r="T47" s="42" t="str">
        <x:f>IF($S47=0,'Calc'!$B$7,IF($S47&gt;'财富模型'!$E$13,"",INDEX(Calc!$B$21:$B$381,$S47*12+1)+INDEX(Calc!$C$21:$C$381,$S47*12+1)+IF('Calc'!$E$12=1,0,'Calc'!$F$12*(1+'Calc'!$G$12)^$S47-INDEX(Calc!$G$21:$G$381,$S47*12+1))))</x:f>
        <x:v/>
      </x:c>
      <x:c r="U47" s="42" t="str">
        <x:f>IF($S47=0,'Calc'!$B$7,IF($S47&gt;'财富模型'!$E$13,"",INDEX(Calc!$J$21:$J$381,$S47*12+1)+INDEX(Calc!$K$21:$K$381,$S47*12+1)+IF('Calc'!$E$13=1,0,'Calc'!$F$13*(1+'Calc'!$G$13)^$S47-INDEX(Calc!$O$21:$O$381,$S47*12+1))))</x:f>
        <x:v/>
      </x:c>
      <x:c r="V47" s="42" t="str">
        <x:f>IF($S47=0,'Calc'!$B$7,IF($S47&gt;'财富模型'!$E$13,"",INDEX(Calc!$R$21:$R$381,$S47*12+1)+INDEX(Calc!$S$21:$S$381,$S47*12+1)+IF('Calc'!$E$14=1,0,'Calc'!$F$14*(1+'Calc'!$G$14)^$S47-INDEX(Calc!$W$21:$W$381,$S47*12+1))))</x:f>
        <x:v/>
      </x:c>
      <x:c r="W47" s="42" t="str">
        <x:f>IF($S47=0,'Calc'!$B$7,IF($S47&gt;'财富模型'!$E$13,"",INDEX(Calc!$Z$21:$Z$381,$S47*12+1)+INDEX(Calc!$AA$21:$AA$381,$S47*12+1)+IF('Calc'!$E$15=1,0,'Calc'!$F$15*(1+'Calc'!$G$15)^$S47-INDEX(Calc!$AE$21:$AE$381,$S47*12+1))))</x:f>
        <x:v/>
      </x:c>
      <x:c r="X47" s="42" t="str">
        <x:f>IF($S47=0,'Calc'!$B$7,IF($S47&gt;'财富模型'!$E$13,"",INDEX(Calc!$AH$21:$AH$381,$S47*12+1)+INDEX(Calc!$AI$21:$AI$381,$S47*12+1)+IF('Calc'!$E$16=1,0,'Calc'!$F$16*(1+'Calc'!$G$16)^$S47-INDEX(Calc!$AM$21:$AM$381,$S47*12+1))))</x:f>
        <x:v/>
      </x:c>
      <x:c r="Y47" s="42" t="str">
        <x:f>IF($S47=0,'Calc'!$B$7,IF($S47&gt;'财富模型'!$E$13,"",INDEX(Calc!$AP$21:$AP$381,$S47*12+1)+INDEX(Calc!$AQ$21:$AQ$381,$S47*12+1)+IF('Calc'!$E$17=1,0,'Calc'!$F$17*(1+'Calc'!$G$17)^$S47-INDEX(Calc!$AU$21:$AU$381,$S47*12+1))))</x:f>
        <x:v/>
      </x:c>
    </x:row>
    <x:row r="48">
      <x:c r="S48" t="n">
        <x:f>12</x:f>
        <x:v>12</x:v>
      </x:c>
      <x:c r="T48" s="42" t="str">
        <x:f>IF($S48=0,'Calc'!$B$7,IF($S48&gt;'财富模型'!$E$13,"",INDEX(Calc!$B$21:$B$381,$S48*12+1)+INDEX(Calc!$C$21:$C$381,$S48*12+1)+IF('Calc'!$E$12=1,0,'Calc'!$F$12*(1+'Calc'!$G$12)^$S48-INDEX(Calc!$G$21:$G$381,$S48*12+1))))</x:f>
        <x:v/>
      </x:c>
      <x:c r="U48" s="42" t="str">
        <x:f>IF($S48=0,'Calc'!$B$7,IF($S48&gt;'财富模型'!$E$13,"",INDEX(Calc!$J$21:$J$381,$S48*12+1)+INDEX(Calc!$K$21:$K$381,$S48*12+1)+IF('Calc'!$E$13=1,0,'Calc'!$F$13*(1+'Calc'!$G$13)^$S48-INDEX(Calc!$O$21:$O$381,$S48*12+1))))</x:f>
        <x:v/>
      </x:c>
      <x:c r="V48" s="42" t="str">
        <x:f>IF($S48=0,'Calc'!$B$7,IF($S48&gt;'财富模型'!$E$13,"",INDEX(Calc!$R$21:$R$381,$S48*12+1)+INDEX(Calc!$S$21:$S$381,$S48*12+1)+IF('Calc'!$E$14=1,0,'Calc'!$F$14*(1+'Calc'!$G$14)^$S48-INDEX(Calc!$W$21:$W$381,$S48*12+1))))</x:f>
        <x:v/>
      </x:c>
      <x:c r="W48" s="42" t="str">
        <x:f>IF($S48=0,'Calc'!$B$7,IF($S48&gt;'财富模型'!$E$13,"",INDEX(Calc!$Z$21:$Z$381,$S48*12+1)+INDEX(Calc!$AA$21:$AA$381,$S48*12+1)+IF('Calc'!$E$15=1,0,'Calc'!$F$15*(1+'Calc'!$G$15)^$S48-INDEX(Calc!$AE$21:$AE$381,$S48*12+1))))</x:f>
        <x:v/>
      </x:c>
      <x:c r="X48" s="42" t="str">
        <x:f>IF($S48=0,'Calc'!$B$7,IF($S48&gt;'财富模型'!$E$13,"",INDEX(Calc!$AH$21:$AH$381,$S48*12+1)+INDEX(Calc!$AI$21:$AI$381,$S48*12+1)+IF('Calc'!$E$16=1,0,'Calc'!$F$16*(1+'Calc'!$G$16)^$S48-INDEX(Calc!$AM$21:$AM$381,$S48*12+1))))</x:f>
        <x:v/>
      </x:c>
      <x:c r="Y48" s="42" t="str">
        <x:f>IF($S48=0,'Calc'!$B$7,IF($S48&gt;'财富模型'!$E$13,"",INDEX(Calc!$AP$21:$AP$381,$S48*12+1)+INDEX(Calc!$AQ$21:$AQ$381,$S48*12+1)+IF('Calc'!$E$17=1,0,'Calc'!$F$17*(1+'Calc'!$G$17)^$S48-INDEX(Calc!$AU$21:$AU$381,$S48*12+1))))</x:f>
        <x:v/>
      </x:c>
    </x:row>
    <x:row r="49">
      <x:c r="S49" t="n">
        <x:f>13</x:f>
        <x:v>13</x:v>
      </x:c>
      <x:c r="T49" s="42" t="str">
        <x:f>IF($S49=0,'Calc'!$B$7,IF($S49&gt;'财富模型'!$E$13,"",INDEX(Calc!$B$21:$B$381,$S49*12+1)+INDEX(Calc!$C$21:$C$381,$S49*12+1)+IF('Calc'!$E$12=1,0,'Calc'!$F$12*(1+'Calc'!$G$12)^$S49-INDEX(Calc!$G$21:$G$381,$S49*12+1))))</x:f>
        <x:v/>
      </x:c>
      <x:c r="U49" s="42" t="str">
        <x:f>IF($S49=0,'Calc'!$B$7,IF($S49&gt;'财富模型'!$E$13,"",INDEX(Calc!$J$21:$J$381,$S49*12+1)+INDEX(Calc!$K$21:$K$381,$S49*12+1)+IF('Calc'!$E$13=1,0,'Calc'!$F$13*(1+'Calc'!$G$13)^$S49-INDEX(Calc!$O$21:$O$381,$S49*12+1))))</x:f>
        <x:v/>
      </x:c>
      <x:c r="V49" s="42" t="str">
        <x:f>IF($S49=0,'Calc'!$B$7,IF($S49&gt;'财富模型'!$E$13,"",INDEX(Calc!$R$21:$R$381,$S49*12+1)+INDEX(Calc!$S$21:$S$381,$S49*12+1)+IF('Calc'!$E$14=1,0,'Calc'!$F$14*(1+'Calc'!$G$14)^$S49-INDEX(Calc!$W$21:$W$381,$S49*12+1))))</x:f>
        <x:v/>
      </x:c>
      <x:c r="W49" s="42" t="str">
        <x:f>IF($S49=0,'Calc'!$B$7,IF($S49&gt;'财富模型'!$E$13,"",INDEX(Calc!$Z$21:$Z$381,$S49*12+1)+INDEX(Calc!$AA$21:$AA$381,$S49*12+1)+IF('Calc'!$E$15=1,0,'Calc'!$F$15*(1+'Calc'!$G$15)^$S49-INDEX(Calc!$AE$21:$AE$381,$S49*12+1))))</x:f>
        <x:v/>
      </x:c>
      <x:c r="X49" s="42" t="str">
        <x:f>IF($S49=0,'Calc'!$B$7,IF($S49&gt;'财富模型'!$E$13,"",INDEX(Calc!$AH$21:$AH$381,$S49*12+1)+INDEX(Calc!$AI$21:$AI$381,$S49*12+1)+IF('Calc'!$E$16=1,0,'Calc'!$F$16*(1+'Calc'!$G$16)^$S49-INDEX(Calc!$AM$21:$AM$381,$S49*12+1))))</x:f>
        <x:v/>
      </x:c>
      <x:c r="Y49" s="42" t="str">
        <x:f>IF($S49=0,'Calc'!$B$7,IF($S49&gt;'财富模型'!$E$13,"",INDEX(Calc!$AP$21:$AP$381,$S49*12+1)+INDEX(Calc!$AQ$21:$AQ$381,$S49*12+1)+IF('Calc'!$E$17=1,0,'Calc'!$F$17*(1+'Calc'!$G$17)^$S49-INDEX(Calc!$AU$21:$AU$381,$S49*12+1))))</x:f>
        <x:v/>
      </x:c>
    </x:row>
    <x:row r="50">
      <x:c r="S50" t="n">
        <x:f>14</x:f>
        <x:v>14</x:v>
      </x:c>
      <x:c r="T50" s="42" t="str">
        <x:f>IF($S50=0,'Calc'!$B$7,IF($S50&gt;'财富模型'!$E$13,"",INDEX(Calc!$B$21:$B$381,$S50*12+1)+INDEX(Calc!$C$21:$C$381,$S50*12+1)+IF('Calc'!$E$12=1,0,'Calc'!$F$12*(1+'Calc'!$G$12)^$S50-INDEX(Calc!$G$21:$G$381,$S50*12+1))))</x:f>
        <x:v/>
      </x:c>
      <x:c r="U50" s="42" t="str">
        <x:f>IF($S50=0,'Calc'!$B$7,IF($S50&gt;'财富模型'!$E$13,"",INDEX(Calc!$J$21:$J$381,$S50*12+1)+INDEX(Calc!$K$21:$K$381,$S50*12+1)+IF('Calc'!$E$13=1,0,'Calc'!$F$13*(1+'Calc'!$G$13)^$S50-INDEX(Calc!$O$21:$O$381,$S50*12+1))))</x:f>
        <x:v/>
      </x:c>
      <x:c r="V50" s="42" t="str">
        <x:f>IF($S50=0,'Calc'!$B$7,IF($S50&gt;'财富模型'!$E$13,"",INDEX(Calc!$R$21:$R$381,$S50*12+1)+INDEX(Calc!$S$21:$S$381,$S50*12+1)+IF('Calc'!$E$14=1,0,'Calc'!$F$14*(1+'Calc'!$G$14)^$S50-INDEX(Calc!$W$21:$W$381,$S50*12+1))))</x:f>
        <x:v/>
      </x:c>
      <x:c r="W50" s="42" t="str">
        <x:f>IF($S50=0,'Calc'!$B$7,IF($S50&gt;'财富模型'!$E$13,"",INDEX(Calc!$Z$21:$Z$381,$S50*12+1)+INDEX(Calc!$AA$21:$AA$381,$S50*12+1)+IF('Calc'!$E$15=1,0,'Calc'!$F$15*(1+'Calc'!$G$15)^$S50-INDEX(Calc!$AE$21:$AE$381,$S50*12+1))))</x:f>
        <x:v/>
      </x:c>
      <x:c r="X50" s="42" t="str">
        <x:f>IF($S50=0,'Calc'!$B$7,IF($S50&gt;'财富模型'!$E$13,"",INDEX(Calc!$AH$21:$AH$381,$S50*12+1)+INDEX(Calc!$AI$21:$AI$381,$S50*12+1)+IF('Calc'!$E$16=1,0,'Calc'!$F$16*(1+'Calc'!$G$16)^$S50-INDEX(Calc!$AM$21:$AM$381,$S50*12+1))))</x:f>
        <x:v/>
      </x:c>
      <x:c r="Y50" s="42" t="str">
        <x:f>IF($S50=0,'Calc'!$B$7,IF($S50&gt;'财富模型'!$E$13,"",INDEX(Calc!$AP$21:$AP$381,$S50*12+1)+INDEX(Calc!$AQ$21:$AQ$381,$S50*12+1)+IF('Calc'!$E$17=1,0,'Calc'!$F$17*(1+'Calc'!$G$17)^$S50-INDEX(Calc!$AU$21:$AU$381,$S50*12+1))))</x:f>
        <x:v/>
      </x:c>
    </x:row>
    <x:row r="51">
      <x:c r="S51" t="n">
        <x:f>15</x:f>
        <x:v>15</x:v>
      </x:c>
      <x:c r="T51" s="42" t="str">
        <x:f>IF($S51=0,'Calc'!$B$7,IF($S51&gt;'财富模型'!$E$13,"",INDEX(Calc!$B$21:$B$381,$S51*12+1)+INDEX(Calc!$C$21:$C$381,$S51*12+1)+IF('Calc'!$E$12=1,0,'Calc'!$F$12*(1+'Calc'!$G$12)^$S51-INDEX(Calc!$G$21:$G$381,$S51*12+1))))</x:f>
        <x:v/>
      </x:c>
      <x:c r="U51" s="42" t="str">
        <x:f>IF($S51=0,'Calc'!$B$7,IF($S51&gt;'财富模型'!$E$13,"",INDEX(Calc!$J$21:$J$381,$S51*12+1)+INDEX(Calc!$K$21:$K$381,$S51*12+1)+IF('Calc'!$E$13=1,0,'Calc'!$F$13*(1+'Calc'!$G$13)^$S51-INDEX(Calc!$O$21:$O$381,$S51*12+1))))</x:f>
        <x:v/>
      </x:c>
      <x:c r="V51" s="42" t="str">
        <x:f>IF($S51=0,'Calc'!$B$7,IF($S51&gt;'财富模型'!$E$13,"",INDEX(Calc!$R$21:$R$381,$S51*12+1)+INDEX(Calc!$S$21:$S$381,$S51*12+1)+IF('Calc'!$E$14=1,0,'Calc'!$F$14*(1+'Calc'!$G$14)^$S51-INDEX(Calc!$W$21:$W$381,$S51*12+1))))</x:f>
        <x:v/>
      </x:c>
      <x:c r="W51" s="42" t="str">
        <x:f>IF($S51=0,'Calc'!$B$7,IF($S51&gt;'财富模型'!$E$13,"",INDEX(Calc!$Z$21:$Z$381,$S51*12+1)+INDEX(Calc!$AA$21:$AA$381,$S51*12+1)+IF('Calc'!$E$15=1,0,'Calc'!$F$15*(1+'Calc'!$G$15)^$S51-INDEX(Calc!$AE$21:$AE$381,$S51*12+1))))</x:f>
        <x:v/>
      </x:c>
      <x:c r="X51" s="42" t="str">
        <x:f>IF($S51=0,'Calc'!$B$7,IF($S51&gt;'财富模型'!$E$13,"",INDEX(Calc!$AH$21:$AH$381,$S51*12+1)+INDEX(Calc!$AI$21:$AI$381,$S51*12+1)+IF('Calc'!$E$16=1,0,'Calc'!$F$16*(1+'Calc'!$G$16)^$S51-INDEX(Calc!$AM$21:$AM$381,$S51*12+1))))</x:f>
        <x:v/>
      </x:c>
      <x:c r="Y51" s="42" t="str">
        <x:f>IF($S51=0,'Calc'!$B$7,IF($S51&gt;'财富模型'!$E$13,"",INDEX(Calc!$AP$21:$AP$381,$S51*12+1)+INDEX(Calc!$AQ$21:$AQ$381,$S51*12+1)+IF('Calc'!$E$17=1,0,'Calc'!$F$17*(1+'Calc'!$G$17)^$S51-INDEX(Calc!$AU$21:$AU$381,$S51*12+1))))</x:f>
        <x:v/>
      </x:c>
    </x:row>
    <x:row r="52">
      <x:c r="S52" t="n">
        <x:f>16</x:f>
        <x:v>16</x:v>
      </x:c>
      <x:c r="T52" s="42" t="str">
        <x:f>IF($S52=0,'Calc'!$B$7,IF($S52&gt;'财富模型'!$E$13,"",INDEX(Calc!$B$21:$B$381,$S52*12+1)+INDEX(Calc!$C$21:$C$381,$S52*12+1)+IF('Calc'!$E$12=1,0,'Calc'!$F$12*(1+'Calc'!$G$12)^$S52-INDEX(Calc!$G$21:$G$381,$S52*12+1))))</x:f>
        <x:v/>
      </x:c>
      <x:c r="U52" s="42" t="str">
        <x:f>IF($S52=0,'Calc'!$B$7,IF($S52&gt;'财富模型'!$E$13,"",INDEX(Calc!$J$21:$J$381,$S52*12+1)+INDEX(Calc!$K$21:$K$381,$S52*12+1)+IF('Calc'!$E$13=1,0,'Calc'!$F$13*(1+'Calc'!$G$13)^$S52-INDEX(Calc!$O$21:$O$381,$S52*12+1))))</x:f>
        <x:v/>
      </x:c>
      <x:c r="V52" s="42" t="str">
        <x:f>IF($S52=0,'Calc'!$B$7,IF($S52&gt;'财富模型'!$E$13,"",INDEX(Calc!$R$21:$R$381,$S52*12+1)+INDEX(Calc!$S$21:$S$381,$S52*12+1)+IF('Calc'!$E$14=1,0,'Calc'!$F$14*(1+'Calc'!$G$14)^$S52-INDEX(Calc!$W$21:$W$381,$S52*12+1))))</x:f>
        <x:v/>
      </x:c>
      <x:c r="W52" s="42" t="str">
        <x:f>IF($S52=0,'Calc'!$B$7,IF($S52&gt;'财富模型'!$E$13,"",INDEX(Calc!$Z$21:$Z$381,$S52*12+1)+INDEX(Calc!$AA$21:$AA$381,$S52*12+1)+IF('Calc'!$E$15=1,0,'Calc'!$F$15*(1+'Calc'!$G$15)^$S52-INDEX(Calc!$AE$21:$AE$381,$S52*12+1))))</x:f>
        <x:v/>
      </x:c>
      <x:c r="X52" s="42" t="str">
        <x:f>IF($S52=0,'Calc'!$B$7,IF($S52&gt;'财富模型'!$E$13,"",INDEX(Calc!$AH$21:$AH$381,$S52*12+1)+INDEX(Calc!$AI$21:$AI$381,$S52*12+1)+IF('Calc'!$E$16=1,0,'Calc'!$F$16*(1+'Calc'!$G$16)^$S52-INDEX(Calc!$AM$21:$AM$381,$S52*12+1))))</x:f>
        <x:v/>
      </x:c>
      <x:c r="Y52" s="42" t="str">
        <x:f>IF($S52=0,'Calc'!$B$7,IF($S52&gt;'财富模型'!$E$13,"",INDEX(Calc!$AP$21:$AP$381,$S52*12+1)+INDEX(Calc!$AQ$21:$AQ$381,$S52*12+1)+IF('Calc'!$E$17=1,0,'Calc'!$F$17*(1+'Calc'!$G$17)^$S52-INDEX(Calc!$AU$21:$AU$381,$S52*12+1))))</x:f>
        <x:v/>
      </x:c>
    </x:row>
    <x:row r="53">
      <x:c r="S53" t="n">
        <x:f>17</x:f>
        <x:v>17</x:v>
      </x:c>
      <x:c r="T53" s="42" t="str">
        <x:f>IF($S53=0,'Calc'!$B$7,IF($S53&gt;'财富模型'!$E$13,"",INDEX(Calc!$B$21:$B$381,$S53*12+1)+INDEX(Calc!$C$21:$C$381,$S53*12+1)+IF('Calc'!$E$12=1,0,'Calc'!$F$12*(1+'Calc'!$G$12)^$S53-INDEX(Calc!$G$21:$G$381,$S53*12+1))))</x:f>
        <x:v/>
      </x:c>
      <x:c r="U53" s="42" t="str">
        <x:f>IF($S53=0,'Calc'!$B$7,IF($S53&gt;'财富模型'!$E$13,"",INDEX(Calc!$J$21:$J$381,$S53*12+1)+INDEX(Calc!$K$21:$K$381,$S53*12+1)+IF('Calc'!$E$13=1,0,'Calc'!$F$13*(1+'Calc'!$G$13)^$S53-INDEX(Calc!$O$21:$O$381,$S53*12+1))))</x:f>
        <x:v/>
      </x:c>
      <x:c r="V53" s="42" t="str">
        <x:f>IF($S53=0,'Calc'!$B$7,IF($S53&gt;'财富模型'!$E$13,"",INDEX(Calc!$R$21:$R$381,$S53*12+1)+INDEX(Calc!$S$21:$S$381,$S53*12+1)+IF('Calc'!$E$14=1,0,'Calc'!$F$14*(1+'Calc'!$G$14)^$S53-INDEX(Calc!$W$21:$W$381,$S53*12+1))))</x:f>
        <x:v/>
      </x:c>
      <x:c r="W53" s="42" t="str">
        <x:f>IF($S53=0,'Calc'!$B$7,IF($S53&gt;'财富模型'!$E$13,"",INDEX(Calc!$Z$21:$Z$381,$S53*12+1)+INDEX(Calc!$AA$21:$AA$381,$S53*12+1)+IF('Calc'!$E$15=1,0,'Calc'!$F$15*(1+'Calc'!$G$15)^$S53-INDEX(Calc!$AE$21:$AE$381,$S53*12+1))))</x:f>
        <x:v/>
      </x:c>
      <x:c r="X53" s="42" t="str">
        <x:f>IF($S53=0,'Calc'!$B$7,IF($S53&gt;'财富模型'!$E$13,"",INDEX(Calc!$AH$21:$AH$381,$S53*12+1)+INDEX(Calc!$AI$21:$AI$381,$S53*12+1)+IF('Calc'!$E$16=1,0,'Calc'!$F$16*(1+'Calc'!$G$16)^$S53-INDEX(Calc!$AM$21:$AM$381,$S53*12+1))))</x:f>
        <x:v/>
      </x:c>
      <x:c r="Y53" s="42" t="str">
        <x:f>IF($S53=0,'Calc'!$B$7,IF($S53&gt;'财富模型'!$E$13,"",INDEX(Calc!$AP$21:$AP$381,$S53*12+1)+INDEX(Calc!$AQ$21:$AQ$381,$S53*12+1)+IF('Calc'!$E$17=1,0,'Calc'!$F$17*(1+'Calc'!$G$17)^$S53-INDEX(Calc!$AU$21:$AU$381,$S53*12+1))))</x:f>
        <x:v/>
      </x:c>
    </x:row>
    <x:row r="54">
      <x:c r="S54" t="n">
        <x:f>18</x:f>
        <x:v>18</x:v>
      </x:c>
      <x:c r="T54" s="42" t="str">
        <x:f>IF($S54=0,'Calc'!$B$7,IF($S54&gt;'财富模型'!$E$13,"",INDEX(Calc!$B$21:$B$381,$S54*12+1)+INDEX(Calc!$C$21:$C$381,$S54*12+1)+IF('Calc'!$E$12=1,0,'Calc'!$F$12*(1+'Calc'!$G$12)^$S54-INDEX(Calc!$G$21:$G$381,$S54*12+1))))</x:f>
        <x:v/>
      </x:c>
      <x:c r="U54" s="42" t="str">
        <x:f>IF($S54=0,'Calc'!$B$7,IF($S54&gt;'财富模型'!$E$13,"",INDEX(Calc!$J$21:$J$381,$S54*12+1)+INDEX(Calc!$K$21:$K$381,$S54*12+1)+IF('Calc'!$E$13=1,0,'Calc'!$F$13*(1+'Calc'!$G$13)^$S54-INDEX(Calc!$O$21:$O$381,$S54*12+1))))</x:f>
        <x:v/>
      </x:c>
      <x:c r="V54" s="42" t="str">
        <x:f>IF($S54=0,'Calc'!$B$7,IF($S54&gt;'财富模型'!$E$13,"",INDEX(Calc!$R$21:$R$381,$S54*12+1)+INDEX(Calc!$S$21:$S$381,$S54*12+1)+IF('Calc'!$E$14=1,0,'Calc'!$F$14*(1+'Calc'!$G$14)^$S54-INDEX(Calc!$W$21:$W$381,$S54*12+1))))</x:f>
        <x:v/>
      </x:c>
      <x:c r="W54" s="42" t="str">
        <x:f>IF($S54=0,'Calc'!$B$7,IF($S54&gt;'财富模型'!$E$13,"",INDEX(Calc!$Z$21:$Z$381,$S54*12+1)+INDEX(Calc!$AA$21:$AA$381,$S54*12+1)+IF('Calc'!$E$15=1,0,'Calc'!$F$15*(1+'Calc'!$G$15)^$S54-INDEX(Calc!$AE$21:$AE$381,$S54*12+1))))</x:f>
        <x:v/>
      </x:c>
      <x:c r="X54" s="42" t="str">
        <x:f>IF($S54=0,'Calc'!$B$7,IF($S54&gt;'财富模型'!$E$13,"",INDEX(Calc!$AH$21:$AH$381,$S54*12+1)+INDEX(Calc!$AI$21:$AI$381,$S54*12+1)+IF('Calc'!$E$16=1,0,'Calc'!$F$16*(1+'Calc'!$G$16)^$S54-INDEX(Calc!$AM$21:$AM$381,$S54*12+1))))</x:f>
        <x:v/>
      </x:c>
      <x:c r="Y54" s="42" t="str">
        <x:f>IF($S54=0,'Calc'!$B$7,IF($S54&gt;'财富模型'!$E$13,"",INDEX(Calc!$AP$21:$AP$381,$S54*12+1)+INDEX(Calc!$AQ$21:$AQ$381,$S54*12+1)+IF('Calc'!$E$17=1,0,'Calc'!$F$17*(1+'Calc'!$G$17)^$S54-INDEX(Calc!$AU$21:$AU$381,$S54*12+1))))</x:f>
        <x:v/>
      </x:c>
    </x:row>
    <x:row r="55">
      <x:c r="S55" t="n">
        <x:f>19</x:f>
        <x:v>19</x:v>
      </x:c>
      <x:c r="T55" s="42" t="str">
        <x:f>IF($S55=0,'Calc'!$B$7,IF($S55&gt;'财富模型'!$E$13,"",INDEX(Calc!$B$21:$B$381,$S55*12+1)+INDEX(Calc!$C$21:$C$381,$S55*12+1)+IF('Calc'!$E$12=1,0,'Calc'!$F$12*(1+'Calc'!$G$12)^$S55-INDEX(Calc!$G$21:$G$381,$S55*12+1))))</x:f>
        <x:v/>
      </x:c>
      <x:c r="U55" s="42" t="str">
        <x:f>IF($S55=0,'Calc'!$B$7,IF($S55&gt;'财富模型'!$E$13,"",INDEX(Calc!$J$21:$J$381,$S55*12+1)+INDEX(Calc!$K$21:$K$381,$S55*12+1)+IF('Calc'!$E$13=1,0,'Calc'!$F$13*(1+'Calc'!$G$13)^$S55-INDEX(Calc!$O$21:$O$381,$S55*12+1))))</x:f>
        <x:v/>
      </x:c>
      <x:c r="V55" s="42" t="str">
        <x:f>IF($S55=0,'Calc'!$B$7,IF($S55&gt;'财富模型'!$E$13,"",INDEX(Calc!$R$21:$R$381,$S55*12+1)+INDEX(Calc!$S$21:$S$381,$S55*12+1)+IF('Calc'!$E$14=1,0,'Calc'!$F$14*(1+'Calc'!$G$14)^$S55-INDEX(Calc!$W$21:$W$381,$S55*12+1))))</x:f>
        <x:v/>
      </x:c>
      <x:c r="W55" s="42" t="str">
        <x:f>IF($S55=0,'Calc'!$B$7,IF($S55&gt;'财富模型'!$E$13,"",INDEX(Calc!$Z$21:$Z$381,$S55*12+1)+INDEX(Calc!$AA$21:$AA$381,$S55*12+1)+IF('Calc'!$E$15=1,0,'Calc'!$F$15*(1+'Calc'!$G$15)^$S55-INDEX(Calc!$AE$21:$AE$381,$S55*12+1))))</x:f>
        <x:v/>
      </x:c>
      <x:c r="X55" s="42" t="str">
        <x:f>IF($S55=0,'Calc'!$B$7,IF($S55&gt;'财富模型'!$E$13,"",INDEX(Calc!$AH$21:$AH$381,$S55*12+1)+INDEX(Calc!$AI$21:$AI$381,$S55*12+1)+IF('Calc'!$E$16=1,0,'Calc'!$F$16*(1+'Calc'!$G$16)^$S55-INDEX(Calc!$AM$21:$AM$381,$S55*12+1))))</x:f>
        <x:v/>
      </x:c>
      <x:c r="Y55" s="42" t="str">
        <x:f>IF($S55=0,'Calc'!$B$7,IF($S55&gt;'财富模型'!$E$13,"",INDEX(Calc!$AP$21:$AP$381,$S55*12+1)+INDEX(Calc!$AQ$21:$AQ$381,$S55*12+1)+IF('Calc'!$E$17=1,0,'Calc'!$F$17*(1+'Calc'!$G$17)^$S55-INDEX(Calc!$AU$21:$AU$381,$S55*12+1))))</x:f>
        <x:v/>
      </x:c>
    </x:row>
    <x:row r="56">
      <x:c r="S56" t="n">
        <x:f>20</x:f>
        <x:v>20</x:v>
      </x:c>
      <x:c r="T56" s="42" t="str">
        <x:f>IF($S56=0,'Calc'!$B$7,IF($S56&gt;'财富模型'!$E$13,"",INDEX(Calc!$B$21:$B$381,$S56*12+1)+INDEX(Calc!$C$21:$C$381,$S56*12+1)+IF('Calc'!$E$12=1,0,'Calc'!$F$12*(1+'Calc'!$G$12)^$S56-INDEX(Calc!$G$21:$G$381,$S56*12+1))))</x:f>
        <x:v/>
      </x:c>
      <x:c r="U56" s="42" t="str">
        <x:f>IF($S56=0,'Calc'!$B$7,IF($S56&gt;'财富模型'!$E$13,"",INDEX(Calc!$J$21:$J$381,$S56*12+1)+INDEX(Calc!$K$21:$K$381,$S56*12+1)+IF('Calc'!$E$13=1,0,'Calc'!$F$13*(1+'Calc'!$G$13)^$S56-INDEX(Calc!$O$21:$O$381,$S56*12+1))))</x:f>
        <x:v/>
      </x:c>
      <x:c r="V56" s="42" t="str">
        <x:f>IF($S56=0,'Calc'!$B$7,IF($S56&gt;'财富模型'!$E$13,"",INDEX(Calc!$R$21:$R$381,$S56*12+1)+INDEX(Calc!$S$21:$S$381,$S56*12+1)+IF('Calc'!$E$14=1,0,'Calc'!$F$14*(1+'Calc'!$G$14)^$S56-INDEX(Calc!$W$21:$W$381,$S56*12+1))))</x:f>
        <x:v/>
      </x:c>
      <x:c r="W56" s="42" t="str">
        <x:f>IF($S56=0,'Calc'!$B$7,IF($S56&gt;'财富模型'!$E$13,"",INDEX(Calc!$Z$21:$Z$381,$S56*12+1)+INDEX(Calc!$AA$21:$AA$381,$S56*12+1)+IF('Calc'!$E$15=1,0,'Calc'!$F$15*(1+'Calc'!$G$15)^$S56-INDEX(Calc!$AE$21:$AE$381,$S56*12+1))))</x:f>
        <x:v/>
      </x:c>
      <x:c r="X56" s="42" t="str">
        <x:f>IF($S56=0,'Calc'!$B$7,IF($S56&gt;'财富模型'!$E$13,"",INDEX(Calc!$AH$21:$AH$381,$S56*12+1)+INDEX(Calc!$AI$21:$AI$381,$S56*12+1)+IF('Calc'!$E$16=1,0,'Calc'!$F$16*(1+'Calc'!$G$16)^$S56-INDEX(Calc!$AM$21:$AM$381,$S56*12+1))))</x:f>
        <x:v/>
      </x:c>
      <x:c r="Y56" s="42" t="str">
        <x:f>IF($S56=0,'Calc'!$B$7,IF($S56&gt;'财富模型'!$E$13,"",INDEX(Calc!$AP$21:$AP$381,$S56*12+1)+INDEX(Calc!$AQ$21:$AQ$381,$S56*12+1)+IF('Calc'!$E$17=1,0,'Calc'!$F$17*(1+'Calc'!$G$17)^$S56-INDEX(Calc!$AU$21:$AU$381,$S56*12+1))))</x:f>
        <x:v/>
      </x:c>
    </x:row>
    <x:row r="57">
      <x:c r="S57" t="n">
        <x:f>21</x:f>
        <x:v>21</x:v>
      </x:c>
      <x:c r="T57" s="42" t="str">
        <x:f>IF($S57=0,'Calc'!$B$7,IF($S57&gt;'财富模型'!$E$13,"",INDEX(Calc!$B$21:$B$381,$S57*12+1)+INDEX(Calc!$C$21:$C$381,$S57*12+1)+IF('Calc'!$E$12=1,0,'Calc'!$F$12*(1+'Calc'!$G$12)^$S57-INDEX(Calc!$G$21:$G$381,$S57*12+1))))</x:f>
        <x:v/>
      </x:c>
      <x:c r="U57" s="42" t="str">
        <x:f>IF($S57=0,'Calc'!$B$7,IF($S57&gt;'财富模型'!$E$13,"",INDEX(Calc!$J$21:$J$381,$S57*12+1)+INDEX(Calc!$K$21:$K$381,$S57*12+1)+IF('Calc'!$E$13=1,0,'Calc'!$F$13*(1+'Calc'!$G$13)^$S57-INDEX(Calc!$O$21:$O$381,$S57*12+1))))</x:f>
        <x:v/>
      </x:c>
      <x:c r="V57" s="42" t="str">
        <x:f>IF($S57=0,'Calc'!$B$7,IF($S57&gt;'财富模型'!$E$13,"",INDEX(Calc!$R$21:$R$381,$S57*12+1)+INDEX(Calc!$S$21:$S$381,$S57*12+1)+IF('Calc'!$E$14=1,0,'Calc'!$F$14*(1+'Calc'!$G$14)^$S57-INDEX(Calc!$W$21:$W$381,$S57*12+1))))</x:f>
        <x:v/>
      </x:c>
      <x:c r="W57" s="42" t="str">
        <x:f>IF($S57=0,'Calc'!$B$7,IF($S57&gt;'财富模型'!$E$13,"",INDEX(Calc!$Z$21:$Z$381,$S57*12+1)+INDEX(Calc!$AA$21:$AA$381,$S57*12+1)+IF('Calc'!$E$15=1,0,'Calc'!$F$15*(1+'Calc'!$G$15)^$S57-INDEX(Calc!$AE$21:$AE$381,$S57*12+1))))</x:f>
        <x:v/>
      </x:c>
      <x:c r="X57" s="42" t="str">
        <x:f>IF($S57=0,'Calc'!$B$7,IF($S57&gt;'财富模型'!$E$13,"",INDEX(Calc!$AH$21:$AH$381,$S57*12+1)+INDEX(Calc!$AI$21:$AI$381,$S57*12+1)+IF('Calc'!$E$16=1,0,'Calc'!$F$16*(1+'Calc'!$G$16)^$S57-INDEX(Calc!$AM$21:$AM$381,$S57*12+1))))</x:f>
        <x:v/>
      </x:c>
      <x:c r="Y57" s="42" t="str">
        <x:f>IF($S57=0,'Calc'!$B$7,IF($S57&gt;'财富模型'!$E$13,"",INDEX(Calc!$AP$21:$AP$381,$S57*12+1)+INDEX(Calc!$AQ$21:$AQ$381,$S57*12+1)+IF('Calc'!$E$17=1,0,'Calc'!$F$17*(1+'Calc'!$G$17)^$S57-INDEX(Calc!$AU$21:$AU$381,$S57*12+1))))</x:f>
        <x:v/>
      </x:c>
    </x:row>
    <x:row r="58">
      <x:c r="S58" t="n">
        <x:f>22</x:f>
        <x:v>22</x:v>
      </x:c>
      <x:c r="T58" s="42" t="str">
        <x:f>IF($S58=0,'Calc'!$B$7,IF($S58&gt;'财富模型'!$E$13,"",INDEX(Calc!$B$21:$B$381,$S58*12+1)+INDEX(Calc!$C$21:$C$381,$S58*12+1)+IF('Calc'!$E$12=1,0,'Calc'!$F$12*(1+'Calc'!$G$12)^$S58-INDEX(Calc!$G$21:$G$381,$S58*12+1))))</x:f>
        <x:v/>
      </x:c>
      <x:c r="U58" s="42" t="str">
        <x:f>IF($S58=0,'Calc'!$B$7,IF($S58&gt;'财富模型'!$E$13,"",INDEX(Calc!$J$21:$J$381,$S58*12+1)+INDEX(Calc!$K$21:$K$381,$S58*12+1)+IF('Calc'!$E$13=1,0,'Calc'!$F$13*(1+'Calc'!$G$13)^$S58-INDEX(Calc!$O$21:$O$381,$S58*12+1))))</x:f>
        <x:v/>
      </x:c>
      <x:c r="V58" s="42" t="str">
        <x:f>IF($S58=0,'Calc'!$B$7,IF($S58&gt;'财富模型'!$E$13,"",INDEX(Calc!$R$21:$R$381,$S58*12+1)+INDEX(Calc!$S$21:$S$381,$S58*12+1)+IF('Calc'!$E$14=1,0,'Calc'!$F$14*(1+'Calc'!$G$14)^$S58-INDEX(Calc!$W$21:$W$381,$S58*12+1))))</x:f>
        <x:v/>
      </x:c>
      <x:c r="W58" s="42" t="str">
        <x:f>IF($S58=0,'Calc'!$B$7,IF($S58&gt;'财富模型'!$E$13,"",INDEX(Calc!$Z$21:$Z$381,$S58*12+1)+INDEX(Calc!$AA$21:$AA$381,$S58*12+1)+IF('Calc'!$E$15=1,0,'Calc'!$F$15*(1+'Calc'!$G$15)^$S58-INDEX(Calc!$AE$21:$AE$381,$S58*12+1))))</x:f>
        <x:v/>
      </x:c>
      <x:c r="X58" s="42" t="str">
        <x:f>IF($S58=0,'Calc'!$B$7,IF($S58&gt;'财富模型'!$E$13,"",INDEX(Calc!$AH$21:$AH$381,$S58*12+1)+INDEX(Calc!$AI$21:$AI$381,$S58*12+1)+IF('Calc'!$E$16=1,0,'Calc'!$F$16*(1+'Calc'!$G$16)^$S58-INDEX(Calc!$AM$21:$AM$381,$S58*12+1))))</x:f>
        <x:v/>
      </x:c>
      <x:c r="Y58" s="42" t="str">
        <x:f>IF($S58=0,'Calc'!$B$7,IF($S58&gt;'财富模型'!$E$13,"",INDEX(Calc!$AP$21:$AP$381,$S58*12+1)+INDEX(Calc!$AQ$21:$AQ$381,$S58*12+1)+IF('Calc'!$E$17=1,0,'Calc'!$F$17*(1+'Calc'!$G$17)^$S58-INDEX(Calc!$AU$21:$AU$381,$S58*12+1))))</x:f>
        <x:v/>
      </x:c>
    </x:row>
    <x:row r="59">
      <x:c r="S59" t="n">
        <x:f>23</x:f>
        <x:v>23</x:v>
      </x:c>
      <x:c r="T59" s="42" t="str">
        <x:f>IF($S59=0,'Calc'!$B$7,IF($S59&gt;'财富模型'!$E$13,"",INDEX(Calc!$B$21:$B$381,$S59*12+1)+INDEX(Calc!$C$21:$C$381,$S59*12+1)+IF('Calc'!$E$12=1,0,'Calc'!$F$12*(1+'Calc'!$G$12)^$S59-INDEX(Calc!$G$21:$G$381,$S59*12+1))))</x:f>
        <x:v/>
      </x:c>
      <x:c r="U59" s="42" t="str">
        <x:f>IF($S59=0,'Calc'!$B$7,IF($S59&gt;'财富模型'!$E$13,"",INDEX(Calc!$J$21:$J$381,$S59*12+1)+INDEX(Calc!$K$21:$K$381,$S59*12+1)+IF('Calc'!$E$13=1,0,'Calc'!$F$13*(1+'Calc'!$G$13)^$S59-INDEX(Calc!$O$21:$O$381,$S59*12+1))))</x:f>
        <x:v/>
      </x:c>
      <x:c r="V59" s="42" t="str">
        <x:f>IF($S59=0,'Calc'!$B$7,IF($S59&gt;'财富模型'!$E$13,"",INDEX(Calc!$R$21:$R$381,$S59*12+1)+INDEX(Calc!$S$21:$S$381,$S59*12+1)+IF('Calc'!$E$14=1,0,'Calc'!$F$14*(1+'Calc'!$G$14)^$S59-INDEX(Calc!$W$21:$W$381,$S59*12+1))))</x:f>
        <x:v/>
      </x:c>
      <x:c r="W59" s="42" t="str">
        <x:f>IF($S59=0,'Calc'!$B$7,IF($S59&gt;'财富模型'!$E$13,"",INDEX(Calc!$Z$21:$Z$381,$S59*12+1)+INDEX(Calc!$AA$21:$AA$381,$S59*12+1)+IF('Calc'!$E$15=1,0,'Calc'!$F$15*(1+'Calc'!$G$15)^$S59-INDEX(Calc!$AE$21:$AE$381,$S59*12+1))))</x:f>
        <x:v/>
      </x:c>
      <x:c r="X59" s="42" t="str">
        <x:f>IF($S59=0,'Calc'!$B$7,IF($S59&gt;'财富模型'!$E$13,"",INDEX(Calc!$AH$21:$AH$381,$S59*12+1)+INDEX(Calc!$AI$21:$AI$381,$S59*12+1)+IF('Calc'!$E$16=1,0,'Calc'!$F$16*(1+'Calc'!$G$16)^$S59-INDEX(Calc!$AM$21:$AM$381,$S59*12+1))))</x:f>
        <x:v/>
      </x:c>
      <x:c r="Y59" s="42" t="str">
        <x:f>IF($S59=0,'Calc'!$B$7,IF($S59&gt;'财富模型'!$E$13,"",INDEX(Calc!$AP$21:$AP$381,$S59*12+1)+INDEX(Calc!$AQ$21:$AQ$381,$S59*12+1)+IF('Calc'!$E$17=1,0,'Calc'!$F$17*(1+'Calc'!$G$17)^$S59-INDEX(Calc!$AU$21:$AU$381,$S59*12+1))))</x:f>
        <x:v/>
      </x:c>
    </x:row>
    <x:row r="60">
      <x:c r="S60" t="n">
        <x:f>24</x:f>
        <x:v>24</x:v>
      </x:c>
      <x:c r="T60" s="42" t="str">
        <x:f>IF($S60=0,'Calc'!$B$7,IF($S60&gt;'财富模型'!$E$13,"",INDEX(Calc!$B$21:$B$381,$S60*12+1)+INDEX(Calc!$C$21:$C$381,$S60*12+1)+IF('Calc'!$E$12=1,0,'Calc'!$F$12*(1+'Calc'!$G$12)^$S60-INDEX(Calc!$G$21:$G$381,$S60*12+1))))</x:f>
        <x:v/>
      </x:c>
      <x:c r="U60" s="42" t="str">
        <x:f>IF($S60=0,'Calc'!$B$7,IF($S60&gt;'财富模型'!$E$13,"",INDEX(Calc!$J$21:$J$381,$S60*12+1)+INDEX(Calc!$K$21:$K$381,$S60*12+1)+IF('Calc'!$E$13=1,0,'Calc'!$F$13*(1+'Calc'!$G$13)^$S60-INDEX(Calc!$O$21:$O$381,$S60*12+1))))</x:f>
        <x:v/>
      </x:c>
      <x:c r="V60" s="42" t="str">
        <x:f>IF($S60=0,'Calc'!$B$7,IF($S60&gt;'财富模型'!$E$13,"",INDEX(Calc!$R$21:$R$381,$S60*12+1)+INDEX(Calc!$S$21:$S$381,$S60*12+1)+IF('Calc'!$E$14=1,0,'Calc'!$F$14*(1+'Calc'!$G$14)^$S60-INDEX(Calc!$W$21:$W$381,$S60*12+1))))</x:f>
        <x:v/>
      </x:c>
      <x:c r="W60" s="42" t="str">
        <x:f>IF($S60=0,'Calc'!$B$7,IF($S60&gt;'财富模型'!$E$13,"",INDEX(Calc!$Z$21:$Z$381,$S60*12+1)+INDEX(Calc!$AA$21:$AA$381,$S60*12+1)+IF('Calc'!$E$15=1,0,'Calc'!$F$15*(1+'Calc'!$G$15)^$S60-INDEX(Calc!$AE$21:$AE$381,$S60*12+1))))</x:f>
        <x:v/>
      </x:c>
      <x:c r="X60" s="42" t="str">
        <x:f>IF($S60=0,'Calc'!$B$7,IF($S60&gt;'财富模型'!$E$13,"",INDEX(Calc!$AH$21:$AH$381,$S60*12+1)+INDEX(Calc!$AI$21:$AI$381,$S60*12+1)+IF('Calc'!$E$16=1,0,'Calc'!$F$16*(1+'Calc'!$G$16)^$S60-INDEX(Calc!$AM$21:$AM$381,$S60*12+1))))</x:f>
        <x:v/>
      </x:c>
      <x:c r="Y60" s="42" t="str">
        <x:f>IF($S60=0,'Calc'!$B$7,IF($S60&gt;'财富模型'!$E$13,"",INDEX(Calc!$AP$21:$AP$381,$S60*12+1)+INDEX(Calc!$AQ$21:$AQ$381,$S60*12+1)+IF('Calc'!$E$17=1,0,'Calc'!$F$17*(1+'Calc'!$G$17)^$S60-INDEX(Calc!$AU$21:$AU$381,$S60*12+1))))</x:f>
        <x:v/>
      </x:c>
    </x:row>
    <x:row r="61">
      <x:c r="S61" t="n">
        <x:f>25</x:f>
        <x:v>25</x:v>
      </x:c>
      <x:c r="T61" s="42" t="str">
        <x:f>IF($S61=0,'Calc'!$B$7,IF($S61&gt;'财富模型'!$E$13,"",INDEX(Calc!$B$21:$B$381,$S61*12+1)+INDEX(Calc!$C$21:$C$381,$S61*12+1)+IF('Calc'!$E$12=1,0,'Calc'!$F$12*(1+'Calc'!$G$12)^$S61-INDEX(Calc!$G$21:$G$381,$S61*12+1))))</x:f>
        <x:v/>
      </x:c>
      <x:c r="U61" s="42" t="str">
        <x:f>IF($S61=0,'Calc'!$B$7,IF($S61&gt;'财富模型'!$E$13,"",INDEX(Calc!$J$21:$J$381,$S61*12+1)+INDEX(Calc!$K$21:$K$381,$S61*12+1)+IF('Calc'!$E$13=1,0,'Calc'!$F$13*(1+'Calc'!$G$13)^$S61-INDEX(Calc!$O$21:$O$381,$S61*12+1))))</x:f>
        <x:v/>
      </x:c>
      <x:c r="V61" s="42" t="str">
        <x:f>IF($S61=0,'Calc'!$B$7,IF($S61&gt;'财富模型'!$E$13,"",INDEX(Calc!$R$21:$R$381,$S61*12+1)+INDEX(Calc!$S$21:$S$381,$S61*12+1)+IF('Calc'!$E$14=1,0,'Calc'!$F$14*(1+'Calc'!$G$14)^$S61-INDEX(Calc!$W$21:$W$381,$S61*12+1))))</x:f>
        <x:v/>
      </x:c>
      <x:c r="W61" s="42" t="str">
        <x:f>IF($S61=0,'Calc'!$B$7,IF($S61&gt;'财富模型'!$E$13,"",INDEX(Calc!$Z$21:$Z$381,$S61*12+1)+INDEX(Calc!$AA$21:$AA$381,$S61*12+1)+IF('Calc'!$E$15=1,0,'Calc'!$F$15*(1+'Calc'!$G$15)^$S61-INDEX(Calc!$AE$21:$AE$381,$S61*12+1))))</x:f>
        <x:v/>
      </x:c>
      <x:c r="X61" s="42" t="str">
        <x:f>IF($S61=0,'Calc'!$B$7,IF($S61&gt;'财富模型'!$E$13,"",INDEX(Calc!$AH$21:$AH$381,$S61*12+1)+INDEX(Calc!$AI$21:$AI$381,$S61*12+1)+IF('Calc'!$E$16=1,0,'Calc'!$F$16*(1+'Calc'!$G$16)^$S61-INDEX(Calc!$AM$21:$AM$381,$S61*12+1))))</x:f>
        <x:v/>
      </x:c>
      <x:c r="Y61" s="42" t="str">
        <x:f>IF($S61=0,'Calc'!$B$7,IF($S61&gt;'财富模型'!$E$13,"",INDEX(Calc!$AP$21:$AP$381,$S61*12+1)+INDEX(Calc!$AQ$21:$AQ$381,$S61*12+1)+IF('Calc'!$E$17=1,0,'Calc'!$F$17*(1+'Calc'!$G$17)^$S61-INDEX(Calc!$AU$21:$AU$381,$S61*12+1))))</x:f>
        <x:v/>
      </x:c>
    </x:row>
    <x:row r="62">
      <x:c r="S62" t="n">
        <x:f>26</x:f>
        <x:v>26</x:v>
      </x:c>
      <x:c r="T62" s="42" t="str">
        <x:f>IF($S62=0,'Calc'!$B$7,IF($S62&gt;'财富模型'!$E$13,"",INDEX(Calc!$B$21:$B$381,$S62*12+1)+INDEX(Calc!$C$21:$C$381,$S62*12+1)+IF('Calc'!$E$12=1,0,'Calc'!$F$12*(1+'Calc'!$G$12)^$S62-INDEX(Calc!$G$21:$G$381,$S62*12+1))))</x:f>
        <x:v/>
      </x:c>
      <x:c r="U62" s="42" t="str">
        <x:f>IF($S62=0,'Calc'!$B$7,IF($S62&gt;'财富模型'!$E$13,"",INDEX(Calc!$J$21:$J$381,$S62*12+1)+INDEX(Calc!$K$21:$K$381,$S62*12+1)+IF('Calc'!$E$13=1,0,'Calc'!$F$13*(1+'Calc'!$G$13)^$S62-INDEX(Calc!$O$21:$O$381,$S62*12+1))))</x:f>
        <x:v/>
      </x:c>
      <x:c r="V62" s="42" t="str">
        <x:f>IF($S62=0,'Calc'!$B$7,IF($S62&gt;'财富模型'!$E$13,"",INDEX(Calc!$R$21:$R$381,$S62*12+1)+INDEX(Calc!$S$21:$S$381,$S62*12+1)+IF('Calc'!$E$14=1,0,'Calc'!$F$14*(1+'Calc'!$G$14)^$S62-INDEX(Calc!$W$21:$W$381,$S62*12+1))))</x:f>
        <x:v/>
      </x:c>
      <x:c r="W62" s="42" t="str">
        <x:f>IF($S62=0,'Calc'!$B$7,IF($S62&gt;'财富模型'!$E$13,"",INDEX(Calc!$Z$21:$Z$381,$S62*12+1)+INDEX(Calc!$AA$21:$AA$381,$S62*12+1)+IF('Calc'!$E$15=1,0,'Calc'!$F$15*(1+'Calc'!$G$15)^$S62-INDEX(Calc!$AE$21:$AE$381,$S62*12+1))))</x:f>
        <x:v/>
      </x:c>
      <x:c r="X62" s="42" t="str">
        <x:f>IF($S62=0,'Calc'!$B$7,IF($S62&gt;'财富模型'!$E$13,"",INDEX(Calc!$AH$21:$AH$381,$S62*12+1)+INDEX(Calc!$AI$21:$AI$381,$S62*12+1)+IF('Calc'!$E$16=1,0,'Calc'!$F$16*(1+'Calc'!$G$16)^$S62-INDEX(Calc!$AM$21:$AM$381,$S62*12+1))))</x:f>
        <x:v/>
      </x:c>
      <x:c r="Y62" s="42" t="str">
        <x:f>IF($S62=0,'Calc'!$B$7,IF($S62&gt;'财富模型'!$E$13,"",INDEX(Calc!$AP$21:$AP$381,$S62*12+1)+INDEX(Calc!$AQ$21:$AQ$381,$S62*12+1)+IF('Calc'!$E$17=1,0,'Calc'!$F$17*(1+'Calc'!$G$17)^$S62-INDEX(Calc!$AU$21:$AU$381,$S62*12+1))))</x:f>
        <x:v/>
      </x:c>
    </x:row>
    <x:row r="63">
      <x:c r="S63" t="n">
        <x:f>27</x:f>
        <x:v>27</x:v>
      </x:c>
      <x:c r="T63" s="42" t="str">
        <x:f>IF($S63=0,'Calc'!$B$7,IF($S63&gt;'财富模型'!$E$13,"",INDEX(Calc!$B$21:$B$381,$S63*12+1)+INDEX(Calc!$C$21:$C$381,$S63*12+1)+IF('Calc'!$E$12=1,0,'Calc'!$F$12*(1+'Calc'!$G$12)^$S63-INDEX(Calc!$G$21:$G$381,$S63*12+1))))</x:f>
        <x:v/>
      </x:c>
      <x:c r="U63" s="42" t="str">
        <x:f>IF($S63=0,'Calc'!$B$7,IF($S63&gt;'财富模型'!$E$13,"",INDEX(Calc!$J$21:$J$381,$S63*12+1)+INDEX(Calc!$K$21:$K$381,$S63*12+1)+IF('Calc'!$E$13=1,0,'Calc'!$F$13*(1+'Calc'!$G$13)^$S63-INDEX(Calc!$O$21:$O$381,$S63*12+1))))</x:f>
        <x:v/>
      </x:c>
      <x:c r="V63" s="42" t="str">
        <x:f>IF($S63=0,'Calc'!$B$7,IF($S63&gt;'财富模型'!$E$13,"",INDEX(Calc!$R$21:$R$381,$S63*12+1)+INDEX(Calc!$S$21:$S$381,$S63*12+1)+IF('Calc'!$E$14=1,0,'Calc'!$F$14*(1+'Calc'!$G$14)^$S63-INDEX(Calc!$W$21:$W$381,$S63*12+1))))</x:f>
        <x:v/>
      </x:c>
      <x:c r="W63" s="42" t="str">
        <x:f>IF($S63=0,'Calc'!$B$7,IF($S63&gt;'财富模型'!$E$13,"",INDEX(Calc!$Z$21:$Z$381,$S63*12+1)+INDEX(Calc!$AA$21:$AA$381,$S63*12+1)+IF('Calc'!$E$15=1,0,'Calc'!$F$15*(1+'Calc'!$G$15)^$S63-INDEX(Calc!$AE$21:$AE$381,$S63*12+1))))</x:f>
        <x:v/>
      </x:c>
      <x:c r="X63" s="42" t="str">
        <x:f>IF($S63=0,'Calc'!$B$7,IF($S63&gt;'财富模型'!$E$13,"",INDEX(Calc!$AH$21:$AH$381,$S63*12+1)+INDEX(Calc!$AI$21:$AI$381,$S63*12+1)+IF('Calc'!$E$16=1,0,'Calc'!$F$16*(1+'Calc'!$G$16)^$S63-INDEX(Calc!$AM$21:$AM$381,$S63*12+1))))</x:f>
        <x:v/>
      </x:c>
      <x:c r="Y63" s="42" t="str">
        <x:f>IF($S63=0,'Calc'!$B$7,IF($S63&gt;'财富模型'!$E$13,"",INDEX(Calc!$AP$21:$AP$381,$S63*12+1)+INDEX(Calc!$AQ$21:$AQ$381,$S63*12+1)+IF('Calc'!$E$17=1,0,'Calc'!$F$17*(1+'Calc'!$G$17)^$S63-INDEX(Calc!$AU$21:$AU$381,$S63*12+1))))</x:f>
        <x:v/>
      </x:c>
    </x:row>
    <x:row r="64">
      <x:c r="S64" t="n">
        <x:f>28</x:f>
        <x:v>28</x:v>
      </x:c>
      <x:c r="T64" s="42" t="str">
        <x:f>IF($S64=0,'Calc'!$B$7,IF($S64&gt;'财富模型'!$E$13,"",INDEX(Calc!$B$21:$B$381,$S64*12+1)+INDEX(Calc!$C$21:$C$381,$S64*12+1)+IF('Calc'!$E$12=1,0,'Calc'!$F$12*(1+'Calc'!$G$12)^$S64-INDEX(Calc!$G$21:$G$381,$S64*12+1))))</x:f>
        <x:v/>
      </x:c>
      <x:c r="U64" s="42" t="str">
        <x:f>IF($S64=0,'Calc'!$B$7,IF($S64&gt;'财富模型'!$E$13,"",INDEX(Calc!$J$21:$J$381,$S64*12+1)+INDEX(Calc!$K$21:$K$381,$S64*12+1)+IF('Calc'!$E$13=1,0,'Calc'!$F$13*(1+'Calc'!$G$13)^$S64-INDEX(Calc!$O$21:$O$381,$S64*12+1))))</x:f>
        <x:v/>
      </x:c>
      <x:c r="V64" s="42" t="str">
        <x:f>IF($S64=0,'Calc'!$B$7,IF($S64&gt;'财富模型'!$E$13,"",INDEX(Calc!$R$21:$R$381,$S64*12+1)+INDEX(Calc!$S$21:$S$381,$S64*12+1)+IF('Calc'!$E$14=1,0,'Calc'!$F$14*(1+'Calc'!$G$14)^$S64-INDEX(Calc!$W$21:$W$381,$S64*12+1))))</x:f>
        <x:v/>
      </x:c>
      <x:c r="W64" s="42" t="str">
        <x:f>IF($S64=0,'Calc'!$B$7,IF($S64&gt;'财富模型'!$E$13,"",INDEX(Calc!$Z$21:$Z$381,$S64*12+1)+INDEX(Calc!$AA$21:$AA$381,$S64*12+1)+IF('Calc'!$E$15=1,0,'Calc'!$F$15*(1+'Calc'!$G$15)^$S64-INDEX(Calc!$AE$21:$AE$381,$S64*12+1))))</x:f>
        <x:v/>
      </x:c>
      <x:c r="X64" s="42" t="str">
        <x:f>IF($S64=0,'Calc'!$B$7,IF($S64&gt;'财富模型'!$E$13,"",INDEX(Calc!$AH$21:$AH$381,$S64*12+1)+INDEX(Calc!$AI$21:$AI$381,$S64*12+1)+IF('Calc'!$E$16=1,0,'Calc'!$F$16*(1+'Calc'!$G$16)^$S64-INDEX(Calc!$AM$21:$AM$381,$S64*12+1))))</x:f>
        <x:v/>
      </x:c>
      <x:c r="Y64" s="42" t="str">
        <x:f>IF($S64=0,'Calc'!$B$7,IF($S64&gt;'财富模型'!$E$13,"",INDEX(Calc!$AP$21:$AP$381,$S64*12+1)+INDEX(Calc!$AQ$21:$AQ$381,$S64*12+1)+IF('Calc'!$E$17=1,0,'Calc'!$F$17*(1+'Calc'!$G$17)^$S64-INDEX(Calc!$AU$21:$AU$381,$S64*12+1))))</x:f>
        <x:v/>
      </x:c>
    </x:row>
    <x:row r="65">
      <x:c r="S65" t="n">
        <x:f>29</x:f>
        <x:v>29</x:v>
      </x:c>
      <x:c r="T65" s="42" t="str">
        <x:f>IF($S65=0,'Calc'!$B$7,IF($S65&gt;'财富模型'!$E$13,"",INDEX(Calc!$B$21:$B$381,$S65*12+1)+INDEX(Calc!$C$21:$C$381,$S65*12+1)+IF('Calc'!$E$12=1,0,'Calc'!$F$12*(1+'Calc'!$G$12)^$S65-INDEX(Calc!$G$21:$G$381,$S65*12+1))))</x:f>
        <x:v/>
      </x:c>
      <x:c r="U65" s="42" t="str">
        <x:f>IF($S65=0,'Calc'!$B$7,IF($S65&gt;'财富模型'!$E$13,"",INDEX(Calc!$J$21:$J$381,$S65*12+1)+INDEX(Calc!$K$21:$K$381,$S65*12+1)+IF('Calc'!$E$13=1,0,'Calc'!$F$13*(1+'Calc'!$G$13)^$S65-INDEX(Calc!$O$21:$O$381,$S65*12+1))))</x:f>
        <x:v/>
      </x:c>
      <x:c r="V65" s="42" t="str">
        <x:f>IF($S65=0,'Calc'!$B$7,IF($S65&gt;'财富模型'!$E$13,"",INDEX(Calc!$R$21:$R$381,$S65*12+1)+INDEX(Calc!$S$21:$S$381,$S65*12+1)+IF('Calc'!$E$14=1,0,'Calc'!$F$14*(1+'Calc'!$G$14)^$S65-INDEX(Calc!$W$21:$W$381,$S65*12+1))))</x:f>
        <x:v/>
      </x:c>
      <x:c r="W65" s="42" t="str">
        <x:f>IF($S65=0,'Calc'!$B$7,IF($S65&gt;'财富模型'!$E$13,"",INDEX(Calc!$Z$21:$Z$381,$S65*12+1)+INDEX(Calc!$AA$21:$AA$381,$S65*12+1)+IF('Calc'!$E$15=1,0,'Calc'!$F$15*(1+'Calc'!$G$15)^$S65-INDEX(Calc!$AE$21:$AE$381,$S65*12+1))))</x:f>
        <x:v/>
      </x:c>
      <x:c r="X65" s="42" t="str">
        <x:f>IF($S65=0,'Calc'!$B$7,IF($S65&gt;'财富模型'!$E$13,"",INDEX(Calc!$AH$21:$AH$381,$S65*12+1)+INDEX(Calc!$AI$21:$AI$381,$S65*12+1)+IF('Calc'!$E$16=1,0,'Calc'!$F$16*(1+'Calc'!$G$16)^$S65-INDEX(Calc!$AM$21:$AM$381,$S65*12+1))))</x:f>
        <x:v/>
      </x:c>
      <x:c r="Y65" s="42" t="str">
        <x:f>IF($S65=0,'Calc'!$B$7,IF($S65&gt;'财富模型'!$E$13,"",INDEX(Calc!$AP$21:$AP$381,$S65*12+1)+INDEX(Calc!$AQ$21:$AQ$381,$S65*12+1)+IF('Calc'!$E$17=1,0,'Calc'!$F$17*(1+'Calc'!$G$17)^$S65-INDEX(Calc!$AU$21:$AU$381,$S65*12+1))))</x:f>
        <x:v/>
      </x:c>
    </x:row>
    <x:row r="66">
      <x:c r="S66" t="n">
        <x:f>30</x:f>
        <x:v>30</x:v>
      </x:c>
      <x:c r="T66" s="42" t="str">
        <x:f>IF($S66=0,'Calc'!$B$7,IF($S66&gt;'财富模型'!$E$13,"",INDEX(Calc!$B$21:$B$381,$S66*12+1)+INDEX(Calc!$C$21:$C$381,$S66*12+1)+IF('Calc'!$E$12=1,0,'Calc'!$F$12*(1+'Calc'!$G$12)^$S66-INDEX(Calc!$G$21:$G$381,$S66*12+1))))</x:f>
        <x:v/>
      </x:c>
      <x:c r="U66" s="42" t="str">
        <x:f>IF($S66=0,'Calc'!$B$7,IF($S66&gt;'财富模型'!$E$13,"",INDEX(Calc!$J$21:$J$381,$S66*12+1)+INDEX(Calc!$K$21:$K$381,$S66*12+1)+IF('Calc'!$E$13=1,0,'Calc'!$F$13*(1+'Calc'!$G$13)^$S66-INDEX(Calc!$O$21:$O$381,$S66*12+1))))</x:f>
        <x:v/>
      </x:c>
      <x:c r="V66" s="42" t="str">
        <x:f>IF($S66=0,'Calc'!$B$7,IF($S66&gt;'财富模型'!$E$13,"",INDEX(Calc!$R$21:$R$381,$S66*12+1)+INDEX(Calc!$S$21:$S$381,$S66*12+1)+IF('Calc'!$E$14=1,0,'Calc'!$F$14*(1+'Calc'!$G$14)^$S66-INDEX(Calc!$W$21:$W$381,$S66*12+1))))</x:f>
        <x:v/>
      </x:c>
      <x:c r="W66" s="42" t="str">
        <x:f>IF($S66=0,'Calc'!$B$7,IF($S66&gt;'财富模型'!$E$13,"",INDEX(Calc!$Z$21:$Z$381,$S66*12+1)+INDEX(Calc!$AA$21:$AA$381,$S66*12+1)+IF('Calc'!$E$15=1,0,'Calc'!$F$15*(1+'Calc'!$G$15)^$S66-INDEX(Calc!$AE$21:$AE$381,$S66*12+1))))</x:f>
        <x:v/>
      </x:c>
      <x:c r="X66" s="42" t="str">
        <x:f>IF($S66=0,'Calc'!$B$7,IF($S66&gt;'财富模型'!$E$13,"",INDEX(Calc!$AH$21:$AH$381,$S66*12+1)+INDEX(Calc!$AI$21:$AI$381,$S66*12+1)+IF('Calc'!$E$16=1,0,'Calc'!$F$16*(1+'Calc'!$G$16)^$S66-INDEX(Calc!$AM$21:$AM$381,$S66*12+1))))</x:f>
        <x:v/>
      </x:c>
      <x:c r="Y66" s="42" t="str">
        <x:f>IF($S66=0,'Calc'!$B$7,IF($S66&gt;'财富模型'!$E$13,"",INDEX(Calc!$AP$21:$AP$381,$S66*12+1)+INDEX(Calc!$AQ$21:$AQ$381,$S66*12+1)+IF('Calc'!$E$17=1,0,'Calc'!$F$17*(1+'Calc'!$G$17)^$S66-INDEX(Calc!$AU$21:$AU$381,$S66*12+1))))</x:f>
        <x:v/>
      </x:c>
    </x:row>
    <x:row r="70">
      <x:c r="S70" s="4" t="str">
        <x:v>方案</x:v>
      </x:c>
      <x:c r="T70" s="4" t="str">
        <x:v>房产净权益</x:v>
      </x:c>
      <x:c r="U70" s="4" t="str">
        <x:v>期末股票</x:v>
      </x:c>
      <x:c r="V70" s="4" t="str">
        <x:v>期末OA</x:v>
      </x:c>
    </x:row>
    <x:row r="71">
      <x:c r="S71" t="str">
        <x:f>H4</x:f>
        <x:v>A: LG 2B1B</x:v>
      </x:c>
      <x:c r="T71" s="42" t="n">
        <x:f>'Calc'!$Z$12</x:f>
        <x:v>520889.7226016909</x:v>
      </x:c>
      <x:c r="U71" s="42" t="n">
        <x:f>'Calc'!$AJ$12</x:f>
        <x:v>879926.576244178</x:v>
      </x:c>
      <x:c r="V71" s="42" t="n">
        <x:f>'Calc'!$AK$12</x:f>
        <x:v>0</x:v>
      </x:c>
    </x:row>
    <x:row r="72">
      <x:c r="S72" t="str">
        <x:f>H5</x:f>
        <x:v>B: LV 2B2B</x:v>
      </x:c>
      <x:c r="T72" s="42" t="n">
        <x:f>'Calc'!$Z$13</x:f>
        <x:v>514761.6082181416</x:v>
      </x:c>
      <x:c r="U72" s="42" t="n">
        <x:f>'Calc'!$AJ$13</x:f>
        <x:v>885085.9698567761</x:v>
      </x:c>
      <x:c r="V72" s="42" t="n">
        <x:f>'Calc'!$AK$13</x:f>
        <x:v>0</x:v>
      </x:c>
    </x:row>
    <x:row r="73">
      <x:c r="S73" t="str">
        <x:f>H6</x:f>
        <x:v>C: LG 2B2B</x:v>
      </x:c>
      <x:c r="T73" s="42" t="n">
        <x:f>'Calc'!$Z$14</x:f>
        <x:v>650307.2962295677</x:v>
      </x:c>
      <x:c r="U73" s="42" t="n">
        <x:f>'Calc'!$AJ$14</x:f>
        <x:v>692021.2634285827</x:v>
      </x:c>
      <x:c r="V73" s="42" t="n">
        <x:f>'Calc'!$AK$14</x:f>
        <x:v>0</x:v>
      </x:c>
    </x:row>
    <x:row r="74">
      <x:c r="S74" t="str">
        <x:f>H7</x:f>
        <x:v>D: LG 3B2B</x:v>
      </x:c>
      <x:c r="T74" s="42" t="n">
        <x:f>'Calc'!$Z$15</x:f>
        <x:v>893975.7646314878</x:v>
      </x:c>
      <x:c r="U74" s="42" t="n">
        <x:f>'Calc'!$AJ$15</x:f>
        <x:v>360232.2550743853</x:v>
      </x:c>
      <x:c r="V74" s="42" t="n">
        <x:f>'Calc'!$AK$15</x:f>
        <x:v>0</x:v>
      </x:c>
    </x:row>
    <x:row r="75">
      <x:c r="S75" t="str">
        <x:f>H8</x:f>
        <x:v>E: LV 3B2B</x:v>
      </x:c>
      <x:c r="T75" s="42" t="n">
        <x:f>'Calc'!$Z$16</x:f>
        <x:v>954591.9655914876</x:v>
      </x:c>
      <x:c r="U75" s="42" t="n">
        <x:f>'Calc'!$AJ$16</x:f>
        <x:v>343154.4892387291</x:v>
      </x:c>
      <x:c r="V75" s="42" t="n">
        <x:f>'Calc'!$AK$16</x:f>
        <x:v>0</x:v>
      </x:c>
    </x:row>
    <x:row r="76">
      <x:c r="S76" t="str">
        <x:f>H9</x:f>
        <x:v>F: 纯租房</x:v>
      </x:c>
      <x:c r="T76" s="42" t="n">
        <x:f>'Calc'!$Z$17</x:f>
        <x:v>0</x:v>
      </x:c>
      <x:c r="U76" s="42" t="n">
        <x:f>'Calc'!$AJ$17</x:f>
        <x:v>1274799.4313966967</x:v>
      </x:c>
      <x:c r="V76" s="42" t="n">
        <x:f>'Calc'!$AK$17</x:f>
        <x:v>143603.0952029641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max_age</x:v>
      </x:c>
      <x:c r="B1" s="4" t="str">
        <x:v>total_rate</x:v>
      </x:c>
      <x:c r="C1" s="4" t="str">
        <x:v>employee_rate</x:v>
      </x:c>
      <x:c r="D1" s="4" t="str">
        <x:v>employer_rate</x:v>
      </x:c>
      <x:c r="E1" s="4" t="str">
        <x:v>oa_ratio</x:v>
      </x:c>
      <x:c r="G1" s="4" t="str">
        <x:v>lower_bound</x:v>
      </x:c>
      <x:c r="H1" s="4" t="str">
        <x:v>band_size</x:v>
      </x:c>
      <x:c r="I1" s="4" t="str">
        <x:v>rate</x:v>
      </x:c>
    </x:row>
    <x:row r="2">
      <x:c r="A2" t="n">
        <x:v>35</x:v>
      </x:c>
      <x:c r="B2" s="6" t="n">
        <x:v>0.37</x:v>
      </x:c>
      <x:c r="C2" s="6" t="n">
        <x:v>0.2</x:v>
      </x:c>
      <x:c r="D2" s="6" t="n">
        <x:v>0.17</x:v>
      </x:c>
      <x:c r="E2" s="6" t="n">
        <x:v>0.6217</x:v>
      </x:c>
      <x:c r="G2" t="n">
        <x:v>0</x:v>
      </x:c>
      <x:c r="H2" t="n">
        <x:v>180000</x:v>
      </x:c>
      <x:c r="I2" s="8" t="n">
        <x:v>0.01</x:v>
      </x:c>
    </x:row>
    <x:row r="3">
      <x:c r="A3" t="n">
        <x:v>45</x:v>
      </x:c>
      <x:c r="B3" s="6" t="n">
        <x:v>0.37</x:v>
      </x:c>
      <x:c r="C3" s="6" t="n">
        <x:v>0.2</x:v>
      </x:c>
      <x:c r="D3" s="6" t="n">
        <x:v>0.17</x:v>
      </x:c>
      <x:c r="E3" s="6" t="n">
        <x:v>0.5677</x:v>
      </x:c>
      <x:c r="G3" t="n">
        <x:v>180000</x:v>
      </x:c>
      <x:c r="H3" t="n">
        <x:v>180000</x:v>
      </x:c>
      <x:c r="I3" s="8" t="n">
        <x:v>0.02</x:v>
      </x:c>
    </x:row>
    <x:row r="4">
      <x:c r="A4" t="n">
        <x:v>50</x:v>
      </x:c>
      <x:c r="B4" s="6" t="n">
        <x:v>0.37</x:v>
      </x:c>
      <x:c r="C4" s="6" t="n">
        <x:v>0.2</x:v>
      </x:c>
      <x:c r="D4" s="6" t="n">
        <x:v>0.17</x:v>
      </x:c>
      <x:c r="E4" s="6" t="n">
        <x:v>0.5136</x:v>
      </x:c>
      <x:c r="G4" t="n">
        <x:v>360000</x:v>
      </x:c>
      <x:c r="H4" t="n">
        <x:v>640000</x:v>
      </x:c>
      <x:c r="I4" s="8" t="n">
        <x:v>0.03</x:v>
      </x:c>
    </x:row>
    <x:row r="5">
      <x:c r="A5" t="n">
        <x:v>55</x:v>
      </x:c>
      <x:c r="B5" s="6" t="n">
        <x:v>0.37</x:v>
      </x:c>
      <x:c r="C5" s="6" t="n">
        <x:v>0.2</x:v>
      </x:c>
      <x:c r="D5" s="6" t="n">
        <x:v>0.17</x:v>
      </x:c>
      <x:c r="E5" s="6" t="n">
        <x:v>0.4055</x:v>
      </x:c>
      <x:c r="G5" t="n">
        <x:v>1000000</x:v>
      </x:c>
      <x:c r="H5" t="n">
        <x:v>500000</x:v>
      </x:c>
      <x:c r="I5" s="8" t="n">
        <x:v>0.04</x:v>
      </x:c>
    </x:row>
    <x:row r="6">
      <x:c r="A6" t="n">
        <x:v>60</x:v>
      </x:c>
      <x:c r="B6" s="6" t="n">
        <x:v>0.34</x:v>
      </x:c>
      <x:c r="C6" s="6" t="n">
        <x:v>0.18</x:v>
      </x:c>
      <x:c r="D6" s="6" t="n">
        <x:v>0.16</x:v>
      </x:c>
      <x:c r="E6" s="6" t="n">
        <x:v>0.353</x:v>
      </x:c>
      <x:c r="G6" t="n">
        <x:v>1500000</x:v>
      </x:c>
      <x:c r="H6" t="n">
        <x:v>1500000</x:v>
      </x:c>
      <x:c r="I6" s="8" t="n">
        <x:v>0.05</x:v>
      </x:c>
    </x:row>
    <x:row r="7">
      <x:c r="A7" t="n">
        <x:v>65</x:v>
      </x:c>
      <x:c r="B7" s="6" t="n">
        <x:v>0.25</x:v>
      </x:c>
      <x:c r="C7" s="6" t="n">
        <x:v>0.125</x:v>
      </x:c>
      <x:c r="D7" s="6" t="n">
        <x:v>0.125</x:v>
      </x:c>
      <x:c r="E7" s="6" t="n">
        <x:v>0.14</x:v>
      </x:c>
      <x:c r="G7" t="n">
        <x:v>3000000</x:v>
      </x:c>
      <x:c r="H7" t="n">
        <x:v>999999999</x:v>
      </x:c>
      <x:c r="I7" s="8" t="n">
        <x:v>0.06</x:v>
      </x:c>
    </x:row>
    <x:row r="8">
      <x:c r="A8" t="n">
        <x:v>70</x:v>
      </x:c>
      <x:c r="B8" s="6" t="n">
        <x:v>0.165</x:v>
      </x:c>
      <x:c r="C8" s="6" t="n">
        <x:v>0.075</x:v>
      </x:c>
      <x:c r="D8" s="6" t="n">
        <x:v>0.09</x:v>
      </x:c>
      <x:c r="E8" s="6" t="n">
        <x:v>0.0607</x:v>
      </x:c>
    </x:row>
    <x:row r="9">
      <x:c r="A9" t="n">
        <x:v>999</x:v>
      </x:c>
      <x:c r="B9" s="6" t="n">
        <x:v>0.125</x:v>
      </x:c>
      <x:c r="C9" s="6" t="n">
        <x:v>0.05</x:v>
      </x:c>
      <x:c r="D9" s="6" t="n">
        <x:v>0.075</x:v>
      </x:c>
      <x:c r="E9" s="6" t="n">
        <x:v>0.08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.1399999856948853" hidden="0" customWidth="1"/>
    <x:col min="3" max="3" width="4" hidden="0" customWidth="1"/>
    <x:col min="4" max="4" width="4.289999961853027" hidden="0" customWidth="1"/>
    <x:col min="5" max="5" width="6.289999961853027" hidden="0" customWidth="1"/>
    <x:col min="6" max="6" width="4.570000171661377" hidden="0" customWidth="1"/>
    <x:col min="7" max="7" width="11" hidden="0" customWidth="1"/>
    <x:col min="8" max="8" width="11.859999656677246" hidden="0" customWidth="1"/>
    <x:col min="9" max="9" width="10.569999694824219" hidden="0" customWidth="1"/>
    <x:col min="10" max="10" width="12" hidden="0" customWidth="1"/>
    <x:col min="11" max="11" width="14.289999961853027" hidden="0" customWidth="1"/>
    <x:col min="12" max="12" width="19.56999969482422" hidden="0" customWidth="1"/>
    <x:col min="13" max="13" width="3.430000066757202" hidden="0" customWidth="1"/>
    <x:col min="14" max="14" width="4.570000171661377" hidden="0" customWidth="1"/>
    <x:col min="15" max="15" width="15.430000305175781" hidden="0" customWidth="1"/>
    <x:col min="16" max="16" width="10.569999694824219" hidden="0" customWidth="1"/>
    <x:col min="17" max="17" width="13.710000038146973" hidden="0" customWidth="1"/>
    <x:col min="18" max="18" width="16.290000915527344" hidden="0" customWidth="1"/>
    <x:col min="19" max="19" width="15.140000343322754" hidden="0" customWidth="1"/>
    <x:col min="20" max="20" width="11.859999656677246" hidden="0" customWidth="1"/>
    <x:col min="21" max="21" width="10.859999656677246" hidden="0" customWidth="1"/>
    <x:col min="22" max="22" width="8.140000343322754" hidden="0" customWidth="1"/>
    <x:col min="23" max="23" width="14.569999694824219" hidden="0" customWidth="1"/>
    <x:col min="24" max="24" width="18.139999389648438" hidden="0" customWidth="1"/>
    <x:col min="25" max="25" width="14" hidden="0" customWidth="1"/>
    <x:col min="26" max="26" width="14.569999694824219" hidden="0" customWidth="1"/>
    <x:col min="27" max="27" width="11.289999961853027" hidden="0" customWidth="1"/>
    <x:col min="28" max="28" width="9.289999961853027" hidden="0" customWidth="1"/>
    <x:col min="29" max="29" width="14.430000305175781" hidden="0" customWidth="1"/>
    <x:col min="30" max="30" width="12.289999961853027" hidden="0" customWidth="1"/>
    <x:col min="31" max="31" width="14" hidden="0" customWidth="1"/>
    <x:col min="32" max="32" width="11.859999656677246" hidden="0" customWidth="1"/>
    <x:col min="33" max="33" width="17.290000915527344" hidden="0" customWidth="1"/>
    <x:col min="34" max="34" width="15.140000343322754" hidden="0" customWidth="1"/>
    <x:col min="35" max="35" width="19.290000915527344" hidden="0" customWidth="1"/>
    <x:col min="36" max="36" width="10" hidden="0" customWidth="1"/>
    <x:col min="37" max="37" width="7.139999866485596" hidden="0" customWidth="1"/>
  </x:cols>
  <x:sheetData>
    <x:row r="1">
      <x:c r="A1" s="10" t="str">
        <x:v>male_cash</x:v>
      </x:c>
      <x:c r="B1" s="10" t="n">
        <x:f>'财富模型'!$B$4-ROUNDDOWN(MIN('财富模型'!$B$4,'财富模型'!$E$21)*'Calc'!$D$1,0)+(('财富模型'!$B$4*'财富模型'!$B$5)-ROUNDDOWN(('财富模型'!$B$4*'财富模型'!$B$5)*'Calc'!$D$1,0))/12</x:f>
        <x:v>7733.333333333333</x:v>
      </x:c>
      <x:c r="C1" s="10" t="n">
        <x:f>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</x:f>
        <x:v>0.37</x:v>
      </x:c>
      <x:c r="D1" s="10" t="n">
        <x:f>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</x:f>
        <x:v>0.2</x:v>
      </x:c>
      <x:c r="E1" s="10" t="n">
        <x:f>IF('财富模型'!$B$3&lt;='Lookups'!$A$2,'Lookups'!$E$2,IF('财富模型'!$B$3&lt;='Lookups'!$A$3,'Lookups'!$E$3,IF('财富模型'!$B$3&lt;='Lookups'!$A$4,'Lookups'!$E$4,IF('财富模型'!$B$3&lt;='Lookups'!$A$5,'Lookups'!$E$5,IF('财富模型'!$B$3&lt;='Lookups'!$A$6,'Lookups'!$E$6,IF('财富模型'!$B$3&lt;='Lookups'!$A$7,'Lookups'!$E$7,IF('财富模型'!$B$3&lt;='Lookups'!$A$8,'Lookups'!$E$8,'Lookups'!$E$9)))))))</x:f>
        <x:v>0.6217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</x:row>
    <x:row r="2">
      <x:c r="A2" s="10" t="str">
        <x:v>male_oa</x:v>
      </x:c>
      <x:c r="B2" s="10" t="n">
        <x:f>ROUND(ROUND(MIN('财富模型'!$B$4,'财富模型'!$E$21)*'Calc'!$C$1,0)*'Calc'!$E$1,0)+ROUND(ROUND(('财富模型'!$B$4*'财富模型'!$B$5)*'Calc'!$C$1,0)*'Calc'!$E$1,0)/12</x:f>
        <x:v>2007.75</x:v>
      </x:c>
      <x:c r="C2" s="10" t="n">
        <x:f>IF('财富模型'!$B$7&lt;='Lookups'!$A$2,'Lookups'!$B$2,IF('财富模型'!$B$7&lt;='Lookups'!$A$3,'Lookups'!$B$3,IF('财富模型'!$B$7&lt;='Lookups'!$A$4,'Lookups'!$B$4,IF('财富模型'!$B$7&lt;='Lookups'!$A$5,'Lookups'!$B$5,IF('财富模型'!$B$7&lt;='Lookups'!$A$6,'Lookups'!$B$6,IF('财富模型'!$B$7&lt;='Lookups'!$A$7,'Lookups'!$B$7,IF('财富模型'!$B$7&lt;='Lookups'!$A$8,'Lookups'!$B$8,'Lookups'!$B$9)))))))</x:f>
        <x:v>0.37</x:v>
      </x:c>
      <x:c r="D2" s="10" t="n">
        <x:f>IF('财富模型'!$B$7&lt;='Lookups'!$A$2,'Lookups'!$C$2,IF('财富模型'!$B$7&lt;='Lookups'!$A$3,'Lookups'!$C$3,IF('财富模型'!$B$7&lt;='Lookups'!$A$4,'Lookups'!$C$4,IF('财富模型'!$B$7&lt;='Lookups'!$A$5,'Lookups'!$C$5,IF('财富模型'!$B$7&lt;='Lookups'!$A$6,'Lookups'!$C$6,IF('财富模型'!$B$7&lt;='Lookups'!$A$7,'Lookups'!$C$7,IF('财富模型'!$B$7&lt;='Lookups'!$A$8,'Lookups'!$C$8,'Lookups'!$C$9)))))))</x:f>
        <x:v>0.2</x:v>
      </x:c>
      <x:c r="E2" s="10" t="n">
        <x:f>IF('财富模型'!$B$7&lt;='Lookups'!$A$2,'Lookups'!$E$2,IF('财富模型'!$B$7&lt;='Lookups'!$A$3,'Lookups'!$E$3,IF('财富模型'!$B$7&lt;='Lookups'!$A$4,'Lookups'!$E$4,IF('财富模型'!$B$7&lt;='Lookups'!$A$5,'Lookups'!$E$5,IF('财富模型'!$B$7&lt;='Lookups'!$A$6,'Lookups'!$E$6,IF('财富模型'!$B$7&lt;='Lookups'!$A$7,'Lookups'!$E$7,IF('财富模型'!$B$7&lt;='Lookups'!$A$8,'Lookups'!$E$8,'Lookups'!$E$9)))))))</x:f>
        <x:v>0.5677</x:v>
      </x:c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</x:row>
    <x:row r="3">
      <x:c r="A3" s="10" t="str">
        <x:v>female_cash</x:v>
      </x:c>
      <x:c r="B3" s="10" t="n">
        <x:f>'财富模型'!$B$8-ROUNDDOWN(MIN('财富模型'!$B$8,'财富模型'!$E$21)*'Calc'!$D$2,0)+(('财富模型'!$B$8*'财富模型'!$B$9)-ROUNDDOWN(('财富模型'!$B$8*'财富模型'!$B$9)*'Calc'!$D$2,0))/12</x:f>
        <x:v>3200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</x:row>
    <x:row r="4">
      <x:c r="A4" s="10" t="str">
        <x:v>female_oa</x:v>
      </x:c>
      <x:c r="B4" s="10" t="n">
        <x:f>ROUND(ROUND(MIN('财富模型'!$B$8,'财富模型'!$E$21)*'Calc'!$C$2,0)*'Calc'!$E$2,0)+ROUND(ROUND(('财富模型'!$B$8*'财富模型'!$B$9)*'Calc'!$C$2,0)*'Calc'!$E$2,0)/12</x:f>
        <x:v>840</x:v>
      </x:c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</x:row>
    <x:row r="5">
      <x:c r="A5" s="10" t="str">
        <x:v>combined_cash</x:v>
      </x:c>
      <x:c r="B5" s="10" t="n">
        <x:f>'Calc'!$B$1+'Calc'!$B$3</x:f>
        <x:v>10933.333333333332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</x:row>
    <x:row r="6">
      <x:c r="A6" s="10" t="str">
        <x:v>combined_oa</x:v>
      </x:c>
      <x:c r="B6" s="10" t="n">
        <x:f>'Calc'!$B$2+'Calc'!$B$4</x:f>
        <x:v>2847.75</x:v>
      </x:c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</x:row>
    <x:row r="7">
      <x:c r="A7" s="10" t="str">
        <x:v>initial_wealth</x:v>
      </x:c>
      <x:c r="B7" s="10" t="n">
        <x:f>'财富模型'!$E$4*1000+'财富模型'!$B$6+'财富模型'!$B$10</x:f>
        <x:v>800000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</x:row>
    <x:row r="8">
      <x:c r="A8" s="10" t="str">
        <x:v>sim_months</x:v>
      </x:c>
      <x:c r="B8" s="10" t="n">
        <x:f>'财富模型'!$E$13*12</x:f>
        <x:v>48</x:v>
      </x:c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</x:row>
    <x:row r="9">
      <x:c r="A9" s="10" t="str">
        <x:v>fixed_months_used</x:v>
      </x:c>
      <x:c r="B9" s="10" t="n">
        <x:f>MIN('财富模型'!$E$13*12,'财富模型'!$E$11*12)</x:f>
        <x:v>24</x:v>
      </x:c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/>
      <x:c r="AG9" s="10"/>
      <x:c r="AH9" s="10"/>
      <x:c r="AI9" s="10"/>
      <x:c r="AJ9" s="10"/>
      <x:c r="AK9" s="10"/>
    </x:row>
    <x:row r="10">
      <x:c r="A10" s="10" t="str">
        <x:v>float_start</x:v>
      </x:c>
      <x:c r="B10" s="10" t="n">
        <x:f>'财富模型'!$E$11*12+1</x:f>
        <x:v>25</x:v>
      </x:c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</x:row>
    <x:row r="11">
      <x:c r="A11" s="10"/>
      <x:c r="B11" s="10"/>
      <x:c r="C11" s="10"/>
      <x:c r="D11" s="12" t="str">
        <x:v>label</x:v>
      </x:c>
      <x:c r="E11" s="12" t="str">
        <x:v>is_rent</x:v>
      </x:c>
      <x:c r="F11" s="12" t="str">
        <x:v>price</x:v>
      </x:c>
      <x:c r="G11" s="12" t="str">
        <x:v>growth_rate</x:v>
      </x:c>
      <x:c r="H11" s="12" t="str">
        <x:v>desired_loan</x:v>
      </x:c>
      <x:c r="I11" s="12" t="str">
        <x:v>actual_loan</x:v>
      </x:c>
      <x:c r="J11" s="12" t="str">
        <x:v>loan_capped</x:v>
      </x:c>
      <x:c r="K11" s="12" t="str">
        <x:v>down_payment</x:v>
      </x:c>
      <x:c r="L11" s="12" t="str">
        <x:v>down_payment_ratio</x:v>
      </x:c>
      <x:c r="M11" s="12" t="str">
        <x:v>bsd</x:v>
      </x:c>
      <x:c r="N11" s="12" t="str">
        <x:v>absd</x:v>
      </x:c>
      <x:c r="O11" s="12" t="str">
        <x:v>mandatory_cash</x:v>
      </x:c>
      <x:c r="P11" s="12" t="str">
        <x:v>cpf_eligible</x:v>
      </x:c>
      <x:c r="Q11" s="12" t="str">
        <x:v>total_cpf_used</x:v>
      </x:c>
      <x:c r="R11" s="12" t="str">
        <x:v>oa_shortfall_cash</x:v>
      </x:c>
      <x:c r="S11" s="12" t="str">
        <x:v>total_cash_used</x:v>
      </x:c>
      <x:c r="T11" s="12" t="str">
        <x:v>total_upfront</x:v>
      </x:c>
      <x:c r="U11" s="12" t="str">
        <x:v>initial_stock</x:v>
      </x:c>
      <x:c r="V11" s="12" t="str">
        <x:v>initial_oa</x:v>
      </x:c>
      <x:c r="W11" s="12" t="str">
        <x:v>fixed_mortgage</x:v>
      </x:c>
      <x:c r="X11" s="12" t="str">
        <x:v>balance_after_fixed</x:v>
      </x:c>
      <x:c r="Y11" s="12" t="str">
        <x:v>float_mortgage</x:v>
      </x:c>
      <x:c r="Z11" s="12" t="str">
        <x:v>property_equity</x:v>
      </x:c>
      <x:c r="AA11" s="12" t="str">
        <x:v>total_wealth</x:v>
      </x:c>
      <x:c r="AB11" s="12" t="str">
        <x:v>total_cagr</x:v>
      </x:c>
      <x:c r="AC11" s="12" t="str">
        <x:v>fixed_cash_avg</x:v>
      </x:c>
      <x:c r="AD11" s="12" t="str">
        <x:v>fixed_oa_avg</x:v>
      </x:c>
      <x:c r="AE11" s="12" t="str">
        <x:v>float_cash_avg</x:v>
      </x:c>
      <x:c r="AF11" s="12" t="str">
        <x:v>float_oa_avg</x:v>
      </x:c>
      <x:c r="AG11" s="12" t="str">
        <x:v>avg_cash_housing</x:v>
      </x:c>
      <x:c r="AH11" s="12" t="str">
        <x:v>avg_oa_housing</x:v>
      </x:c>
      <x:c r="AI11" s="12" t="str">
        <x:v>avg_investable_cash</x:v>
      </x:c>
      <x:c r="AJ11" s="12" t="str">
        <x:v>stock_final</x:v>
      </x:c>
      <x:c r="AK11" s="12" t="str">
        <x:v>oa_final</x:v>
      </x:c>
    </x:row>
    <x:row r="12">
      <x:c r="A12" s="10"/>
      <x:c r="B12" s="10"/>
      <x:c r="C12" s="10"/>
      <x:c r="D12" s="12" t="str">
        <x:f>'财富模型'!$H$4</x:f>
        <x:v>A: LG 2B1B</x:v>
      </x:c>
      <x:c r="E12" s="12" t="n">
        <x:f>--('财富模型'!$J$4="rent")</x:f>
        <x:v>0</x:v>
      </x:c>
      <x:c r="F12" s="12" t="n">
        <x:f>'财富模型'!$K$4</x:f>
        <x:v>1275000</x:v>
      </x:c>
      <x:c r="G12" s="12" t="n">
        <x:f>'财富模型'!$N$4</x:f>
        <x:v>0.02</x:v>
      </x:c>
      <x:c r="H12" s="12" t="n">
        <x:f>ROUND('Calc'!$F$12*'财富模型'!$E$15,0)</x:f>
        <x:v>956250</x:v>
      </x:c>
      <x:c r="I12" s="12" t="n">
        <x:f>MIN('Calc'!$H$12,'财富模型'!$E$14)</x:f>
        <x:v>956250</x:v>
      </x:c>
      <x:c r="J12" s="12" t="n">
        <x:f>--('Calc'!$I$12&lt;'Calc'!$H$12)</x:f>
        <x:v>0</x:v>
      </x:c>
      <x:c r="K12" s="12" t="n">
        <x:f>MAX('Calc'!$F$12-'Calc'!$I$12,0)</x:f>
        <x:v>318750</x:v>
      </x:c>
      <x:c r="L12" s="12" t="n">
        <x:f>IF('Calc'!$F$12=0,0,'Calc'!$K$12/'Calc'!$F$12)</x:f>
        <x:v>0.25</x:v>
      </x:c>
      <x:c r="M12" s="14" t="n">
        <x:f>ROUND(
MAX(MIN('Calc'!$F$12-'Lookups'!$G$2,'Lookups'!$H$2),0)*'Lookups'!$I$2+
MAX(MIN('Calc'!$F$12-'Lookups'!$G$3,'Lookups'!$H$3),0)*'Lookups'!$I$3+
MAX(MIN('Calc'!$F$12-'Lookups'!$G$4,'Lookups'!$H$4),0)*'Lookups'!$I$4+
MAX(MIN('Calc'!$F$12-'Lookups'!$G$5,'Lookups'!$H$5),0)*'Lookups'!$I$5+
MAX(MIN('Calc'!$F$12-'Lookups'!$G$6,'Lookups'!$H$6),0)*'Lookups'!$I$6+
MAX(MIN('Calc'!$F$12-'Lookups'!$G$7,'Lookups'!$H$7),0)*'Lookups'!$I$7
,0)</x:f>
        <x:v>35600</x:v>
      </x:c>
      <x:c r="N12" s="14" t="n">
        <x:f>ROUND('Calc'!$F$12*'财富模型'!$E$16,0)</x:f>
        <x:v>63750</x:v>
      </x:c>
      <x:c r="O12" s="14" t="n">
        <x:f>ROUND('Calc'!$F$12*'财富模型'!$E$18,0)</x:f>
        <x:v>63750</x:v>
      </x:c>
      <x:c r="P12" s="14" t="n">
        <x:f>MAX('Calc'!$K$12-'Calc'!$O$12,0)</x:f>
        <x:v>255000</x:v>
      </x:c>
      <x:c r="Q12" s="14" t="n">
        <x:f>MIN('Calc'!$P$12,'财富模型'!$B$6+'财富模型'!$B$10)</x:f>
        <x:v>0</x:v>
      </x:c>
      <x:c r="R12" s="14" t="n">
        <x:f>MAX('Calc'!$P$12-'Calc'!$Q$12,0)</x:f>
        <x:v>255000</x:v>
      </x:c>
      <x:c r="S12" s="14" t="n">
        <x:f>'Calc'!$O$12+'Calc'!$M$12+'Calc'!$N$12+'财富模型'!$E$17+'Calc'!$R$12</x:f>
        <x:v>423100</x:v>
      </x:c>
      <x:c r="T12" s="14" t="n">
        <x:f>'Calc'!$S$12+'Calc'!$Q$12</x:f>
        <x:v>423100</x:v>
      </x:c>
      <x:c r="U12" s="14" t="n">
        <x:f>MAX('财富模型'!$E$4*1000-'Calc'!$S$12,0)</x:f>
        <x:v>376900</x:v>
      </x:c>
      <x:c r="V12" s="14" t="n">
        <x:f>IF('Calc'!$E$12=1,'财富模型'!$B$6+'财富模型'!$B$10,MAX('财富模型'!$B$6+'财富模型'!$B$10-'Calc'!$Q$12,0))</x:f>
        <x:v>0</x:v>
      </x:c>
      <x:c r="W12" s="14" t="n">
        <x:f>IF('Calc'!$E$12=1,0,IF('Calc'!$I$12&lt;=0,0,IF('财富模型'!$E$19&lt;=0,0,ROUND(IF('财富模型'!$E$10=0,'Calc'!$I$12/(('财富模型'!$E$19)*12),'Calc'!$I$12*('财富模型'!$E$10)/12*(1+('财富模型'!$E$10)/12)^(('财富模型'!$E$19)*12)/(((1+('财富模型'!$E$10)/12)^(('财富模型'!$E$19)*12))-1)),0))))</x:f>
        <x:v>3300</x:v>
      </x:c>
      <x:c r="X12" s="14" t="e">
        <x:f>IF('Calc'!$E$12=1,0,IF('Calc'!$I$12&lt;=0,0,IF('财富模型'!$E$11&lt;=0,'Calc'!$I$12,IF('财富模型'!$E$11&gt;='财富模型'!$E$19,0,IF('财富模型'!$E$10=0,'Calc'!$I$12*(1-((('财富模型'!$E$11)/('财富模型'!$E$19)))),'Calc'!$I$12*(((1+('财富模型'!$E$10)/12)^(('财富模型'!$E$19)*12))-((1+('财富模型'!$E$10)/12)^(('财富模型'!$E$11)*12)))/(((1+('财富模型'!$E$10)/12)^(('财富模型'!$E$19)*12))-1)))))))</x:f>
      </x:c>
      <x:c r="Y12" s="14" t="e">
        <x:f>IF('Calc'!$E$12=1,0,IF('Calc'!$X$12&lt;=0,0,IF(MAX('财富模型'!$E$19-'财富模型'!$E$11,1)&lt;=0,0,ROUND(IF('财富模型'!$E$12=0,'Calc'!$X$12/((MAX('财富模型'!$E$19-'财富模型'!$E$11,1))*12),'Calc'!$X$12*('财富模型'!$E$12)/12*(1+('财富模型'!$E$12)/12)^((MAX('财富模型'!$E$19-'财富模型'!$E$11,1))*12)/(((1+('财富模型'!$E$12)/12)^((MAX('财富模型'!$E$19-'财富模型'!$E$11,1))*12))-1)),0))))</x:f>
      </x:c>
      <x:c r="Z12" s="14" t="e">
        <x:f>IF('Calc'!$E$12=1,0,'Calc'!$F$12*(1+'Calc'!$G$12)^'财富模型'!$E$13-IF('财富模型'!$E$13&lt;='财富模型'!$E$11,IF('Calc'!$I$12&lt;=0,0,IF('财富模型'!$E$13&lt;=0,'Calc'!$I$12,IF('财富模型'!$E$13&gt;='财富模型'!$E$19,0,IF('财富模型'!$E$10=0,'Calc'!$I$12*(1-((('财富模型'!$E$13)/('财富模型'!$E$19)))),'Calc'!$I$12*(((1+('财富模型'!$E$10)/12)^(('财富模型'!$E$19)*12))-((1+('财富模型'!$E$10)/12)^(('财富模型'!$E$13)*12)))/(((1+('财富模型'!$E$10)/12)^(('财富模型'!$E$19)*12))-1)))))),IF('Calc'!$X$12&lt;=0,0,IF('财富模型'!$E$13-'财富模型'!$E$11&lt;=0,'Calc'!$X$12,IF('财富模型'!$E$13-'财富模型'!$E$11&gt;=MAX('财富模型'!$E$19-'财富模型'!$E$11,1),0,IF('财富模型'!$E$12=0,'Calc'!$X$12*(1-((('财富模型'!$E$13-'财富模型'!$E$11)/(MAX('财富模型'!$E$19-'财富模型'!$E$11,1))))),'Calc'!$X$12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2" s="14" t="e">
        <x:f>'Calc'!$AJ$12+'Calc'!$AK$12+'Calc'!$Z$12</x:f>
      </x:c>
      <x:c r="AB12" s="16" t="e">
        <x:f>IF(OR('Calc'!$B$7&lt;=0,'Calc'!$AA$12&lt;=0,'财富模型'!$E$13&lt;=0),"",('Calc'!$AA$12/'Calc'!$B$7)^(1/'财富模型'!$E$13)-1)</x:f>
      </x:c>
      <x:c r="AC12" s="14" t="e">
        <x:f>IF(OR('Calc'!$B$9&lt;1,'Calc'!$B$9&lt;=0),0,SUMPRODUCT((Calc!$A$22:$A$381&gt;=1)*(Calc!$A$22:$A$381&lt;='Calc'!$B$9)*Calc!$D$22:$D$381)/(('Calc'!$B$9)-(1)+1))</x:f>
      </x:c>
      <x:c r="AD12" s="14" t="e">
        <x:f>IF(OR('Calc'!$B$9&lt;1,'Calc'!$B$9&lt;=0),0,SUMPRODUCT((Calc!$A$22:$A$381&gt;=1)*(Calc!$A$22:$A$381&lt;='Calc'!$B$9)*Calc!$E$22:$E$381)/(('Calc'!$B$9)-(1)+1))</x:f>
      </x:c>
      <x:c r="AE12" s="14" t="e">
        <x:f>IF(OR('Calc'!$B$8&lt;'Calc'!$B$10,'Calc'!$B$8&lt;=0),0,SUMPRODUCT((Calc!$A$22:$A$381&gt;='Calc'!$B$10)*(Calc!$A$22:$A$381&lt;='Calc'!$B$8)*Calc!$D$22:$D$381)/(('Calc'!$B$8)-('Calc'!$B$10)+1))</x:f>
      </x:c>
      <x:c r="AF12" s="14" t="e">
        <x:f>IF(OR('Calc'!$B$8&lt;'Calc'!$B$10,'Calc'!$B$8&lt;=0),0,SUMPRODUCT((Calc!$A$22:$A$381&gt;='Calc'!$B$10)*(Calc!$A$22:$A$381&lt;='Calc'!$B$8)*Calc!$E$22:$E$381)/(('Calc'!$B$8)-('Calc'!$B$10)+1))</x:f>
      </x:c>
      <x:c r="AG12" s="14" t="e">
        <x:f>IF(OR('Calc'!$B$8&lt;1,'Calc'!$B$8&lt;=0),0,SUMPRODUCT((Calc!$A$22:$A$381&gt;=1)*(Calc!$A$22:$A$381&lt;='Calc'!$B$8)*Calc!$D$22:$D$381)/(('Calc'!$B$8)-(1)+1))</x:f>
      </x:c>
      <x:c r="AH12" s="14" t="e">
        <x:f>IF(OR('Calc'!$B$8&lt;1,'Calc'!$B$8&lt;=0),0,SUMPRODUCT((Calc!$A$22:$A$381&gt;=1)*(Calc!$A$22:$A$381&lt;='Calc'!$B$8)*Calc!$E$22:$E$381)/(('Calc'!$B$8)-(1)+1))</x:f>
      </x:c>
      <x:c r="AI12" s="14" t="e">
        <x:f>IF(OR('Calc'!$B$8&lt;1,'Calc'!$B$8&lt;=0),0,SUMPRODUCT((Calc!$A$22:$A$381&gt;=1)*(Calc!$A$22:$A$381&lt;='Calc'!$B$8)*Calc!$F$22:$F$381)/(('Calc'!$B$8)-(1)+1))</x:f>
      </x:c>
      <x:c r="AJ12" s="14" t="e">
        <x:f>INDEX(Calc!$B$21:$B$381,'Calc'!$B$8+1)</x:f>
      </x:c>
      <x:c r="AK12" s="14" t="e">
        <x:f>INDEX(Calc!$C$21:$C$381,'Calc'!$B$8+1)</x:f>
      </x:c>
    </x:row>
    <x:row r="13">
      <x:c r="A13" s="10"/>
      <x:c r="B13" s="10"/>
      <x:c r="C13" s="10"/>
      <x:c r="D13" s="12" t="str">
        <x:f>'财富模型'!$H$5</x:f>
        <x:v>B: LV 2B2B</x:v>
      </x:c>
      <x:c r="E13" s="12" t="n">
        <x:f>--('财富模型'!$J$5="rent")</x:f>
        <x:v>0</x:v>
      </x:c>
      <x:c r="F13" s="12" t="n">
        <x:f>'财富模型'!$K$5</x:f>
        <x:v>1260000</x:v>
      </x:c>
      <x:c r="G13" s="12" t="n">
        <x:f>'财富模型'!$N$5</x:f>
        <x:v>0.02</x:v>
      </x:c>
      <x:c r="H13" s="12" t="n">
        <x:f>ROUND('Calc'!$F$13*'财富模型'!$E$15,0)</x:f>
        <x:v>945000</x:v>
      </x:c>
      <x:c r="I13" s="12" t="n">
        <x:f>MIN('Calc'!$H$13,'财富模型'!$E$14)</x:f>
        <x:v>945000</x:v>
      </x:c>
      <x:c r="J13" s="12" t="n">
        <x:f>--('Calc'!$I$13&lt;'Calc'!$H$13)</x:f>
        <x:v>0</x:v>
      </x:c>
      <x:c r="K13" s="12" t="n">
        <x:f>MAX('Calc'!$F$13-'Calc'!$I$13,0)</x:f>
        <x:v>315000</x:v>
      </x:c>
      <x:c r="L13" s="12" t="n">
        <x:f>IF('Calc'!$F$13=0,0,'Calc'!$K$13/'Calc'!$F$13)</x:f>
        <x:v>0.25</x:v>
      </x:c>
      <x:c r="M13" s="14" t="n">
        <x:f>ROUND(
MAX(MIN('Calc'!$F$13-'Lookups'!$G$2,'Lookups'!$H$2),0)*'Lookups'!$I$2+
MAX(MIN('Calc'!$F$13-'Lookups'!$G$3,'Lookups'!$H$3),0)*'Lookups'!$I$3+
MAX(MIN('Calc'!$F$13-'Lookups'!$G$4,'Lookups'!$H$4),0)*'Lookups'!$I$4+
MAX(MIN('Calc'!$F$13-'Lookups'!$G$5,'Lookups'!$H$5),0)*'Lookups'!$I$5+
MAX(MIN('Calc'!$F$13-'Lookups'!$G$6,'Lookups'!$H$6),0)*'Lookups'!$I$6+
MAX(MIN('Calc'!$F$13-'Lookups'!$G$7,'Lookups'!$H$7),0)*'Lookups'!$I$7
,0)</x:f>
        <x:v>35000</x:v>
      </x:c>
      <x:c r="N13" s="14" t="n">
        <x:f>ROUND('Calc'!$F$13*'财富模型'!$E$16,0)</x:f>
        <x:v>63000</x:v>
      </x:c>
      <x:c r="O13" s="14" t="n">
        <x:f>ROUND('Calc'!$F$13*'财富模型'!$E$18,0)</x:f>
        <x:v>63000</x:v>
      </x:c>
      <x:c r="P13" s="14" t="n">
        <x:f>MAX('Calc'!$K$13-'Calc'!$O$13,0)</x:f>
        <x:v>252000</x:v>
      </x:c>
      <x:c r="Q13" s="14" t="n">
        <x:f>MIN('Calc'!$P$13,'财富模型'!$B$6+'财富模型'!$B$10)</x:f>
        <x:v>0</x:v>
      </x:c>
      <x:c r="R13" s="14" t="n">
        <x:f>MAX('Calc'!$P$13-'Calc'!$Q$13,0)</x:f>
        <x:v>252000</x:v>
      </x:c>
      <x:c r="S13" s="14" t="n">
        <x:f>'Calc'!$O$13+'Calc'!$M$13+'Calc'!$N$13+'财富模型'!$E$17+'Calc'!$R$13</x:f>
        <x:v>418000</x:v>
      </x:c>
      <x:c r="T13" s="14" t="n">
        <x:f>'Calc'!$S$13+'Calc'!$Q$13</x:f>
        <x:v>418000</x:v>
      </x:c>
      <x:c r="U13" s="14" t="n">
        <x:f>MAX('财富模型'!$E$4*1000-'Calc'!$S$13,0)</x:f>
        <x:v>382000</x:v>
      </x:c>
      <x:c r="V13" s="14" t="n">
        <x:f>IF('Calc'!$E$13=1,'财富模型'!$B$6+'财富模型'!$B$10,MAX('财富模型'!$B$6+'财富模型'!$B$10-'Calc'!$Q$13,0))</x:f>
        <x:v>0</x:v>
      </x:c>
      <x:c r="W13" s="14" t="n">
        <x:f>IF('Calc'!$E$13=1,0,IF('Calc'!$I$13&lt;=0,0,IF('财富模型'!$E$19&lt;=0,0,ROUND(IF('财富模型'!$E$10=0,'Calc'!$I$13/(('财富模型'!$E$19)*12),'Calc'!$I$13*('财富模型'!$E$10)/12*(1+('财富模型'!$E$10)/12)^(('财富模型'!$E$19)*12)/(((1+('财富模型'!$E$10)/12)^(('财富模型'!$E$19)*12))-1)),0))))</x:f>
        <x:v>3261</x:v>
      </x:c>
      <x:c r="X13" s="14" t="e">
        <x:f>IF('Calc'!$E$13=1,0,IF('Calc'!$I$13&lt;=0,0,IF('财富模型'!$E$11&lt;=0,'Calc'!$I$13,IF('财富模型'!$E$11&gt;='财富模型'!$E$19,0,IF('财富模型'!$E$10=0,'Calc'!$I$13*(1-((('财富模型'!$E$11)/('财富模型'!$E$19)))),'Calc'!$I$13*(((1+('财富模型'!$E$10)/12)^(('财富模型'!$E$19)*12))-((1+('财富模型'!$E$10)/12)^(('财富模型'!$E$11)*12)))/(((1+('财富模型'!$E$10)/12)^(('财富模型'!$E$19)*12))-1)))))))</x:f>
      </x:c>
      <x:c r="Y13" s="14" t="e">
        <x:f>IF('Calc'!$E$13=1,0,IF('Calc'!$X$13&lt;=0,0,IF(MAX('财富模型'!$E$19-'财富模型'!$E$11,1)&lt;=0,0,ROUND(IF('财富模型'!$E$12=0,'Calc'!$X$13/((MAX('财富模型'!$E$19-'财富模型'!$E$11,1))*12),'Calc'!$X$13*('财富模型'!$E$12)/12*(1+('财富模型'!$E$12)/12)^((MAX('财富模型'!$E$19-'财富模型'!$E$11,1))*12)/(((1+('财富模型'!$E$12)/12)^((MAX('财富模型'!$E$19-'财富模型'!$E$11,1))*12))-1)),0))))</x:f>
      </x:c>
      <x:c r="Z13" s="14" t="e">
        <x:f>IF('Calc'!$E$13=1,0,'Calc'!$F$13*(1+'Calc'!$G$13)^'财富模型'!$E$13-IF('财富模型'!$E$13&lt;='财富模型'!$E$11,IF('Calc'!$I$13&lt;=0,0,IF('财富模型'!$E$13&lt;=0,'Calc'!$I$13,IF('财富模型'!$E$13&gt;='财富模型'!$E$19,0,IF('财富模型'!$E$10=0,'Calc'!$I$13*(1-((('财富模型'!$E$13)/('财富模型'!$E$19)))),'Calc'!$I$13*(((1+('财富模型'!$E$10)/12)^(('财富模型'!$E$19)*12))-((1+('财富模型'!$E$10)/12)^(('财富模型'!$E$13)*12)))/(((1+('财富模型'!$E$10)/12)^(('财富模型'!$E$19)*12))-1)))))),IF('Calc'!$X$13&lt;=0,0,IF('财富模型'!$E$13-'财富模型'!$E$11&lt;=0,'Calc'!$X$13,IF('财富模型'!$E$13-'财富模型'!$E$11&gt;=MAX('财富模型'!$E$19-'财富模型'!$E$11,1),0,IF('财富模型'!$E$12=0,'Calc'!$X$13*(1-((('财富模型'!$E$13-'财富模型'!$E$11)/(MAX('财富模型'!$E$19-'财富模型'!$E$11,1))))),'Calc'!$X$13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3" s="14" t="e">
        <x:f>'Calc'!$AJ$13+'Calc'!$AK$13+'Calc'!$Z$13</x:f>
      </x:c>
      <x:c r="AB13" s="16" t="e">
        <x:f>IF(OR('Calc'!$B$7&lt;=0,'Calc'!$AA$13&lt;=0,'财富模型'!$E$13&lt;=0),"",('Calc'!$AA$13/'Calc'!$B$7)^(1/'财富模型'!$E$13)-1)</x:f>
      </x:c>
      <x:c r="AC13" s="14" t="e">
        <x:f>IF(OR('Calc'!$B$9&lt;1,'Calc'!$B$9&lt;=0),0,SUMPRODUCT((Calc!$A$22:$A$381&gt;=1)*(Calc!$A$22:$A$381&lt;='Calc'!$B$9)*Calc!$L$22:$L$381)/(('Calc'!$B$9)-(1)+1))</x:f>
      </x:c>
      <x:c r="AD13" s="14" t="e">
        <x:f>IF(OR('Calc'!$B$9&lt;1,'Calc'!$B$9&lt;=0),0,SUMPRODUCT((Calc!$A$22:$A$381&gt;=1)*(Calc!$A$22:$A$381&lt;='Calc'!$B$9)*Calc!$M$22:$M$381)/(('Calc'!$B$9)-(1)+1))</x:f>
      </x:c>
      <x:c r="AE13" s="14" t="e">
        <x:f>IF(OR('Calc'!$B$8&lt;'Calc'!$B$10,'Calc'!$B$8&lt;=0),0,SUMPRODUCT((Calc!$A$22:$A$381&gt;='Calc'!$B$10)*(Calc!$A$22:$A$381&lt;='Calc'!$B$8)*Calc!$L$22:$L$381)/(('Calc'!$B$8)-('Calc'!$B$10)+1))</x:f>
      </x:c>
      <x:c r="AF13" s="14" t="e">
        <x:f>IF(OR('Calc'!$B$8&lt;'Calc'!$B$10,'Calc'!$B$8&lt;=0),0,SUMPRODUCT((Calc!$A$22:$A$381&gt;='Calc'!$B$10)*(Calc!$A$22:$A$381&lt;='Calc'!$B$8)*Calc!$M$22:$M$381)/(('Calc'!$B$8)-('Calc'!$B$10)+1))</x:f>
      </x:c>
      <x:c r="AG13" s="14" t="e">
        <x:f>IF(OR('Calc'!$B$8&lt;1,'Calc'!$B$8&lt;=0),0,SUMPRODUCT((Calc!$A$22:$A$381&gt;=1)*(Calc!$A$22:$A$381&lt;='Calc'!$B$8)*Calc!$L$22:$L$381)/(('Calc'!$B$8)-(1)+1))</x:f>
      </x:c>
      <x:c r="AH13" s="14" t="e">
        <x:f>IF(OR('Calc'!$B$8&lt;1,'Calc'!$B$8&lt;=0),0,SUMPRODUCT((Calc!$A$22:$A$381&gt;=1)*(Calc!$A$22:$A$381&lt;='Calc'!$B$8)*Calc!$M$22:$M$381)/(('Calc'!$B$8)-(1)+1))</x:f>
      </x:c>
      <x:c r="AI13" s="14" t="e">
        <x:f>IF(OR('Calc'!$B$8&lt;1,'Calc'!$B$8&lt;=0),0,SUMPRODUCT((Calc!$A$22:$A$381&gt;=1)*(Calc!$A$22:$A$381&lt;='Calc'!$B$8)*Calc!$N$22:$N$381)/(('Calc'!$B$8)-(1)+1))</x:f>
      </x:c>
      <x:c r="AJ13" s="14" t="e">
        <x:f>INDEX(Calc!$J$21:$J$381,'Calc'!$B$8+1)</x:f>
      </x:c>
      <x:c r="AK13" s="14" t="e">
        <x:f>INDEX(Calc!$K$21:$K$381,'Calc'!$B$8+1)</x:f>
      </x:c>
    </x:row>
    <x:row r="14">
      <x:c r="A14" s="10"/>
      <x:c r="B14" s="10"/>
      <x:c r="C14" s="10"/>
      <x:c r="D14" s="12" t="str">
        <x:f>'财富模型'!$H$6</x:f>
        <x:v>C: LG 2B2B</x:v>
      </x:c>
      <x:c r="E14" s="12" t="n">
        <x:f>--('财富模型'!$J$6="rent")</x:f>
        <x:v>0</x:v>
      </x:c>
      <x:c r="F14" s="12" t="n">
        <x:f>'财富模型'!$K$6</x:f>
        <x:v>1513888</x:v>
      </x:c>
      <x:c r="G14" s="12" t="n">
        <x:f>'财富模型'!$N$6</x:f>
        <x:v>0.02</x:v>
      </x:c>
      <x:c r="H14" s="12" t="n">
        <x:f>ROUND('Calc'!$F$14*'财富模型'!$E$15,0)</x:f>
        <x:v>1135416</x:v>
      </x:c>
      <x:c r="I14" s="12" t="n">
        <x:f>MIN('Calc'!$H$14,'财富模型'!$E$14)</x:f>
        <x:v>1100000</x:v>
      </x:c>
      <x:c r="J14" s="12" t="n">
        <x:f>--('Calc'!$I$14&lt;'Calc'!$H$14)</x:f>
        <x:v>1</x:v>
      </x:c>
      <x:c r="K14" s="12" t="n">
        <x:f>MAX('Calc'!$F$14-'Calc'!$I$14,0)</x:f>
        <x:v>413888</x:v>
      </x:c>
      <x:c r="L14" s="12" t="n">
        <x:f>IF('Calc'!$F$14=0,0,'Calc'!$K$14/'Calc'!$F$14)</x:f>
        <x:v>0.27339406878183853</x:v>
      </x:c>
      <x:c r="M14" s="14" t="n">
        <x:f>ROUND(
MAX(MIN('Calc'!$F$14-'Lookups'!$G$2,'Lookups'!$H$2),0)*'Lookups'!$I$2+
MAX(MIN('Calc'!$F$14-'Lookups'!$G$3,'Lookups'!$H$3),0)*'Lookups'!$I$3+
MAX(MIN('Calc'!$F$14-'Lookups'!$G$4,'Lookups'!$H$4),0)*'Lookups'!$I$4+
MAX(MIN('Calc'!$F$14-'Lookups'!$G$5,'Lookups'!$H$5),0)*'Lookups'!$I$5+
MAX(MIN('Calc'!$F$14-'Lookups'!$G$6,'Lookups'!$H$6),0)*'Lookups'!$I$6+
MAX(MIN('Calc'!$F$14-'Lookups'!$G$7,'Lookups'!$H$7),0)*'Lookups'!$I$7
,0)</x:f>
        <x:v>45294</x:v>
      </x:c>
      <x:c r="N14" s="14" t="n">
        <x:f>ROUND('Calc'!$F$14*'财富模型'!$E$16,0)</x:f>
        <x:v>75694</x:v>
      </x:c>
      <x:c r="O14" s="14" t="n">
        <x:f>ROUND('Calc'!$F$14*'财富模型'!$E$18,0)</x:f>
        <x:v>75694</x:v>
      </x:c>
      <x:c r="P14" s="14" t="n">
        <x:f>MAX('Calc'!$K$14-'Calc'!$O$14,0)</x:f>
        <x:v>338194</x:v>
      </x:c>
      <x:c r="Q14" s="14" t="n">
        <x:f>MIN('Calc'!$P$14,'财富模型'!$B$6+'财富模型'!$B$10)</x:f>
        <x:v>0</x:v>
      </x:c>
      <x:c r="R14" s="14" t="n">
        <x:f>MAX('Calc'!$P$14-'Calc'!$Q$14,0)</x:f>
        <x:v>338194</x:v>
      </x:c>
      <x:c r="S14" s="14" t="n">
        <x:f>'Calc'!$O$14+'Calc'!$M$14+'Calc'!$N$14+'财富模型'!$E$17+'Calc'!$R$14</x:f>
        <x:v>539876</x:v>
      </x:c>
      <x:c r="T14" s="14" t="n">
        <x:f>'Calc'!$S$14+'Calc'!$Q$14</x:f>
        <x:v>539876</x:v>
      </x:c>
      <x:c r="U14" s="14" t="n">
        <x:f>MAX('财富模型'!$E$4*1000-'Calc'!$S$14,0)</x:f>
        <x:v>260124</x:v>
      </x:c>
      <x:c r="V14" s="14" t="n">
        <x:f>IF('Calc'!$E$14=1,'财富模型'!$B$6+'财富模型'!$B$10,MAX('财富模型'!$B$6+'财富模型'!$B$10-'Calc'!$Q$14,0))</x:f>
        <x:v>0</x:v>
      </x:c>
      <x:c r="W14" s="14" t="n">
        <x:f>IF('Calc'!$E$14=1,0,IF('Calc'!$I$14&lt;=0,0,IF('财富模型'!$E$19&lt;=0,0,ROUND(IF('财富模型'!$E$10=0,'Calc'!$I$14/(('财富模型'!$E$19)*12),'Calc'!$I$14*('财富模型'!$E$10)/12*(1+('财富模型'!$E$10)/12)^(('财富模型'!$E$19)*12)/(((1+('财富模型'!$E$10)/12)^(('财富模型'!$E$19)*12))-1)),0))))</x:f>
        <x:v>3796</x:v>
      </x:c>
      <x:c r="X14" s="14" t="e">
        <x:f>IF('Calc'!$E$14=1,0,IF('Calc'!$I$14&lt;=0,0,IF('财富模型'!$E$11&lt;=0,'Calc'!$I$14,IF('财富模型'!$E$11&gt;='财富模型'!$E$19,0,IF('财富模型'!$E$10=0,'Calc'!$I$14*(1-((('财富模型'!$E$11)/('财富模型'!$E$19)))),'Calc'!$I$14*(((1+('财富模型'!$E$10)/12)^(('财富模型'!$E$19)*12))-((1+('财富模型'!$E$10)/12)^(('财富模型'!$E$11)*12)))/(((1+('财富模型'!$E$10)/12)^(('财富模型'!$E$19)*12))-1)))))))</x:f>
      </x:c>
      <x:c r="Y14" s="14" t="e">
        <x:f>IF('Calc'!$E$14=1,0,IF('Calc'!$X$14&lt;=0,0,IF(MAX('财富模型'!$E$19-'财富模型'!$E$11,1)&lt;=0,0,ROUND(IF('财富模型'!$E$12=0,'Calc'!$X$14/((MAX('财富模型'!$E$19-'财富模型'!$E$11,1))*12),'Calc'!$X$14*('财富模型'!$E$12)/12*(1+('财富模型'!$E$12)/12)^((MAX('财富模型'!$E$19-'财富模型'!$E$11,1))*12)/(((1+('财富模型'!$E$12)/12)^((MAX('财富模型'!$E$19-'财富模型'!$E$11,1))*12))-1)),0))))</x:f>
      </x:c>
      <x:c r="Z14" s="14" t="e">
        <x:f>IF('Calc'!$E$14=1,0,'Calc'!$F$14*(1+'Calc'!$G$14)^'财富模型'!$E$13-IF('财富模型'!$E$13&lt;='财富模型'!$E$11,IF('Calc'!$I$14&lt;=0,0,IF('财富模型'!$E$13&lt;=0,'Calc'!$I$14,IF('财富模型'!$E$13&gt;='财富模型'!$E$19,0,IF('财富模型'!$E$10=0,'Calc'!$I$14*(1-((('财富模型'!$E$13)/('财富模型'!$E$19)))),'Calc'!$I$14*(((1+('财富模型'!$E$10)/12)^(('财富模型'!$E$19)*12))-((1+('财富模型'!$E$10)/12)^(('财富模型'!$E$13)*12)))/(((1+('财富模型'!$E$10)/12)^(('财富模型'!$E$19)*12))-1)))))),IF('Calc'!$X$14&lt;=0,0,IF('财富模型'!$E$13-'财富模型'!$E$11&lt;=0,'Calc'!$X$14,IF('财富模型'!$E$13-'财富模型'!$E$11&gt;=MAX('财富模型'!$E$19-'财富模型'!$E$11,1),0,IF('财富模型'!$E$12=0,'Calc'!$X$14*(1-((('财富模型'!$E$13-'财富模型'!$E$11)/(MAX('财富模型'!$E$19-'财富模型'!$E$11,1))))),'Calc'!$X$14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4" s="14" t="e">
        <x:f>'Calc'!$AJ$14+'Calc'!$AK$14+'Calc'!$Z$14</x:f>
      </x:c>
      <x:c r="AB14" s="16" t="e">
        <x:f>IF(OR('Calc'!$B$7&lt;=0,'Calc'!$AA$14&lt;=0,'财富模型'!$E$13&lt;=0),"",('Calc'!$AA$14/'Calc'!$B$7)^(1/'财富模型'!$E$13)-1)</x:f>
      </x:c>
      <x:c r="AC14" s="14" t="e">
        <x:f>IF(OR('Calc'!$B$9&lt;1,'Calc'!$B$9&lt;=0),0,SUMPRODUCT((Calc!$A$22:$A$381&gt;=1)*(Calc!$A$22:$A$381&lt;='Calc'!$B$9)*Calc!$T$22:$T$381)/(('Calc'!$B$9)-(1)+1))</x:f>
      </x:c>
      <x:c r="AD14" s="14" t="e">
        <x:f>IF(OR('Calc'!$B$9&lt;1,'Calc'!$B$9&lt;=0),0,SUMPRODUCT((Calc!$A$22:$A$381&gt;=1)*(Calc!$A$22:$A$381&lt;='Calc'!$B$9)*Calc!$U$22:$U$381)/(('Calc'!$B$9)-(1)+1))</x:f>
      </x:c>
      <x:c r="AE14" s="14" t="e">
        <x:f>IF(OR('Calc'!$B$8&lt;'Calc'!$B$10,'Calc'!$B$8&lt;=0),0,SUMPRODUCT((Calc!$A$22:$A$381&gt;='Calc'!$B$10)*(Calc!$A$22:$A$381&lt;='Calc'!$B$8)*Calc!$T$22:$T$381)/(('Calc'!$B$8)-('Calc'!$B$10)+1))</x:f>
      </x:c>
      <x:c r="AF14" s="14" t="e">
        <x:f>IF(OR('Calc'!$B$8&lt;'Calc'!$B$10,'Calc'!$B$8&lt;=0),0,SUMPRODUCT((Calc!$A$22:$A$381&gt;='Calc'!$B$10)*(Calc!$A$22:$A$381&lt;='Calc'!$B$8)*Calc!$U$22:$U$381)/(('Calc'!$B$8)-('Calc'!$B$10)+1))</x:f>
      </x:c>
      <x:c r="AG14" s="14" t="e">
        <x:f>IF(OR('Calc'!$B$8&lt;1,'Calc'!$B$8&lt;=0),0,SUMPRODUCT((Calc!$A$22:$A$381&gt;=1)*(Calc!$A$22:$A$381&lt;='Calc'!$B$8)*Calc!$T$22:$T$381)/(('Calc'!$B$8)-(1)+1))</x:f>
      </x:c>
      <x:c r="AH14" s="14" t="e">
        <x:f>IF(OR('Calc'!$B$8&lt;1,'Calc'!$B$8&lt;=0),0,SUMPRODUCT((Calc!$A$22:$A$381&gt;=1)*(Calc!$A$22:$A$381&lt;='Calc'!$B$8)*Calc!$U$22:$U$381)/(('Calc'!$B$8)-(1)+1))</x:f>
      </x:c>
      <x:c r="AI14" s="14" t="e">
        <x:f>IF(OR('Calc'!$B$8&lt;1,'Calc'!$B$8&lt;=0),0,SUMPRODUCT((Calc!$A$22:$A$381&gt;=1)*(Calc!$A$22:$A$381&lt;='Calc'!$B$8)*Calc!$V$22:$V$381)/(('Calc'!$B$8)-(1)+1))</x:f>
      </x:c>
      <x:c r="AJ14" s="14" t="e">
        <x:f>INDEX(Calc!$R$21:$R$381,'Calc'!$B$8+1)</x:f>
      </x:c>
      <x:c r="AK14" s="14" t="e">
        <x:f>INDEX(Calc!$S$21:$S$381,'Calc'!$B$8+1)</x:f>
      </x:c>
    </x:row>
    <x:row r="15">
      <x:c r="A15" s="10"/>
      <x:c r="B15" s="10"/>
      <x:c r="C15" s="10"/>
      <x:c r="D15" s="12" t="str">
        <x:f>'财富模型'!$H$7</x:f>
        <x:v>D: LG 3B2B</x:v>
      </x:c>
      <x:c r="E15" s="12" t="n">
        <x:f>--('财富模型'!$J$7="rent")</x:f>
        <x:v>0</x:v>
      </x:c>
      <x:c r="F15" s="12" t="n">
        <x:f>'财富模型'!$K$7</x:f>
        <x:v>1739000</x:v>
      </x:c>
      <x:c r="G15" s="12" t="n">
        <x:f>'财富模型'!$N$7</x:f>
        <x:v>0.02</x:v>
      </x:c>
      <x:c r="H15" s="12" t="n">
        <x:f>ROUND('Calc'!$F$15*'财富模型'!$E$15,0)</x:f>
        <x:v>1304250</x:v>
      </x:c>
      <x:c r="I15" s="12" t="n">
        <x:f>MIN('Calc'!$H$15,'财富模型'!$E$14)</x:f>
        <x:v>1100000</x:v>
      </x:c>
      <x:c r="J15" s="12" t="n">
        <x:f>--('Calc'!$I$15&lt;'Calc'!$H$15)</x:f>
        <x:v>1</x:v>
      </x:c>
      <x:c r="K15" s="12" t="n">
        <x:f>MAX('Calc'!$F$15-'Calc'!$I$15,0)</x:f>
        <x:v>639000</x:v>
      </x:c>
      <x:c r="L15" s="12" t="n">
        <x:f>IF('Calc'!$F$15=0,0,'Calc'!$K$15/'Calc'!$F$15)</x:f>
        <x:v>0.36745255894192064</x:v>
      </x:c>
      <x:c r="M15" s="14" t="n">
        <x:f>ROUND(
MAX(MIN('Calc'!$F$15-'Lookups'!$G$2,'Lookups'!$H$2),0)*'Lookups'!$I$2+
MAX(MIN('Calc'!$F$15-'Lookups'!$G$3,'Lookups'!$H$3),0)*'Lookups'!$I$3+
MAX(MIN('Calc'!$F$15-'Lookups'!$G$4,'Lookups'!$H$4),0)*'Lookups'!$I$4+
MAX(MIN('Calc'!$F$15-'Lookups'!$G$5,'Lookups'!$H$5),0)*'Lookups'!$I$5+
MAX(MIN('Calc'!$F$15-'Lookups'!$G$6,'Lookups'!$H$6),0)*'Lookups'!$I$6+
MAX(MIN('Calc'!$F$15-'Lookups'!$G$7,'Lookups'!$H$7),0)*'Lookups'!$I$7
,0)</x:f>
        <x:v>56550</x:v>
      </x:c>
      <x:c r="N15" s="14" t="n">
        <x:f>ROUND('Calc'!$F$15*'财富模型'!$E$16,0)</x:f>
        <x:v>86950</x:v>
      </x:c>
      <x:c r="O15" s="14" t="n">
        <x:f>ROUND('Calc'!$F$15*'财富模型'!$E$18,0)</x:f>
        <x:v>86950</x:v>
      </x:c>
      <x:c r="P15" s="14" t="n">
        <x:f>MAX('Calc'!$K$15-'Calc'!$O$15,0)</x:f>
        <x:v>552050</x:v>
      </x:c>
      <x:c r="Q15" s="14" t="n">
        <x:f>MIN('Calc'!$P$15,'财富模型'!$B$6+'财富模型'!$B$10)</x:f>
        <x:v>0</x:v>
      </x:c>
      <x:c r="R15" s="14" t="n">
        <x:f>MAX('Calc'!$P$15-'Calc'!$Q$15,0)</x:f>
        <x:v>552050</x:v>
      </x:c>
      <x:c r="S15" s="14" t="n">
        <x:f>'Calc'!$O$15+'Calc'!$M$15+'Calc'!$N$15+'财富模型'!$E$17+'Calc'!$R$15</x:f>
        <x:v>787500</x:v>
      </x:c>
      <x:c r="T15" s="14" t="n">
        <x:f>'Calc'!$S$15+'Calc'!$Q$15</x:f>
        <x:v>787500</x:v>
      </x:c>
      <x:c r="U15" s="14" t="n">
        <x:f>MAX('财富模型'!$E$4*1000-'Calc'!$S$15,0)</x:f>
        <x:v>12500</x:v>
      </x:c>
      <x:c r="V15" s="14" t="n">
        <x:f>IF('Calc'!$E$15=1,'财富模型'!$B$6+'财富模型'!$B$10,MAX('财富模型'!$B$6+'财富模型'!$B$10-'Calc'!$Q$15,0))</x:f>
        <x:v>0</x:v>
      </x:c>
      <x:c r="W15" s="14" t="n">
        <x:f>IF('Calc'!$E$15=1,0,IF('Calc'!$I$15&lt;=0,0,IF('财富模型'!$E$19&lt;=0,0,ROUND(IF('财富模型'!$E$10=0,'Calc'!$I$15/(('财富模型'!$E$19)*12),'Calc'!$I$15*('财富模型'!$E$10)/12*(1+('财富模型'!$E$10)/12)^(('财富模型'!$E$19)*12)/(((1+('财富模型'!$E$10)/12)^(('财富模型'!$E$19)*12))-1)),0))))</x:f>
        <x:v>3796</x:v>
      </x:c>
      <x:c r="X15" s="14" t="e">
        <x:f>IF('Calc'!$E$15=1,0,IF('Calc'!$I$15&lt;=0,0,IF('财富模型'!$E$11&lt;=0,'Calc'!$I$15,IF('财富模型'!$E$11&gt;='财富模型'!$E$19,0,IF('财富模型'!$E$10=0,'Calc'!$I$15*(1-((('财富模型'!$E$11)/('财富模型'!$E$19)))),'Calc'!$I$15*(((1+('财富模型'!$E$10)/12)^(('财富模型'!$E$19)*12))-((1+('财富模型'!$E$10)/12)^(('财富模型'!$E$11)*12)))/(((1+('财富模型'!$E$10)/12)^(('财富模型'!$E$19)*12))-1)))))))</x:f>
      </x:c>
      <x:c r="Y15" s="14" t="e">
        <x:f>IF('Calc'!$E$15=1,0,IF('Calc'!$X$15&lt;=0,0,IF(MAX('财富模型'!$E$19-'财富模型'!$E$11,1)&lt;=0,0,ROUND(IF('财富模型'!$E$12=0,'Calc'!$X$15/((MAX('财富模型'!$E$19-'财富模型'!$E$11,1))*12),'Calc'!$X$15*('财富模型'!$E$12)/12*(1+('财富模型'!$E$12)/12)^((MAX('财富模型'!$E$19-'财富模型'!$E$11,1))*12)/(((1+('财富模型'!$E$12)/12)^((MAX('财富模型'!$E$19-'财富模型'!$E$11,1))*12))-1)),0))))</x:f>
      </x:c>
      <x:c r="Z15" s="14" t="e">
        <x:f>IF('Calc'!$E$15=1,0,'Calc'!$F$15*(1+'Calc'!$G$15)^'财富模型'!$E$13-IF('财富模型'!$E$13&lt;='财富模型'!$E$11,IF('Calc'!$I$15&lt;=0,0,IF('财富模型'!$E$13&lt;=0,'Calc'!$I$15,IF('财富模型'!$E$13&gt;='财富模型'!$E$19,0,IF('财富模型'!$E$10=0,'Calc'!$I$15*(1-((('财富模型'!$E$13)/('财富模型'!$E$19)))),'Calc'!$I$15*(((1+('财富模型'!$E$10)/12)^(('财富模型'!$E$19)*12))-((1+('财富模型'!$E$10)/12)^(('财富模型'!$E$13)*12)))/(((1+('财富模型'!$E$10)/12)^(('财富模型'!$E$19)*12))-1)))))),IF('Calc'!$X$15&lt;=0,0,IF('财富模型'!$E$13-'财富模型'!$E$11&lt;=0,'Calc'!$X$15,IF('财富模型'!$E$13-'财富模型'!$E$11&gt;=MAX('财富模型'!$E$19-'财富模型'!$E$11,1),0,IF('财富模型'!$E$12=0,'Calc'!$X$15*(1-((('财富模型'!$E$13-'财富模型'!$E$11)/(MAX('财富模型'!$E$19-'财富模型'!$E$11,1))))),'Calc'!$X$15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5" s="14" t="e">
        <x:f>'Calc'!$AJ$15+'Calc'!$AK$15+'Calc'!$Z$15</x:f>
      </x:c>
      <x:c r="AB15" s="16" t="e">
        <x:f>IF(OR('Calc'!$B$7&lt;=0,'Calc'!$AA$15&lt;=0,'财富模型'!$E$13&lt;=0),"",('Calc'!$AA$15/'Calc'!$B$7)^(1/'财富模型'!$E$13)-1)</x:f>
      </x:c>
      <x:c r="AC15" s="14" t="e">
        <x:f>IF(OR('Calc'!$B$9&lt;1,'Calc'!$B$9&lt;=0),0,SUMPRODUCT((Calc!$A$22:$A$381&gt;=1)*(Calc!$A$22:$A$381&lt;='Calc'!$B$9)*Calc!$AB$22:$AB$381)/(('Calc'!$B$9)-(1)+1))</x:f>
      </x:c>
      <x:c r="AD15" s="14" t="e">
        <x:f>IF(OR('Calc'!$B$9&lt;1,'Calc'!$B$9&lt;=0),0,SUMPRODUCT((Calc!$A$22:$A$381&gt;=1)*(Calc!$A$22:$A$381&lt;='Calc'!$B$9)*Calc!$AC$22:$AC$381)/(('Calc'!$B$9)-(1)+1))</x:f>
      </x:c>
      <x:c r="AE15" s="14" t="e">
        <x:f>IF(OR('Calc'!$B$8&lt;'Calc'!$B$10,'Calc'!$B$8&lt;=0),0,SUMPRODUCT((Calc!$A$22:$A$381&gt;='Calc'!$B$10)*(Calc!$A$22:$A$381&lt;='Calc'!$B$8)*Calc!$AB$22:$AB$381)/(('Calc'!$B$8)-('Calc'!$B$10)+1))</x:f>
      </x:c>
      <x:c r="AF15" s="14" t="e">
        <x:f>IF(OR('Calc'!$B$8&lt;'Calc'!$B$10,'Calc'!$B$8&lt;=0),0,SUMPRODUCT((Calc!$A$22:$A$381&gt;='Calc'!$B$10)*(Calc!$A$22:$A$381&lt;='Calc'!$B$8)*Calc!$AC$22:$AC$381)/(('Calc'!$B$8)-('Calc'!$B$10)+1))</x:f>
      </x:c>
      <x:c r="AG15" s="14" t="e">
        <x:f>IF(OR('Calc'!$B$8&lt;1,'Calc'!$B$8&lt;=0),0,SUMPRODUCT((Calc!$A$22:$A$381&gt;=1)*(Calc!$A$22:$A$381&lt;='Calc'!$B$8)*Calc!$AB$22:$AB$381)/(('Calc'!$B$8)-(1)+1))</x:f>
      </x:c>
      <x:c r="AH15" s="14" t="e">
        <x:f>IF(OR('Calc'!$B$8&lt;1,'Calc'!$B$8&lt;=0),0,SUMPRODUCT((Calc!$A$22:$A$381&gt;=1)*(Calc!$A$22:$A$381&lt;='Calc'!$B$8)*Calc!$AC$22:$AC$381)/(('Calc'!$B$8)-(1)+1))</x:f>
      </x:c>
      <x:c r="AI15" s="14" t="e">
        <x:f>IF(OR('Calc'!$B$8&lt;1,'Calc'!$B$8&lt;=0),0,SUMPRODUCT((Calc!$A$22:$A$381&gt;=1)*(Calc!$A$22:$A$381&lt;='Calc'!$B$8)*Calc!$AD$22:$AD$381)/(('Calc'!$B$8)-(1)+1))</x:f>
      </x:c>
      <x:c r="AJ15" s="14" t="e">
        <x:f>INDEX(Calc!$Z$21:$Z$381,'Calc'!$B$8+1)</x:f>
      </x:c>
      <x:c r="AK15" s="14" t="e">
        <x:f>INDEX(Calc!$AA$21:$AA$381,'Calc'!$B$8+1)</x:f>
      </x:c>
    </x:row>
    <x:row r="16">
      <x:c r="A16" s="10"/>
      <x:c r="B16" s="10"/>
      <x:c r="C16" s="10"/>
      <x:c r="D16" s="12" t="str">
        <x:f>'财富模型'!$H$8</x:f>
        <x:v>E: LV 3B2B</x:v>
      </x:c>
      <x:c r="E16" s="12" t="n">
        <x:f>--('财富模型'!$J$8="rent")</x:f>
        <x:v>0</x:v>
      </x:c>
      <x:c r="F16" s="12" t="n">
        <x:f>'财富模型'!$K$8</x:f>
        <x:v>1795000</x:v>
      </x:c>
      <x:c r="G16" s="12" t="n">
        <x:f>'财富模型'!$N$8</x:f>
        <x:v>0.02</x:v>
      </x:c>
      <x:c r="H16" s="12" t="n">
        <x:f>ROUND('Calc'!$F$16*'财富模型'!$E$15,0)</x:f>
        <x:v>1346250</x:v>
      </x:c>
      <x:c r="I16" s="12" t="n">
        <x:f>MIN('Calc'!$H$16,'财富模型'!$E$14)</x:f>
        <x:v>1100000</x:v>
      </x:c>
      <x:c r="J16" s="12" t="n">
        <x:f>--('Calc'!$I$16&lt;'Calc'!$H$16)</x:f>
        <x:v>1</x:v>
      </x:c>
      <x:c r="K16" s="12" t="n">
        <x:f>MAX('Calc'!$F$16-'Calc'!$I$16,0)</x:f>
        <x:v>695000</x:v>
      </x:c>
      <x:c r="L16" s="12" t="n">
        <x:f>IF('Calc'!$F$16=0,0,'Calc'!$K$16/'Calc'!$F$16)</x:f>
        <x:v>0.3871866295264624</x:v>
      </x:c>
      <x:c r="M16" s="14" t="n">
        <x:f>ROUND(
MAX(MIN('Calc'!$F$16-'Lookups'!$G$2,'Lookups'!$H$2),0)*'Lookups'!$I$2+
MAX(MIN('Calc'!$F$16-'Lookups'!$G$3,'Lookups'!$H$3),0)*'Lookups'!$I$3+
MAX(MIN('Calc'!$F$16-'Lookups'!$G$4,'Lookups'!$H$4),0)*'Lookups'!$I$4+
MAX(MIN('Calc'!$F$16-'Lookups'!$G$5,'Lookups'!$H$5),0)*'Lookups'!$I$5+
MAX(MIN('Calc'!$F$16-'Lookups'!$G$6,'Lookups'!$H$6),0)*'Lookups'!$I$6+
MAX(MIN('Calc'!$F$16-'Lookups'!$G$7,'Lookups'!$H$7),0)*'Lookups'!$I$7
,0)</x:f>
        <x:v>59350</x:v>
      </x:c>
      <x:c r="N16" s="14" t="n">
        <x:f>ROUND('Calc'!$F$16*'财富模型'!$E$16,0)</x:f>
        <x:v>89750</x:v>
      </x:c>
      <x:c r="O16" s="14" t="n">
        <x:f>ROUND('Calc'!$F$16*'财富模型'!$E$18,0)</x:f>
        <x:v>89750</x:v>
      </x:c>
      <x:c r="P16" s="14" t="n">
        <x:f>MAX('Calc'!$K$16-'Calc'!$O$16,0)</x:f>
        <x:v>605250</x:v>
      </x:c>
      <x:c r="Q16" s="14" t="n">
        <x:f>MIN('Calc'!$P$16,'财富模型'!$B$6+'财富模型'!$B$10)</x:f>
        <x:v>0</x:v>
      </x:c>
      <x:c r="R16" s="14" t="n">
        <x:f>MAX('Calc'!$P$16-'Calc'!$Q$16,0)</x:f>
        <x:v>605250</x:v>
      </x:c>
      <x:c r="S16" s="14" t="n">
        <x:f>'Calc'!$O$16+'Calc'!$M$16+'Calc'!$N$16+'财富模型'!$E$17+'Calc'!$R$16</x:f>
        <x:v>849100</x:v>
      </x:c>
      <x:c r="T16" s="14" t="n">
        <x:f>'Calc'!$S$16+'Calc'!$Q$16</x:f>
        <x:v>849100</x:v>
      </x:c>
      <x:c r="U16" s="14" t="n">
        <x:f>MAX('财富模型'!$E$4*1000-'Calc'!$S$16,0)</x:f>
        <x:v>0</x:v>
      </x:c>
      <x:c r="V16" s="14" t="n">
        <x:f>IF('Calc'!$E$16=1,'财富模型'!$B$6+'财富模型'!$B$10,MAX('财富模型'!$B$6+'财富模型'!$B$10-'Calc'!$Q$16,0))</x:f>
        <x:v>0</x:v>
      </x:c>
      <x:c r="W16" s="14" t="n">
        <x:f>IF('Calc'!$E$16=1,0,IF('Calc'!$I$16&lt;=0,0,IF('财富模型'!$E$19&lt;=0,0,ROUND(IF('财富模型'!$E$10=0,'Calc'!$I$16/(('财富模型'!$E$19)*12),'Calc'!$I$16*('财富模型'!$E$10)/12*(1+('财富模型'!$E$10)/12)^(('财富模型'!$E$19)*12)/(((1+('财富模型'!$E$10)/12)^(('财富模型'!$E$19)*12))-1)),0))))</x:f>
        <x:v>3796</x:v>
      </x:c>
      <x:c r="X16" s="14" t="e">
        <x:f>IF('Calc'!$E$16=1,0,IF('Calc'!$I$16&lt;=0,0,IF('财富模型'!$E$11&lt;=0,'Calc'!$I$16,IF('财富模型'!$E$11&gt;='财富模型'!$E$19,0,IF('财富模型'!$E$10=0,'Calc'!$I$16*(1-((('财富模型'!$E$11)/('财富模型'!$E$19)))),'Calc'!$I$16*(((1+('财富模型'!$E$10)/12)^(('财富模型'!$E$19)*12))-((1+('财富模型'!$E$10)/12)^(('财富模型'!$E$11)*12)))/(((1+('财富模型'!$E$10)/12)^(('财富模型'!$E$19)*12))-1)))))))</x:f>
      </x:c>
      <x:c r="Y16" s="14" t="e">
        <x:f>IF('Calc'!$E$16=1,0,IF('Calc'!$X$16&lt;=0,0,IF(MAX('财富模型'!$E$19-'财富模型'!$E$11,1)&lt;=0,0,ROUND(IF('财富模型'!$E$12=0,'Calc'!$X$16/((MAX('财富模型'!$E$19-'财富模型'!$E$11,1))*12),'Calc'!$X$16*('财富模型'!$E$12)/12*(1+('财富模型'!$E$12)/12)^((MAX('财富模型'!$E$19-'财富模型'!$E$11,1))*12)/(((1+('财富模型'!$E$12)/12)^((MAX('财富模型'!$E$19-'财富模型'!$E$11,1))*12))-1)),0))))</x:f>
      </x:c>
      <x:c r="Z16" s="14" t="e">
        <x:f>IF('Calc'!$E$16=1,0,'Calc'!$F$16*(1+'Calc'!$G$16)^'财富模型'!$E$13-IF('财富模型'!$E$13&lt;='财富模型'!$E$11,IF('Calc'!$I$16&lt;=0,0,IF('财富模型'!$E$13&lt;=0,'Calc'!$I$16,IF('财富模型'!$E$13&gt;='财富模型'!$E$19,0,IF('财富模型'!$E$10=0,'Calc'!$I$16*(1-((('财富模型'!$E$13)/('财富模型'!$E$19)))),'Calc'!$I$16*(((1+('财富模型'!$E$10)/12)^(('财富模型'!$E$19)*12))-((1+('财富模型'!$E$10)/12)^(('财富模型'!$E$13)*12)))/(((1+('财富模型'!$E$10)/12)^(('财富模型'!$E$19)*12))-1)))))),IF('Calc'!$X$16&lt;=0,0,IF('财富模型'!$E$13-'财富模型'!$E$11&lt;=0,'Calc'!$X$16,IF('财富模型'!$E$13-'财富模型'!$E$11&gt;=MAX('财富模型'!$E$19-'财富模型'!$E$11,1),0,IF('财富模型'!$E$12=0,'Calc'!$X$16*(1-((('财富模型'!$E$13-'财富模型'!$E$11)/(MAX('财富模型'!$E$19-'财富模型'!$E$11,1))))),'Calc'!$X$16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6" s="14" t="e">
        <x:f>'Calc'!$AJ$16+'Calc'!$AK$16+'Calc'!$Z$16</x:f>
      </x:c>
      <x:c r="AB16" s="16" t="e">
        <x:f>IF(OR('Calc'!$B$7&lt;=0,'Calc'!$AA$16&lt;=0,'财富模型'!$E$13&lt;=0),"",('Calc'!$AA$16/'Calc'!$B$7)^(1/'财富模型'!$E$13)-1)</x:f>
      </x:c>
      <x:c r="AC16" s="14" t="e">
        <x:f>IF(OR('Calc'!$B$9&lt;1,'Calc'!$B$9&lt;=0),0,SUMPRODUCT((Calc!$A$22:$A$381&gt;=1)*(Calc!$A$22:$A$381&lt;='Calc'!$B$9)*Calc!$AJ$22:$AJ$381)/(('Calc'!$B$9)-(1)+1))</x:f>
      </x:c>
      <x:c r="AD16" s="14" t="e">
        <x:f>IF(OR('Calc'!$B$9&lt;1,'Calc'!$B$9&lt;=0),0,SUMPRODUCT((Calc!$A$22:$A$381&gt;=1)*(Calc!$A$22:$A$381&lt;='Calc'!$B$9)*Calc!$AK$22:$AK$381)/(('Calc'!$B$9)-(1)+1))</x:f>
      </x:c>
      <x:c r="AE16" s="14" t="e">
        <x:f>IF(OR('Calc'!$B$8&lt;'Calc'!$B$10,'Calc'!$B$8&lt;=0),0,SUMPRODUCT((Calc!$A$22:$A$381&gt;='Calc'!$B$10)*(Calc!$A$22:$A$381&lt;='Calc'!$B$8)*Calc!$AJ$22:$AJ$381)/(('Calc'!$B$8)-('Calc'!$B$10)+1))</x:f>
      </x:c>
      <x:c r="AF16" s="14" t="e">
        <x:f>IF(OR('Calc'!$B$8&lt;'Calc'!$B$10,'Calc'!$B$8&lt;=0),0,SUMPRODUCT((Calc!$A$22:$A$381&gt;='Calc'!$B$10)*(Calc!$A$22:$A$381&lt;='Calc'!$B$8)*Calc!$AK$22:$AK$381)/(('Calc'!$B$8)-('Calc'!$B$10)+1))</x:f>
      </x:c>
      <x:c r="AG16" s="14" t="e">
        <x:f>IF(OR('Calc'!$B$8&lt;1,'Calc'!$B$8&lt;=0),0,SUMPRODUCT((Calc!$A$22:$A$381&gt;=1)*(Calc!$A$22:$A$381&lt;='Calc'!$B$8)*Calc!$AJ$22:$AJ$381)/(('Calc'!$B$8)-(1)+1))</x:f>
      </x:c>
      <x:c r="AH16" s="14" t="e">
        <x:f>IF(OR('Calc'!$B$8&lt;1,'Calc'!$B$8&lt;=0),0,SUMPRODUCT((Calc!$A$22:$A$381&gt;=1)*(Calc!$A$22:$A$381&lt;='Calc'!$B$8)*Calc!$AK$22:$AK$381)/(('Calc'!$B$8)-(1)+1))</x:f>
      </x:c>
      <x:c r="AI16" s="14" t="e">
        <x:f>IF(OR('Calc'!$B$8&lt;1,'Calc'!$B$8&lt;=0),0,SUMPRODUCT((Calc!$A$22:$A$381&gt;=1)*(Calc!$A$22:$A$381&lt;='Calc'!$B$8)*Calc!$AL$22:$AL$381)/(('Calc'!$B$8)-(1)+1))</x:f>
      </x:c>
      <x:c r="AJ16" s="14" t="e">
        <x:f>INDEX(Calc!$AH$21:$AH$381,'Calc'!$B$8+1)</x:f>
      </x:c>
      <x:c r="AK16" s="14" t="e">
        <x:f>INDEX(Calc!$AI$21:$AI$381,'Calc'!$B$8+1)</x:f>
      </x:c>
    </x:row>
    <x:row r="17">
      <x:c r="A17" s="10"/>
      <x:c r="B17" s="10"/>
      <x:c r="C17" s="10"/>
      <x:c r="D17" s="12" t="str">
        <x:f>'财富模型'!$H$9</x:f>
        <x:v>F: 纯租房</x:v>
      </x:c>
      <x:c r="E17" s="12" t="n">
        <x:f>--('财富模型'!$J$9="rent")</x:f>
        <x:v>1</x:v>
      </x:c>
      <x:c r="F17" s="12" t="n">
        <x:f>'财富模型'!$K$9</x:f>
        <x:v>0</x:v>
      </x:c>
      <x:c r="G17" s="12" t="n">
        <x:f>'财富模型'!$N$9</x:f>
        <x:v>0</x:v>
      </x:c>
      <x:c r="H17" s="12" t="n">
        <x:f>ROUND('Calc'!$F$17*'财富模型'!$E$15,0)</x:f>
        <x:v>0</x:v>
      </x:c>
      <x:c r="I17" s="12" t="n">
        <x:f>MIN('Calc'!$H$17,'财富模型'!$E$14)</x:f>
        <x:v>0</x:v>
      </x:c>
      <x:c r="J17" s="12" t="n">
        <x:f>--('Calc'!$I$17&lt;'Calc'!$H$17)</x:f>
        <x:v>0</x:v>
      </x:c>
      <x:c r="K17" s="12" t="n">
        <x:f>MAX('Calc'!$F$17-'Calc'!$I$17,0)</x:f>
        <x:v>0</x:v>
      </x:c>
      <x:c r="L17" s="12" t="n">
        <x:f>IF('Calc'!$F$17=0,0,'Calc'!$K$17/'Calc'!$F$17)</x:f>
        <x:v>0</x:v>
      </x:c>
      <x:c r="M17" s="14" t="n">
        <x:f>ROUND(
MAX(MIN('Calc'!$F$17-'Lookups'!$G$2,'Lookups'!$H$2),0)*'Lookups'!$I$2+
MAX(MIN('Calc'!$F$17-'Lookups'!$G$3,'Lookups'!$H$3),0)*'Lookups'!$I$3+
MAX(MIN('Calc'!$F$17-'Lookups'!$G$4,'Lookups'!$H$4),0)*'Lookups'!$I$4+
MAX(MIN('Calc'!$F$17-'Lookups'!$G$5,'Lookups'!$H$5),0)*'Lookups'!$I$5+
MAX(MIN('Calc'!$F$17-'Lookups'!$G$6,'Lookups'!$H$6),0)*'Lookups'!$I$6+
MAX(MIN('Calc'!$F$17-'Lookups'!$G$7,'Lookups'!$H$7),0)*'Lookups'!$I$7
,0)</x:f>
        <x:v>0</x:v>
      </x:c>
      <x:c r="N17" s="14" t="n">
        <x:f>ROUND('Calc'!$F$17*'财富模型'!$E$16,0)</x:f>
        <x:v>0</x:v>
      </x:c>
      <x:c r="O17" s="14" t="n">
        <x:f>ROUND('Calc'!$F$17*'财富模型'!$E$18,0)</x:f>
        <x:v>0</x:v>
      </x:c>
      <x:c r="P17" s="14" t="n">
        <x:f>MAX('Calc'!$K$17-'Calc'!$O$17,0)</x:f>
        <x:v>0</x:v>
      </x:c>
      <x:c r="Q17" s="14" t="n">
        <x:f>MIN('Calc'!$P$17,'财富模型'!$B$6+'财富模型'!$B$10)</x:f>
        <x:v>0</x:v>
      </x:c>
      <x:c r="R17" s="14" t="n">
        <x:f>MAX('Calc'!$P$17-'Calc'!$Q$17,0)</x:f>
        <x:v>0</x:v>
      </x:c>
      <x:c r="S17" s="14" t="n">
        <x:f>'Calc'!$O$17+'Calc'!$M$17+'Calc'!$N$17+'财富模型'!$E$17+'Calc'!$R$17</x:f>
        <x:v>5000</x:v>
      </x:c>
      <x:c r="T17" s="14" t="n">
        <x:f>'Calc'!$S$17+'Calc'!$Q$17</x:f>
        <x:v>5000</x:v>
      </x:c>
      <x:c r="U17" s="14" t="n">
        <x:f>MAX('财富模型'!$E$4*1000-'Calc'!$S$17,0)</x:f>
        <x:v>795000</x:v>
      </x:c>
      <x:c r="V17" s="14" t="n">
        <x:f>IF('Calc'!$E$17=1,'财富模型'!$B$6+'财富模型'!$B$10,MAX('财富模型'!$B$6+'财富模型'!$B$10-'Calc'!$Q$17,0))</x:f>
        <x:v>0</x:v>
      </x:c>
      <x:c r="W17" s="14" t="n">
        <x:f>IF('Calc'!$E$17=1,0,IF('Calc'!$I$17&lt;=0,0,IF('财富模型'!$E$19&lt;=0,0,ROUND(IF('财富模型'!$E$10=0,'Calc'!$I$17/(('财富模型'!$E$19)*12),'Calc'!$I$17*('财富模型'!$E$10)/12*(1+('财富模型'!$E$10)/12)^(('财富模型'!$E$19)*12)/(((1+('财富模型'!$E$10)/12)^(('财富模型'!$E$19)*12))-1)),0))))</x:f>
        <x:v>0</x:v>
      </x:c>
      <x:c r="X17" s="14" t="e">
        <x:f>IF('Calc'!$E$17=1,0,IF('Calc'!$I$17&lt;=0,0,IF('财富模型'!$E$11&lt;=0,'Calc'!$I$17,IF('财富模型'!$E$11&gt;='财富模型'!$E$19,0,IF('财富模型'!$E$10=0,'Calc'!$I$17*(1-((('财富模型'!$E$11)/('财富模型'!$E$19)))),'Calc'!$I$17*(((1+('财富模型'!$E$10)/12)^(('财富模型'!$E$19)*12))-((1+('财富模型'!$E$10)/12)^(('财富模型'!$E$11)*12)))/(((1+('财富模型'!$E$10)/12)^(('财富模型'!$E$19)*12))-1)))))))</x:f>
      </x:c>
      <x:c r="Y17" s="14" t="n">
        <x:f>IF('Calc'!$E$17=1,0,IF('Calc'!$X$17&lt;=0,0,IF(MAX('财富模型'!$E$19-'财富模型'!$E$11,1)&lt;=0,0,ROUND(IF('财富模型'!$E$12=0,'Calc'!$X$17/((MAX('财富模型'!$E$19-'财富模型'!$E$11,1))*12),'Calc'!$X$17*('财富模型'!$E$12)/12*(1+('财富模型'!$E$12)/12)^((MAX('财富模型'!$E$19-'财富模型'!$E$11,1))*12)/(((1+('财富模型'!$E$12)/12)^((MAX('财富模型'!$E$19-'财富模型'!$E$11,1))*12))-1)),0))))</x:f>
        <x:v>0</x:v>
      </x:c>
      <x:c r="Z17" s="14" t="e">
        <x:f>IF('Calc'!$E$17=1,0,'Calc'!$F$17*(1+'Calc'!$G$17)^'财富模型'!$E$13-IF('财富模型'!$E$13&lt;='财富模型'!$E$11,IF('Calc'!$I$17&lt;=0,0,IF('财富模型'!$E$13&lt;=0,'Calc'!$I$17,IF('财富模型'!$E$13&gt;='财富模型'!$E$19,0,IF('财富模型'!$E$10=0,'Calc'!$I$17*(1-((('财富模型'!$E$13)/('财富模型'!$E$19)))),'Calc'!$I$17*(((1+('财富模型'!$E$10)/12)^(('财富模型'!$E$19)*12))-((1+('财富模型'!$E$10)/12)^(('财富模型'!$E$13)*12)))/(((1+('财富模型'!$E$10)/12)^(('财富模型'!$E$19)*12))-1)))))),IF('Calc'!$X$17&lt;=0,0,IF('财富模型'!$E$13-'财富模型'!$E$11&lt;=0,'Calc'!$X$17,IF('财富模型'!$E$13-'财富模型'!$E$11&gt;=MAX('财富模型'!$E$19-'财富模型'!$E$11,1),0,IF('财富模型'!$E$12=0,'Calc'!$X$17*(1-((('财富模型'!$E$13-'财富模型'!$E$11)/(MAX('财富模型'!$E$19-'财富模型'!$E$11,1))))),'Calc'!$X$17*(((1+('财富模型'!$E$12)/12)^((MAX('财富模型'!$E$19-'财富模型'!$E$11,1))*12))-((1+('财富模型'!$E$12)/12)^(('财富模型'!$E$13-'财富模型'!$E$11)*12)))/(((1+('财富模型'!$E$12)/12)^((MAX('财富模型'!$E$19-'财富模型'!$E$11,1))*12))-1))))))))</x:f>
      </x:c>
      <x:c r="AA17" s="14" t="e">
        <x:f>'Calc'!$AJ$17+'Calc'!$AK$17+'Calc'!$Z$17</x:f>
      </x:c>
      <x:c r="AB17" s="16" t="e">
        <x:f>IF(OR('Calc'!$B$7&lt;=0,'Calc'!$AA$17&lt;=0,'财富模型'!$E$13&lt;=0),"",('Calc'!$AA$17/'Calc'!$B$7)^(1/'财富模型'!$E$13)-1)</x:f>
      </x:c>
      <x:c r="AC17" s="14" t="n">
        <x:f>IF(OR('Calc'!$B$9&lt;1,'Calc'!$B$9&lt;=0),0,SUMPRODUCT((Calc!$A$22:$A$381&gt;=1)*(Calc!$A$22:$A$381&lt;='Calc'!$B$9)*Calc!$AR$22:$AR$381)/(('Calc'!$B$9)-(1)+1))</x:f>
        <x:v>4000</x:v>
      </x:c>
      <x:c r="AD17" s="14" t="n">
        <x:f>IF(OR('Calc'!$B$9&lt;1,'Calc'!$B$9&lt;=0),0,SUMPRODUCT((Calc!$A$22:$A$381&gt;=1)*(Calc!$A$22:$A$381&lt;='Calc'!$B$9)*Calc!$AS$22:$AS$381)/(('Calc'!$B$9)-(1)+1))</x:f>
        <x:v>0</x:v>
      </x:c>
      <x:c r="AE17" s="14" t="n">
        <x:f>IF(OR('Calc'!$B$8&lt;'Calc'!$B$10,'Calc'!$B$8&lt;=0),0,SUMPRODUCT((Calc!$A$22:$A$381&gt;='Calc'!$B$10)*(Calc!$A$22:$A$381&lt;='Calc'!$B$8)*Calc!$AR$22:$AR$381)/(('Calc'!$B$8)-('Calc'!$B$10)+1))</x:f>
        <x:v>4000</x:v>
      </x:c>
      <x:c r="AF17" s="14" t="n">
        <x:f>IF(OR('Calc'!$B$8&lt;'Calc'!$B$10,'Calc'!$B$8&lt;=0),0,SUMPRODUCT((Calc!$A$22:$A$381&gt;='Calc'!$B$10)*(Calc!$A$22:$A$381&lt;='Calc'!$B$8)*Calc!$AS$22:$AS$381)/(('Calc'!$B$8)-('Calc'!$B$10)+1))</x:f>
        <x:v>0</x:v>
      </x:c>
      <x:c r="AG17" s="14" t="n">
        <x:f>IF(OR('Calc'!$B$8&lt;1,'Calc'!$B$8&lt;=0),0,SUMPRODUCT((Calc!$A$22:$A$381&gt;=1)*(Calc!$A$22:$A$381&lt;='Calc'!$B$8)*Calc!$AR$22:$AR$381)/(('Calc'!$B$8)-(1)+1))</x:f>
        <x:v>4000</x:v>
      </x:c>
      <x:c r="AH17" s="14" t="n">
        <x:f>IF(OR('Calc'!$B$8&lt;1,'Calc'!$B$8&lt;=0),0,SUMPRODUCT((Calc!$A$22:$A$381&gt;=1)*(Calc!$A$22:$A$381&lt;='Calc'!$B$8)*Calc!$AS$22:$AS$381)/(('Calc'!$B$8)-(1)+1))</x:f>
        <x:v>0</x:v>
      </x:c>
      <x:c r="AI17" s="14" t="n">
        <x:f>IF(OR('Calc'!$B$8&lt;1,'Calc'!$B$8&lt;=0),0,SUMPRODUCT((Calc!$A$22:$A$381&gt;=1)*(Calc!$A$22:$A$381&lt;='Calc'!$B$8)*Calc!$AT$22:$AT$381)/(('Calc'!$B$8)-(1)+1))</x:f>
        <x:v>3933.3333333333335</x:v>
      </x:c>
      <x:c r="AJ17" s="14" t="n">
        <x:f>INDEX(Calc!$AP$21:$AP$381,'Calc'!$B$8+1)</x:f>
        <x:v>1268189.16200727</x:v>
      </x:c>
      <x:c r="AK17" s="14" t="n">
        <x:f>INDEX(Calc!$AQ$21:$AQ$381,'Calc'!$B$8+1)</x:f>
        <x:v>143603.0952029641</x:v>
      </x:c>
    </x:row>
    <x:row r="20">
      <x:c r="A20" t="str">
        <x:v>A: LG 2B1B month</x:v>
      </x:c>
      <x:c r="B20" t="str">
        <x:v>stock</x:v>
      </x:c>
      <x:c r="C20" t="str">
        <x:v>oa</x:v>
      </x:c>
      <x:c r="D20" t="str">
        <x:v>housing_cash</x:v>
      </x:c>
      <x:c r="E20" t="str">
        <x:v>housing_oa</x:v>
      </x:c>
      <x:c r="F20" t="str">
        <x:v>investable_cash</x:v>
      </x:c>
      <x:c r="G20" t="str">
        <x:v>loan_balance</x:v>
      </x:c>
      <x:c r="I20" t="str">
        <x:v>B: LV 2B2B month</x:v>
      </x:c>
      <x:c r="J20" t="str">
        <x:v>stock</x:v>
      </x:c>
      <x:c r="K20" t="str">
        <x:v>oa</x:v>
      </x:c>
      <x:c r="L20" t="str">
        <x:v>housing_cash</x:v>
      </x:c>
      <x:c r="M20" t="str">
        <x:v>housing_oa</x:v>
      </x:c>
      <x:c r="N20" t="str">
        <x:v>investable_cash</x:v>
      </x:c>
      <x:c r="O20" t="str">
        <x:v>loan_balance</x:v>
      </x:c>
      <x:c r="Q20" t="str">
        <x:v>C: LG 2B2B month</x:v>
      </x:c>
      <x:c r="R20" t="str">
        <x:v>stock</x:v>
      </x:c>
      <x:c r="S20" t="str">
        <x:v>oa</x:v>
      </x:c>
      <x:c r="T20" t="str">
        <x:v>housing_cash</x:v>
      </x:c>
      <x:c r="U20" t="str">
        <x:v>housing_oa</x:v>
      </x:c>
      <x:c r="V20" t="str">
        <x:v>investable_cash</x:v>
      </x:c>
      <x:c r="W20" t="str">
        <x:v>loan_balance</x:v>
      </x:c>
      <x:c r="Y20" t="str">
        <x:v>D: LG 3B2B month</x:v>
      </x:c>
      <x:c r="Z20" t="str">
        <x:v>stock</x:v>
      </x:c>
      <x:c r="AA20" t="str">
        <x:v>oa</x:v>
      </x:c>
      <x:c r="AB20" t="str">
        <x:v>housing_cash</x:v>
      </x:c>
      <x:c r="AC20" t="str">
        <x:v>housing_oa</x:v>
      </x:c>
      <x:c r="AD20" t="str">
        <x:v>investable_cash</x:v>
      </x:c>
      <x:c r="AE20" t="str">
        <x:v>loan_balance</x:v>
      </x:c>
      <x:c r="AG20" t="str">
        <x:v>E: LV 3B2B month</x:v>
      </x:c>
      <x:c r="AH20" t="str">
        <x:v>stock</x:v>
      </x:c>
      <x:c r="AI20" t="str">
        <x:v>oa</x:v>
      </x:c>
      <x:c r="AJ20" t="str">
        <x:v>housing_cash</x:v>
      </x:c>
      <x:c r="AK20" t="str">
        <x:v>housing_oa</x:v>
      </x:c>
      <x:c r="AL20" t="str">
        <x:v>investable_cash</x:v>
      </x:c>
      <x:c r="AM20" t="str">
        <x:v>loan_balance</x:v>
      </x:c>
      <x:c r="AO20" t="str">
        <x:v>F: 纯租房 month</x:v>
      </x:c>
      <x:c r="AP20" t="str">
        <x:v>stock</x:v>
      </x:c>
      <x:c r="AQ20" t="str">
        <x:v>oa</x:v>
      </x:c>
      <x:c r="AR20" t="str">
        <x:v>housing_cash</x:v>
      </x:c>
      <x:c r="AS20" t="str">
        <x:v>housing_oa</x:v>
      </x:c>
      <x:c r="AT20" t="str">
        <x:v>investable_cash</x:v>
      </x:c>
      <x:c r="AU20" t="str">
        <x:v>loan_balance</x:v>
      </x:c>
    </x:row>
    <x:row r="21">
      <x:c r="A21" t="n">
        <x:v>0</x:v>
      </x:c>
      <x:c r="B21" t="n">
        <x:f>'Calc'!$U$12</x:f>
        <x:v>376900</x:v>
      </x:c>
      <x:c r="C21" t="n">
        <x:f>'Calc'!$V$12</x:f>
        <x:v>0</x:v>
      </x:c>
      <x:c r="D21" t="n">
        <x:f>0</x:f>
        <x:v>0</x:v>
      </x:c>
      <x:c r="E21" t="n">
        <x:f>0</x:f>
        <x:v>0</x:v>
      </x:c>
      <x:c r="F21" t="n">
        <x:f>0</x:f>
        <x:v>0</x:v>
      </x:c>
      <x:c r="G21" t="n">
        <x:f>'Calc'!$I$12</x:f>
        <x:v>956250</x:v>
      </x:c>
      <x:c r="I21" t="n">
        <x:v>0</x:v>
      </x:c>
      <x:c r="J21" t="n">
        <x:f>'Calc'!$U$13</x:f>
        <x:v>382000</x:v>
      </x:c>
      <x:c r="K21" t="n">
        <x:f>'Calc'!$V$13</x:f>
        <x:v>0</x:v>
      </x:c>
      <x:c r="L21" t="n">
        <x:f>0</x:f>
        <x:v>0</x:v>
      </x:c>
      <x:c r="M21" t="n">
        <x:f>0</x:f>
        <x:v>0</x:v>
      </x:c>
      <x:c r="N21" t="n">
        <x:f>0</x:f>
        <x:v>0</x:v>
      </x:c>
      <x:c r="O21" t="n">
        <x:f>'Calc'!$I$13</x:f>
        <x:v>945000</x:v>
      </x:c>
      <x:c r="Q21" t="n">
        <x:v>0</x:v>
      </x:c>
      <x:c r="R21" t="n">
        <x:f>'Calc'!$U$14</x:f>
        <x:v>260124</x:v>
      </x:c>
      <x:c r="S21" t="n">
        <x:f>'Calc'!$V$14</x:f>
        <x:v>0</x:v>
      </x:c>
      <x:c r="T21" t="n">
        <x:f>0</x:f>
        <x:v>0</x:v>
      </x:c>
      <x:c r="U21" t="n">
        <x:f>0</x:f>
        <x:v>0</x:v>
      </x:c>
      <x:c r="V21" t="n">
        <x:f>0</x:f>
        <x:v>0</x:v>
      </x:c>
      <x:c r="W21" t="n">
        <x:f>'Calc'!$I$14</x:f>
        <x:v>1100000</x:v>
      </x:c>
      <x:c r="Y21" t="n">
        <x:v>0</x:v>
      </x:c>
      <x:c r="Z21" t="n">
        <x:f>'Calc'!$U$15</x:f>
        <x:v>12500</x:v>
      </x:c>
      <x:c r="AA21" t="n">
        <x:f>'Calc'!$V$15</x:f>
        <x:v>0</x:v>
      </x:c>
      <x:c r="AB21" t="n">
        <x:f>0</x:f>
        <x:v>0</x:v>
      </x:c>
      <x:c r="AC21" t="n">
        <x:f>0</x:f>
        <x:v>0</x:v>
      </x:c>
      <x:c r="AD21" t="n">
        <x:f>0</x:f>
        <x:v>0</x:v>
      </x:c>
      <x:c r="AE21" t="n">
        <x:f>'Calc'!$I$15</x:f>
        <x:v>1100000</x:v>
      </x:c>
      <x:c r="AG21" t="n">
        <x:v>0</x:v>
      </x:c>
      <x:c r="AH21" t="n">
        <x:f>'Calc'!$U$16</x:f>
        <x:v>0</x:v>
      </x:c>
      <x:c r="AI21" t="n">
        <x:f>'Calc'!$V$16</x:f>
        <x:v>0</x:v>
      </x:c>
      <x:c r="AJ21" t="n">
        <x:f>0</x:f>
        <x:v>0</x:v>
      </x:c>
      <x:c r="AK21" t="n">
        <x:f>0</x:f>
        <x:v>0</x:v>
      </x:c>
      <x:c r="AL21" t="n">
        <x:f>0</x:f>
        <x:v>0</x:v>
      </x:c>
      <x:c r="AM21" t="n">
        <x:f>'Calc'!$I$16</x:f>
        <x:v>1100000</x:v>
      </x:c>
      <x:c r="AO21" t="n">
        <x:v>0</x:v>
      </x:c>
      <x:c r="AP21" t="n">
        <x:f>'Calc'!$U$17</x:f>
        <x:v>795000</x:v>
      </x:c>
      <x:c r="AQ21" t="n">
        <x:f>'Calc'!$V$17</x:f>
        <x:v>0</x:v>
      </x:c>
      <x:c r="AR21" t="n">
        <x:f>0</x:f>
        <x:v>0</x:v>
      </x:c>
      <x:c r="AS21" t="n">
        <x:f>0</x:f>
        <x:v>0</x:v>
      </x:c>
      <x:c r="AT21" t="n">
        <x:f>0</x:f>
        <x:v>0</x:v>
      </x:c>
      <x:c r="AU21" t="n">
        <x:f>'Calc'!$I$17</x:f>
        <x:v>0</x:v>
      </x:c>
    </x:row>
    <x:row r="22">
      <x:c r="A22" t="n">
        <x:v>1</x:v>
      </x:c>
      <x:c r="B22" t="n">
        <x:f>IF(Calc!$A$22&gt;'Calc'!$B$8,"",MAX(Calc!$B$21*(1+'财富模型'!$E$6/12)+('Calc'!$B$5-'财富模型'!$E$5-(IF('Calc'!$E$12=1,'财富模型'!$E$9,'财富模型'!$M$4+IF(Calc!$A$22&lt;='财富模型'!$E$11*12,'Calc'!$W$12,'Calc'!$Y$12)-(IF('Calc'!$E$12=1,0,MIN(Calc!$C$21*(1+'财富模型'!$E$20/12)+'Calc'!$B$6,IF(Calc!$A$22&lt;='财富模型'!$E$11*12,'Calc'!$W$12,'Calc'!$Y$12))))))),0))</x:f>
        <x:v>386219.6666666666</x:v>
      </x:c>
      <x:c r="C22" t="n">
        <x:f>IF(Calc!$A$22&gt;'Calc'!$B$8,"",MAX(Calc!$C$21*(1+'财富模型'!$E$20/12)+'Calc'!$B$6-(IF('Calc'!$E$12=1,0,MIN(Calc!$C$21*(1+'财富模型'!$E$20/12)+'Calc'!$B$6,IF(Calc!$A$22&lt;='财富模型'!$E$11*12,'Calc'!$W$12,'Calc'!$Y$12)))),0))</x:f>
        <x:v>0</x:v>
      </x:c>
      <x:c r="D22" t="n">
        <x:f>IF(Calc!$A$22&gt;'Calc'!$B$8,"",IF('Calc'!$E$12=1,'财富模型'!$E$9,'财富模型'!$M$4+IF(Calc!$A$22&lt;='财富模型'!$E$11*12,'Calc'!$W$12,'Calc'!$Y$12)-(IF('Calc'!$E$12=1,0,MIN(Calc!$C$21*(1+'财富模型'!$E$20/12)+'Calc'!$B$6,IF(Calc!$A$22&lt;='财富模型'!$E$11*12,'Calc'!$W$12,'Calc'!$Y$12))))))</x:f>
        <x:v>812.25</x:v>
      </x:c>
      <x:c r="E22" t="n">
        <x:f>IF(Calc!$A$22&gt;'Calc'!$B$8,"",IF('Calc'!$E$12=1,0,MIN(Calc!$C$21*(1+'财富模型'!$E$20/12)+'Calc'!$B$6,IF(Calc!$A$22&lt;='财富模型'!$E$11*12,'Calc'!$W$12,'Calc'!$Y$12))))</x:f>
        <x:v>2847.75</x:v>
      </x:c>
      <x:c r="F22" t="n">
        <x:f>IF(Calc!$A$22&gt;'Calc'!$B$8,"",'Calc'!$B$5-'财富模型'!$E$5-(IF('Calc'!$E$12=1,'财富模型'!$E$9,'财富模型'!$M$4+IF(Calc!$A$22&lt;='财富模型'!$E$11*12,'Calc'!$W$12,'Calc'!$Y$12)-(IF('Calc'!$E$12=1,0,MIN(Calc!$C$21*(1+'财富模型'!$E$20/12)+'Calc'!$B$6,IF(Calc!$A$22&lt;='财富模型'!$E$11*12,'Calc'!$W$12,'Calc'!$Y$12)))))))</x:f>
        <x:v>7121.083333333332</x:v>
      </x:c>
      <x:c r="G22" t="n">
        <x:f>IF(Calc!$A$22&gt;'Calc'!$B$8,"",IF('Calc'!$E$12=1,0,MAX(Calc!$G$21*(1+IF(Calc!$A$22&lt;='财富模型'!$E$11*12,'财富模型'!$E$10,'财富模型'!$E$12)/12)-IF('Calc'!$E$12=1,0,IF(Calc!$A$22&lt;='财富模型'!$E$11*12,'Calc'!$W$12,'Calc'!$Y$12)),0)))</x:f>
        <x:v>954145.3125</x:v>
      </x:c>
      <x:c r="I22" t="n">
        <x:v>1</x:v>
      </x:c>
      <x:c r="J22" t="n">
        <x:f>IF(Calc!$I$22&gt;'Calc'!$B$8,"",MAX(Calc!$J$21*(1+'财富模型'!$E$6/12)+('Calc'!$B$5-'财富模型'!$E$5-(IF('Calc'!$E$13=1,'财富模型'!$E$9,'财富模型'!$M$5+IF(Calc!$I$22&lt;='财富模型'!$E$11*12,'Calc'!$W$13,'Calc'!$Y$13)-(IF('Calc'!$E$13=1,0,MIN(Calc!$K$21*(1+'财富模型'!$E$20/12)+'Calc'!$B$6,IF(Calc!$I$22&lt;='财富模型'!$E$11*12,'Calc'!$W$13,'Calc'!$Y$13))))))),0))</x:f>
        <x:v>391318.4166666666</x:v>
      </x:c>
      <x:c r="K22" t="n">
        <x:f>IF(Calc!$I$22&gt;'Calc'!$B$8,"",MAX(Calc!$K$21*(1+'财富模型'!$E$20/12)+'Calc'!$B$6-(IF('Calc'!$E$13=1,0,MIN(Calc!$K$21*(1+'财富模型'!$E$20/12)+'Calc'!$B$6,IF(Calc!$I$22&lt;='财富模型'!$E$11*12,'Calc'!$W$13,'Calc'!$Y$13)))),0))</x:f>
        <x:v>0</x:v>
      </x:c>
      <x:c r="L22" t="n">
        <x:f>IF(Calc!$I$22&gt;'Calc'!$B$8,"",IF('Calc'!$E$13=1,'财富模型'!$E$9,'财富模型'!$M$5+IF(Calc!$I$22&lt;='财富模型'!$E$11*12,'Calc'!$W$13,'Calc'!$Y$13)-(IF('Calc'!$E$13=1,0,MIN(Calc!$K$21*(1+'财富模型'!$E$20/12)+'Calc'!$B$6,IF(Calc!$I$22&lt;='财富模型'!$E$11*12,'Calc'!$W$13,'Calc'!$Y$13))))))</x:f>
        <x:v>843.25</x:v>
      </x:c>
      <x:c r="M22" t="n">
        <x:f>IF(Calc!$I$22&gt;'Calc'!$B$8,"",IF('Calc'!$E$13=1,0,MIN(Calc!$K$21*(1+'财富模型'!$E$20/12)+'Calc'!$B$6,IF(Calc!$I$22&lt;='财富模型'!$E$11*12,'Calc'!$W$13,'Calc'!$Y$13))))</x:f>
        <x:v>2847.75</x:v>
      </x:c>
      <x:c r="N22" t="n">
        <x:f>IF(Calc!$I$22&gt;'Calc'!$B$8,"",'Calc'!$B$5-'财富模型'!$E$5-(IF('Calc'!$E$13=1,'财富模型'!$E$9,'财富模型'!$M$5+IF(Calc!$I$22&lt;='财富模型'!$E$11*12,'Calc'!$W$13,'Calc'!$Y$13)-(IF('Calc'!$E$13=1,0,MIN(Calc!$K$21*(1+'财富模型'!$E$20/12)+'Calc'!$B$6,IF(Calc!$I$22&lt;='财富模型'!$E$11*12,'Calc'!$W$13,'Calc'!$Y$13)))))))</x:f>
        <x:v>7090.083333333332</x:v>
      </x:c>
      <x:c r="O22" t="n">
        <x:f>IF(Calc!$I$22&gt;'Calc'!$B$8,"",IF('Calc'!$E$13=1,0,MAX(Calc!$O$21*(1+IF(Calc!$I$22&lt;='财富模型'!$E$11*12,'财富模型'!$E$10,'财富模型'!$E$12)/12)-IF('Calc'!$E$13=1,0,IF(Calc!$I$22&lt;='财富模型'!$E$11*12,'Calc'!$W$13,'Calc'!$Y$13)),0)))</x:f>
        <x:v>942920.25</x:v>
      </x:c>
      <x:c r="Q22" t="n">
        <x:v>1</x:v>
      </x:c>
      <x:c r="R22" t="n">
        <x:f>IF(Calc!$Q$22&gt;'Calc'!$B$8,"",MAX(Calc!$R$21*(1+'财富模型'!$E$6/12)+('Calc'!$B$5-'财富模型'!$E$5-(IF('Calc'!$E$14=1,'财富模型'!$E$9,'财富模型'!$M$6+IF(Calc!$Q$22&lt;='财富模型'!$E$11*12,'Calc'!$W$14,'Calc'!$Y$14)-(IF('Calc'!$E$14=1,0,MIN(Calc!$S$21*(1+'财富模型'!$E$20/12)+'Calc'!$B$6,IF(Calc!$Q$22&lt;='财富模型'!$E$11*12,'Calc'!$W$14,'Calc'!$Y$14))))))),0))</x:f>
        <x:v>268186.4733333333</x:v>
      </x:c>
      <x:c r="S22" t="n">
        <x:f>IF(Calc!$Q$22&gt;'Calc'!$B$8,"",MAX(Calc!$S$21*(1+'财富模型'!$E$20/12)+'Calc'!$B$6-(IF('Calc'!$E$14=1,0,MIN(Calc!$S$21*(1+'财富模型'!$E$20/12)+'Calc'!$B$6,IF(Calc!$Q$22&lt;='财富模型'!$E$11*12,'Calc'!$W$14,'Calc'!$Y$14)))),0))</x:f>
        <x:v>0</x:v>
      </x:c>
      <x:c r="T22" t="n">
        <x:f>IF(Calc!$Q$22&gt;'Calc'!$B$8,"",IF('Calc'!$E$14=1,'财富模型'!$E$9,'财富模型'!$M$6+IF(Calc!$Q$22&lt;='财富模型'!$E$11*12,'Calc'!$W$14,'Calc'!$Y$14)-(IF('Calc'!$E$14=1,0,MIN(Calc!$S$21*(1+'财富模型'!$E$20/12)+'Calc'!$B$6,IF(Calc!$Q$22&lt;='财富模型'!$E$11*12,'Calc'!$W$14,'Calc'!$Y$14))))))</x:f>
        <x:v>1388.25</x:v>
      </x:c>
      <x:c r="U22" t="n">
        <x:f>IF(Calc!$Q$22&gt;'Calc'!$B$8,"",IF('Calc'!$E$14=1,0,MIN(Calc!$S$21*(1+'财富模型'!$E$20/12)+'Calc'!$B$6,IF(Calc!$Q$22&lt;='财富模型'!$E$11*12,'Calc'!$W$14,'Calc'!$Y$14))))</x:f>
        <x:v>2847.75</x:v>
      </x:c>
      <x:c r="V22" t="n">
        <x:f>IF(Calc!$Q$22&gt;'Calc'!$B$8,"",'Calc'!$B$5-'财富模型'!$E$5-(IF('Calc'!$E$14=1,'财富模型'!$E$9,'财富模型'!$M$6+IF(Calc!$Q$22&lt;='财富模型'!$E$11*12,'Calc'!$W$14,'Calc'!$Y$14)-(IF('Calc'!$E$14=1,0,MIN(Calc!$S$21*(1+'财富模型'!$E$20/12)+'Calc'!$B$6,IF(Calc!$Q$22&lt;='财富模型'!$E$11*12,'Calc'!$W$14,'Calc'!$Y$14)))))))</x:f>
        <x:v>6545.083333333332</x:v>
      </x:c>
      <x:c r="W22" t="n">
        <x:f>IF(Calc!$Q$22&gt;'Calc'!$B$8,"",IF('Calc'!$E$14=1,0,MAX(Calc!$W$21*(1+IF(Calc!$Q$22&lt;='财富模型'!$E$11*12,'财富模型'!$E$10,'财富模型'!$E$12)/12)-IF('Calc'!$E$14=1,0,IF(Calc!$Q$22&lt;='财富模型'!$E$11*12,'Calc'!$W$14,'Calc'!$Y$14)),0)))</x:f>
        <x:v>1097579</x:v>
      </x:c>
      <x:c r="Y22" t="n">
        <x:v>1</x:v>
      </x:c>
      <x:c r="Z22" t="n">
        <x:f>IF(Calc!$Y$22&gt;'Calc'!$B$8,"",MAX(Calc!$Z$21*(1+'财富模型'!$E$6/12)+('Calc'!$B$5-'财富模型'!$E$5-(IF('Calc'!$E$15=1,'财富模型'!$E$9,'财富模型'!$M$7+IF(Calc!$Y$22&lt;='财富模型'!$E$11*12,'Calc'!$W$15,'Calc'!$Y$15)-(IF('Calc'!$E$15=1,0,MIN(Calc!$AA$21*(1+'财富模型'!$E$20/12)+'Calc'!$B$6,IF(Calc!$Y$22&lt;='财富模型'!$E$11*12,'Calc'!$W$15,'Calc'!$Y$15))))))),0))</x:f>
        <x:v>19038</x:v>
      </x:c>
      <x:c r="AA22" t="n">
        <x:f>IF(Calc!$Y$22&gt;'Calc'!$B$8,"",MAX(Calc!$AA$21*(1+'财富模型'!$E$20/12)+'Calc'!$B$6-(IF('Calc'!$E$15=1,0,MIN(Calc!$AA$21*(1+'财富模型'!$E$20/12)+'Calc'!$B$6,IF(Calc!$Y$22&lt;='财富模型'!$E$11*12,'Calc'!$W$15,'Calc'!$Y$15)))),0))</x:f>
        <x:v>0</x:v>
      </x:c>
      <x:c r="AB22" t="n">
        <x:f>IF(Calc!$Y$22&gt;'Calc'!$B$8,"",IF('Calc'!$E$15=1,'财富模型'!$E$9,'财富模型'!$M$7+IF(Calc!$Y$22&lt;='财富模型'!$E$11*12,'Calc'!$W$15,'Calc'!$Y$15)-(IF('Calc'!$E$15=1,0,MIN(Calc!$AA$21*(1+'财富模型'!$E$20/12)+'Calc'!$B$6,IF(Calc!$Y$22&lt;='财富模型'!$E$11*12,'Calc'!$W$15,'Calc'!$Y$15))))))</x:f>
        <x:v>1468.25</x:v>
      </x:c>
      <x:c r="AC22" t="n">
        <x:f>IF(Calc!$Y$22&gt;'Calc'!$B$8,"",IF('Calc'!$E$15=1,0,MIN(Calc!$AA$21*(1+'财富模型'!$E$20/12)+'Calc'!$B$6,IF(Calc!$Y$22&lt;='财富模型'!$E$11*12,'Calc'!$W$15,'Calc'!$Y$15))))</x:f>
        <x:v>2847.75</x:v>
      </x:c>
      <x:c r="AD22" t="n">
        <x:f>IF(Calc!$Y$22&gt;'Calc'!$B$8,"",'Calc'!$B$5-'财富模型'!$E$5-(IF('Calc'!$E$15=1,'财富模型'!$E$9,'财富模型'!$M$7+IF(Calc!$Y$22&lt;='财富模型'!$E$11*12,'Calc'!$W$15,'Calc'!$Y$15)-(IF('Calc'!$E$15=1,0,MIN(Calc!$AA$21*(1+'财富模型'!$E$20/12)+'Calc'!$B$6,IF(Calc!$Y$22&lt;='财富模型'!$E$11*12,'Calc'!$W$15,'Calc'!$Y$15)))))))</x:f>
        <x:v>6465.083333333332</x:v>
      </x:c>
      <x:c r="AE22" t="n">
        <x:f>IF(Calc!$Y$22&gt;'Calc'!$B$8,"",IF('Calc'!$E$15=1,0,MAX(Calc!$AE$21*(1+IF(Calc!$Y$22&lt;='财富模型'!$E$11*12,'财富模型'!$E$10,'财富模型'!$E$12)/12)-IF('Calc'!$E$15=1,0,IF(Calc!$Y$22&lt;='财富模型'!$E$11*12,'Calc'!$W$15,'Calc'!$Y$15)),0)))</x:f>
        <x:v>1097579</x:v>
      </x:c>
      <x:c r="AG22" t="n">
        <x:v>1</x:v>
      </x:c>
      <x:c r="AH22" t="n">
        <x:f>IF(Calc!$AG$22&gt;'Calc'!$B$8,"",MAX(Calc!$AH$21*(1+'财富模型'!$E$6/12)+('Calc'!$B$5-'财富模型'!$E$5-(IF('Calc'!$E$16=1,'财富模型'!$E$9,'财富模型'!$M$8+IF(Calc!$AG$22&lt;='财富模型'!$E$11*12,'Calc'!$W$16,'Calc'!$Y$16)-(IF('Calc'!$E$16=1,0,MIN(Calc!$AI$21*(1+'财富模型'!$E$20/12)+'Calc'!$B$6,IF(Calc!$AG$22&lt;='财富模型'!$E$11*12,'Calc'!$W$16,'Calc'!$Y$16))))))),0))</x:f>
        <x:v>6455.083333333332</x:v>
      </x:c>
      <x:c r="AI22" t="n">
        <x:f>IF(Calc!$AG$22&gt;'Calc'!$B$8,"",MAX(Calc!$AI$21*(1+'财富模型'!$E$20/12)+'Calc'!$B$6-(IF('Calc'!$E$16=1,0,MIN(Calc!$AI$21*(1+'财富模型'!$E$20/12)+'Calc'!$B$6,IF(Calc!$AG$22&lt;='财富模型'!$E$11*12,'Calc'!$W$16,'Calc'!$Y$16)))),0))</x:f>
        <x:v>0</x:v>
      </x:c>
      <x:c r="AJ22" t="n">
        <x:f>IF(Calc!$AG$22&gt;'Calc'!$B$8,"",IF('Calc'!$E$16=1,'财富模型'!$E$9,'财富模型'!$M$8+IF(Calc!$AG$22&lt;='财富模型'!$E$11*12,'Calc'!$W$16,'Calc'!$Y$16)-(IF('Calc'!$E$16=1,0,MIN(Calc!$AI$21*(1+'财富模型'!$E$20/12)+'Calc'!$B$6,IF(Calc!$AG$22&lt;='财富模型'!$E$11*12,'Calc'!$W$16,'Calc'!$Y$16))))))</x:f>
        <x:v>1478.25</x:v>
      </x:c>
      <x:c r="AK22" t="n">
        <x:f>IF(Calc!$AG$22&gt;'Calc'!$B$8,"",IF('Calc'!$E$16=1,0,MIN(Calc!$AI$21*(1+'财富模型'!$E$20/12)+'Calc'!$B$6,IF(Calc!$AG$22&lt;='财富模型'!$E$11*12,'Calc'!$W$16,'Calc'!$Y$16))))</x:f>
        <x:v>2847.75</x:v>
      </x:c>
      <x:c r="AL22" t="n">
        <x:f>IF(Calc!$AG$22&gt;'Calc'!$B$8,"",'Calc'!$B$5-'财富模型'!$E$5-(IF('Calc'!$E$16=1,'财富模型'!$E$9,'财富模型'!$M$8+IF(Calc!$AG$22&lt;='财富模型'!$E$11*12,'Calc'!$W$16,'Calc'!$Y$16)-(IF('Calc'!$E$16=1,0,MIN(Calc!$AI$21*(1+'财富模型'!$E$20/12)+'Calc'!$B$6,IF(Calc!$AG$22&lt;='财富模型'!$E$11*12,'Calc'!$W$16,'Calc'!$Y$16)))))))</x:f>
        <x:v>6455.083333333332</x:v>
      </x:c>
      <x:c r="AM22" t="n">
        <x:f>IF(Calc!$AG$22&gt;'Calc'!$B$8,"",IF('Calc'!$E$16=1,0,MAX(Calc!$AM$21*(1+IF(Calc!$AG$22&lt;='财富模型'!$E$11*12,'财富模型'!$E$10,'财富模型'!$E$12)/12)-IF('Calc'!$E$16=1,0,IF(Calc!$AG$22&lt;='财富模型'!$E$11*12,'Calc'!$W$16,'Calc'!$Y$16)),0)))</x:f>
        <x:v>1097579</x:v>
      </x:c>
      <x:c r="AO22" t="n">
        <x:v>1</x:v>
      </x:c>
      <x:c r="AP22" t="n">
        <x:f>IF(Calc!$AO$22&gt;'Calc'!$B$8,"",MAX(Calc!$AP$21*(1+'财富模型'!$E$6/12)+('Calc'!$B$5-'财富模型'!$E$5-(IF('Calc'!$E$17=1,'财富模型'!$E$9,'财富模型'!$M$9+IF(Calc!$AO$22&lt;='财富模型'!$E$11*12,'Calc'!$W$17,'Calc'!$Y$17)-(IF('Calc'!$E$17=1,0,MIN(Calc!$AQ$21*(1+'财富模型'!$E$20/12)+'Calc'!$B$6,IF(Calc!$AO$22&lt;='财富模型'!$E$11*12,'Calc'!$W$17,'Calc'!$Y$17))))))),0))</x:f>
        <x:v>803570.8333333334</x:v>
      </x:c>
      <x:c r="AQ22" t="n">
        <x:f>IF(Calc!$AO$22&gt;'Calc'!$B$8,"",MAX(Calc!$AQ$21*(1+'财富模型'!$E$20/12)+'Calc'!$B$6-(IF('Calc'!$E$17=1,0,MIN(Calc!$AQ$21*(1+'财富模型'!$E$20/12)+'Calc'!$B$6,IF(Calc!$AO$22&lt;='财富模型'!$E$11*12,'Calc'!$W$17,'Calc'!$Y$17)))),0))</x:f>
        <x:v>2847.75</x:v>
      </x:c>
      <x:c r="AR22" t="n">
        <x:f>IF(Calc!$AO$22&gt;'Calc'!$B$8,"",IF('Calc'!$E$17=1,'财富模型'!$E$9,'财富模型'!$M$9+IF(Calc!$AO$22&lt;='财富模型'!$E$11*12,'Calc'!$W$17,'Calc'!$Y$17)-(IF('Calc'!$E$17=1,0,MIN(Calc!$AQ$21*(1+'财富模型'!$E$20/12)+'Calc'!$B$6,IF(Calc!$AO$22&lt;='财富模型'!$E$11*12,'Calc'!$W$17,'Calc'!$Y$17))))))</x:f>
        <x:v>4000</x:v>
      </x:c>
      <x:c r="AS22" t="n">
        <x:f>IF(Calc!$AO$22&gt;'Calc'!$B$8,"",IF('Calc'!$E$17=1,0,MIN(Calc!$AQ$21*(1+'财富模型'!$E$20/12)+'Calc'!$B$6,IF(Calc!$AO$22&lt;='财富模型'!$E$11*12,'Calc'!$W$17,'Calc'!$Y$17))))</x:f>
        <x:v>0</x:v>
      </x:c>
      <x:c r="AT22" t="n">
        <x:f>IF(Calc!$AO$22&gt;'Calc'!$B$8,"",'Calc'!$B$5-'财富模型'!$E$5-(IF('Calc'!$E$17=1,'财富模型'!$E$9,'财富模型'!$M$9+IF(Calc!$AO$22&lt;='财富模型'!$E$11*12,'Calc'!$W$17,'Calc'!$Y$17)-(IF('Calc'!$E$17=1,0,MIN(Calc!$AQ$21*(1+'财富模型'!$E$20/12)+'Calc'!$B$6,IF(Calc!$AO$22&lt;='财富模型'!$E$11*12,'Calc'!$W$17,'Calc'!$Y$17)))))))</x:f>
        <x:v>3933.333333333332</x:v>
      </x:c>
      <x:c r="AU22" t="n">
        <x:f>IF(Calc!$AO$22&gt;'Calc'!$B$8,"",IF('Calc'!$E$17=1,0,MAX(Calc!$AU$21*(1+IF(Calc!$AO$22&lt;='财富模型'!$E$11*12,'财富模型'!$E$10,'财富模型'!$E$12)/12)-IF('Calc'!$E$17=1,0,IF(Calc!$AO$22&lt;='财富模型'!$E$11*12,'Calc'!$W$17,'Calc'!$Y$17)),0)))</x:f>
        <x:v>0</x:v>
      </x:c>
    </x:row>
    <x:row r="23">
      <x:c r="A23" t="n">
        <x:v>2</x:v>
      </x:c>
      <x:c r="B23" t="n">
        <x:f>IF(Calc!$A$23&gt;'Calc'!$B$8,"",MAX(Calc!$B$22*(1+'财富模型'!$E$6/12)+('Calc'!$B$5-'财富模型'!$E$5-(IF('Calc'!$E$12=1,'财富模型'!$E$9,'财富模型'!$M$4+IF(Calc!$A$23&lt;='财富模型'!$E$11*12,'Calc'!$W$12,'Calc'!$Y$12)-(IF('Calc'!$E$12=1,0,MIN(Calc!$C$22*(1+'财富模型'!$E$20/12)+'Calc'!$B$6,IF(Calc!$A$23&lt;='财富模型'!$E$11*12,'Calc'!$W$12,'Calc'!$Y$12))))))),0))</x:f>
        <x:v>395593.6980555555</x:v>
      </x:c>
      <x:c r="C23" t="n">
        <x:f>IF(Calc!$A$23&gt;'Calc'!$B$8,"",MAX(Calc!$C$22*(1+'财富模型'!$E$20/12)+'Calc'!$B$6-(IF('Calc'!$E$12=1,0,MIN(Calc!$C$22*(1+'财富模型'!$E$20/12)+'Calc'!$B$6,IF(Calc!$A$23&lt;='财富模型'!$E$11*12,'Calc'!$W$12,'Calc'!$Y$12)))),0))</x:f>
        <x:v>0</x:v>
      </x:c>
      <x:c r="D23" t="n">
        <x:f>IF(Calc!$A$23&gt;'Calc'!$B$8,"",IF('Calc'!$E$12=1,'财富模型'!$E$9,'财富模型'!$M$4+IF(Calc!$A$23&lt;='财富模型'!$E$11*12,'Calc'!$W$12,'Calc'!$Y$12)-(IF('Calc'!$E$12=1,0,MIN(Calc!$C$22*(1+'财富模型'!$E$20/12)+'Calc'!$B$6,IF(Calc!$A$23&lt;='财富模型'!$E$11*12,'Calc'!$W$12,'Calc'!$Y$12))))))</x:f>
        <x:v>812.25</x:v>
      </x:c>
      <x:c r="E23" t="n">
        <x:f>IF(Calc!$A$23&gt;'Calc'!$B$8,"",IF('Calc'!$E$12=1,0,MIN(Calc!$C$22*(1+'财富模型'!$E$20/12)+'Calc'!$B$6,IF(Calc!$A$23&lt;='财富模型'!$E$11*12,'Calc'!$W$12,'Calc'!$Y$12))))</x:f>
        <x:v>2847.75</x:v>
      </x:c>
      <x:c r="F23" t="n">
        <x:f>IF(Calc!$A$23&gt;'Calc'!$B$8,"",'Calc'!$B$5-'财富模型'!$E$5-(IF('Calc'!$E$12=1,'财富模型'!$E$9,'财富模型'!$M$4+IF(Calc!$A$23&lt;='财富模型'!$E$11*12,'Calc'!$W$12,'Calc'!$Y$12)-(IF('Calc'!$E$12=1,0,MIN(Calc!$C$22*(1+'财富模型'!$E$20/12)+'Calc'!$B$6,IF(Calc!$A$23&lt;='财富模型'!$E$11*12,'Calc'!$W$12,'Calc'!$Y$12)))))))</x:f>
        <x:v>7121.083333333332</x:v>
      </x:c>
      <x:c r="G23" t="n">
        <x:f>IF(Calc!$A$23&gt;'Calc'!$B$8,"",IF('Calc'!$E$12=1,0,MAX(Calc!$G$22*(1+IF(Calc!$A$23&lt;='财富模型'!$E$11*12,'财富模型'!$E$10,'财富模型'!$E$12)/12)-IF('Calc'!$E$12=1,0,IF(Calc!$A$23&lt;='财富模型'!$E$11*12,'Calc'!$W$12,'Calc'!$Y$12)),0)))</x:f>
        <x:v>952037.994140625</x:v>
      </x:c>
      <x:c r="I23" t="n">
        <x:v>2</x:v>
      </x:c>
      <x:c r="J23" t="n">
        <x:f>IF(Calc!$I$23&gt;'Calc'!$B$8,"",MAX(Calc!$J$22*(1+'财富模型'!$E$6/12)+('Calc'!$B$5-'财富模型'!$E$5-(IF('Calc'!$E$13=1,'财富模型'!$E$9,'财富模型'!$M$5+IF(Calc!$I$23&lt;='财富模型'!$E$11*12,'Calc'!$W$13,'Calc'!$Y$13)-(IF('Calc'!$E$13=1,0,MIN(Calc!$K$22*(1+'财富模型'!$E$20/12)+'Calc'!$B$6,IF(Calc!$I$23&lt;='财富模型'!$E$11*12,'Calc'!$W$13,'Calc'!$Y$13))))))),0))</x:f>
        <x:v>400691.1907638888</x:v>
      </x:c>
      <x:c r="K23" t="n">
        <x:f>IF(Calc!$I$23&gt;'Calc'!$B$8,"",MAX(Calc!$K$22*(1+'财富模型'!$E$20/12)+'Calc'!$B$6-(IF('Calc'!$E$13=1,0,MIN(Calc!$K$22*(1+'财富模型'!$E$20/12)+'Calc'!$B$6,IF(Calc!$I$23&lt;='财富模型'!$E$11*12,'Calc'!$W$13,'Calc'!$Y$13)))),0))</x:f>
        <x:v>0</x:v>
      </x:c>
      <x:c r="L23" t="n">
        <x:f>IF(Calc!$I$23&gt;'Calc'!$B$8,"",IF('Calc'!$E$13=1,'财富模型'!$E$9,'财富模型'!$M$5+IF(Calc!$I$23&lt;='财富模型'!$E$11*12,'Calc'!$W$13,'Calc'!$Y$13)-(IF('Calc'!$E$13=1,0,MIN(Calc!$K$22*(1+'财富模型'!$E$20/12)+'Calc'!$B$6,IF(Calc!$I$23&lt;='财富模型'!$E$11*12,'Calc'!$W$13,'Calc'!$Y$13))))))</x:f>
        <x:v>843.25</x:v>
      </x:c>
      <x:c r="M23" t="n">
        <x:f>IF(Calc!$I$23&gt;'Calc'!$B$8,"",IF('Calc'!$E$13=1,0,MIN(Calc!$K$22*(1+'财富模型'!$E$20/12)+'Calc'!$B$6,IF(Calc!$I$23&lt;='财富模型'!$E$11*12,'Calc'!$W$13,'Calc'!$Y$13))))</x:f>
        <x:v>2847.75</x:v>
      </x:c>
      <x:c r="N23" t="n">
        <x:f>IF(Calc!$I$23&gt;'Calc'!$B$8,"",'Calc'!$B$5-'财富模型'!$E$5-(IF('Calc'!$E$13=1,'财富模型'!$E$9,'财富模型'!$M$5+IF(Calc!$I$23&lt;='财富模型'!$E$11*12,'Calc'!$W$13,'Calc'!$Y$13)-(IF('Calc'!$E$13=1,0,MIN(Calc!$K$22*(1+'财富模型'!$E$20/12)+'Calc'!$B$6,IF(Calc!$I$23&lt;='财富模型'!$E$11*12,'Calc'!$W$13,'Calc'!$Y$13)))))))</x:f>
        <x:v>7090.083333333332</x:v>
      </x:c>
      <x:c r="O23" t="n">
        <x:f>IF(Calc!$I$23&gt;'Calc'!$B$8,"",IF('Calc'!$E$13=1,0,MAX(Calc!$O$22*(1+IF(Calc!$I$23&lt;='财富模型'!$E$11*12,'财富模型'!$E$10,'财富模型'!$E$12)/12)-IF('Calc'!$E$13=1,0,IF(Calc!$I$23&lt;='财富模型'!$E$11*12,'Calc'!$W$13,'Calc'!$Y$13)),0)))</x:f>
        <x:v>940837.9003125</x:v>
      </x:c>
      <x:c r="Q23" t="n">
        <x:v>2</x:v>
      </x:c>
      <x:c r="R23" t="n">
        <x:f>IF(Calc!$Q$23&gt;'Calc'!$B$8,"",MAX(Calc!$R$22*(1+'财富模型'!$E$6/12)+('Calc'!$B$5-'财富模型'!$E$5-(IF('Calc'!$E$14=1,'财富模型'!$E$9,'财富模型'!$M$6+IF(Calc!$Q$23&lt;='财富模型'!$E$11*12,'Calc'!$W$14,'Calc'!$Y$14)-(IF('Calc'!$E$14=1,0,MIN(Calc!$S$22*(1+'财富模型'!$E$20/12)+'Calc'!$B$6,IF(Calc!$Q$23&lt;='财富模型'!$E$11*12,'Calc'!$W$14,'Calc'!$Y$14))))))),0))</x:f>
        <x:v>276295.9777611111</x:v>
      </x:c>
      <x:c r="S23" t="n">
        <x:f>IF(Calc!$Q$23&gt;'Calc'!$B$8,"",MAX(Calc!$S$22*(1+'财富模型'!$E$20/12)+'Calc'!$B$6-(IF('Calc'!$E$14=1,0,MIN(Calc!$S$22*(1+'财富模型'!$E$20/12)+'Calc'!$B$6,IF(Calc!$Q$23&lt;='财富模型'!$E$11*12,'Calc'!$W$14,'Calc'!$Y$14)))),0))</x:f>
        <x:v>0</x:v>
      </x:c>
      <x:c r="T23" t="n">
        <x:f>IF(Calc!$Q$23&gt;'Calc'!$B$8,"",IF('Calc'!$E$14=1,'财富模型'!$E$9,'财富模型'!$M$6+IF(Calc!$Q$23&lt;='财富模型'!$E$11*12,'Calc'!$W$14,'Calc'!$Y$14)-(IF('Calc'!$E$14=1,0,MIN(Calc!$S$22*(1+'财富模型'!$E$20/12)+'Calc'!$B$6,IF(Calc!$Q$23&lt;='财富模型'!$E$11*12,'Calc'!$W$14,'Calc'!$Y$14))))))</x:f>
        <x:v>1388.25</x:v>
      </x:c>
      <x:c r="U23" t="n">
        <x:f>IF(Calc!$Q$23&gt;'Calc'!$B$8,"",IF('Calc'!$E$14=1,0,MIN(Calc!$S$22*(1+'财富模型'!$E$20/12)+'Calc'!$B$6,IF(Calc!$Q$23&lt;='财富模型'!$E$11*12,'Calc'!$W$14,'Calc'!$Y$14))))</x:f>
        <x:v>2847.75</x:v>
      </x:c>
      <x:c r="V23" t="n">
        <x:f>IF(Calc!$Q$23&gt;'Calc'!$B$8,"",'Calc'!$B$5-'财富模型'!$E$5-(IF('Calc'!$E$14=1,'财富模型'!$E$9,'财富模型'!$M$6+IF(Calc!$Q$23&lt;='财富模型'!$E$11*12,'Calc'!$W$14,'Calc'!$Y$14)-(IF('Calc'!$E$14=1,0,MIN(Calc!$S$22*(1+'财富模型'!$E$20/12)+'Calc'!$B$6,IF(Calc!$Q$23&lt;='财富模型'!$E$11*12,'Calc'!$W$14,'Calc'!$Y$14)))))))</x:f>
        <x:v>6545.083333333332</x:v>
      </x:c>
      <x:c r="W23" t="n">
        <x:f>IF(Calc!$Q$23&gt;'Calc'!$B$8,"",IF('Calc'!$E$14=1,0,MAX(Calc!$W$22*(1+IF(Calc!$Q$23&lt;='财富模型'!$E$11*12,'财富模型'!$E$10,'财富模型'!$E$12)/12)-IF('Calc'!$E$14=1,0,IF(Calc!$Q$23&lt;='财富模型'!$E$11*12,'Calc'!$W$14,'Calc'!$Y$14)),0)))</x:f>
        <x:v>1095154.97375</x:v>
      </x:c>
      <x:c r="Y23" t="n">
        <x:v>2</x:v>
      </x:c>
      <x:c r="Z23" t="n">
        <x:f>IF(Calc!$Y$23&gt;'Calc'!$B$8,"",MAX(Calc!$Z$22*(1+'财富模型'!$E$6/12)+('Calc'!$B$5-'财富模型'!$E$5-(IF('Calc'!$E$15=1,'财富模型'!$E$9,'财富模型'!$M$7+IF(Calc!$Y$23&lt;='财富模型'!$E$11*12,'Calc'!$W$15,'Calc'!$Y$15)-(IF('Calc'!$E$15=1,0,MIN(Calc!$AA$22*(1+'财富模型'!$E$20/12)+'Calc'!$B$6,IF(Calc!$Y$23&lt;='财富模型'!$E$11*12,'Calc'!$W$15,'Calc'!$Y$15))))))),0))</x:f>
        <x:v>25614.138333333332</x:v>
      </x:c>
      <x:c r="AA23" t="n">
        <x:f>IF(Calc!$Y$23&gt;'Calc'!$B$8,"",MAX(Calc!$AA$22*(1+'财富模型'!$E$20/12)+'Calc'!$B$6-(IF('Calc'!$E$15=1,0,MIN(Calc!$AA$22*(1+'财富模型'!$E$20/12)+'Calc'!$B$6,IF(Calc!$Y$23&lt;='财富模型'!$E$11*12,'Calc'!$W$15,'Calc'!$Y$15)))),0))</x:f>
        <x:v>0</x:v>
      </x:c>
      <x:c r="AB23" t="n">
        <x:f>IF(Calc!$Y$23&gt;'Calc'!$B$8,"",IF('Calc'!$E$15=1,'财富模型'!$E$9,'财富模型'!$M$7+IF(Calc!$Y$23&lt;='财富模型'!$E$11*12,'Calc'!$W$15,'Calc'!$Y$15)-(IF('Calc'!$E$15=1,0,MIN(Calc!$AA$22*(1+'财富模型'!$E$20/12)+'Calc'!$B$6,IF(Calc!$Y$23&lt;='财富模型'!$E$11*12,'Calc'!$W$15,'Calc'!$Y$15))))))</x:f>
        <x:v>1468.25</x:v>
      </x:c>
      <x:c r="AC23" t="n">
        <x:f>IF(Calc!$Y$23&gt;'Calc'!$B$8,"",IF('Calc'!$E$15=1,0,MIN(Calc!$AA$22*(1+'财富模型'!$E$20/12)+'Calc'!$B$6,IF(Calc!$Y$23&lt;='财富模型'!$E$11*12,'Calc'!$W$15,'Calc'!$Y$15))))</x:f>
        <x:v>2847.75</x:v>
      </x:c>
      <x:c r="AD23" t="n">
        <x:f>IF(Calc!$Y$23&gt;'Calc'!$B$8,"",'Calc'!$B$5-'财富模型'!$E$5-(IF('Calc'!$E$15=1,'财富模型'!$E$9,'财富模型'!$M$7+IF(Calc!$Y$23&lt;='财富模型'!$E$11*12,'Calc'!$W$15,'Calc'!$Y$15)-(IF('Calc'!$E$15=1,0,MIN(Calc!$AA$22*(1+'财富模型'!$E$20/12)+'Calc'!$B$6,IF(Calc!$Y$23&lt;='财富模型'!$E$11*12,'Calc'!$W$15,'Calc'!$Y$15)))))))</x:f>
        <x:v>6465.083333333332</x:v>
      </x:c>
      <x:c r="AE23" t="n">
        <x:f>IF(Calc!$Y$23&gt;'Calc'!$B$8,"",IF('Calc'!$E$15=1,0,MAX(Calc!$AE$22*(1+IF(Calc!$Y$23&lt;='财富模型'!$E$11*12,'财富模型'!$E$10,'财富模型'!$E$12)/12)-IF('Calc'!$E$15=1,0,IF(Calc!$Y$23&lt;='财富模型'!$E$11*12,'Calc'!$W$15,'Calc'!$Y$15)),0)))</x:f>
        <x:v>1095154.97375</x:v>
      </x:c>
      <x:c r="AG23" t="n">
        <x:v>2</x:v>
      </x:c>
      <x:c r="AH23" t="n">
        <x:f>IF(Calc!$AG$23&gt;'Calc'!$B$8,"",MAX(Calc!$AH$22*(1+'财富模型'!$E$6/12)+('Calc'!$B$5-'财富模型'!$E$5-(IF('Calc'!$E$16=1,'财富模型'!$E$9,'财富模型'!$M$8+IF(Calc!$AG$23&lt;='财富模型'!$E$11*12,'Calc'!$W$16,'Calc'!$Y$16)-(IF('Calc'!$E$16=1,0,MIN(Calc!$AI$22*(1+'财富模型'!$E$20/12)+'Calc'!$B$6,IF(Calc!$AG$23&lt;='财富模型'!$E$11*12,'Calc'!$W$16,'Calc'!$Y$16))))))),0))</x:f>
        <x:v>12947.821319444443</x:v>
      </x:c>
      <x:c r="AI23" t="n">
        <x:f>IF(Calc!$AG$23&gt;'Calc'!$B$8,"",MAX(Calc!$AI$22*(1+'财富模型'!$E$20/12)+'Calc'!$B$6-(IF('Calc'!$E$16=1,0,MIN(Calc!$AI$22*(1+'财富模型'!$E$20/12)+'Calc'!$B$6,IF(Calc!$AG$23&lt;='财富模型'!$E$11*12,'Calc'!$W$16,'Calc'!$Y$16)))),0))</x:f>
        <x:v>0</x:v>
      </x:c>
      <x:c r="AJ23" t="n">
        <x:f>IF(Calc!$AG$23&gt;'Calc'!$B$8,"",IF('Calc'!$E$16=1,'财富模型'!$E$9,'财富模型'!$M$8+IF(Calc!$AG$23&lt;='财富模型'!$E$11*12,'Calc'!$W$16,'Calc'!$Y$16)-(IF('Calc'!$E$16=1,0,MIN(Calc!$AI$22*(1+'财富模型'!$E$20/12)+'Calc'!$B$6,IF(Calc!$AG$23&lt;='财富模型'!$E$11*12,'Calc'!$W$16,'Calc'!$Y$16))))))</x:f>
        <x:v>1478.25</x:v>
      </x:c>
      <x:c r="AK23" t="n">
        <x:f>IF(Calc!$AG$23&gt;'Calc'!$B$8,"",IF('Calc'!$E$16=1,0,MIN(Calc!$AI$22*(1+'财富模型'!$E$20/12)+'Calc'!$B$6,IF(Calc!$AG$23&lt;='财富模型'!$E$11*12,'Calc'!$W$16,'Calc'!$Y$16))))</x:f>
        <x:v>2847.75</x:v>
      </x:c>
      <x:c r="AL23" t="n">
        <x:f>IF(Calc!$AG$23&gt;'Calc'!$B$8,"",'Calc'!$B$5-'财富模型'!$E$5-(IF('Calc'!$E$16=1,'财富模型'!$E$9,'财富模型'!$M$8+IF(Calc!$AG$23&lt;='财富模型'!$E$11*12,'Calc'!$W$16,'Calc'!$Y$16)-(IF('Calc'!$E$16=1,0,MIN(Calc!$AI$22*(1+'财富模型'!$E$20/12)+'Calc'!$B$6,IF(Calc!$AG$23&lt;='财富模型'!$E$11*12,'Calc'!$W$16,'Calc'!$Y$16)))))))</x:f>
        <x:v>6455.083333333332</x:v>
      </x:c>
      <x:c r="AM23" t="n">
        <x:f>IF(Calc!$AG$23&gt;'Calc'!$B$8,"",IF('Calc'!$E$16=1,0,MAX(Calc!$AM$22*(1+IF(Calc!$AG$23&lt;='财富模型'!$E$11*12,'财富模型'!$E$10,'财富模型'!$E$12)/12)-IF('Calc'!$E$16=1,0,IF(Calc!$AG$23&lt;='财富模型'!$E$11*12,'Calc'!$W$16,'Calc'!$Y$16)),0)))</x:f>
        <x:v>1095154.97375</x:v>
      </x:c>
      <x:c r="AO23" t="n">
        <x:v>2</x:v>
      </x:c>
      <x:c r="AP23" t="n">
        <x:f>IF(Calc!$AO$23&gt;'Calc'!$B$8,"",MAX(Calc!$AP$22*(1+'财富模型'!$E$6/12)+('Calc'!$B$5-'财富模型'!$E$5-(IF('Calc'!$E$17=1,'财富模型'!$E$9,'财富模型'!$M$9+IF(Calc!$AO$23&lt;='财富模型'!$E$11*12,'Calc'!$W$17,'Calc'!$Y$17)-(IF('Calc'!$E$17=1,0,MIN(Calc!$AQ$22*(1+'财富模型'!$E$20/12)+'Calc'!$B$6,IF(Calc!$AO$23&lt;='财富模型'!$E$11*12,'Calc'!$W$17,'Calc'!$Y$17))))))),0))</x:f>
        <x:v>812191.6631944445</x:v>
      </x:c>
      <x:c r="AQ23" t="n">
        <x:f>IF(Calc!$AO$23&gt;'Calc'!$B$8,"",MAX(Calc!$AQ$22*(1+'财富模型'!$E$20/12)+'Calc'!$B$6-(IF('Calc'!$E$17=1,0,MIN(Calc!$AQ$22*(1+'财富模型'!$E$20/12)+'Calc'!$B$6,IF(Calc!$AO$23&lt;='财富模型'!$E$11*12,'Calc'!$W$17,'Calc'!$Y$17)))),0))</x:f>
        <x:v>5701.4328125</x:v>
      </x:c>
      <x:c r="AR23" t="n">
        <x:f>IF(Calc!$AO$23&gt;'Calc'!$B$8,"",IF('Calc'!$E$17=1,'财富模型'!$E$9,'财富模型'!$M$9+IF(Calc!$AO$23&lt;='财富模型'!$E$11*12,'Calc'!$W$17,'Calc'!$Y$17)-(IF('Calc'!$E$17=1,0,MIN(Calc!$AQ$22*(1+'财富模型'!$E$20/12)+'Calc'!$B$6,IF(Calc!$AO$23&lt;='财富模型'!$E$11*12,'Calc'!$W$17,'Calc'!$Y$17))))))</x:f>
        <x:v>4000</x:v>
      </x:c>
      <x:c r="AS23" t="n">
        <x:f>IF(Calc!$AO$23&gt;'Calc'!$B$8,"",IF('Calc'!$E$17=1,0,MIN(Calc!$AQ$22*(1+'财富模型'!$E$20/12)+'Calc'!$B$6,IF(Calc!$AO$23&lt;='财富模型'!$E$11*12,'Calc'!$W$17,'Calc'!$Y$17))))</x:f>
        <x:v>0</x:v>
      </x:c>
      <x:c r="AT23" t="n">
        <x:f>IF(Calc!$AO$23&gt;'Calc'!$B$8,"",'Calc'!$B$5-'财富模型'!$E$5-(IF('Calc'!$E$17=1,'财富模型'!$E$9,'财富模型'!$M$9+IF(Calc!$AO$23&lt;='财富模型'!$E$11*12,'Calc'!$W$17,'Calc'!$Y$17)-(IF('Calc'!$E$17=1,0,MIN(Calc!$AQ$22*(1+'财富模型'!$E$20/12)+'Calc'!$B$6,IF(Calc!$AO$23&lt;='财富模型'!$E$11*12,'Calc'!$W$17,'Calc'!$Y$17)))))))</x:f>
        <x:v>3933.333333333332</x:v>
      </x:c>
      <x:c r="AU23" t="n">
        <x:f>IF(Calc!$AO$23&gt;'Calc'!$B$8,"",IF('Calc'!$E$17=1,0,MAX(Calc!$AU$22*(1+IF(Calc!$AO$23&lt;='财富模型'!$E$11*12,'财富模型'!$E$10,'财富模型'!$E$12)/12)-IF('Calc'!$E$17=1,0,IF(Calc!$AO$23&lt;='财富模型'!$E$11*12,'Calc'!$W$17,'Calc'!$Y$17)),0)))</x:f>
        <x:v>0</x:v>
      </x:c>
    </x:row>
    <x:row r="24">
      <x:c r="A24" t="n">
        <x:v>3</x:v>
      </x:c>
      <x:c r="B24" t="n">
        <x:f>IF(Calc!$A$24&gt;'Calc'!$B$8,"",MAX(Calc!$B$23*(1+'财富模型'!$E$6/12)+('Calc'!$B$5-'财富模型'!$E$5-(IF('Calc'!$E$12=1,'财富模型'!$E$9,'财富模型'!$M$4+IF(Calc!$A$24&lt;='财富模型'!$E$11*12,'Calc'!$W$12,'Calc'!$Y$12)-(IF('Calc'!$E$12=1,0,MIN(Calc!$C$23*(1+'财富模型'!$E$20/12)+'Calc'!$B$6,IF(Calc!$A$24&lt;='财富模型'!$E$11*12,'Calc'!$W$12,'Calc'!$Y$12))))))),0))</x:f>
        <x:v>405022.4112942129</x:v>
      </x:c>
      <x:c r="C24" t="n">
        <x:f>IF(Calc!$A$24&gt;'Calc'!$B$8,"",MAX(Calc!$C$23*(1+'财富模型'!$E$20/12)+'Calc'!$B$6-(IF('Calc'!$E$12=1,0,MIN(Calc!$C$23*(1+'财富模型'!$E$20/12)+'Calc'!$B$6,IF(Calc!$A$24&lt;='财富模型'!$E$11*12,'Calc'!$W$12,'Calc'!$Y$12)))),0))</x:f>
        <x:v>0</x:v>
      </x:c>
      <x:c r="D24" t="n">
        <x:f>IF(Calc!$A$24&gt;'Calc'!$B$8,"",IF('Calc'!$E$12=1,'财富模型'!$E$9,'财富模型'!$M$4+IF(Calc!$A$24&lt;='财富模型'!$E$11*12,'Calc'!$W$12,'Calc'!$Y$12)-(IF('Calc'!$E$12=1,0,MIN(Calc!$C$23*(1+'财富模型'!$E$20/12)+'Calc'!$B$6,IF(Calc!$A$24&lt;='财富模型'!$E$11*12,'Calc'!$W$12,'Calc'!$Y$12))))))</x:f>
        <x:v>812.25</x:v>
      </x:c>
      <x:c r="E24" t="n">
        <x:f>IF(Calc!$A$24&gt;'Calc'!$B$8,"",IF('Calc'!$E$12=1,0,MIN(Calc!$C$23*(1+'财富模型'!$E$20/12)+'Calc'!$B$6,IF(Calc!$A$24&lt;='财富模型'!$E$11*12,'Calc'!$W$12,'Calc'!$Y$12))))</x:f>
        <x:v>2847.75</x:v>
      </x:c>
      <x:c r="F24" t="n">
        <x:f>IF(Calc!$A$24&gt;'Calc'!$B$8,"",'Calc'!$B$5-'财富模型'!$E$5-(IF('Calc'!$E$12=1,'财富模型'!$E$9,'财富模型'!$M$4+IF(Calc!$A$24&lt;='财富模型'!$E$11*12,'Calc'!$W$12,'Calc'!$Y$12)-(IF('Calc'!$E$12=1,0,MIN(Calc!$C$23*(1+'财富模型'!$E$20/12)+'Calc'!$B$6,IF(Calc!$A$24&lt;='财富模型'!$E$11*12,'Calc'!$W$12,'Calc'!$Y$12)))))))</x:f>
        <x:v>7121.083333333332</x:v>
      </x:c>
      <x:c r="G24" t="n">
        <x:f>IF(Calc!$A$24&gt;'Calc'!$B$8,"",IF('Calc'!$E$12=1,0,MAX(Calc!$G$23*(1+IF(Calc!$A$24&lt;='财富模型'!$E$11*12,'财富模型'!$E$10,'财富模型'!$E$12)/12)-IF('Calc'!$E$12=1,0,IF(Calc!$A$24&lt;='财富模型'!$E$11*12,'Calc'!$W$12,'Calc'!$Y$12)),0)))</x:f>
        <x:v>949928.0416333007</x:v>
      </x:c>
      <x:c r="I24" t="n">
        <x:v>3</x:v>
      </x:c>
      <x:c r="J24" t="n">
        <x:f>IF(Calc!$I$24&gt;'Calc'!$B$8,"",MAX(Calc!$J$23*(1+'财富模型'!$E$6/12)+('Calc'!$B$5-'财富模型'!$E$5-(IF('Calc'!$E$13=1,'财富模型'!$E$9,'财富模型'!$M$5+IF(Calc!$I$24&lt;='财富模型'!$E$11*12,'Calc'!$W$13,'Calc'!$Y$13)-(IF('Calc'!$E$13=1,0,MIN(Calc!$K$23*(1+'财富模型'!$E$20/12)+'Calc'!$B$6,IF(Calc!$I$24&lt;='财富模型'!$E$11*12,'Calc'!$W$13,'Calc'!$Y$13))))))),0))</x:f>
        <x:v>410118.63937667815</x:v>
      </x:c>
      <x:c r="K24" t="n">
        <x:f>IF(Calc!$I$24&gt;'Calc'!$B$8,"",MAX(Calc!$K$23*(1+'财富模型'!$E$20/12)+'Calc'!$B$6-(IF('Calc'!$E$13=1,0,MIN(Calc!$K$23*(1+'财富模型'!$E$20/12)+'Calc'!$B$6,IF(Calc!$I$24&lt;='财富模型'!$E$11*12,'Calc'!$W$13,'Calc'!$Y$13)))),0))</x:f>
        <x:v>0</x:v>
      </x:c>
      <x:c r="L24" t="n">
        <x:f>IF(Calc!$I$24&gt;'Calc'!$B$8,"",IF('Calc'!$E$13=1,'财富模型'!$E$9,'财富模型'!$M$5+IF(Calc!$I$24&lt;='财富模型'!$E$11*12,'Calc'!$W$13,'Calc'!$Y$13)-(IF('Calc'!$E$13=1,0,MIN(Calc!$K$23*(1+'财富模型'!$E$20/12)+'Calc'!$B$6,IF(Calc!$I$24&lt;='财富模型'!$E$11*12,'Calc'!$W$13,'Calc'!$Y$13))))))</x:f>
        <x:v>843.25</x:v>
      </x:c>
      <x:c r="M24" t="n">
        <x:f>IF(Calc!$I$24&gt;'Calc'!$B$8,"",IF('Calc'!$E$13=1,0,MIN(Calc!$K$23*(1+'财富模型'!$E$20/12)+'Calc'!$B$6,IF(Calc!$I$24&lt;='财富模型'!$E$11*12,'Calc'!$W$13,'Calc'!$Y$13))))</x:f>
        <x:v>2847.75</x:v>
      </x:c>
      <x:c r="N24" t="n">
        <x:f>IF(Calc!$I$24&gt;'Calc'!$B$8,"",'Calc'!$B$5-'财富模型'!$E$5-(IF('Calc'!$E$13=1,'财富模型'!$E$9,'财富模型'!$M$5+IF(Calc!$I$24&lt;='财富模型'!$E$11*12,'Calc'!$W$13,'Calc'!$Y$13)-(IF('Calc'!$E$13=1,0,MIN(Calc!$K$23*(1+'财富模型'!$E$20/12)+'Calc'!$B$6,IF(Calc!$I$24&lt;='财富模型'!$E$11*12,'Calc'!$W$13,'Calc'!$Y$13)))))))</x:f>
        <x:v>7090.083333333332</x:v>
      </x:c>
      <x:c r="O24" t="n">
        <x:f>IF(Calc!$I$24&gt;'Calc'!$B$8,"",IF('Calc'!$E$13=1,0,MAX(Calc!$O$23*(1+IF(Calc!$I$24&lt;='财富模型'!$E$11*12,'财富模型'!$E$10,'财富模型'!$E$12)/12)-IF('Calc'!$E$13=1,0,IF(Calc!$I$24&lt;='财富模型'!$E$11*12,'Calc'!$W$13,'Calc'!$Y$13)),0)))</x:f>
        <x:v>938752.9476878906</x:v>
      </x:c>
      <x:c r="Q24" t="n">
        <x:v>3</x:v>
      </x:c>
      <x:c r="R24" t="n">
        <x:f>IF(Calc!$Q$24&gt;'Calc'!$B$8,"",MAX(Calc!$R$23*(1+'财富模型'!$E$6/12)+('Calc'!$B$5-'财富模型'!$E$5-(IF('Calc'!$E$14=1,'财富模型'!$E$9,'财富模型'!$M$6+IF(Calc!$Q$24&lt;='财富模型'!$E$11*12,'Calc'!$W$14,'Calc'!$Y$14)-(IF('Calc'!$E$14=1,0,MIN(Calc!$S$23*(1+'财富模型'!$E$20/12)+'Calc'!$B$6,IF(Calc!$Q$24&lt;='财富模型'!$E$11*12,'Calc'!$W$14,'Calc'!$Y$14))))))),0))</x:f>
        <x:v>284452.7876313842</x:v>
      </x:c>
      <x:c r="S24" t="n">
        <x:f>IF(Calc!$Q$24&gt;'Calc'!$B$8,"",MAX(Calc!$S$23*(1+'财富模型'!$E$20/12)+'Calc'!$B$6-(IF('Calc'!$E$14=1,0,MIN(Calc!$S$23*(1+'财富模型'!$E$20/12)+'Calc'!$B$6,IF(Calc!$Q$24&lt;='财富模型'!$E$11*12,'Calc'!$W$14,'Calc'!$Y$14)))),0))</x:f>
        <x:v>0</x:v>
      </x:c>
      <x:c r="T24" t="n">
        <x:f>IF(Calc!$Q$24&gt;'Calc'!$B$8,"",IF('Calc'!$E$14=1,'财富模型'!$E$9,'财富模型'!$M$6+IF(Calc!$Q$24&lt;='财富模型'!$E$11*12,'Calc'!$W$14,'Calc'!$Y$14)-(IF('Calc'!$E$14=1,0,MIN(Calc!$S$23*(1+'财富模型'!$E$20/12)+'Calc'!$B$6,IF(Calc!$Q$24&lt;='财富模型'!$E$11*12,'Calc'!$W$14,'Calc'!$Y$14))))))</x:f>
        <x:v>1388.25</x:v>
      </x:c>
      <x:c r="U24" t="n">
        <x:f>IF(Calc!$Q$24&gt;'Calc'!$B$8,"",IF('Calc'!$E$14=1,0,MIN(Calc!$S$23*(1+'财富模型'!$E$20/12)+'Calc'!$B$6,IF(Calc!$Q$24&lt;='财富模型'!$E$11*12,'Calc'!$W$14,'Calc'!$Y$14))))</x:f>
        <x:v>2847.75</x:v>
      </x:c>
      <x:c r="V24" t="n">
        <x:f>IF(Calc!$Q$24&gt;'Calc'!$B$8,"",'Calc'!$B$5-'财富模型'!$E$5-(IF('Calc'!$E$14=1,'财富模型'!$E$9,'财富模型'!$M$6+IF(Calc!$Q$24&lt;='财富模型'!$E$11*12,'Calc'!$W$14,'Calc'!$Y$14)-(IF('Calc'!$E$14=1,0,MIN(Calc!$S$23*(1+'财富模型'!$E$20/12)+'Calc'!$B$6,IF(Calc!$Q$24&lt;='财富模型'!$E$11*12,'Calc'!$W$14,'Calc'!$Y$14)))))))</x:f>
        <x:v>6545.083333333332</x:v>
      </x:c>
      <x:c r="W24" t="n">
        <x:f>IF(Calc!$Q$24&gt;'Calc'!$B$8,"",IF('Calc'!$E$14=1,0,MAX(Calc!$W$23*(1+IF(Calc!$Q$24&lt;='财富模型'!$E$11*12,'财富模型'!$E$10,'财富模型'!$E$12)/12)-IF('Calc'!$E$14=1,0,IF(Calc!$Q$24&lt;='财富模型'!$E$11*12,'Calc'!$W$14,'Calc'!$Y$14)),0)))</x:f>
        <x:v>1092727.9174671874</x:v>
      </x:c>
      <x:c r="Y24" t="n">
        <x:v>3</x:v>
      </x:c>
      <x:c r="Z24" t="n">
        <x:f>IF(Calc!$Y$24&gt;'Calc'!$B$8,"",MAX(Calc!$Z$23*(1+'财富模型'!$E$6/12)+('Calc'!$B$5-'财富模型'!$E$5-(IF('Calc'!$E$15=1,'财富模型'!$E$9,'财富模型'!$M$7+IF(Calc!$Y$24&lt;='财富模型'!$E$11*12,'Calc'!$W$15,'Calc'!$Y$15)-(IF('Calc'!$E$15=1,0,MIN(Calc!$AA$23*(1+'财富模型'!$E$20/12)+'Calc'!$B$6,IF(Calc!$Y$24&lt;='财富模型'!$E$11*12,'Calc'!$W$15,'Calc'!$Y$15))))))),0))</x:f>
        <x:v>32228.63747361111</x:v>
      </x:c>
      <x:c r="AA24" t="n">
        <x:f>IF(Calc!$Y$24&gt;'Calc'!$B$8,"",MAX(Calc!$AA$23*(1+'财富模型'!$E$20/12)+'Calc'!$B$6-(IF('Calc'!$E$15=1,0,MIN(Calc!$AA$23*(1+'财富模型'!$E$20/12)+'Calc'!$B$6,IF(Calc!$Y$24&lt;='财富模型'!$E$11*12,'Calc'!$W$15,'Calc'!$Y$15)))),0))</x:f>
        <x:v>0</x:v>
      </x:c>
      <x:c r="AB24" t="n">
        <x:f>IF(Calc!$Y$24&gt;'Calc'!$B$8,"",IF('Calc'!$E$15=1,'财富模型'!$E$9,'财富模型'!$M$7+IF(Calc!$Y$24&lt;='财富模型'!$E$11*12,'Calc'!$W$15,'Calc'!$Y$15)-(IF('Calc'!$E$15=1,0,MIN(Calc!$AA$23*(1+'财富模型'!$E$20/12)+'Calc'!$B$6,IF(Calc!$Y$24&lt;='财富模型'!$E$11*12,'Calc'!$W$15,'Calc'!$Y$15))))))</x:f>
        <x:v>1468.25</x:v>
      </x:c>
      <x:c r="AC24" t="n">
        <x:f>IF(Calc!$Y$24&gt;'Calc'!$B$8,"",IF('Calc'!$E$15=1,0,MIN(Calc!$AA$23*(1+'财富模型'!$E$20/12)+'Calc'!$B$6,IF(Calc!$Y$24&lt;='财富模型'!$E$11*12,'Calc'!$W$15,'Calc'!$Y$15))))</x:f>
        <x:v>2847.75</x:v>
      </x:c>
      <x:c r="AD24" t="n">
        <x:f>IF(Calc!$Y$24&gt;'Calc'!$B$8,"",'Calc'!$B$5-'财富模型'!$E$5-(IF('Calc'!$E$15=1,'财富模型'!$E$9,'财富模型'!$M$7+IF(Calc!$Y$24&lt;='财富模型'!$E$11*12,'Calc'!$W$15,'Calc'!$Y$15)-(IF('Calc'!$E$15=1,0,MIN(Calc!$AA$23*(1+'财富模型'!$E$20/12)+'Calc'!$B$6,IF(Calc!$Y$24&lt;='财富模型'!$E$11*12,'Calc'!$W$15,'Calc'!$Y$15)))))))</x:f>
        <x:v>6465.083333333332</x:v>
      </x:c>
      <x:c r="AE24" t="n">
        <x:f>IF(Calc!$Y$24&gt;'Calc'!$B$8,"",IF('Calc'!$E$15=1,0,MAX(Calc!$AE$23*(1+IF(Calc!$Y$24&lt;='财富模型'!$E$11*12,'财富模型'!$E$10,'财富模型'!$E$12)/12)-IF('Calc'!$E$15=1,0,IF(Calc!$Y$24&lt;='财富模型'!$E$11*12,'Calc'!$W$15,'Calc'!$Y$15)),0)))</x:f>
        <x:v>1092727.9174671874</x:v>
      </x:c>
      <x:c r="AG24" t="n">
        <x:v>3</x:v>
      </x:c>
      <x:c r="AH24" t="n">
        <x:f>IF(Calc!$AG$24&gt;'Calc'!$B$8,"",MAX(Calc!$AH$23*(1+'财富模型'!$E$6/12)+('Calc'!$B$5-'财富模型'!$E$5-(IF('Calc'!$E$16=1,'财富模型'!$E$9,'财富模型'!$M$8+IF(Calc!$AG$24&lt;='财富模型'!$E$11*12,'Calc'!$W$16,'Calc'!$Y$16)-(IF('Calc'!$E$16=1,0,MIN(Calc!$AI$23*(1+'财富模型'!$E$20/12)+'Calc'!$B$6,IF(Calc!$AG$24&lt;='财富模型'!$E$11*12,'Calc'!$W$16,'Calc'!$Y$16))))))),0))</x:f>
        <x:v>19478.433610474534</x:v>
      </x:c>
      <x:c r="AI24" t="n">
        <x:f>IF(Calc!$AG$24&gt;'Calc'!$B$8,"",MAX(Calc!$AI$23*(1+'财富模型'!$E$20/12)+'Calc'!$B$6-(IF('Calc'!$E$16=1,0,MIN(Calc!$AI$23*(1+'财富模型'!$E$20/12)+'Calc'!$B$6,IF(Calc!$AG$24&lt;='财富模型'!$E$11*12,'Calc'!$W$16,'Calc'!$Y$16)))),0))</x:f>
        <x:v>0</x:v>
      </x:c>
      <x:c r="AJ24" t="n">
        <x:f>IF(Calc!$AG$24&gt;'Calc'!$B$8,"",IF('Calc'!$E$16=1,'财富模型'!$E$9,'财富模型'!$M$8+IF(Calc!$AG$24&lt;='财富模型'!$E$11*12,'Calc'!$W$16,'Calc'!$Y$16)-(IF('Calc'!$E$16=1,0,MIN(Calc!$AI$23*(1+'财富模型'!$E$20/12)+'Calc'!$B$6,IF(Calc!$AG$24&lt;='财富模型'!$E$11*12,'Calc'!$W$16,'Calc'!$Y$16))))))</x:f>
        <x:v>1478.25</x:v>
      </x:c>
      <x:c r="AK24" t="n">
        <x:f>IF(Calc!$AG$24&gt;'Calc'!$B$8,"",IF('Calc'!$E$16=1,0,MIN(Calc!$AI$23*(1+'财富模型'!$E$20/12)+'Calc'!$B$6,IF(Calc!$AG$24&lt;='财富模型'!$E$11*12,'Calc'!$W$16,'Calc'!$Y$16))))</x:f>
        <x:v>2847.75</x:v>
      </x:c>
      <x:c r="AL24" t="n">
        <x:f>IF(Calc!$AG$24&gt;'Calc'!$B$8,"",'Calc'!$B$5-'财富模型'!$E$5-(IF('Calc'!$E$16=1,'财富模型'!$E$9,'财富模型'!$M$8+IF(Calc!$AG$24&lt;='财富模型'!$E$11*12,'Calc'!$W$16,'Calc'!$Y$16)-(IF('Calc'!$E$16=1,0,MIN(Calc!$AI$23*(1+'财富模型'!$E$20/12)+'Calc'!$B$6,IF(Calc!$AG$24&lt;='财富模型'!$E$11*12,'Calc'!$W$16,'Calc'!$Y$16)))))))</x:f>
        <x:v>6455.083333333332</x:v>
      </x:c>
      <x:c r="AM24" t="n">
        <x:f>IF(Calc!$AG$24&gt;'Calc'!$B$8,"",IF('Calc'!$E$16=1,0,MAX(Calc!$AM$23*(1+IF(Calc!$AG$24&lt;='财富模型'!$E$11*12,'财富模型'!$E$10,'财富模型'!$E$12)/12)-IF('Calc'!$E$16=1,0,IF(Calc!$AG$24&lt;='财富模型'!$E$11*12,'Calc'!$W$16,'Calc'!$Y$16)),0)))</x:f>
        <x:v>1092727.9174671874</x:v>
      </x:c>
      <x:c r="AO24" t="n">
        <x:v>3</x:v>
      </x:c>
      <x:c r="AP24" t="n">
        <x:f>IF(Calc!$AO$24&gt;'Calc'!$B$8,"",MAX(Calc!$AP$23*(1+'财富模型'!$E$6/12)+('Calc'!$B$5-'财富模型'!$E$5-(IF('Calc'!$E$17=1,'财富模型'!$E$9,'财富模型'!$M$9+IF(Calc!$AO$24&lt;='财富模型'!$E$11*12,'Calc'!$W$17,'Calc'!$Y$17)-(IF('Calc'!$E$17=1,0,MIN(Calc!$AQ$23*(1+'财富模型'!$E$20/12)+'Calc'!$B$6,IF(Calc!$AO$24&lt;='财富模型'!$E$11*12,'Calc'!$W$17,'Calc'!$Y$17))))))),0))</x:f>
        <x:v>820862.7812297455</x:v>
      </x:c>
      <x:c r="AQ24" t="n">
        <x:f>IF(Calc!$AO$24&gt;'Calc'!$B$8,"",MAX(Calc!$AQ$23*(1+'财富模型'!$E$20/12)+'Calc'!$B$6-(IF('Calc'!$E$17=1,0,MIN(Calc!$AQ$23*(1+'财富模型'!$E$20/12)+'Calc'!$B$6,IF(Calc!$AO$24&lt;='财富模型'!$E$11*12,'Calc'!$W$17,'Calc'!$Y$17)))),0))</x:f>
        <x:v>8561.060797526043</x:v>
      </x:c>
      <x:c r="AR24" t="n">
        <x:f>IF(Calc!$AO$24&gt;'Calc'!$B$8,"",IF('Calc'!$E$17=1,'财富模型'!$E$9,'财富模型'!$M$9+IF(Calc!$AO$24&lt;='财富模型'!$E$11*12,'Calc'!$W$17,'Calc'!$Y$17)-(IF('Calc'!$E$17=1,0,MIN(Calc!$AQ$23*(1+'财富模型'!$E$20/12)+'Calc'!$B$6,IF(Calc!$AO$24&lt;='财富模型'!$E$11*12,'Calc'!$W$17,'Calc'!$Y$17))))))</x:f>
        <x:v>4000</x:v>
      </x:c>
      <x:c r="AS24" t="n">
        <x:f>IF(Calc!$AO$24&gt;'Calc'!$B$8,"",IF('Calc'!$E$17=1,0,MIN(Calc!$AQ$23*(1+'财富模型'!$E$20/12)+'Calc'!$B$6,IF(Calc!$AO$24&lt;='财富模型'!$E$11*12,'Calc'!$W$17,'Calc'!$Y$17))))</x:f>
        <x:v>0</x:v>
      </x:c>
      <x:c r="AT24" t="n">
        <x:f>IF(Calc!$AO$24&gt;'Calc'!$B$8,"",'Calc'!$B$5-'财富模型'!$E$5-(IF('Calc'!$E$17=1,'财富模型'!$E$9,'财富模型'!$M$9+IF(Calc!$AO$24&lt;='财富模型'!$E$11*12,'Calc'!$W$17,'Calc'!$Y$17)-(IF('Calc'!$E$17=1,0,MIN(Calc!$AQ$23*(1+'财富模型'!$E$20/12)+'Calc'!$B$6,IF(Calc!$AO$24&lt;='财富模型'!$E$11*12,'Calc'!$W$17,'Calc'!$Y$17)))))))</x:f>
        <x:v>3933.333333333332</x:v>
      </x:c>
      <x:c r="AU24" t="n">
        <x:f>IF(Calc!$AO$24&gt;'Calc'!$B$8,"",IF('Calc'!$E$17=1,0,MAX(Calc!$AU$23*(1+IF(Calc!$AO$24&lt;='财富模型'!$E$11*12,'财富模型'!$E$10,'财富模型'!$E$12)/12)-IF('Calc'!$E$17=1,0,IF(Calc!$AO$24&lt;='财富模型'!$E$11*12,'Calc'!$W$17,'Calc'!$Y$17)),0)))</x:f>
        <x:v>0</x:v>
      </x:c>
    </x:row>
    <x:row r="25">
      <x:c r="A25" t="n">
        <x:v>4</x:v>
      </x:c>
      <x:c r="B25" t="n">
        <x:f>IF(Calc!$A$25&gt;'Calc'!$B$8,"",MAX(Calc!$B$24*(1+'财富模型'!$E$6/12)+('Calc'!$B$5-'财富模型'!$E$5-(IF('Calc'!$E$12=1,'财富模型'!$E$9,'财富模型'!$M$4+IF(Calc!$A$25&lt;='财富模型'!$E$11*12,'Calc'!$W$12,'Calc'!$Y$12)-(IF('Calc'!$E$12=1,0,MIN(Calc!$C$24*(1+'财富模型'!$E$20/12)+'Calc'!$B$6,IF(Calc!$A$25&lt;='财富模型'!$E$11*12,'Calc'!$W$12,'Calc'!$Y$12))))))),0))</x:f>
        <x:v>414506.1253600958</x:v>
      </x:c>
      <x:c r="C25" t="n">
        <x:f>IF(Calc!$A$25&gt;'Calc'!$B$8,"",MAX(Calc!$C$24*(1+'财富模型'!$E$20/12)+'Calc'!$B$6-(IF('Calc'!$E$12=1,0,MIN(Calc!$C$24*(1+'财富模型'!$E$20/12)+'Calc'!$B$6,IF(Calc!$A$25&lt;='财富模型'!$E$11*12,'Calc'!$W$12,'Calc'!$Y$12)))),0))</x:f>
        <x:v>0</x:v>
      </x:c>
      <x:c r="D25" t="n">
        <x:f>IF(Calc!$A$25&gt;'Calc'!$B$8,"",IF('Calc'!$E$12=1,'财富模型'!$E$9,'财富模型'!$M$4+IF(Calc!$A$25&lt;='财富模型'!$E$11*12,'Calc'!$W$12,'Calc'!$Y$12)-(IF('Calc'!$E$12=1,0,MIN(Calc!$C$24*(1+'财富模型'!$E$20/12)+'Calc'!$B$6,IF(Calc!$A$25&lt;='财富模型'!$E$11*12,'Calc'!$W$12,'Calc'!$Y$12))))))</x:f>
        <x:v>812.25</x:v>
      </x:c>
      <x:c r="E25" t="n">
        <x:f>IF(Calc!$A$25&gt;'Calc'!$B$8,"",IF('Calc'!$E$12=1,0,MIN(Calc!$C$24*(1+'财富模型'!$E$20/12)+'Calc'!$B$6,IF(Calc!$A$25&lt;='财富模型'!$E$11*12,'Calc'!$W$12,'Calc'!$Y$12))))</x:f>
        <x:v>2847.75</x:v>
      </x:c>
      <x:c r="F25" t="n">
        <x:f>IF(Calc!$A$25&gt;'Calc'!$B$8,"",'Calc'!$B$5-'财富模型'!$E$5-(IF('Calc'!$E$12=1,'财富模型'!$E$9,'财富模型'!$M$4+IF(Calc!$A$25&lt;='财富模型'!$E$11*12,'Calc'!$W$12,'Calc'!$Y$12)-(IF('Calc'!$E$12=1,0,MIN(Calc!$C$24*(1+'财富模型'!$E$20/12)+'Calc'!$B$6,IF(Calc!$A$25&lt;='财富模型'!$E$11*12,'Calc'!$W$12,'Calc'!$Y$12)))))))</x:f>
        <x:v>7121.083333333332</x:v>
      </x:c>
      <x:c r="G25" t="n">
        <x:f>IF(Calc!$A$25&gt;'Calc'!$B$8,"",IF('Calc'!$E$12=1,0,MAX(Calc!$G$24*(1+IF(Calc!$A$25&lt;='财富模型'!$E$11*12,'财富模型'!$E$10,'财富模型'!$E$12)/12)-IF('Calc'!$E$12=1,0,IF(Calc!$A$25&lt;='财富模型'!$E$11*12,'Calc'!$W$12,'Calc'!$Y$12)),0)))</x:f>
        <x:v>947815.4516853424</x:v>
      </x:c>
      <x:c r="I25" t="n">
        <x:v>4</x:v>
      </x:c>
      <x:c r="J25" t="n">
        <x:f>IF(Calc!$I$25&gt;'Calc'!$B$8,"",MAX(Calc!$J$24*(1+'财富模型'!$E$6/12)+('Calc'!$B$5-'财富模型'!$E$5-(IF('Calc'!$E$13=1,'财富模型'!$E$9,'财富模型'!$M$5+IF(Calc!$I$25&lt;='财富模型'!$E$11*12,'Calc'!$W$13,'Calc'!$Y$13)-(IF('Calc'!$E$13=1,0,MIN(Calc!$K$24*(1+'财富模型'!$E$20/12)+'Calc'!$B$6,IF(Calc!$I$25&lt;='财富模型'!$E$11*12,'Calc'!$W$13,'Calc'!$Y$13))))))),0))</x:f>
        <x:v>419601.08143970877</x:v>
      </x:c>
      <x:c r="K25" t="n">
        <x:f>IF(Calc!$I$25&gt;'Calc'!$B$8,"",MAX(Calc!$K$24*(1+'财富模型'!$E$20/12)+'Calc'!$B$6-(IF('Calc'!$E$13=1,0,MIN(Calc!$K$24*(1+'财富模型'!$E$20/12)+'Calc'!$B$6,IF(Calc!$I$25&lt;='财富模型'!$E$11*12,'Calc'!$W$13,'Calc'!$Y$13)))),0))</x:f>
        <x:v>0</x:v>
      </x:c>
      <x:c r="L25" t="n">
        <x:f>IF(Calc!$I$25&gt;'Calc'!$B$8,"",IF('Calc'!$E$13=1,'财富模型'!$E$9,'财富模型'!$M$5+IF(Calc!$I$25&lt;='财富模型'!$E$11*12,'Calc'!$W$13,'Calc'!$Y$13)-(IF('Calc'!$E$13=1,0,MIN(Calc!$K$24*(1+'财富模型'!$E$20/12)+'Calc'!$B$6,IF(Calc!$I$25&lt;='财富模型'!$E$11*12,'Calc'!$W$13,'Calc'!$Y$13))))))</x:f>
        <x:v>843.25</x:v>
      </x:c>
      <x:c r="M25" t="n">
        <x:f>IF(Calc!$I$25&gt;'Calc'!$B$8,"",IF('Calc'!$E$13=1,0,MIN(Calc!$K$24*(1+'财富模型'!$E$20/12)+'Calc'!$B$6,IF(Calc!$I$25&lt;='财富模型'!$E$11*12,'Calc'!$W$13,'Calc'!$Y$13))))</x:f>
        <x:v>2847.75</x:v>
      </x:c>
      <x:c r="N25" t="n">
        <x:f>IF(Calc!$I$25&gt;'Calc'!$B$8,"",'Calc'!$B$5-'财富模型'!$E$5-(IF('Calc'!$E$13=1,'财富模型'!$E$9,'财富模型'!$M$5+IF(Calc!$I$25&lt;='财富模型'!$E$11*12,'Calc'!$W$13,'Calc'!$Y$13)-(IF('Calc'!$E$13=1,0,MIN(Calc!$K$24*(1+'财富模型'!$E$20/12)+'Calc'!$B$6,IF(Calc!$I$25&lt;='财富模型'!$E$11*12,'Calc'!$W$13,'Calc'!$Y$13)))))))</x:f>
        <x:v>7090.083333333332</x:v>
      </x:c>
      <x:c r="O25" t="n">
        <x:f>IF(Calc!$I$25&gt;'Calc'!$B$8,"",IF('Calc'!$E$13=1,0,MAX(Calc!$O$24*(1+IF(Calc!$I$25&lt;='财富模型'!$E$11*12,'财富模型'!$E$10,'财富模型'!$E$12)/12)-IF('Calc'!$E$13=1,0,IF(Calc!$I$25&lt;='财富模型'!$E$11*12,'Calc'!$W$13,'Calc'!$Y$13)),0)))</x:f>
        <x:v>936665.3888725005</x:v>
      </x:c>
      <x:c r="Q25" t="n">
        <x:v>4</x:v>
      </x:c>
      <x:c r="R25" t="n">
        <x:f>IF(Calc!$Q$25&gt;'Calc'!$B$8,"",MAX(Calc!$R$24*(1+'财富模型'!$E$6/12)+('Calc'!$B$5-'财富模型'!$E$5-(IF('Calc'!$E$14=1,'财富模型'!$E$9,'财富模型'!$M$6+IF(Calc!$Q$25&lt;='财富模型'!$E$11*12,'Calc'!$W$14,'Calc'!$Y$14)-(IF('Calc'!$E$14=1,0,MIN(Calc!$S$24*(1+'财富模型'!$E$20/12)+'Calc'!$B$6,IF(Calc!$Q$25&lt;='财富模型'!$E$11*12,'Calc'!$W$14,'Calc'!$Y$14))))))),0))</x:f>
        <x:v>292657.1788925673</x:v>
      </x:c>
      <x:c r="S25" t="n">
        <x:f>IF(Calc!$Q$25&gt;'Calc'!$B$8,"",MAX(Calc!$S$24*(1+'财富模型'!$E$20/12)+'Calc'!$B$6-(IF('Calc'!$E$14=1,0,MIN(Calc!$S$24*(1+'财富模型'!$E$20/12)+'Calc'!$B$6,IF(Calc!$Q$25&lt;='财富模型'!$E$11*12,'Calc'!$W$14,'Calc'!$Y$14)))),0))</x:f>
        <x:v>0</x:v>
      </x:c>
      <x:c r="T25" t="n">
        <x:f>IF(Calc!$Q$25&gt;'Calc'!$B$8,"",IF('Calc'!$E$14=1,'财富模型'!$E$9,'财富模型'!$M$6+IF(Calc!$Q$25&lt;='财富模型'!$E$11*12,'Calc'!$W$14,'Calc'!$Y$14)-(IF('Calc'!$E$14=1,0,MIN(Calc!$S$24*(1+'财富模型'!$E$20/12)+'Calc'!$B$6,IF(Calc!$Q$25&lt;='财富模型'!$E$11*12,'Calc'!$W$14,'Calc'!$Y$14))))))</x:f>
        <x:v>1388.25</x:v>
      </x:c>
      <x:c r="U25" t="n">
        <x:f>IF(Calc!$Q$25&gt;'Calc'!$B$8,"",IF('Calc'!$E$14=1,0,MIN(Calc!$S$24*(1+'财富模型'!$E$20/12)+'Calc'!$B$6,IF(Calc!$Q$25&lt;='财富模型'!$E$11*12,'Calc'!$W$14,'Calc'!$Y$14))))</x:f>
        <x:v>2847.75</x:v>
      </x:c>
      <x:c r="V25" t="n">
        <x:f>IF(Calc!$Q$25&gt;'Calc'!$B$8,"",'Calc'!$B$5-'财富模型'!$E$5-(IF('Calc'!$E$14=1,'财富模型'!$E$9,'财富模型'!$M$6+IF(Calc!$Q$25&lt;='财富模型'!$E$11*12,'Calc'!$W$14,'Calc'!$Y$14)-(IF('Calc'!$E$14=1,0,MIN(Calc!$S$24*(1+'财富模型'!$E$20/12)+'Calc'!$B$6,IF(Calc!$Q$25&lt;='财富模型'!$E$11*12,'Calc'!$W$14,'Calc'!$Y$14)))))))</x:f>
        <x:v>6545.083333333332</x:v>
      </x:c>
      <x:c r="W25" t="n">
        <x:f>IF(Calc!$Q$25&gt;'Calc'!$B$8,"",IF('Calc'!$E$14=1,0,MAX(Calc!$W$24*(1+IF(Calc!$Q$25&lt;='财富模型'!$E$11*12,'财富模型'!$E$10,'财富模型'!$E$12)/12)-IF('Calc'!$E$14=1,0,IF(Calc!$Q$25&lt;='财富模型'!$E$11*12,'Calc'!$W$14,'Calc'!$Y$14)),0)))</x:f>
        <x:v>1090297.8273640214</x:v>
      </x:c>
      <x:c r="Y25" t="n">
        <x:v>4</x:v>
      </x:c>
      <x:c r="Z25" t="n">
        <x:f>IF(Calc!$Y$25&gt;'Calc'!$B$8,"",MAX(Calc!$Z$24*(1+'财富模型'!$E$6/12)+('Calc'!$B$5-'财富模型'!$E$5-(IF('Calc'!$E$15=1,'财富模型'!$E$9,'财富模型'!$M$7+IF(Calc!$Y$25&lt;='财富模型'!$E$11*12,'Calc'!$W$15,'Calc'!$Y$15)-(IF('Calc'!$E$15=1,0,MIN(Calc!$AA$24*(1+'财富模型'!$E$20/12)+'Calc'!$B$6,IF(Calc!$Y$25&lt;='财富模型'!$E$11*12,'Calc'!$W$15,'Calc'!$Y$15))))))),0))</x:f>
        <x:v>38881.72119220717</x:v>
      </x:c>
      <x:c r="AA25" t="n">
        <x:f>IF(Calc!$Y$25&gt;'Calc'!$B$8,"",MAX(Calc!$AA$24*(1+'财富模型'!$E$20/12)+'Calc'!$B$6-(IF('Calc'!$E$15=1,0,MIN(Calc!$AA$24*(1+'财富模型'!$E$20/12)+'Calc'!$B$6,IF(Calc!$Y$25&lt;='财富模型'!$E$11*12,'Calc'!$W$15,'Calc'!$Y$15)))),0))</x:f>
        <x:v>0</x:v>
      </x:c>
      <x:c r="AB25" t="n">
        <x:f>IF(Calc!$Y$25&gt;'Calc'!$B$8,"",IF('Calc'!$E$15=1,'财富模型'!$E$9,'财富模型'!$M$7+IF(Calc!$Y$25&lt;='财富模型'!$E$11*12,'Calc'!$W$15,'Calc'!$Y$15)-(IF('Calc'!$E$15=1,0,MIN(Calc!$AA$24*(1+'财富模型'!$E$20/12)+'Calc'!$B$6,IF(Calc!$Y$25&lt;='财富模型'!$E$11*12,'Calc'!$W$15,'Calc'!$Y$15))))))</x:f>
        <x:v>1468.25</x:v>
      </x:c>
      <x:c r="AC25" t="n">
        <x:f>IF(Calc!$Y$25&gt;'Calc'!$B$8,"",IF('Calc'!$E$15=1,0,MIN(Calc!$AA$24*(1+'财富模型'!$E$20/12)+'Calc'!$B$6,IF(Calc!$Y$25&lt;='财富模型'!$E$11*12,'Calc'!$W$15,'Calc'!$Y$15))))</x:f>
        <x:v>2847.75</x:v>
      </x:c>
      <x:c r="AD25" t="n">
        <x:f>IF(Calc!$Y$25&gt;'Calc'!$B$8,"",'Calc'!$B$5-'财富模型'!$E$5-(IF('Calc'!$E$15=1,'财富模型'!$E$9,'财富模型'!$M$7+IF(Calc!$Y$25&lt;='财富模型'!$E$11*12,'Calc'!$W$15,'Calc'!$Y$15)-(IF('Calc'!$E$15=1,0,MIN(Calc!$AA$24*(1+'财富模型'!$E$20/12)+'Calc'!$B$6,IF(Calc!$Y$25&lt;='财富模型'!$E$11*12,'Calc'!$W$15,'Calc'!$Y$15)))))))</x:f>
        <x:v>6465.083333333332</x:v>
      </x:c>
      <x:c r="AE25" t="n">
        <x:f>IF(Calc!$Y$25&gt;'Calc'!$B$8,"",IF('Calc'!$E$15=1,0,MAX(Calc!$AE$24*(1+IF(Calc!$Y$25&lt;='财富模型'!$E$11*12,'财富模型'!$E$10,'财富模型'!$E$12)/12)-IF('Calc'!$E$15=1,0,IF(Calc!$Y$25&lt;='财富模型'!$E$11*12,'Calc'!$W$15,'Calc'!$Y$15)),0)))</x:f>
        <x:v>1090297.8273640214</x:v>
      </x:c>
      <x:c r="AG25" t="n">
        <x:v>4</x:v>
      </x:c>
      <x:c r="AH25" t="n">
        <x:f>IF(Calc!$AG$25&gt;'Calc'!$B$8,"",MAX(Calc!$AH$24*(1+'财富模型'!$E$6/12)+('Calc'!$B$5-'财富模型'!$E$5-(IF('Calc'!$E$16=1,'财富模型'!$E$9,'财富模型'!$M$8+IF(Calc!$AG$25&lt;='财富模型'!$E$11*12,'Calc'!$W$16,'Calc'!$Y$16)-(IF('Calc'!$E$16=1,0,MIN(Calc!$AI$24*(1+'财富模型'!$E$20/12)+'Calc'!$B$6,IF(Calc!$AG$25&lt;='财富模型'!$E$11*12,'Calc'!$W$16,'Calc'!$Y$16))))))),0))</x:f>
        <x:v>26047.141139868967</x:v>
      </x:c>
      <x:c r="AI25" t="n">
        <x:f>IF(Calc!$AG$25&gt;'Calc'!$B$8,"",MAX(Calc!$AI$24*(1+'财富模型'!$E$20/12)+'Calc'!$B$6-(IF('Calc'!$E$16=1,0,MIN(Calc!$AI$24*(1+'财富模型'!$E$20/12)+'Calc'!$B$6,IF(Calc!$AG$25&lt;='财富模型'!$E$11*12,'Calc'!$W$16,'Calc'!$Y$16)))),0))</x:f>
        <x:v>0</x:v>
      </x:c>
      <x:c r="AJ25" t="n">
        <x:f>IF(Calc!$AG$25&gt;'Calc'!$B$8,"",IF('Calc'!$E$16=1,'财富模型'!$E$9,'财富模型'!$M$8+IF(Calc!$AG$25&lt;='财富模型'!$E$11*12,'Calc'!$W$16,'Calc'!$Y$16)-(IF('Calc'!$E$16=1,0,MIN(Calc!$AI$24*(1+'财富模型'!$E$20/12)+'Calc'!$B$6,IF(Calc!$AG$25&lt;='财富模型'!$E$11*12,'Calc'!$W$16,'Calc'!$Y$16))))))</x:f>
        <x:v>1478.25</x:v>
      </x:c>
      <x:c r="AK25" t="n">
        <x:f>IF(Calc!$AG$25&gt;'Calc'!$B$8,"",IF('Calc'!$E$16=1,0,MIN(Calc!$AI$24*(1+'财富模型'!$E$20/12)+'Calc'!$B$6,IF(Calc!$AG$25&lt;='财富模型'!$E$11*12,'Calc'!$W$16,'Calc'!$Y$16))))</x:f>
        <x:v>2847.75</x:v>
      </x:c>
      <x:c r="AL25" t="n">
        <x:f>IF(Calc!$AG$25&gt;'Calc'!$B$8,"",'Calc'!$B$5-'财富模型'!$E$5-(IF('Calc'!$E$16=1,'财富模型'!$E$9,'财富模型'!$M$8+IF(Calc!$AG$25&lt;='财富模型'!$E$11*12,'Calc'!$W$16,'Calc'!$Y$16)-(IF('Calc'!$E$16=1,0,MIN(Calc!$AI$24*(1+'财富模型'!$E$20/12)+'Calc'!$B$6,IF(Calc!$AG$25&lt;='财富模型'!$E$11*12,'Calc'!$W$16,'Calc'!$Y$16)))))))</x:f>
        <x:v>6455.083333333332</x:v>
      </x:c>
      <x:c r="AM25" t="n">
        <x:f>IF(Calc!$AG$25&gt;'Calc'!$B$8,"",IF('Calc'!$E$16=1,0,MAX(Calc!$AM$24*(1+IF(Calc!$AG$25&lt;='财富模型'!$E$11*12,'财富模型'!$E$10,'财富模型'!$E$12)/12)-IF('Calc'!$E$16=1,0,IF(Calc!$AG$25&lt;='财富模型'!$E$11*12,'Calc'!$W$16,'Calc'!$Y$16)),0)))</x:f>
        <x:v>1090297.8273640214</x:v>
      </x:c>
      <x:c r="AO25" t="n">
        <x:v>4</x:v>
      </x:c>
      <x:c r="AP25" t="n">
        <x:f>IF(Calc!$AO$25&gt;'Calc'!$B$8,"",MAX(Calc!$AP$24*(1+'财富模型'!$E$6/12)+('Calc'!$B$5-'财富模型'!$E$5-(IF('Calc'!$E$17=1,'财富模型'!$E$9,'财富模型'!$M$9+IF(Calc!$AO$25&lt;='财富模型'!$E$11*12,'Calc'!$W$17,'Calc'!$Y$17)-(IF('Calc'!$E$17=1,0,MIN(Calc!$AQ$24*(1+'财富模型'!$E$20/12)+'Calc'!$B$6,IF(Calc!$AO$25&lt;='财富模型'!$E$11*12,'Calc'!$W$17,'Calc'!$Y$17))))))),0))</x:f>
        <x:v>829584.480786919</x:v>
      </x:c>
      <x:c r="AQ25" t="n">
        <x:f>IF(Calc!$AO$25&gt;'Calc'!$B$8,"",MAX(Calc!$AQ$24*(1+'财富模型'!$E$20/12)+'Calc'!$B$6-(IF('Calc'!$E$17=1,0,MIN(Calc!$AQ$24*(1+'财富模型'!$E$20/12)+'Calc'!$B$6,IF(Calc!$AO$25&lt;='财富模型'!$E$11*12,'Calc'!$W$17,'Calc'!$Y$17)))),0))</x:f>
        <x:v>11426.646340854222</x:v>
      </x:c>
      <x:c r="AR25" t="n">
        <x:f>IF(Calc!$AO$25&gt;'Calc'!$B$8,"",IF('Calc'!$E$17=1,'财富模型'!$E$9,'财富模型'!$M$9+IF(Calc!$AO$25&lt;='财富模型'!$E$11*12,'Calc'!$W$17,'Calc'!$Y$17)-(IF('Calc'!$E$17=1,0,MIN(Calc!$AQ$24*(1+'财富模型'!$E$20/12)+'Calc'!$B$6,IF(Calc!$AO$25&lt;='财富模型'!$E$11*12,'Calc'!$W$17,'Calc'!$Y$17))))))</x:f>
        <x:v>4000</x:v>
      </x:c>
      <x:c r="AS25" t="n">
        <x:f>IF(Calc!$AO$25&gt;'Calc'!$B$8,"",IF('Calc'!$E$17=1,0,MIN(Calc!$AQ$24*(1+'财富模型'!$E$20/12)+'Calc'!$B$6,IF(Calc!$AO$25&lt;='财富模型'!$E$11*12,'Calc'!$W$17,'Calc'!$Y$17))))</x:f>
        <x:v>0</x:v>
      </x:c>
      <x:c r="AT25" t="n">
        <x:f>IF(Calc!$AO$25&gt;'Calc'!$B$8,"",'Calc'!$B$5-'财富模型'!$E$5-(IF('Calc'!$E$17=1,'财富模型'!$E$9,'财富模型'!$M$9+IF(Calc!$AO$25&lt;='财富模型'!$E$11*12,'Calc'!$W$17,'Calc'!$Y$17)-(IF('Calc'!$E$17=1,0,MIN(Calc!$AQ$24*(1+'财富模型'!$E$20/12)+'Calc'!$B$6,IF(Calc!$AO$25&lt;='财富模型'!$E$11*12,'Calc'!$W$17,'Calc'!$Y$17)))))))</x:f>
        <x:v>3933.333333333332</x:v>
      </x:c>
      <x:c r="AU25" t="n">
        <x:f>IF(Calc!$AO$25&gt;'Calc'!$B$8,"",IF('Calc'!$E$17=1,0,MAX(Calc!$AU$24*(1+IF(Calc!$AO$25&lt;='财富模型'!$E$11*12,'财富模型'!$E$10,'财富模型'!$E$12)/12)-IF('Calc'!$E$17=1,0,IF(Calc!$AO$25&lt;='财富模型'!$E$11*12,'Calc'!$W$17,'Calc'!$Y$17)),0)))</x:f>
        <x:v>0</x:v>
      </x:c>
    </x:row>
    <x:row r="26">
      <x:c r="A26" t="n">
        <x:v>5</x:v>
      </x:c>
      <x:c r="B26" t="n">
        <x:f>IF(Calc!$A$26&gt;'Calc'!$B$8,"",MAX(Calc!$B$25*(1+'财富模型'!$E$6/12)+('Calc'!$B$5-'财富模型'!$E$5-(IF('Calc'!$E$12=1,'财富模型'!$E$9,'财富模型'!$M$4+IF(Calc!$A$26&lt;='财富模型'!$E$11*12,'Calc'!$W$12,'Calc'!$Y$12)-(IF('Calc'!$E$12=1,0,MIN(Calc!$C$25*(1+'财富模型'!$E$20/12)+'Calc'!$B$6,IF(Calc!$A$26&lt;='财富模型'!$E$11*12,'Calc'!$W$12,'Calc'!$Y$12))))))),0))</x:f>
        <x:v>424045.16109136306</x:v>
      </x:c>
      <x:c r="C26" t="n">
        <x:f>IF(Calc!$A$26&gt;'Calc'!$B$8,"",MAX(Calc!$C$25*(1+'财富模型'!$E$20/12)+'Calc'!$B$6-(IF('Calc'!$E$12=1,0,MIN(Calc!$C$25*(1+'财富模型'!$E$20/12)+'Calc'!$B$6,IF(Calc!$A$26&lt;='财富模型'!$E$11*12,'Calc'!$W$12,'Calc'!$Y$12)))),0))</x:f>
        <x:v>0</x:v>
      </x:c>
      <x:c r="D26" t="n">
        <x:f>IF(Calc!$A$26&gt;'Calc'!$B$8,"",IF('Calc'!$E$12=1,'财富模型'!$E$9,'财富模型'!$M$4+IF(Calc!$A$26&lt;='财富模型'!$E$11*12,'Calc'!$W$12,'Calc'!$Y$12)-(IF('Calc'!$E$12=1,0,MIN(Calc!$C$25*(1+'财富模型'!$E$20/12)+'Calc'!$B$6,IF(Calc!$A$26&lt;='财富模型'!$E$11*12,'Calc'!$W$12,'Calc'!$Y$12))))))</x:f>
        <x:v>812.25</x:v>
      </x:c>
      <x:c r="E26" t="n">
        <x:f>IF(Calc!$A$26&gt;'Calc'!$B$8,"",IF('Calc'!$E$12=1,0,MIN(Calc!$C$25*(1+'财富模型'!$E$20/12)+'Calc'!$B$6,IF(Calc!$A$26&lt;='财富模型'!$E$11*12,'Calc'!$W$12,'Calc'!$Y$12))))</x:f>
        <x:v>2847.75</x:v>
      </x:c>
      <x:c r="F26" t="n">
        <x:f>IF(Calc!$A$26&gt;'Calc'!$B$8,"",'Calc'!$B$5-'财富模型'!$E$5-(IF('Calc'!$E$12=1,'财富模型'!$E$9,'财富模型'!$M$4+IF(Calc!$A$26&lt;='财富模型'!$E$11*12,'Calc'!$W$12,'Calc'!$Y$12)-(IF('Calc'!$E$12=1,0,MIN(Calc!$C$25*(1+'财富模型'!$E$20/12)+'Calc'!$B$6,IF(Calc!$A$26&lt;='财富模型'!$E$11*12,'Calc'!$W$12,'Calc'!$Y$12)))))))</x:f>
        <x:v>7121.083333333332</x:v>
      </x:c>
      <x:c r="G26" t="n">
        <x:f>IF(Calc!$A$26&gt;'Calc'!$B$8,"",IF('Calc'!$E$12=1,0,MAX(Calc!$G$25*(1+IF(Calc!$A$26&lt;='财富模型'!$E$11*12,'财富模型'!$E$10,'财富模型'!$E$12)/12)-IF('Calc'!$E$12=1,0,IF(Calc!$A$26&lt;='财富模型'!$E$11*12,'Calc'!$W$12,'Calc'!$Y$12)),0)))</x:f>
        <x:v>945700.220999949</x:v>
      </x:c>
      <x:c r="I26" t="n">
        <x:v>5</x:v>
      </x:c>
      <x:c r="J26" t="n">
        <x:f>IF(Calc!$I$26&gt;'Calc'!$B$8,"",MAX(Calc!$J$25*(1+'财富模型'!$E$6/12)+('Calc'!$B$5-'财富模型'!$E$5-(IF('Calc'!$E$13=1,'财富模型'!$E$9,'财富模型'!$M$5+IF(Calc!$I$26&lt;='财富模型'!$E$11*12,'Calc'!$W$13,'Calc'!$Y$13)-(IF('Calc'!$E$13=1,0,MIN(Calc!$K$25*(1+'财富模型'!$E$20/12)+'Calc'!$B$6,IF(Calc!$I$26&lt;='财富模型'!$E$11*12,'Calc'!$W$13,'Calc'!$Y$13))))))),0))</x:f>
        <x:v>429138.83774810703</x:v>
      </x:c>
      <x:c r="K26" t="n">
        <x:f>IF(Calc!$I$26&gt;'Calc'!$B$8,"",MAX(Calc!$K$25*(1+'财富模型'!$E$20/12)+'Calc'!$B$6-(IF('Calc'!$E$13=1,0,MIN(Calc!$K$25*(1+'财富模型'!$E$20/12)+'Calc'!$B$6,IF(Calc!$I$26&lt;='财富模型'!$E$11*12,'Calc'!$W$13,'Calc'!$Y$13)))),0))</x:f>
        <x:v>0</x:v>
      </x:c>
      <x:c r="L26" t="n">
        <x:f>IF(Calc!$I$26&gt;'Calc'!$B$8,"",IF('Calc'!$E$13=1,'财富模型'!$E$9,'财富模型'!$M$5+IF(Calc!$I$26&lt;='财富模型'!$E$11*12,'Calc'!$W$13,'Calc'!$Y$13)-(IF('Calc'!$E$13=1,0,MIN(Calc!$K$25*(1+'财富模型'!$E$20/12)+'Calc'!$B$6,IF(Calc!$I$26&lt;='财富模型'!$E$11*12,'Calc'!$W$13,'Calc'!$Y$13))))))</x:f>
        <x:v>843.25</x:v>
      </x:c>
      <x:c r="M26" t="n">
        <x:f>IF(Calc!$I$26&gt;'Calc'!$B$8,"",IF('Calc'!$E$13=1,0,MIN(Calc!$K$25*(1+'财富模型'!$E$20/12)+'Calc'!$B$6,IF(Calc!$I$26&lt;='财富模型'!$E$11*12,'Calc'!$W$13,'Calc'!$Y$13))))</x:f>
        <x:v>2847.75</x:v>
      </x:c>
      <x:c r="N26" t="n">
        <x:f>IF(Calc!$I$26&gt;'Calc'!$B$8,"",'Calc'!$B$5-'财富模型'!$E$5-(IF('Calc'!$E$13=1,'财富模型'!$E$9,'财富模型'!$M$5+IF(Calc!$I$26&lt;='财富模型'!$E$11*12,'Calc'!$W$13,'Calc'!$Y$13)-(IF('Calc'!$E$13=1,0,MIN(Calc!$K$25*(1+'财富模型'!$E$20/12)+'Calc'!$B$6,IF(Calc!$I$26&lt;='财富模型'!$E$11*12,'Calc'!$W$13,'Calc'!$Y$13)))))))</x:f>
        <x:v>7090.083333333332</x:v>
      </x:c>
      <x:c r="O26" t="n">
        <x:f>IF(Calc!$I$26&gt;'Calc'!$B$8,"",IF('Calc'!$E$13=1,0,MAX(Calc!$O$25*(1+IF(Calc!$I$26&lt;='财富模型'!$E$11*12,'财富模型'!$E$10,'财富模型'!$E$12)/12)-IF('Calc'!$E$13=1,0,IF(Calc!$I$26&lt;='财富模型'!$E$11*12,'Calc'!$W$13,'Calc'!$Y$13)),0)))</x:f>
        <x:v>934575.2206085911</x:v>
      </x:c>
      <x:c r="Q26" t="n">
        <x:v>5</x:v>
      </x:c>
      <x:c r="R26" t="n">
        <x:f>IF(Calc!$Q$26&gt;'Calc'!$B$8,"",MAX(Calc!$R$25*(1+'财富模型'!$E$6/12)+('Calc'!$B$5-'财富模型'!$E$5-(IF('Calc'!$E$14=1,'财富模型'!$E$9,'财富模型'!$M$6+IF(Calc!$Q$26&lt;='财富模型'!$E$11*12,'Calc'!$W$14,'Calc'!$Y$14)-(IF('Calc'!$E$14=1,0,MIN(Calc!$S$25*(1+'财富模型'!$E$20/12)+'Calc'!$B$6,IF(Calc!$Q$26&lt;='财富模型'!$E$11*12,'Calc'!$W$14,'Calc'!$Y$14))))))),0))</x:f>
        <x:v>300909.4291027739</x:v>
      </x:c>
      <x:c r="S26" t="n">
        <x:f>IF(Calc!$Q$26&gt;'Calc'!$B$8,"",MAX(Calc!$S$25*(1+'财富模型'!$E$20/12)+'Calc'!$B$6-(IF('Calc'!$E$14=1,0,MIN(Calc!$S$25*(1+'财富模型'!$E$20/12)+'Calc'!$B$6,IF(Calc!$Q$26&lt;='财富模型'!$E$11*12,'Calc'!$W$14,'Calc'!$Y$14)))),0))</x:f>
        <x:v>0</x:v>
      </x:c>
      <x:c r="T26" t="n">
        <x:f>IF(Calc!$Q$26&gt;'Calc'!$B$8,"",IF('Calc'!$E$14=1,'财富模型'!$E$9,'财富模型'!$M$6+IF(Calc!$Q$26&lt;='财富模型'!$E$11*12,'Calc'!$W$14,'Calc'!$Y$14)-(IF('Calc'!$E$14=1,0,MIN(Calc!$S$25*(1+'财富模型'!$E$20/12)+'Calc'!$B$6,IF(Calc!$Q$26&lt;='财富模型'!$E$11*12,'Calc'!$W$14,'Calc'!$Y$14))))))</x:f>
        <x:v>1388.25</x:v>
      </x:c>
      <x:c r="U26" t="n">
        <x:f>IF(Calc!$Q$26&gt;'Calc'!$B$8,"",IF('Calc'!$E$14=1,0,MIN(Calc!$S$25*(1+'财富模型'!$E$20/12)+'Calc'!$B$6,IF(Calc!$Q$26&lt;='财富模型'!$E$11*12,'Calc'!$W$14,'Calc'!$Y$14))))</x:f>
        <x:v>2847.75</x:v>
      </x:c>
      <x:c r="V26" t="n">
        <x:f>IF(Calc!$Q$26&gt;'Calc'!$B$8,"",'Calc'!$B$5-'财富模型'!$E$5-(IF('Calc'!$E$14=1,'财富模型'!$E$9,'财富模型'!$M$6+IF(Calc!$Q$26&lt;='财富模型'!$E$11*12,'Calc'!$W$14,'Calc'!$Y$14)-(IF('Calc'!$E$14=1,0,MIN(Calc!$S$25*(1+'财富模型'!$E$20/12)+'Calc'!$B$6,IF(Calc!$Q$26&lt;='财富模型'!$E$11*12,'Calc'!$W$14,'Calc'!$Y$14)))))))</x:f>
        <x:v>6545.083333333332</x:v>
      </x:c>
      <x:c r="W26" t="n">
        <x:f>IF(Calc!$Q$26&gt;'Calc'!$B$8,"",IF('Calc'!$E$14=1,0,MAX(Calc!$W$25*(1+IF(Calc!$Q$26&lt;='财富模型'!$E$11*12,'财富模型'!$E$10,'财富模型'!$E$12)/12)-IF('Calc'!$E$14=1,0,IF(Calc!$Q$26&lt;='财富模型'!$E$11*12,'Calc'!$W$14,'Calc'!$Y$14)),0)))</x:f>
        <x:v>1087864.6996482264</x:v>
      </x:c>
      <x:c r="Y26" t="n">
        <x:v>5</x:v>
      </x:c>
      <x:c r="Z26" t="n">
        <x:f>IF(Calc!$Y$26&gt;'Calc'!$B$8,"",MAX(Calc!$Z$25*(1+'财富模型'!$E$6/12)+('Calc'!$B$5-'财富模型'!$E$5-(IF('Calc'!$E$15=1,'财富模型'!$E$9,'财富模型'!$M$7+IF(Calc!$Y$26&lt;='财富模型'!$E$11*12,'Calc'!$W$15,'Calc'!$Y$15)-(IF('Calc'!$E$15=1,0,MIN(Calc!$AA$25*(1+'财富模型'!$E$20/12)+'Calc'!$B$6,IF(Calc!$Y$26&lt;='财富模型'!$E$11*12,'Calc'!$W$15,'Calc'!$Y$15))))))),0))</x:f>
        <x:v>45573.61456582838</x:v>
      </x:c>
      <x:c r="AA26" t="n">
        <x:f>IF(Calc!$Y$26&gt;'Calc'!$B$8,"",MAX(Calc!$AA$25*(1+'财富模型'!$E$20/12)+'Calc'!$B$6-(IF('Calc'!$E$15=1,0,MIN(Calc!$AA$25*(1+'财富模型'!$E$20/12)+'Calc'!$B$6,IF(Calc!$Y$26&lt;='财富模型'!$E$11*12,'Calc'!$W$15,'Calc'!$Y$15)))),0))</x:f>
        <x:v>0</x:v>
      </x:c>
      <x:c r="AB26" t="n">
        <x:f>IF(Calc!$Y$26&gt;'Calc'!$B$8,"",IF('Calc'!$E$15=1,'财富模型'!$E$9,'财富模型'!$M$7+IF(Calc!$Y$26&lt;='财富模型'!$E$11*12,'Calc'!$W$15,'Calc'!$Y$15)-(IF('Calc'!$E$15=1,0,MIN(Calc!$AA$25*(1+'财富模型'!$E$20/12)+'Calc'!$B$6,IF(Calc!$Y$26&lt;='财富模型'!$E$11*12,'Calc'!$W$15,'Calc'!$Y$15))))))</x:f>
        <x:v>1468.25</x:v>
      </x:c>
      <x:c r="AC26" t="n">
        <x:f>IF(Calc!$Y$26&gt;'Calc'!$B$8,"",IF('Calc'!$E$15=1,0,MIN(Calc!$AA$25*(1+'财富模型'!$E$20/12)+'Calc'!$B$6,IF(Calc!$Y$26&lt;='财富模型'!$E$11*12,'Calc'!$W$15,'Calc'!$Y$15))))</x:f>
        <x:v>2847.75</x:v>
      </x:c>
      <x:c r="AD26" t="n">
        <x:f>IF(Calc!$Y$26&gt;'Calc'!$B$8,"",'Calc'!$B$5-'财富模型'!$E$5-(IF('Calc'!$E$15=1,'财富模型'!$E$9,'财富模型'!$M$7+IF(Calc!$Y$26&lt;='财富模型'!$E$11*12,'Calc'!$W$15,'Calc'!$Y$15)-(IF('Calc'!$E$15=1,0,MIN(Calc!$AA$25*(1+'财富模型'!$E$20/12)+'Calc'!$B$6,IF(Calc!$Y$26&lt;='财富模型'!$E$11*12,'Calc'!$W$15,'Calc'!$Y$15)))))))</x:f>
        <x:v>6465.083333333332</x:v>
      </x:c>
      <x:c r="AE26" t="n">
        <x:f>IF(Calc!$Y$26&gt;'Calc'!$B$8,"",IF('Calc'!$E$15=1,0,MAX(Calc!$AE$25*(1+IF(Calc!$Y$26&lt;='财富模型'!$E$11*12,'财富模型'!$E$10,'财富模型'!$E$12)/12)-IF('Calc'!$E$15=1,0,IF(Calc!$Y$26&lt;='财富模型'!$E$11*12,'Calc'!$W$15,'Calc'!$Y$15)),0)))</x:f>
        <x:v>1087864.6996482264</x:v>
      </x:c>
      <x:c r="AG26" t="n">
        <x:v>5</x:v>
      </x:c>
      <x:c r="AH26" t="n">
        <x:f>IF(Calc!$AG$26&gt;'Calc'!$B$8,"",MAX(Calc!$AH$25*(1+'财富模型'!$E$6/12)+('Calc'!$B$5-'财富模型'!$E$5-(IF('Calc'!$E$16=1,'财富模型'!$E$9,'财富模型'!$M$8+IF(Calc!$AG$26&lt;='财富模型'!$E$11*12,'Calc'!$W$16,'Calc'!$Y$16)-(IF('Calc'!$E$16=1,0,MIN(Calc!$AI$25*(1+'财富模型'!$E$20/12)+'Calc'!$B$6,IF(Calc!$AG$26&lt;='财富模型'!$E$11*12,'Calc'!$W$16,'Calc'!$Y$16))))))),0))</x:f>
        <x:v>32654.166129851536</x:v>
      </x:c>
      <x:c r="AI26" t="n">
        <x:f>IF(Calc!$AG$26&gt;'Calc'!$B$8,"",MAX(Calc!$AI$25*(1+'财富模型'!$E$20/12)+'Calc'!$B$6-(IF('Calc'!$E$16=1,0,MIN(Calc!$AI$25*(1+'财富模型'!$E$20/12)+'Calc'!$B$6,IF(Calc!$AG$26&lt;='财富模型'!$E$11*12,'Calc'!$W$16,'Calc'!$Y$16)))),0))</x:f>
        <x:v>0</x:v>
      </x:c>
      <x:c r="AJ26" t="n">
        <x:f>IF(Calc!$AG$26&gt;'Calc'!$B$8,"",IF('Calc'!$E$16=1,'财富模型'!$E$9,'财富模型'!$M$8+IF(Calc!$AG$26&lt;='财富模型'!$E$11*12,'Calc'!$W$16,'Calc'!$Y$16)-(IF('Calc'!$E$16=1,0,MIN(Calc!$AI$25*(1+'财富模型'!$E$20/12)+'Calc'!$B$6,IF(Calc!$AG$26&lt;='财富模型'!$E$11*12,'Calc'!$W$16,'Calc'!$Y$16))))))</x:f>
        <x:v>1478.25</x:v>
      </x:c>
      <x:c r="AK26" t="n">
        <x:f>IF(Calc!$AG$26&gt;'Calc'!$B$8,"",IF('Calc'!$E$16=1,0,MIN(Calc!$AI$25*(1+'财富模型'!$E$20/12)+'Calc'!$B$6,IF(Calc!$AG$26&lt;='财富模型'!$E$11*12,'Calc'!$W$16,'Calc'!$Y$16))))</x:f>
        <x:v>2847.75</x:v>
      </x:c>
      <x:c r="AL26" t="n">
        <x:f>IF(Calc!$AG$26&gt;'Calc'!$B$8,"",'Calc'!$B$5-'财富模型'!$E$5-(IF('Calc'!$E$16=1,'财富模型'!$E$9,'财富模型'!$M$8+IF(Calc!$AG$26&lt;='财富模型'!$E$11*12,'Calc'!$W$16,'Calc'!$Y$16)-(IF('Calc'!$E$16=1,0,MIN(Calc!$AI$25*(1+'财富模型'!$E$20/12)+'Calc'!$B$6,IF(Calc!$AG$26&lt;='财富模型'!$E$11*12,'Calc'!$W$16,'Calc'!$Y$16)))))))</x:f>
        <x:v>6455.083333333332</x:v>
      </x:c>
      <x:c r="AM26" t="n">
        <x:f>IF(Calc!$AG$26&gt;'Calc'!$B$8,"",IF('Calc'!$E$16=1,0,MAX(Calc!$AM$25*(1+IF(Calc!$AG$26&lt;='财富模型'!$E$11*12,'财富模型'!$E$10,'财富模型'!$E$12)/12)-IF('Calc'!$E$16=1,0,IF(Calc!$AG$26&lt;='财富模型'!$E$11*12,'Calc'!$W$16,'Calc'!$Y$16)),0)))</x:f>
        <x:v>1087864.6996482264</x:v>
      </x:c>
      <x:c r="AO26" t="n">
        <x:v>5</x:v>
      </x:c>
      <x:c r="AP26" t="n">
        <x:f>IF(Calc!$AO$26&gt;'Calc'!$B$8,"",MAX(Calc!$AP$25*(1+'财富模型'!$E$6/12)+('Calc'!$B$5-'财富模型'!$E$5-(IF('Calc'!$E$17=1,'财富模型'!$E$9,'财富模型'!$M$9+IF(Calc!$AO$26&lt;='财富模型'!$E$11*12,'Calc'!$W$17,'Calc'!$Y$17)-(IF('Calc'!$E$17=1,0,MIN(Calc!$AQ$25*(1+'财富模型'!$E$20/12)+'Calc'!$B$6,IF(Calc!$AO$26&lt;='财富模型'!$E$11*12,'Calc'!$W$17,'Calc'!$Y$17))))))),0))</x:f>
        <x:v>838357.0569248428</x:v>
      </x:c>
      <x:c r="AQ26" t="n">
        <x:f>IF(Calc!$AO$26&gt;'Calc'!$B$8,"",MAX(Calc!$AQ$25*(1+'财富模型'!$E$20/12)+'Calc'!$B$6-(IF('Calc'!$E$17=1,0,MIN(Calc!$AQ$25*(1+'财富模型'!$E$20/12)+'Calc'!$B$6,IF(Calc!$AO$26&lt;='财富模型'!$E$11*12,'Calc'!$W$17,'Calc'!$Y$17)))),0))</x:f>
        <x:v>14298.201854064337</x:v>
      </x:c>
      <x:c r="AR26" t="n">
        <x:f>IF(Calc!$AO$26&gt;'Calc'!$B$8,"",IF('Calc'!$E$17=1,'财富模型'!$E$9,'财富模型'!$M$9+IF(Calc!$AO$26&lt;='财富模型'!$E$11*12,'Calc'!$W$17,'Calc'!$Y$17)-(IF('Calc'!$E$17=1,0,MIN(Calc!$AQ$25*(1+'财富模型'!$E$20/12)+'Calc'!$B$6,IF(Calc!$AO$26&lt;='财富模型'!$E$11*12,'Calc'!$W$17,'Calc'!$Y$17))))))</x:f>
        <x:v>4000</x:v>
      </x:c>
      <x:c r="AS26" t="n">
        <x:f>IF(Calc!$AO$26&gt;'Calc'!$B$8,"",IF('Calc'!$E$17=1,0,MIN(Calc!$AQ$25*(1+'财富模型'!$E$20/12)+'Calc'!$B$6,IF(Calc!$AO$26&lt;='财富模型'!$E$11*12,'Calc'!$W$17,'Calc'!$Y$17))))</x:f>
        <x:v>0</x:v>
      </x:c>
      <x:c r="AT26" t="n">
        <x:f>IF(Calc!$AO$26&gt;'Calc'!$B$8,"",'Calc'!$B$5-'财富模型'!$E$5-(IF('Calc'!$E$17=1,'财富模型'!$E$9,'财富模型'!$M$9+IF(Calc!$AO$26&lt;='财富模型'!$E$11*12,'Calc'!$W$17,'Calc'!$Y$17)-(IF('Calc'!$E$17=1,0,MIN(Calc!$AQ$25*(1+'财富模型'!$E$20/12)+'Calc'!$B$6,IF(Calc!$AO$26&lt;='财富模型'!$E$11*12,'Calc'!$W$17,'Calc'!$Y$17)))))))</x:f>
        <x:v>3933.333333333332</x:v>
      </x:c>
      <x:c r="AU26" t="n">
        <x:f>IF(Calc!$AO$26&gt;'Calc'!$B$8,"",IF('Calc'!$E$17=1,0,MAX(Calc!$AU$25*(1+IF(Calc!$AO$26&lt;='财富模型'!$E$11*12,'财富模型'!$E$10,'财富模型'!$E$12)/12)-IF('Calc'!$E$17=1,0,IF(Calc!$AO$26&lt;='财富模型'!$E$11*12,'Calc'!$W$17,'Calc'!$Y$17)),0)))</x:f>
        <x:v>0</x:v>
      </x:c>
    </x:row>
    <x:row r="27">
      <x:c r="A27" t="n">
        <x:v>6</x:v>
      </x:c>
      <x:c r="B27" t="n">
        <x:f>IF(Calc!$A$27&gt;'Calc'!$B$8,"",MAX(Calc!$B$26*(1+'财富模型'!$E$6/12)+('Calc'!$B$5-'财富模型'!$E$5-(IF('Calc'!$E$12=1,'财富模型'!$E$9,'财富模型'!$M$4+IF(Calc!$A$27&lt;='财富模型'!$E$11*12,'Calc'!$W$12,'Calc'!$Y$12)-(IF('Calc'!$E$12=1,0,MIN(Calc!$C$26*(1+'财富模型'!$E$20/12)+'Calc'!$B$6,IF(Calc!$A$27&lt;='财富模型'!$E$11*12,'Calc'!$W$12,'Calc'!$Y$12))))))),0))</x:f>
        <x:v>433639.84119772934</x:v>
      </x:c>
      <x:c r="C27" t="n">
        <x:f>IF(Calc!$A$27&gt;'Calc'!$B$8,"",MAX(Calc!$C$26*(1+'财富模型'!$E$20/12)+'Calc'!$B$6-(IF('Calc'!$E$12=1,0,MIN(Calc!$C$26*(1+'财富模型'!$E$20/12)+'Calc'!$B$6,IF(Calc!$A$27&lt;='财富模型'!$E$11*12,'Calc'!$W$12,'Calc'!$Y$12)))),0))</x:f>
        <x:v>0</x:v>
      </x:c>
      <x:c r="D27" t="n">
        <x:f>IF(Calc!$A$27&gt;'Calc'!$B$8,"",IF('Calc'!$E$12=1,'财富模型'!$E$9,'财富模型'!$M$4+IF(Calc!$A$27&lt;='财富模型'!$E$11*12,'Calc'!$W$12,'Calc'!$Y$12)-(IF('Calc'!$E$12=1,0,MIN(Calc!$C$26*(1+'财富模型'!$E$20/12)+'Calc'!$B$6,IF(Calc!$A$27&lt;='财富模型'!$E$11*12,'Calc'!$W$12,'Calc'!$Y$12))))))</x:f>
        <x:v>812.25</x:v>
      </x:c>
      <x:c r="E27" t="n">
        <x:f>IF(Calc!$A$27&gt;'Calc'!$B$8,"",IF('Calc'!$E$12=1,0,MIN(Calc!$C$26*(1+'财富模型'!$E$20/12)+'Calc'!$B$6,IF(Calc!$A$27&lt;='财富模型'!$E$11*12,'Calc'!$W$12,'Calc'!$Y$12))))</x:f>
        <x:v>2847.75</x:v>
      </x:c>
      <x:c r="F27" t="n">
        <x:f>IF(Calc!$A$27&gt;'Calc'!$B$8,"",'Calc'!$B$5-'财富模型'!$E$5-(IF('Calc'!$E$12=1,'财富模型'!$E$9,'财富模型'!$M$4+IF(Calc!$A$27&lt;='财富模型'!$E$11*12,'Calc'!$W$12,'Calc'!$Y$12)-(IF('Calc'!$E$12=1,0,MIN(Calc!$C$26*(1+'财富模型'!$E$20/12)+'Calc'!$B$6,IF(Calc!$A$27&lt;='财富模型'!$E$11*12,'Calc'!$W$12,'Calc'!$Y$12)))))))</x:f>
        <x:v>7121.083333333332</x:v>
      </x:c>
      <x:c r="G27" t="n">
        <x:f>IF(Calc!$A$27&gt;'Calc'!$B$8,"",IF('Calc'!$E$12=1,0,MAX(Calc!$G$26*(1+IF(Calc!$A$27&lt;='财富模型'!$E$11*12,'财富模型'!$E$10,'财富模型'!$E$12)/12)-IF('Calc'!$E$12=1,0,IF(Calc!$A$27&lt;='财富模型'!$E$11*12,'Calc'!$W$12,'Calc'!$Y$12)),0)))</x:f>
        <x:v>943582.346276199</x:v>
      </x:c>
      <x:c r="I27" t="n">
        <x:v>6</x:v>
      </x:c>
      <x:c r="J27" t="n">
        <x:f>IF(Calc!$I$27&gt;'Calc'!$B$8,"",MAX(Calc!$J$26*(1+'财富模型'!$E$6/12)+('Calc'!$B$5-'财富模型'!$E$5-(IF('Calc'!$E$13=1,'财富模型'!$E$9,'财富模型'!$M$5+IF(Calc!$I$27&lt;='财富模型'!$E$11*12,'Calc'!$W$13,'Calc'!$Y$13)-(IF('Calc'!$E$13=1,0,MIN(Calc!$K$26*(1+'财富模型'!$E$20/12)+'Calc'!$B$6,IF(Calc!$I$27&lt;='财富模型'!$E$11*12,'Calc'!$W$13,'Calc'!$Y$13))))))),0))</x:f>
        <x:v>438732.2309683043</x:v>
      </x:c>
      <x:c r="K27" t="n">
        <x:f>IF(Calc!$I$27&gt;'Calc'!$B$8,"",MAX(Calc!$K$26*(1+'财富模型'!$E$20/12)+'Calc'!$B$6-(IF('Calc'!$E$13=1,0,MIN(Calc!$K$26*(1+'财富模型'!$E$20/12)+'Calc'!$B$6,IF(Calc!$I$27&lt;='财富模型'!$E$11*12,'Calc'!$W$13,'Calc'!$Y$13)))),0))</x:f>
        <x:v>0</x:v>
      </x:c>
      <x:c r="L27" t="n">
        <x:f>IF(Calc!$I$27&gt;'Calc'!$B$8,"",IF('Calc'!$E$13=1,'财富模型'!$E$9,'财富模型'!$M$5+IF(Calc!$I$27&lt;='财富模型'!$E$11*12,'Calc'!$W$13,'Calc'!$Y$13)-(IF('Calc'!$E$13=1,0,MIN(Calc!$K$26*(1+'财富模型'!$E$20/12)+'Calc'!$B$6,IF(Calc!$I$27&lt;='财富模型'!$E$11*12,'Calc'!$W$13,'Calc'!$Y$13))))))</x:f>
        <x:v>843.25</x:v>
      </x:c>
      <x:c r="M27" t="n">
        <x:f>IF(Calc!$I$27&gt;'Calc'!$B$8,"",IF('Calc'!$E$13=1,0,MIN(Calc!$K$26*(1+'财富模型'!$E$20/12)+'Calc'!$B$6,IF(Calc!$I$27&lt;='财富模型'!$E$11*12,'Calc'!$W$13,'Calc'!$Y$13))))</x:f>
        <x:v>2847.75</x:v>
      </x:c>
      <x:c r="N27" t="n">
        <x:f>IF(Calc!$I$27&gt;'Calc'!$B$8,"",'Calc'!$B$5-'财富模型'!$E$5-(IF('Calc'!$E$13=1,'财富模型'!$E$9,'财富模型'!$M$5+IF(Calc!$I$27&lt;='财富模型'!$E$11*12,'Calc'!$W$13,'Calc'!$Y$13)-(IF('Calc'!$E$13=1,0,MIN(Calc!$K$26*(1+'财富模型'!$E$20/12)+'Calc'!$B$6,IF(Calc!$I$27&lt;='财富模型'!$E$11*12,'Calc'!$W$13,'Calc'!$Y$13)))))))</x:f>
        <x:v>7090.083333333332</x:v>
      </x:c>
      <x:c r="O27" t="n">
        <x:f>IF(Calc!$I$27&gt;'Calc'!$B$8,"",IF('Calc'!$E$13=1,0,MAX(Calc!$O$26*(1+IF(Calc!$I$27&lt;='财富模型'!$E$11*12,'财富模型'!$E$10,'财富模型'!$E$12)/12)-IF('Calc'!$E$13=1,0,IF(Calc!$I$27&lt;='财富模型'!$E$11*12,'Calc'!$W$13,'Calc'!$Y$13)),0)))</x:f>
        <x:v>932482.4396343518</x:v>
      </x:c>
      <x:c r="Q27" t="n">
        <x:v>6</x:v>
      </x:c>
      <x:c r="R27" t="n">
        <x:f>IF(Calc!$Q$27&gt;'Calc'!$B$8,"",MAX(Calc!$R$26*(1+'财富模型'!$E$6/12)+('Calc'!$B$5-'财富模型'!$E$5-(IF('Calc'!$E$14=1,'财富模型'!$E$9,'财富模型'!$M$6+IF(Calc!$Q$27&lt;='财富模型'!$E$11*12,'Calc'!$W$14,'Calc'!$Y$14)-(IF('Calc'!$E$14=1,0,MIN(Calc!$S$26*(1+'财富模型'!$E$20/12)+'Calc'!$B$6,IF(Calc!$Q$27&lt;='财富模型'!$E$11*12,'Calc'!$W$14,'Calc'!$Y$14))))))),0))</x:f>
        <x:v>309209.8174392067</x:v>
      </x:c>
      <x:c r="S27" t="n">
        <x:f>IF(Calc!$Q$27&gt;'Calc'!$B$8,"",MAX(Calc!$S$26*(1+'财富模型'!$E$20/12)+'Calc'!$B$6-(IF('Calc'!$E$14=1,0,MIN(Calc!$S$26*(1+'财富模型'!$E$20/12)+'Calc'!$B$6,IF(Calc!$Q$27&lt;='财富模型'!$E$11*12,'Calc'!$W$14,'Calc'!$Y$14)))),0))</x:f>
        <x:v>0</x:v>
      </x:c>
      <x:c r="T27" t="n">
        <x:f>IF(Calc!$Q$27&gt;'Calc'!$B$8,"",IF('Calc'!$E$14=1,'财富模型'!$E$9,'财富模型'!$M$6+IF(Calc!$Q$27&lt;='财富模型'!$E$11*12,'Calc'!$W$14,'Calc'!$Y$14)-(IF('Calc'!$E$14=1,0,MIN(Calc!$S$26*(1+'财富模型'!$E$20/12)+'Calc'!$B$6,IF(Calc!$Q$27&lt;='财富模型'!$E$11*12,'Calc'!$W$14,'Calc'!$Y$14))))))</x:f>
        <x:v>1388.25</x:v>
      </x:c>
      <x:c r="U27" t="n">
        <x:f>IF(Calc!$Q$27&gt;'Calc'!$B$8,"",IF('Calc'!$E$14=1,0,MIN(Calc!$S$26*(1+'财富模型'!$E$20/12)+'Calc'!$B$6,IF(Calc!$Q$27&lt;='财富模型'!$E$11*12,'Calc'!$W$14,'Calc'!$Y$14))))</x:f>
        <x:v>2847.75</x:v>
      </x:c>
      <x:c r="V27" t="n">
        <x:f>IF(Calc!$Q$27&gt;'Calc'!$B$8,"",'Calc'!$B$5-'财富模型'!$E$5-(IF('Calc'!$E$14=1,'财富模型'!$E$9,'财富模型'!$M$6+IF(Calc!$Q$27&lt;='财富模型'!$E$11*12,'Calc'!$W$14,'Calc'!$Y$14)-(IF('Calc'!$E$14=1,0,MIN(Calc!$S$26*(1+'财富模型'!$E$20/12)+'Calc'!$B$6,IF(Calc!$Q$27&lt;='财富模型'!$E$11*12,'Calc'!$W$14,'Calc'!$Y$14)))))))</x:f>
        <x:v>6545.083333333332</x:v>
      </x:c>
      <x:c r="W27" t="n">
        <x:f>IF(Calc!$Q$27&gt;'Calc'!$B$8,"",IF('Calc'!$E$14=1,0,MAX(Calc!$W$26*(1+IF(Calc!$Q$27&lt;='财富模型'!$E$11*12,'财富模型'!$E$10,'财富模型'!$E$12)/12)-IF('Calc'!$E$14=1,0,IF(Calc!$Q$27&lt;='财富模型'!$E$11*12,'Calc'!$W$14,'Calc'!$Y$14)),0)))</x:f>
        <x:v>1085428.5305227865</x:v>
      </x:c>
      <x:c r="Y27" t="n">
        <x:v>6</x:v>
      </x:c>
      <x:c r="Z27" t="n">
        <x:f>IF(Calc!$Y$27&gt;'Calc'!$B$8,"",MAX(Calc!$Z$26*(1+'财富模型'!$E$6/12)+('Calc'!$B$5-'财富模型'!$E$5-(IF('Calc'!$E$15=1,'财富模型'!$E$9,'财富模型'!$M$7+IF(Calc!$Y$27&lt;='财富模型'!$E$11*12,'Calc'!$W$15,'Calc'!$Y$15)-(IF('Calc'!$E$15=1,0,MIN(Calc!$AA$26*(1+'财富模型'!$E$20/12)+'Calc'!$B$6,IF(Calc!$Y$27&lt;='财富模型'!$E$11*12,'Calc'!$W$15,'Calc'!$Y$15))))))),0))</x:f>
        <x:v>52304.54398412905</x:v>
      </x:c>
      <x:c r="AA27" t="n">
        <x:f>IF(Calc!$Y$27&gt;'Calc'!$B$8,"",MAX(Calc!$AA$26*(1+'财富模型'!$E$20/12)+'Calc'!$B$6-(IF('Calc'!$E$15=1,0,MIN(Calc!$AA$26*(1+'财富模型'!$E$20/12)+'Calc'!$B$6,IF(Calc!$Y$27&lt;='财富模型'!$E$11*12,'Calc'!$W$15,'Calc'!$Y$15)))),0))</x:f>
        <x:v>0</x:v>
      </x:c>
      <x:c r="AB27" t="n">
        <x:f>IF(Calc!$Y$27&gt;'Calc'!$B$8,"",IF('Calc'!$E$15=1,'财富模型'!$E$9,'财富模型'!$M$7+IF(Calc!$Y$27&lt;='财富模型'!$E$11*12,'Calc'!$W$15,'Calc'!$Y$15)-(IF('Calc'!$E$15=1,0,MIN(Calc!$AA$26*(1+'财富模型'!$E$20/12)+'Calc'!$B$6,IF(Calc!$Y$27&lt;='财富模型'!$E$11*12,'Calc'!$W$15,'Calc'!$Y$15))))))</x:f>
        <x:v>1468.25</x:v>
      </x:c>
      <x:c r="AC27" t="n">
        <x:f>IF(Calc!$Y$27&gt;'Calc'!$B$8,"",IF('Calc'!$E$15=1,0,MIN(Calc!$AA$26*(1+'财富模型'!$E$20/12)+'Calc'!$B$6,IF(Calc!$Y$27&lt;='财富模型'!$E$11*12,'Calc'!$W$15,'Calc'!$Y$15))))</x:f>
        <x:v>2847.75</x:v>
      </x:c>
      <x:c r="AD27" t="n">
        <x:f>IF(Calc!$Y$27&gt;'Calc'!$B$8,"",'Calc'!$B$5-'财富模型'!$E$5-(IF('Calc'!$E$15=1,'财富模型'!$E$9,'财富模型'!$M$7+IF(Calc!$Y$27&lt;='财富模型'!$E$11*12,'Calc'!$W$15,'Calc'!$Y$15)-(IF('Calc'!$E$15=1,0,MIN(Calc!$AA$26*(1+'财富模型'!$E$20/12)+'Calc'!$B$6,IF(Calc!$Y$27&lt;='财富模型'!$E$11*12,'Calc'!$W$15,'Calc'!$Y$15)))))))</x:f>
        <x:v>6465.083333333332</x:v>
      </x:c>
      <x:c r="AE27" t="n">
        <x:f>IF(Calc!$Y$27&gt;'Calc'!$B$8,"",IF('Calc'!$E$15=1,0,MAX(Calc!$AE$26*(1+IF(Calc!$Y$27&lt;='财富模型'!$E$11*12,'财富模型'!$E$10,'财富模型'!$E$12)/12)-IF('Calc'!$E$15=1,0,IF(Calc!$Y$27&lt;='财富模型'!$E$11*12,'Calc'!$W$15,'Calc'!$Y$15)),0)))</x:f>
        <x:v>1085428.5305227865</x:v>
      </x:c>
      <x:c r="AG27" t="n">
        <x:v>6</x:v>
      </x:c>
      <x:c r="AH27" t="n">
        <x:f>IF(Calc!$AG$27&gt;'Calc'!$B$8,"",MAX(Calc!$AH$26*(1+'财富模型'!$E$6/12)+('Calc'!$B$5-'财富模型'!$E$5-(IF('Calc'!$E$16=1,'财富模型'!$E$9,'财富模型'!$M$8+IF(Calc!$AG$27&lt;='财富模型'!$E$11*12,'Calc'!$W$16,'Calc'!$Y$16)-(IF('Calc'!$E$16=1,0,MIN(Calc!$AI$26*(1+'财富模型'!$E$20/12)+'Calc'!$B$6,IF(Calc!$AG$27&lt;='财富模型'!$E$11*12,'Calc'!$W$16,'Calc'!$Y$16))))))),0))</x:f>
        <x:v>39299.73209894233</x:v>
      </x:c>
      <x:c r="AI27" t="n">
        <x:f>IF(Calc!$AG$27&gt;'Calc'!$B$8,"",MAX(Calc!$AI$26*(1+'财富模型'!$E$20/12)+'Calc'!$B$6-(IF('Calc'!$E$16=1,0,MIN(Calc!$AI$26*(1+'财富模型'!$E$20/12)+'Calc'!$B$6,IF(Calc!$AG$27&lt;='财富模型'!$E$11*12,'Calc'!$W$16,'Calc'!$Y$16)))),0))</x:f>
        <x:v>0</x:v>
      </x:c>
      <x:c r="AJ27" t="n">
        <x:f>IF(Calc!$AG$27&gt;'Calc'!$B$8,"",IF('Calc'!$E$16=1,'财富模型'!$E$9,'财富模型'!$M$8+IF(Calc!$AG$27&lt;='财富模型'!$E$11*12,'Calc'!$W$16,'Calc'!$Y$16)-(IF('Calc'!$E$16=1,0,MIN(Calc!$AI$26*(1+'财富模型'!$E$20/12)+'Calc'!$B$6,IF(Calc!$AG$27&lt;='财富模型'!$E$11*12,'Calc'!$W$16,'Calc'!$Y$16))))))</x:f>
        <x:v>1478.25</x:v>
      </x:c>
      <x:c r="AK27" t="n">
        <x:f>IF(Calc!$AG$27&gt;'Calc'!$B$8,"",IF('Calc'!$E$16=1,0,MIN(Calc!$AI$26*(1+'财富模型'!$E$20/12)+'Calc'!$B$6,IF(Calc!$AG$27&lt;='财富模型'!$E$11*12,'Calc'!$W$16,'Calc'!$Y$16))))</x:f>
        <x:v>2847.75</x:v>
      </x:c>
      <x:c r="AL27" t="n">
        <x:f>IF(Calc!$AG$27&gt;'Calc'!$B$8,"",'Calc'!$B$5-'财富模型'!$E$5-(IF('Calc'!$E$16=1,'财富模型'!$E$9,'财富模型'!$M$8+IF(Calc!$AG$27&lt;='财富模型'!$E$11*12,'Calc'!$W$16,'Calc'!$Y$16)-(IF('Calc'!$E$16=1,0,MIN(Calc!$AI$26*(1+'财富模型'!$E$20/12)+'Calc'!$B$6,IF(Calc!$AG$27&lt;='财富模型'!$E$11*12,'Calc'!$W$16,'Calc'!$Y$16)))))))</x:f>
        <x:v>6455.083333333332</x:v>
      </x:c>
      <x:c r="AM27" t="n">
        <x:f>IF(Calc!$AG$27&gt;'Calc'!$B$8,"",IF('Calc'!$E$16=1,0,MAX(Calc!$AM$26*(1+IF(Calc!$AG$27&lt;='财富模型'!$E$11*12,'财富模型'!$E$10,'财富模型'!$E$12)/12)-IF('Calc'!$E$16=1,0,IF(Calc!$AG$27&lt;='财富模型'!$E$11*12,'Calc'!$W$16,'Calc'!$Y$16)),0)))</x:f>
        <x:v>1085428.5305227865</x:v>
      </x:c>
      <x:c r="AO27" t="n">
        <x:v>6</x:v>
      </x:c>
      <x:c r="AP27" t="n">
        <x:f>IF(Calc!$AO$27&gt;'Calc'!$B$8,"",MAX(Calc!$AP$26*(1+'财富模型'!$E$6/12)+('Calc'!$B$5-'财富模型'!$E$5-(IF('Calc'!$E$17=1,'财富模型'!$E$9,'财富模型'!$M$9+IF(Calc!$AO$27&lt;='财富模型'!$E$11*12,'Calc'!$W$17,'Calc'!$Y$17)-(IF('Calc'!$E$17=1,0,MIN(Calc!$AQ$26*(1+'财富模型'!$E$20/12)+'Calc'!$B$6,IF(Calc!$AO$27&lt;='财富模型'!$E$11*12,'Calc'!$W$17,'Calc'!$Y$17))))))),0))</x:f>
        <x:v>847180.8064235711</x:v>
      </x:c>
      <x:c r="AQ27" t="n">
        <x:f>IF(Calc!$AO$27&gt;'Calc'!$B$8,"",MAX(Calc!$AQ$26*(1+'财富模型'!$E$20/12)+'Calc'!$B$6-(IF('Calc'!$E$17=1,0,MIN(Calc!$AQ$26*(1+'财富模型'!$E$20/12)+'Calc'!$B$6,IF(Calc!$AO$27&lt;='财富模型'!$E$11*12,'Calc'!$W$17,'Calc'!$Y$17)))),0))</x:f>
        <x:v>17175.73977459364</x:v>
      </x:c>
      <x:c r="AR27" t="n">
        <x:f>IF(Calc!$AO$27&gt;'Calc'!$B$8,"",IF('Calc'!$E$17=1,'财富模型'!$E$9,'财富模型'!$M$9+IF(Calc!$AO$27&lt;='财富模型'!$E$11*12,'Calc'!$W$17,'Calc'!$Y$17)-(IF('Calc'!$E$17=1,0,MIN(Calc!$AQ$26*(1+'财富模型'!$E$20/12)+'Calc'!$B$6,IF(Calc!$AO$27&lt;='财富模型'!$E$11*12,'Calc'!$W$17,'Calc'!$Y$17))))))</x:f>
        <x:v>4000</x:v>
      </x:c>
      <x:c r="AS27" t="n">
        <x:f>IF(Calc!$AO$27&gt;'Calc'!$B$8,"",IF('Calc'!$E$17=1,0,MIN(Calc!$AQ$26*(1+'财富模型'!$E$20/12)+'Calc'!$B$6,IF(Calc!$AO$27&lt;='财富模型'!$E$11*12,'Calc'!$W$17,'Calc'!$Y$17))))</x:f>
        <x:v>0</x:v>
      </x:c>
      <x:c r="AT27" t="n">
        <x:f>IF(Calc!$AO$27&gt;'Calc'!$B$8,"",'Calc'!$B$5-'财富模型'!$E$5-(IF('Calc'!$E$17=1,'财富模型'!$E$9,'财富模型'!$M$9+IF(Calc!$AO$27&lt;='财富模型'!$E$11*12,'Calc'!$W$17,'Calc'!$Y$17)-(IF('Calc'!$E$17=1,0,MIN(Calc!$AQ$26*(1+'财富模型'!$E$20/12)+'Calc'!$B$6,IF(Calc!$AO$27&lt;='财富模型'!$E$11*12,'Calc'!$W$17,'Calc'!$Y$17)))))))</x:f>
        <x:v>3933.333333333332</x:v>
      </x:c>
      <x:c r="AU27" t="n">
        <x:f>IF(Calc!$AO$27&gt;'Calc'!$B$8,"",IF('Calc'!$E$17=1,0,MAX(Calc!$AU$26*(1+IF(Calc!$AO$27&lt;='财富模型'!$E$11*12,'财富模型'!$E$10,'财富模型'!$E$12)/12)-IF('Calc'!$E$17=1,0,IF(Calc!$AO$27&lt;='财富模型'!$E$11*12,'Calc'!$W$17,'Calc'!$Y$17)),0)))</x:f>
        <x:v>0</x:v>
      </x:c>
    </x:row>
    <x:row r="28">
      <x:c r="A28" t="n">
        <x:v>7</x:v>
      </x:c>
      <x:c r="B28" t="n">
        <x:f>IF(Calc!$A$28&gt;'Calc'!$B$8,"",MAX(Calc!$B$27*(1+'财富模型'!$E$6/12)+('Calc'!$B$5-'财富模型'!$E$5-(IF('Calc'!$E$12=1,'财富模型'!$E$9,'财富模型'!$M$4+IF(Calc!$A$28&lt;='财富模型'!$E$11*12,'Calc'!$W$12,'Calc'!$Y$12)-(IF('Calc'!$E$12=1,0,MIN(Calc!$C$27*(1+'财富模型'!$E$20/12)+'Calc'!$B$6,IF(Calc!$A$28&lt;='财富模型'!$E$11*12,'Calc'!$W$12,'Calc'!$Y$12))))))),0))</x:f>
        <x:v>443290.49027138273</x:v>
      </x:c>
      <x:c r="C28" t="n">
        <x:f>IF(Calc!$A$28&gt;'Calc'!$B$8,"",MAX(Calc!$C$27*(1+'财富模型'!$E$20/12)+'Calc'!$B$6-(IF('Calc'!$E$12=1,0,MIN(Calc!$C$27*(1+'财富模型'!$E$20/12)+'Calc'!$B$6,IF(Calc!$A$28&lt;='财富模型'!$E$11*12,'Calc'!$W$12,'Calc'!$Y$12)))),0))</x:f>
        <x:v>0</x:v>
      </x:c>
      <x:c r="D28" t="n">
        <x:f>IF(Calc!$A$28&gt;'Calc'!$B$8,"",IF('Calc'!$E$12=1,'财富模型'!$E$9,'财富模型'!$M$4+IF(Calc!$A$28&lt;='财富模型'!$E$11*12,'Calc'!$W$12,'Calc'!$Y$12)-(IF('Calc'!$E$12=1,0,MIN(Calc!$C$27*(1+'财富模型'!$E$20/12)+'Calc'!$B$6,IF(Calc!$A$28&lt;='财富模型'!$E$11*12,'Calc'!$W$12,'Calc'!$Y$12))))))</x:f>
        <x:v>812.25</x:v>
      </x:c>
      <x:c r="E28" t="n">
        <x:f>IF(Calc!$A$28&gt;'Calc'!$B$8,"",IF('Calc'!$E$12=1,0,MIN(Calc!$C$27*(1+'财富模型'!$E$20/12)+'Calc'!$B$6,IF(Calc!$A$28&lt;='财富模型'!$E$11*12,'Calc'!$W$12,'Calc'!$Y$12))))</x:f>
        <x:v>2847.75</x:v>
      </x:c>
      <x:c r="F28" t="n">
        <x:f>IF(Calc!$A$28&gt;'Calc'!$B$8,"",'Calc'!$B$5-'财富模型'!$E$5-(IF('Calc'!$E$12=1,'财富模型'!$E$9,'财富模型'!$M$4+IF(Calc!$A$28&lt;='财富模型'!$E$11*12,'Calc'!$W$12,'Calc'!$Y$12)-(IF('Calc'!$E$12=1,0,MIN(Calc!$C$27*(1+'财富模型'!$E$20/12)+'Calc'!$B$6,IF(Calc!$A$28&lt;='财富模型'!$E$11*12,'Calc'!$W$12,'Calc'!$Y$12)))))))</x:f>
        <x:v>7121.083333333332</x:v>
      </x:c>
      <x:c r="G28" t="n">
        <x:f>IF(Calc!$A$28&gt;'Calc'!$B$8,"",IF('Calc'!$E$12=1,0,MAX(Calc!$G$27*(1+IF(Calc!$A$28&lt;='财富模型'!$E$11*12,'财富模型'!$E$10,'财富模型'!$E$12)/12)-IF('Calc'!$E$12=1,0,IF(Calc!$A$28&lt;='财富模型'!$E$11*12,'Calc'!$W$12,'Calc'!$Y$12)),0)))</x:f>
        <x:v>941461.8242090442</x:v>
      </x:c>
      <x:c r="I28" t="n">
        <x:v>7</x:v>
      </x:c>
      <x:c r="J28" t="n">
        <x:f>IF(Calc!$I$28&gt;'Calc'!$B$8,"",MAX(Calc!$J$27*(1+'财富模型'!$E$6/12)+('Calc'!$B$5-'财富模型'!$E$5-(IF('Calc'!$E$13=1,'财富模型'!$E$9,'财富模型'!$M$5+IF(Calc!$I$28&lt;='财富模型'!$E$11*12,'Calc'!$W$13,'Calc'!$Y$13)-(IF('Calc'!$E$13=1,0,MIN(Calc!$K$27*(1+'财富模型'!$E$20/12)+'Calc'!$B$6,IF(Calc!$I$28&lt;='财富模型'!$E$11*12,'Calc'!$W$13,'Calc'!$Y$13))))))),0))</x:f>
        <x:v>448381.58564895275</x:v>
      </x:c>
      <x:c r="K28" t="n">
        <x:f>IF(Calc!$I$28&gt;'Calc'!$B$8,"",MAX(Calc!$K$27*(1+'财富模型'!$E$20/12)+'Calc'!$B$6-(IF('Calc'!$E$13=1,0,MIN(Calc!$K$27*(1+'财富模型'!$E$20/12)+'Calc'!$B$6,IF(Calc!$I$28&lt;='财富模型'!$E$11*12,'Calc'!$W$13,'Calc'!$Y$13)))),0))</x:f>
        <x:v>0</x:v>
      </x:c>
      <x:c r="L28" t="n">
        <x:f>IF(Calc!$I$28&gt;'Calc'!$B$8,"",IF('Calc'!$E$13=1,'财富模型'!$E$9,'财富模型'!$M$5+IF(Calc!$I$28&lt;='财富模型'!$E$11*12,'Calc'!$W$13,'Calc'!$Y$13)-(IF('Calc'!$E$13=1,0,MIN(Calc!$K$27*(1+'财富模型'!$E$20/12)+'Calc'!$B$6,IF(Calc!$I$28&lt;='财富模型'!$E$11*12,'Calc'!$W$13,'Calc'!$Y$13))))))</x:f>
        <x:v>843.25</x:v>
      </x:c>
      <x:c r="M28" t="n">
        <x:f>IF(Calc!$I$28&gt;'Calc'!$B$8,"",IF('Calc'!$E$13=1,0,MIN(Calc!$K$27*(1+'财富模型'!$E$20/12)+'Calc'!$B$6,IF(Calc!$I$28&lt;='财富模型'!$E$11*12,'Calc'!$W$13,'Calc'!$Y$13))))</x:f>
        <x:v>2847.75</x:v>
      </x:c>
      <x:c r="N28" t="n">
        <x:f>IF(Calc!$I$28&gt;'Calc'!$B$8,"",'Calc'!$B$5-'财富模型'!$E$5-(IF('Calc'!$E$13=1,'财富模型'!$E$9,'财富模型'!$M$5+IF(Calc!$I$28&lt;='财富模型'!$E$11*12,'Calc'!$W$13,'Calc'!$Y$13)-(IF('Calc'!$E$13=1,0,MIN(Calc!$K$27*(1+'财富模型'!$E$20/12)+'Calc'!$B$6,IF(Calc!$I$28&lt;='财富模型'!$E$11*12,'Calc'!$W$13,'Calc'!$Y$13)))))))</x:f>
        <x:v>7090.083333333332</x:v>
      </x:c>
      <x:c r="O28" t="n">
        <x:f>IF(Calc!$I$28&gt;'Calc'!$B$8,"",IF('Calc'!$E$13=1,0,MAX(Calc!$O$27*(1+IF(Calc!$I$28&lt;='财富模型'!$E$11*12,'财富模型'!$E$10,'财富模型'!$E$12)/12)-IF('Calc'!$E$13=1,0,IF(Calc!$I$28&lt;='财富模型'!$E$11*12,'Calc'!$W$13,'Calc'!$Y$13)),0)))</x:f>
        <x:v>930387.0426838946</x:v>
      </x:c>
      <x:c r="Q28" t="n">
        <x:v>7</x:v>
      </x:c>
      <x:c r="R28" t="n">
        <x:f>IF(Calc!$Q$28&gt;'Calc'!$B$8,"",MAX(Calc!$R$27*(1+'财富模型'!$E$6/12)+('Calc'!$B$5-'财富模型'!$E$5-(IF('Calc'!$E$14=1,'财富模型'!$E$9,'财富模型'!$M$6+IF(Calc!$Q$28&lt;='财富模型'!$E$11*12,'Calc'!$W$14,'Calc'!$Y$14)-(IF('Calc'!$E$14=1,0,MIN(Calc!$S$27*(1+'财富模型'!$E$20/12)+'Calc'!$B$6,IF(Calc!$Q$28&lt;='财富模型'!$E$11*12,'Calc'!$W$14,'Calc'!$Y$14))))))),0))</x:f>
        <x:v>317558.6247076021</x:v>
      </x:c>
      <x:c r="S28" t="n">
        <x:f>IF(Calc!$Q$28&gt;'Calc'!$B$8,"",MAX(Calc!$S$27*(1+'财富模型'!$E$20/12)+'Calc'!$B$6-(IF('Calc'!$E$14=1,0,MIN(Calc!$S$27*(1+'财富模型'!$E$20/12)+'Calc'!$B$6,IF(Calc!$Q$28&lt;='财富模型'!$E$11*12,'Calc'!$W$14,'Calc'!$Y$14)))),0))</x:f>
        <x:v>0</x:v>
      </x:c>
      <x:c r="T28" t="n">
        <x:f>IF(Calc!$Q$28&gt;'Calc'!$B$8,"",IF('Calc'!$E$14=1,'财富模型'!$E$9,'财富模型'!$M$6+IF(Calc!$Q$28&lt;='财富模型'!$E$11*12,'Calc'!$W$14,'Calc'!$Y$14)-(IF('Calc'!$E$14=1,0,MIN(Calc!$S$27*(1+'财富模型'!$E$20/12)+'Calc'!$B$6,IF(Calc!$Q$28&lt;='财富模型'!$E$11*12,'Calc'!$W$14,'Calc'!$Y$14))))))</x:f>
        <x:v>1388.25</x:v>
      </x:c>
      <x:c r="U28" t="n">
        <x:f>IF(Calc!$Q$28&gt;'Calc'!$B$8,"",IF('Calc'!$E$14=1,0,MIN(Calc!$S$27*(1+'财富模型'!$E$20/12)+'Calc'!$B$6,IF(Calc!$Q$28&lt;='财富模型'!$E$11*12,'Calc'!$W$14,'Calc'!$Y$14))))</x:f>
        <x:v>2847.75</x:v>
      </x:c>
      <x:c r="V28" t="n">
        <x:f>IF(Calc!$Q$28&gt;'Calc'!$B$8,"",'Calc'!$B$5-'财富模型'!$E$5-(IF('Calc'!$E$14=1,'财富模型'!$E$9,'财富模型'!$M$6+IF(Calc!$Q$28&lt;='财富模型'!$E$11*12,'Calc'!$W$14,'Calc'!$Y$14)-(IF('Calc'!$E$14=1,0,MIN(Calc!$S$27*(1+'财富模型'!$E$20/12)+'Calc'!$B$6,IF(Calc!$Q$28&lt;='财富模型'!$E$11*12,'Calc'!$W$14,'Calc'!$Y$14)))))))</x:f>
        <x:v>6545.083333333332</x:v>
      </x:c>
      <x:c r="W28" t="n">
        <x:f>IF(Calc!$Q$28&gt;'Calc'!$B$8,"",IF('Calc'!$E$14=1,0,MAX(Calc!$W$27*(1+IF(Calc!$Q$28&lt;='财富模型'!$E$11*12,'财富模型'!$E$10,'财富模型'!$E$12)/12)-IF('Calc'!$E$14=1,0,IF(Calc!$Q$28&lt;='财富模型'!$E$11*12,'Calc'!$W$14,'Calc'!$Y$14)),0)))</x:f>
        <x:v>1082989.31618594</x:v>
      </x:c>
      <x:c r="Y28" t="n">
        <x:v>7</x:v>
      </x:c>
      <x:c r="Z28" t="n">
        <x:f>IF(Calc!$Y$28&gt;'Calc'!$B$8,"",MAX(Calc!$Z$27*(1+'财富模型'!$E$6/12)+('Calc'!$B$5-'财富模型'!$E$5-(IF('Calc'!$E$15=1,'财富模型'!$E$9,'财富模型'!$M$7+IF(Calc!$Y$28&lt;='财富模型'!$E$11*12,'Calc'!$W$15,'Calc'!$Y$15)-(IF('Calc'!$E$15=1,0,MIN(Calc!$AA$27*(1+'财富模型'!$E$20/12)+'Calc'!$B$6,IF(Calc!$Y$28&lt;='财富模型'!$E$11*12,'Calc'!$W$15,'Calc'!$Y$15))))))),0))</x:f>
        <x:v>59074.737157369804</x:v>
      </x:c>
      <x:c r="AA28" t="n">
        <x:f>IF(Calc!$Y$28&gt;'Calc'!$B$8,"",MAX(Calc!$AA$27*(1+'财富模型'!$E$20/12)+'Calc'!$B$6-(IF('Calc'!$E$15=1,0,MIN(Calc!$AA$27*(1+'财富模型'!$E$20/12)+'Calc'!$B$6,IF(Calc!$Y$28&lt;='财富模型'!$E$11*12,'Calc'!$W$15,'Calc'!$Y$15)))),0))</x:f>
        <x:v>0</x:v>
      </x:c>
      <x:c r="AB28" t="n">
        <x:f>IF(Calc!$Y$28&gt;'Calc'!$B$8,"",IF('Calc'!$E$15=1,'财富模型'!$E$9,'财富模型'!$M$7+IF(Calc!$Y$28&lt;='财富模型'!$E$11*12,'Calc'!$W$15,'Calc'!$Y$15)-(IF('Calc'!$E$15=1,0,MIN(Calc!$AA$27*(1+'财富模型'!$E$20/12)+'Calc'!$B$6,IF(Calc!$Y$28&lt;='财富模型'!$E$11*12,'Calc'!$W$15,'Calc'!$Y$15))))))</x:f>
        <x:v>1468.25</x:v>
      </x:c>
      <x:c r="AC28" t="n">
        <x:f>IF(Calc!$Y$28&gt;'Calc'!$B$8,"",IF('Calc'!$E$15=1,0,MIN(Calc!$AA$27*(1+'财富模型'!$E$20/12)+'Calc'!$B$6,IF(Calc!$Y$28&lt;='财富模型'!$E$11*12,'Calc'!$W$15,'Calc'!$Y$15))))</x:f>
        <x:v>2847.75</x:v>
      </x:c>
      <x:c r="AD28" t="n">
        <x:f>IF(Calc!$Y$28&gt;'Calc'!$B$8,"",'Calc'!$B$5-'财富模型'!$E$5-(IF('Calc'!$E$15=1,'财富模型'!$E$9,'财富模型'!$M$7+IF(Calc!$Y$28&lt;='财富模型'!$E$11*12,'Calc'!$W$15,'Calc'!$Y$15)-(IF('Calc'!$E$15=1,0,MIN(Calc!$AA$27*(1+'财富模型'!$E$20/12)+'Calc'!$B$6,IF(Calc!$Y$28&lt;='财富模型'!$E$11*12,'Calc'!$W$15,'Calc'!$Y$15)))))))</x:f>
        <x:v>6465.083333333332</x:v>
      </x:c>
      <x:c r="AE28" t="n">
        <x:f>IF(Calc!$Y$28&gt;'Calc'!$B$8,"",IF('Calc'!$E$15=1,0,MAX(Calc!$AE$27*(1+IF(Calc!$Y$28&lt;='财富模型'!$E$11*12,'财富模型'!$E$10,'财富模型'!$E$12)/12)-IF('Calc'!$E$15=1,0,IF(Calc!$Y$28&lt;='财富模型'!$E$11*12,'Calc'!$W$15,'Calc'!$Y$15)),0)))</x:f>
        <x:v>1082989.31618594</x:v>
      </x:c>
      <x:c r="AG28" t="n">
        <x:v>7</x:v>
      </x:c>
      <x:c r="AH28" t="n">
        <x:f>IF(Calc!$AG$28&gt;'Calc'!$B$8,"",MAX(Calc!$AH$27*(1+'财富模型'!$E$6/12)+('Calc'!$B$5-'财富模型'!$E$5-(IF('Calc'!$E$16=1,'财富模型'!$E$9,'财富模型'!$M$8+IF(Calc!$AG$28&lt;='财富模型'!$E$11*12,'Calc'!$W$16,'Calc'!$Y$16)-(IF('Calc'!$E$16=1,0,MIN(Calc!$AI$27*(1+'财富模型'!$E$20/12)+'Calc'!$B$6,IF(Calc!$AG$28&lt;='财富模型'!$E$11*12,'Calc'!$W$16,'Calc'!$Y$16))))))),0))</x:f>
        <x:v>45984.063869519494</x:v>
      </x:c>
      <x:c r="AI28" t="n">
        <x:f>IF(Calc!$AG$28&gt;'Calc'!$B$8,"",MAX(Calc!$AI$27*(1+'财富模型'!$E$20/12)+'Calc'!$B$6-(IF('Calc'!$E$16=1,0,MIN(Calc!$AI$27*(1+'财富模型'!$E$20/12)+'Calc'!$B$6,IF(Calc!$AG$28&lt;='财富模型'!$E$11*12,'Calc'!$W$16,'Calc'!$Y$16)))),0))</x:f>
        <x:v>0</x:v>
      </x:c>
      <x:c r="AJ28" t="n">
        <x:f>IF(Calc!$AG$28&gt;'Calc'!$B$8,"",IF('Calc'!$E$16=1,'财富模型'!$E$9,'财富模型'!$M$8+IF(Calc!$AG$28&lt;='财富模型'!$E$11*12,'Calc'!$W$16,'Calc'!$Y$16)-(IF('Calc'!$E$16=1,0,MIN(Calc!$AI$27*(1+'财富模型'!$E$20/12)+'Calc'!$B$6,IF(Calc!$AG$28&lt;='财富模型'!$E$11*12,'Calc'!$W$16,'Calc'!$Y$16))))))</x:f>
        <x:v>1478.25</x:v>
      </x:c>
      <x:c r="AK28" t="n">
        <x:f>IF(Calc!$AG$28&gt;'Calc'!$B$8,"",IF('Calc'!$E$16=1,0,MIN(Calc!$AI$27*(1+'财富模型'!$E$20/12)+'Calc'!$B$6,IF(Calc!$AG$28&lt;='财富模型'!$E$11*12,'Calc'!$W$16,'Calc'!$Y$16))))</x:f>
        <x:v>2847.75</x:v>
      </x:c>
      <x:c r="AL28" t="n">
        <x:f>IF(Calc!$AG$28&gt;'Calc'!$B$8,"",'Calc'!$B$5-'财富模型'!$E$5-(IF('Calc'!$E$16=1,'财富模型'!$E$9,'财富模型'!$M$8+IF(Calc!$AG$28&lt;='财富模型'!$E$11*12,'Calc'!$W$16,'Calc'!$Y$16)-(IF('Calc'!$E$16=1,0,MIN(Calc!$AI$27*(1+'财富模型'!$E$20/12)+'Calc'!$B$6,IF(Calc!$AG$28&lt;='财富模型'!$E$11*12,'Calc'!$W$16,'Calc'!$Y$16)))))))</x:f>
        <x:v>6455.083333333332</x:v>
      </x:c>
      <x:c r="AM28" t="n">
        <x:f>IF(Calc!$AG$28&gt;'Calc'!$B$8,"",IF('Calc'!$E$16=1,0,MAX(Calc!$AM$27*(1+IF(Calc!$AG$28&lt;='财富模型'!$E$11*12,'财富模型'!$E$10,'财富模型'!$E$12)/12)-IF('Calc'!$E$16=1,0,IF(Calc!$AG$28&lt;='财富模型'!$E$11*12,'Calc'!$W$16,'Calc'!$Y$16)),0)))</x:f>
        <x:v>1082989.31618594</x:v>
      </x:c>
      <x:c r="AO28" t="n">
        <x:v>7</x:v>
      </x:c>
      <x:c r="AP28" t="n">
        <x:f>IF(Calc!$AO$28&gt;'Calc'!$B$8,"",MAX(Calc!$AP$27*(1+'财富模型'!$E$6/12)+('Calc'!$B$5-'财富模型'!$E$5-(IF('Calc'!$E$17=1,'财富模型'!$E$9,'财富模型'!$M$9+IF(Calc!$AO$28&lt;='财富模型'!$E$11*12,'Calc'!$W$17,'Calc'!$Y$17)-(IF('Calc'!$E$17=1,0,MIN(Calc!$AQ$27*(1+'财富模型'!$E$20/12)+'Calc'!$B$6,IF(Calc!$AO$28&lt;='财富模型'!$E$11*12,'Calc'!$W$17,'Calc'!$Y$17))))))),0))</x:f>
        <x:v>856056.0277943753</x:v>
      </x:c>
      <x:c r="AQ28" t="n">
        <x:f>IF(Calc!$AO$28&gt;'Calc'!$B$8,"",MAX(Calc!$AQ$27*(1+'财富模型'!$E$20/12)+'Calc'!$B$6-(IF('Calc'!$E$17=1,0,MIN(Calc!$AQ$27*(1+'财富模型'!$E$20/12)+'Calc'!$B$6,IF(Calc!$AO$28&lt;='财富模型'!$E$11*12,'Calc'!$W$17,'Calc'!$Y$17)))),0))</x:f>
        <x:v>20059.27256579071</x:v>
      </x:c>
      <x:c r="AR28" t="n">
        <x:f>IF(Calc!$AO$28&gt;'Calc'!$B$8,"",IF('Calc'!$E$17=1,'财富模型'!$E$9,'财富模型'!$M$9+IF(Calc!$AO$28&lt;='财富模型'!$E$11*12,'Calc'!$W$17,'Calc'!$Y$17)-(IF('Calc'!$E$17=1,0,MIN(Calc!$AQ$27*(1+'财富模型'!$E$20/12)+'Calc'!$B$6,IF(Calc!$AO$28&lt;='财富模型'!$E$11*12,'Calc'!$W$17,'Calc'!$Y$17))))))</x:f>
        <x:v>4000</x:v>
      </x:c>
      <x:c r="AS28" t="n">
        <x:f>IF(Calc!$AO$28&gt;'Calc'!$B$8,"",IF('Calc'!$E$17=1,0,MIN(Calc!$AQ$27*(1+'财富模型'!$E$20/12)+'Calc'!$B$6,IF(Calc!$AO$28&lt;='财富模型'!$E$11*12,'Calc'!$W$17,'Calc'!$Y$17))))</x:f>
        <x:v>0</x:v>
      </x:c>
      <x:c r="AT28" t="n">
        <x:f>IF(Calc!$AO$28&gt;'Calc'!$B$8,"",'Calc'!$B$5-'财富模型'!$E$5-(IF('Calc'!$E$17=1,'财富模型'!$E$9,'财富模型'!$M$9+IF(Calc!$AO$28&lt;='财富模型'!$E$11*12,'Calc'!$W$17,'Calc'!$Y$17)-(IF('Calc'!$E$17=1,0,MIN(Calc!$AQ$27*(1+'财富模型'!$E$20/12)+'Calc'!$B$6,IF(Calc!$AO$28&lt;='财富模型'!$E$11*12,'Calc'!$W$17,'Calc'!$Y$17)))))))</x:f>
        <x:v>3933.333333333332</x:v>
      </x:c>
      <x:c r="AU28" t="n">
        <x:f>IF(Calc!$AO$28&gt;'Calc'!$B$8,"",IF('Calc'!$E$17=1,0,MAX(Calc!$AU$27*(1+IF(Calc!$AO$28&lt;='财富模型'!$E$11*12,'财富模型'!$E$10,'财富模型'!$E$12)/12)-IF('Calc'!$E$17=1,0,IF(Calc!$AO$28&lt;='财富模型'!$E$11*12,'Calc'!$W$17,'Calc'!$Y$17)),0)))</x:f>
        <x:v>0</x:v>
      </x:c>
    </x:row>
    <x:row r="29">
      <x:c r="A29" t="n">
        <x:v>8</x:v>
      </x:c>
      <x:c r="B29" t="n">
        <x:f>IF(Calc!$A$29&gt;'Calc'!$B$8,"",MAX(Calc!$B$28*(1+'财富模型'!$E$6/12)+('Calc'!$B$5-'财富模型'!$E$5-(IF('Calc'!$E$12=1,'财富模型'!$E$9,'财富模型'!$M$4+IF(Calc!$A$29&lt;='财富模型'!$E$11*12,'Calc'!$W$12,'Calc'!$Y$12)-(IF('Calc'!$E$12=1,0,MIN(Calc!$C$28*(1+'财富模型'!$E$20/12)+'Calc'!$B$6,IF(Calc!$A$29&lt;='财富模型'!$E$11*12,'Calc'!$W$12,'Calc'!$Y$12))))))),0))</x:f>
        <x:v>452997.4347979658</x:v>
      </x:c>
      <x:c r="C29" t="n">
        <x:f>IF(Calc!$A$29&gt;'Calc'!$B$8,"",MAX(Calc!$C$28*(1+'财富模型'!$E$20/12)+'Calc'!$B$6-(IF('Calc'!$E$12=1,0,MIN(Calc!$C$28*(1+'财富模型'!$E$20/12)+'Calc'!$B$6,IF(Calc!$A$29&lt;='财富模型'!$E$11*12,'Calc'!$W$12,'Calc'!$Y$12)))),0))</x:f>
        <x:v>0</x:v>
      </x:c>
      <x:c r="D29" t="n">
        <x:f>IF(Calc!$A$29&gt;'Calc'!$B$8,"",IF('Calc'!$E$12=1,'财富模型'!$E$9,'财富模型'!$M$4+IF(Calc!$A$29&lt;='财富模型'!$E$11*12,'Calc'!$W$12,'Calc'!$Y$12)-(IF('Calc'!$E$12=1,0,MIN(Calc!$C$28*(1+'财富模型'!$E$20/12)+'Calc'!$B$6,IF(Calc!$A$29&lt;='财富模型'!$E$11*12,'Calc'!$W$12,'Calc'!$Y$12))))))</x:f>
        <x:v>812.25</x:v>
      </x:c>
      <x:c r="E29" t="n">
        <x:f>IF(Calc!$A$29&gt;'Calc'!$B$8,"",IF('Calc'!$E$12=1,0,MIN(Calc!$C$28*(1+'财富模型'!$E$20/12)+'Calc'!$B$6,IF(Calc!$A$29&lt;='财富模型'!$E$11*12,'Calc'!$W$12,'Calc'!$Y$12))))</x:f>
        <x:v>2847.75</x:v>
      </x:c>
      <x:c r="F29" t="n">
        <x:f>IF(Calc!$A$29&gt;'Calc'!$B$8,"",'Calc'!$B$5-'财富模型'!$E$5-(IF('Calc'!$E$12=1,'财富模型'!$E$9,'财富模型'!$M$4+IF(Calc!$A$29&lt;='财富模型'!$E$11*12,'Calc'!$W$12,'Calc'!$Y$12)-(IF('Calc'!$E$12=1,0,MIN(Calc!$C$28*(1+'财富模型'!$E$20/12)+'Calc'!$B$6,IF(Calc!$A$29&lt;='财富模型'!$E$11*12,'Calc'!$W$12,'Calc'!$Y$12)))))))</x:f>
        <x:v>7121.083333333332</x:v>
      </x:c>
      <x:c r="G29" t="n">
        <x:f>IF(Calc!$A$29&gt;'Calc'!$B$8,"",IF('Calc'!$E$12=1,0,MAX(Calc!$G$28*(1+IF(Calc!$A$29&lt;='财富模型'!$E$11*12,'财富模型'!$E$10,'财富模型'!$E$12)/12)-IF('Calc'!$E$12=1,0,IF(Calc!$A$29&lt;='财富模型'!$E$11*12,'Calc'!$W$12,'Calc'!$Y$12)),0)))</x:f>
        <x:v>939338.6514893055</x:v>
      </x:c>
      <x:c r="I29" t="n">
        <x:v>8</x:v>
      </x:c>
      <x:c r="J29" t="n">
        <x:f>IF(Calc!$I$29&gt;'Calc'!$B$8,"",MAX(Calc!$J$28*(1+'财富模型'!$E$6/12)+('Calc'!$B$5-'财富模型'!$E$5-(IF('Calc'!$E$13=1,'财富模型'!$E$9,'财富模型'!$M$5+IF(Calc!$I$29&lt;='财富模型'!$E$11*12,'Calc'!$W$13,'Calc'!$Y$13)-(IF('Calc'!$E$13=1,0,MIN(Calc!$K$28*(1+'财富模型'!$E$20/12)+'Calc'!$B$6,IF(Calc!$I$29&lt;='财富模型'!$E$11*12,'Calc'!$W$13,'Calc'!$Y$13))))))),0))</x:f>
        <x:v>458087.22823190497</x:v>
      </x:c>
      <x:c r="K29" t="n">
        <x:f>IF(Calc!$I$29&gt;'Calc'!$B$8,"",MAX(Calc!$K$28*(1+'财富模型'!$E$20/12)+'Calc'!$B$6-(IF('Calc'!$E$13=1,0,MIN(Calc!$K$28*(1+'财富模型'!$E$20/12)+'Calc'!$B$6,IF(Calc!$I$29&lt;='财富模型'!$E$11*12,'Calc'!$W$13,'Calc'!$Y$13)))),0))</x:f>
        <x:v>0</x:v>
      </x:c>
      <x:c r="L29" t="n">
        <x:f>IF(Calc!$I$29&gt;'Calc'!$B$8,"",IF('Calc'!$E$13=1,'财富模型'!$E$9,'财富模型'!$M$5+IF(Calc!$I$29&lt;='财富模型'!$E$11*12,'Calc'!$W$13,'Calc'!$Y$13)-(IF('Calc'!$E$13=1,0,MIN(Calc!$K$28*(1+'财富模型'!$E$20/12)+'Calc'!$B$6,IF(Calc!$I$29&lt;='财富模型'!$E$11*12,'Calc'!$W$13,'Calc'!$Y$13))))))</x:f>
        <x:v>843.25</x:v>
      </x:c>
      <x:c r="M29" t="n">
        <x:f>IF(Calc!$I$29&gt;'Calc'!$B$8,"",IF('Calc'!$E$13=1,0,MIN(Calc!$K$28*(1+'财富模型'!$E$20/12)+'Calc'!$B$6,IF(Calc!$I$29&lt;='财富模型'!$E$11*12,'Calc'!$W$13,'Calc'!$Y$13))))</x:f>
        <x:v>2847.75</x:v>
      </x:c>
      <x:c r="N29" t="n">
        <x:f>IF(Calc!$I$29&gt;'Calc'!$B$8,"",'Calc'!$B$5-'财富模型'!$E$5-(IF('Calc'!$E$13=1,'财富模型'!$E$9,'财富模型'!$M$5+IF(Calc!$I$29&lt;='财富模型'!$E$11*12,'Calc'!$W$13,'Calc'!$Y$13)-(IF('Calc'!$E$13=1,0,MIN(Calc!$K$28*(1+'财富模型'!$E$20/12)+'Calc'!$B$6,IF(Calc!$I$29&lt;='财富模型'!$E$11*12,'Calc'!$W$13,'Calc'!$Y$13)))))))</x:f>
        <x:v>7090.083333333332</x:v>
      </x:c>
      <x:c r="O29" t="n">
        <x:f>IF(Calc!$I$29&gt;'Calc'!$B$8,"",IF('Calc'!$E$13=1,0,MAX(Calc!$O$28*(1+IF(Calc!$I$29&lt;='财富模型'!$E$11*12,'财富模型'!$E$10,'财富模型'!$E$12)/12)-IF('Calc'!$E$13=1,0,IF(Calc!$I$29&lt;='财富模型'!$E$11*12,'Calc'!$W$13,'Calc'!$Y$13)),0)))</x:f>
        <x:v>928289.0264872494</x:v>
      </x:c>
      <x:c r="Q29" t="n">
        <x:v>8</x:v>
      </x:c>
      <x:c r="R29" t="n">
        <x:f>IF(Calc!$Q$29&gt;'Calc'!$B$8,"",MAX(Calc!$R$28*(1+'财富模型'!$E$6/12)+('Calc'!$B$5-'财富模型'!$E$5-(IF('Calc'!$E$14=1,'财富模型'!$E$9,'财富模型'!$M$6+IF(Calc!$Q$29&lt;='财富模型'!$E$11*12,'Calc'!$W$14,'Calc'!$Y$14)-(IF('Calc'!$E$14=1,0,MIN(Calc!$S$28*(1+'财富模型'!$E$20/12)+'Calc'!$B$6,IF(Calc!$Q$29&lt;='财富模型'!$E$11*12,'Calc'!$W$14,'Calc'!$Y$14))))))),0))</x:f>
        <x:v>325956.1333517298</x:v>
      </x:c>
      <x:c r="S29" t="n">
        <x:f>IF(Calc!$Q$29&gt;'Calc'!$B$8,"",MAX(Calc!$S$28*(1+'财富模型'!$E$20/12)+'Calc'!$B$6-(IF('Calc'!$E$14=1,0,MIN(Calc!$S$28*(1+'财富模型'!$E$20/12)+'Calc'!$B$6,IF(Calc!$Q$29&lt;='财富模型'!$E$11*12,'Calc'!$W$14,'Calc'!$Y$14)))),0))</x:f>
        <x:v>0</x:v>
      </x:c>
      <x:c r="T29" t="n">
        <x:f>IF(Calc!$Q$29&gt;'Calc'!$B$8,"",IF('Calc'!$E$14=1,'财富模型'!$E$9,'财富模型'!$M$6+IF(Calc!$Q$29&lt;='财富模型'!$E$11*12,'Calc'!$W$14,'Calc'!$Y$14)-(IF('Calc'!$E$14=1,0,MIN(Calc!$S$28*(1+'财富模型'!$E$20/12)+'Calc'!$B$6,IF(Calc!$Q$29&lt;='财富模型'!$E$11*12,'Calc'!$W$14,'Calc'!$Y$14))))))</x:f>
        <x:v>1388.25</x:v>
      </x:c>
      <x:c r="U29" t="n">
        <x:f>IF(Calc!$Q$29&gt;'Calc'!$B$8,"",IF('Calc'!$E$14=1,0,MIN(Calc!$S$28*(1+'财富模型'!$E$20/12)+'Calc'!$B$6,IF(Calc!$Q$29&lt;='财富模型'!$E$11*12,'Calc'!$W$14,'Calc'!$Y$14))))</x:f>
        <x:v>2847.75</x:v>
      </x:c>
      <x:c r="V29" t="n">
        <x:f>IF(Calc!$Q$29&gt;'Calc'!$B$8,"",'Calc'!$B$5-'财富模型'!$E$5-(IF('Calc'!$E$14=1,'财富模型'!$E$9,'财富模型'!$M$6+IF(Calc!$Q$29&lt;='财富模型'!$E$11*12,'Calc'!$W$14,'Calc'!$Y$14)-(IF('Calc'!$E$14=1,0,MIN(Calc!$S$28*(1+'财富模型'!$E$20/12)+'Calc'!$B$6,IF(Calc!$Q$29&lt;='财富模型'!$E$11*12,'Calc'!$W$14,'Calc'!$Y$14)))))))</x:f>
        <x:v>6545.083333333332</x:v>
      </x:c>
      <x:c r="W29" t="n">
        <x:f>IF(Calc!$Q$29&gt;'Calc'!$B$8,"",IF('Calc'!$E$14=1,0,MAX(Calc!$W$28*(1+IF(Calc!$Q$29&lt;='财富模型'!$E$11*12,'财富模型'!$E$10,'财富模型'!$E$12)/12)-IF('Calc'!$E$14=1,0,IF(Calc!$Q$29&lt;='财富模型'!$E$11*12,'Calc'!$W$14,'Calc'!$Y$14)),0)))</x:f>
        <x:v>1080547.0528311725</x:v>
      </x:c>
      <x:c r="Y29" t="n">
        <x:v>8</x:v>
      </x:c>
      <x:c r="Z29" t="n">
        <x:f>IF(Calc!$Y$29&gt;'Calc'!$B$8,"",MAX(Calc!$Z$28*(1+'财富模型'!$E$6/12)+('Calc'!$B$5-'财富模型'!$E$5-(IF('Calc'!$E$15=1,'财富模型'!$E$9,'财富模型'!$M$7+IF(Calc!$Y$29&lt;='财富模型'!$E$11*12,'Calc'!$W$15,'Calc'!$Y$15)-(IF('Calc'!$E$15=1,0,MIN(Calc!$AA$28*(1+'财富模型'!$E$20/12)+'Calc'!$B$6,IF(Calc!$Y$29&lt;='财富模型'!$E$11*12,'Calc'!$W$15,'Calc'!$Y$15))))))),0))</x:f>
        <x:v>65884.42312412112</x:v>
      </x:c>
      <x:c r="AA29" t="n">
        <x:f>IF(Calc!$Y$29&gt;'Calc'!$B$8,"",MAX(Calc!$AA$28*(1+'财富模型'!$E$20/12)+'Calc'!$B$6-(IF('Calc'!$E$15=1,0,MIN(Calc!$AA$28*(1+'财富模型'!$E$20/12)+'Calc'!$B$6,IF(Calc!$Y$29&lt;='财富模型'!$E$11*12,'Calc'!$W$15,'Calc'!$Y$15)))),0))</x:f>
        <x:v>0</x:v>
      </x:c>
      <x:c r="AB29" t="n">
        <x:f>IF(Calc!$Y$29&gt;'Calc'!$B$8,"",IF('Calc'!$E$15=1,'财富模型'!$E$9,'财富模型'!$M$7+IF(Calc!$Y$29&lt;='财富模型'!$E$11*12,'Calc'!$W$15,'Calc'!$Y$15)-(IF('Calc'!$E$15=1,0,MIN(Calc!$AA$28*(1+'财富模型'!$E$20/12)+'Calc'!$B$6,IF(Calc!$Y$29&lt;='财富模型'!$E$11*12,'Calc'!$W$15,'Calc'!$Y$15))))))</x:f>
        <x:v>1468.25</x:v>
      </x:c>
      <x:c r="AC29" t="n">
        <x:f>IF(Calc!$Y$29&gt;'Calc'!$B$8,"",IF('Calc'!$E$15=1,0,MIN(Calc!$AA$28*(1+'财富模型'!$E$20/12)+'Calc'!$B$6,IF(Calc!$Y$29&lt;='财富模型'!$E$11*12,'Calc'!$W$15,'Calc'!$Y$15))))</x:f>
        <x:v>2847.75</x:v>
      </x:c>
      <x:c r="AD29" t="n">
        <x:f>IF(Calc!$Y$29&gt;'Calc'!$B$8,"",'Calc'!$B$5-'财富模型'!$E$5-(IF('Calc'!$E$15=1,'财富模型'!$E$9,'财富模型'!$M$7+IF(Calc!$Y$29&lt;='财富模型'!$E$11*12,'Calc'!$W$15,'Calc'!$Y$15)-(IF('Calc'!$E$15=1,0,MIN(Calc!$AA$28*(1+'财富模型'!$E$20/12)+'Calc'!$B$6,IF(Calc!$Y$29&lt;='财富模型'!$E$11*12,'Calc'!$W$15,'Calc'!$Y$15)))))))</x:f>
        <x:v>6465.083333333332</x:v>
      </x:c>
      <x:c r="AE29" t="n">
        <x:f>IF(Calc!$Y$29&gt;'Calc'!$B$8,"",IF('Calc'!$E$15=1,0,MAX(Calc!$AE$28*(1+IF(Calc!$Y$29&lt;='财富模型'!$E$11*12,'财富模型'!$E$10,'财富模型'!$E$12)/12)-IF('Calc'!$E$15=1,0,IF(Calc!$Y$29&lt;='财富模型'!$E$11*12,'Calc'!$W$15,'Calc'!$Y$15)),0)))</x:f>
        <x:v>1080547.0528311725</x:v>
      </x:c>
      <x:c r="AG29" t="n">
        <x:v>8</x:v>
      </x:c>
      <x:c r="AH29" t="n">
        <x:f>IF(Calc!$AG$29&gt;'Calc'!$B$8,"",MAX(Calc!$AH$28*(1+'财富模型'!$E$6/12)+('Calc'!$B$5-'财富模型'!$E$5-(IF('Calc'!$E$16=1,'财富模型'!$E$9,'财富模型'!$M$8+IF(Calc!$AG$29&lt;='财富模型'!$E$11*12,'Calc'!$W$16,'Calc'!$Y$16)-(IF('Calc'!$E$16=1,0,MIN(Calc!$AI$28*(1+'财富模型'!$E$20/12)+'Calc'!$B$6,IF(Calc!$AG$29&lt;='财富模型'!$E$11*12,'Calc'!$W$16,'Calc'!$Y$16))))))),0))</x:f>
        <x:v>52707.38757542502</x:v>
      </x:c>
      <x:c r="AI29" t="n">
        <x:f>IF(Calc!$AG$29&gt;'Calc'!$B$8,"",MAX(Calc!$AI$28*(1+'财富模型'!$E$20/12)+'Calc'!$B$6-(IF('Calc'!$E$16=1,0,MIN(Calc!$AI$28*(1+'财富模型'!$E$20/12)+'Calc'!$B$6,IF(Calc!$AG$29&lt;='财富模型'!$E$11*12,'Calc'!$W$16,'Calc'!$Y$16)))),0))</x:f>
        <x:v>0</x:v>
      </x:c>
      <x:c r="AJ29" t="n">
        <x:f>IF(Calc!$AG$29&gt;'Calc'!$B$8,"",IF('Calc'!$E$16=1,'财富模型'!$E$9,'财富模型'!$M$8+IF(Calc!$AG$29&lt;='财富模型'!$E$11*12,'Calc'!$W$16,'Calc'!$Y$16)-(IF('Calc'!$E$16=1,0,MIN(Calc!$AI$28*(1+'财富模型'!$E$20/12)+'Calc'!$B$6,IF(Calc!$AG$29&lt;='财富模型'!$E$11*12,'Calc'!$W$16,'Calc'!$Y$16))))))</x:f>
        <x:v>1478.25</x:v>
      </x:c>
      <x:c r="AK29" t="n">
        <x:f>IF(Calc!$AG$29&gt;'Calc'!$B$8,"",IF('Calc'!$E$16=1,0,MIN(Calc!$AI$28*(1+'财富模型'!$E$20/12)+'Calc'!$B$6,IF(Calc!$AG$29&lt;='财富模型'!$E$11*12,'Calc'!$W$16,'Calc'!$Y$16))))</x:f>
        <x:v>2847.75</x:v>
      </x:c>
      <x:c r="AL29" t="n">
        <x:f>IF(Calc!$AG$29&gt;'Calc'!$B$8,"",'Calc'!$B$5-'财富模型'!$E$5-(IF('Calc'!$E$16=1,'财富模型'!$E$9,'财富模型'!$M$8+IF(Calc!$AG$29&lt;='财富模型'!$E$11*12,'Calc'!$W$16,'Calc'!$Y$16)-(IF('Calc'!$E$16=1,0,MIN(Calc!$AI$28*(1+'财富模型'!$E$20/12)+'Calc'!$B$6,IF(Calc!$AG$29&lt;='财富模型'!$E$11*12,'Calc'!$W$16,'Calc'!$Y$16)))))))</x:f>
        <x:v>6455.083333333332</x:v>
      </x:c>
      <x:c r="AM29" t="n">
        <x:f>IF(Calc!$AG$29&gt;'Calc'!$B$8,"",IF('Calc'!$E$16=1,0,MAX(Calc!$AM$28*(1+IF(Calc!$AG$29&lt;='财富模型'!$E$11*12,'财富模型'!$E$10,'财富模型'!$E$12)/12)-IF('Calc'!$E$16=1,0,IF(Calc!$AG$29&lt;='财富模型'!$E$11*12,'Calc'!$W$16,'Calc'!$Y$16)),0)))</x:f>
        <x:v>1080547.0528311725</x:v>
      </x:c>
      <x:c r="AO29" t="n">
        <x:v>8</x:v>
      </x:c>
      <x:c r="AP29" t="n">
        <x:f>IF(Calc!$AO$29&gt;'Calc'!$B$8,"",MAX(Calc!$AP$28*(1+'财富模型'!$E$6/12)+('Calc'!$B$5-'财富模型'!$E$5-(IF('Calc'!$E$17=1,'财富模型'!$E$9,'财富模型'!$M$9+IF(Calc!$AO$29&lt;='财富模型'!$E$11*12,'Calc'!$W$17,'Calc'!$Y$17)-(IF('Calc'!$E$17=1,0,MIN(Calc!$AQ$28*(1+'财富模型'!$E$20/12)+'Calc'!$B$6,IF(Calc!$AO$29&lt;='财富模型'!$E$11*12,'Calc'!$W$17,'Calc'!$Y$17))))))),0))</x:f>
        <x:v>864983.0212898426</x:v>
      </x:c>
      <x:c r="AQ29" t="n">
        <x:f>IF(Calc!$AO$29&gt;'Calc'!$B$8,"",MAX(Calc!$AQ$28*(1+'财富模型'!$E$20/12)+'Calc'!$B$6-(IF('Calc'!$E$17=1,0,MIN(Calc!$AQ$28*(1+'财富模型'!$E$20/12)+'Calc'!$B$6,IF(Calc!$AO$29&lt;='财富模型'!$E$11*12,'Calc'!$W$17,'Calc'!$Y$17)))),0))</x:f>
        <x:v>22948.81271696944</x:v>
      </x:c>
      <x:c r="AR29" t="n">
        <x:f>IF(Calc!$AO$29&gt;'Calc'!$B$8,"",IF('Calc'!$E$17=1,'财富模型'!$E$9,'财富模型'!$M$9+IF(Calc!$AO$29&lt;='财富模型'!$E$11*12,'Calc'!$W$17,'Calc'!$Y$17)-(IF('Calc'!$E$17=1,0,MIN(Calc!$AQ$28*(1+'财富模型'!$E$20/12)+'Calc'!$B$6,IF(Calc!$AO$29&lt;='财富模型'!$E$11*12,'Calc'!$W$17,'Calc'!$Y$17))))))</x:f>
        <x:v>4000</x:v>
      </x:c>
      <x:c r="AS29" t="n">
        <x:f>IF(Calc!$AO$29&gt;'Calc'!$B$8,"",IF('Calc'!$E$17=1,0,MIN(Calc!$AQ$28*(1+'财富模型'!$E$20/12)+'Calc'!$B$6,IF(Calc!$AO$29&lt;='财富模型'!$E$11*12,'Calc'!$W$17,'Calc'!$Y$17))))</x:f>
        <x:v>0</x:v>
      </x:c>
      <x:c r="AT29" t="n">
        <x:f>IF(Calc!$AO$29&gt;'Calc'!$B$8,"",'Calc'!$B$5-'财富模型'!$E$5-(IF('Calc'!$E$17=1,'财富模型'!$E$9,'财富模型'!$M$9+IF(Calc!$AO$29&lt;='财富模型'!$E$11*12,'Calc'!$W$17,'Calc'!$Y$17)-(IF('Calc'!$E$17=1,0,MIN(Calc!$AQ$28*(1+'财富模型'!$E$20/12)+'Calc'!$B$6,IF(Calc!$AO$29&lt;='财富模型'!$E$11*12,'Calc'!$W$17,'Calc'!$Y$17)))))))</x:f>
        <x:v>3933.333333333332</x:v>
      </x:c>
      <x:c r="AU29" t="n">
        <x:f>IF(Calc!$AO$29&gt;'Calc'!$B$8,"",IF('Calc'!$E$17=1,0,MAX(Calc!$AU$28*(1+IF(Calc!$AO$29&lt;='财富模型'!$E$11*12,'财富模型'!$E$10,'财富模型'!$E$12)/12)-IF('Calc'!$E$17=1,0,IF(Calc!$AO$29&lt;='财富模型'!$E$11*12,'Calc'!$W$17,'Calc'!$Y$17)),0)))</x:f>
        <x:v>0</x:v>
      </x:c>
    </x:row>
    <x:row r="30">
      <x:c r="A30" t="n">
        <x:v>9</x:v>
      </x:c>
      <x:c r="B30" t="n">
        <x:f>IF(Calc!$A$30&gt;'Calc'!$B$8,"",MAX(Calc!$B$29*(1+'财富模型'!$E$6/12)+('Calc'!$B$5-'财富模型'!$E$5-(IF('Calc'!$E$12=1,'财富模型'!$E$9,'财富模型'!$M$4+IF(Calc!$A$30&lt;='财富模型'!$E$11*12,'Calc'!$W$12,'Calc'!$Y$12)-(IF('Calc'!$E$12=1,0,MIN(Calc!$C$29*(1+'财富模型'!$E$20/12)+'Calc'!$B$6,IF(Calc!$A$30&lt;='财富模型'!$E$11*12,'Calc'!$W$12,'Calc'!$Y$12))))))),0))</x:f>
        <x:v>462761.00316762057</x:v>
      </x:c>
      <x:c r="C30" t="n">
        <x:f>IF(Calc!$A$30&gt;'Calc'!$B$8,"",MAX(Calc!$C$29*(1+'财富模型'!$E$20/12)+'Calc'!$B$6-(IF('Calc'!$E$12=1,0,MIN(Calc!$C$29*(1+'财富模型'!$E$20/12)+'Calc'!$B$6,IF(Calc!$A$30&lt;='财富模型'!$E$11*12,'Calc'!$W$12,'Calc'!$Y$12)))),0))</x:f>
        <x:v>0</x:v>
      </x:c>
      <x:c r="D30" t="n">
        <x:f>IF(Calc!$A$30&gt;'Calc'!$B$8,"",IF('Calc'!$E$12=1,'财富模型'!$E$9,'财富模型'!$M$4+IF(Calc!$A$30&lt;='财富模型'!$E$11*12,'Calc'!$W$12,'Calc'!$Y$12)-(IF('Calc'!$E$12=1,0,MIN(Calc!$C$29*(1+'财富模型'!$E$20/12)+'Calc'!$B$6,IF(Calc!$A$30&lt;='财富模型'!$E$11*12,'Calc'!$W$12,'Calc'!$Y$12))))))</x:f>
        <x:v>812.25</x:v>
      </x:c>
      <x:c r="E30" t="n">
        <x:f>IF(Calc!$A$30&gt;'Calc'!$B$8,"",IF('Calc'!$E$12=1,0,MIN(Calc!$C$29*(1+'财富模型'!$E$20/12)+'Calc'!$B$6,IF(Calc!$A$30&lt;='财富模型'!$E$11*12,'Calc'!$W$12,'Calc'!$Y$12))))</x:f>
        <x:v>2847.75</x:v>
      </x:c>
      <x:c r="F30" t="n">
        <x:f>IF(Calc!$A$30&gt;'Calc'!$B$8,"",'Calc'!$B$5-'财富模型'!$E$5-(IF('Calc'!$E$12=1,'财富模型'!$E$9,'财富模型'!$M$4+IF(Calc!$A$30&lt;='财富模型'!$E$11*12,'Calc'!$W$12,'Calc'!$Y$12)-(IF('Calc'!$E$12=1,0,MIN(Calc!$C$29*(1+'财富模型'!$E$20/12)+'Calc'!$B$6,IF(Calc!$A$30&lt;='财富模型'!$E$11*12,'Calc'!$W$12,'Calc'!$Y$12)))))))</x:f>
        <x:v>7121.083333333332</x:v>
      </x:c>
      <x:c r="G30" t="n">
        <x:f>IF(Calc!$A$30&gt;'Calc'!$B$8,"",IF('Calc'!$E$12=1,0,MAX(Calc!$G$29*(1+IF(Calc!$A$30&lt;='财富模型'!$E$11*12,'财富模型'!$E$10,'财富模型'!$E$12)/12)-IF('Calc'!$E$12=1,0,IF(Calc!$A$30&lt;='财富模型'!$E$11*12,'Calc'!$W$12,'Calc'!$Y$12)),0)))</x:f>
        <x:v>937212.8248036671</x:v>
      </x:c>
      <x:c r="I30" t="n">
        <x:v>9</x:v>
      </x:c>
      <x:c r="J30" t="n">
        <x:f>IF(Calc!$I$30&gt;'Calc'!$B$8,"",MAX(Calc!$J$29*(1+'财富模型'!$E$6/12)+('Calc'!$B$5-'财富模型'!$E$5-(IF('Calc'!$E$13=1,'财富模型'!$E$9,'财富模型'!$M$5+IF(Calc!$I$30&lt;='财富模型'!$E$11*12,'Calc'!$W$13,'Calc'!$Y$13)-(IF('Calc'!$E$13=1,0,MIN(Calc!$K$29*(1+'财富模型'!$E$20/12)+'Calc'!$B$6,IF(Calc!$I$30&lt;='财富模型'!$E$11*12,'Calc'!$W$13,'Calc'!$Y$13))))))),0))</x:f>
        <x:v>467849.4870632577</x:v>
      </x:c>
      <x:c r="K30" t="n">
        <x:f>IF(Calc!$I$30&gt;'Calc'!$B$8,"",MAX(Calc!$K$29*(1+'财富模型'!$E$20/12)+'Calc'!$B$6-(IF('Calc'!$E$13=1,0,MIN(Calc!$K$29*(1+'财富模型'!$E$20/12)+'Calc'!$B$6,IF(Calc!$I$30&lt;='财富模型'!$E$11*12,'Calc'!$W$13,'Calc'!$Y$13)))),0))</x:f>
        <x:v>0</x:v>
      </x:c>
      <x:c r="L30" t="n">
        <x:f>IF(Calc!$I$30&gt;'Calc'!$B$8,"",IF('Calc'!$E$13=1,'财富模型'!$E$9,'财富模型'!$M$5+IF(Calc!$I$30&lt;='财富模型'!$E$11*12,'Calc'!$W$13,'Calc'!$Y$13)-(IF('Calc'!$E$13=1,0,MIN(Calc!$K$29*(1+'财富模型'!$E$20/12)+'Calc'!$B$6,IF(Calc!$I$30&lt;='财富模型'!$E$11*12,'Calc'!$W$13,'Calc'!$Y$13))))))</x:f>
        <x:v>843.25</x:v>
      </x:c>
      <x:c r="M30" t="n">
        <x:f>IF(Calc!$I$30&gt;'Calc'!$B$8,"",IF('Calc'!$E$13=1,0,MIN(Calc!$K$29*(1+'财富模型'!$E$20/12)+'Calc'!$B$6,IF(Calc!$I$30&lt;='财富模型'!$E$11*12,'Calc'!$W$13,'Calc'!$Y$13))))</x:f>
        <x:v>2847.75</x:v>
      </x:c>
      <x:c r="N30" t="n">
        <x:f>IF(Calc!$I$30&gt;'Calc'!$B$8,"",'Calc'!$B$5-'财富模型'!$E$5-(IF('Calc'!$E$13=1,'财富模型'!$E$9,'财富模型'!$M$5+IF(Calc!$I$30&lt;='财富模型'!$E$11*12,'Calc'!$W$13,'Calc'!$Y$13)-(IF('Calc'!$E$13=1,0,MIN(Calc!$K$29*(1+'财富模型'!$E$20/12)+'Calc'!$B$6,IF(Calc!$I$30&lt;='财富模型'!$E$11*12,'Calc'!$W$13,'Calc'!$Y$13)))))))</x:f>
        <x:v>7090.083333333332</x:v>
      </x:c>
      <x:c r="O30" t="n">
        <x:f>IF(Calc!$I$30&gt;'Calc'!$B$8,"",IF('Calc'!$E$13=1,0,MAX(Calc!$O$29*(1+IF(Calc!$I$30&lt;='财富模型'!$E$11*12,'财富模型'!$E$10,'财富模型'!$E$12)/12)-IF('Calc'!$E$13=1,0,IF(Calc!$I$30&lt;='财富模型'!$E$11*12,'Calc'!$W$13,'Calc'!$Y$13)),0)))</x:f>
        <x:v>926188.3877703585</x:v>
      </x:c>
      <x:c r="Q30" t="n">
        <x:v>9</x:v>
      </x:c>
      <x:c r="R30" t="n">
        <x:f>IF(Calc!$Q$30&gt;'Calc'!$B$8,"",MAX(Calc!$R$29*(1+'财富模型'!$E$6/12)+('Calc'!$B$5-'财富模型'!$E$5-(IF('Calc'!$E$14=1,'财富模型'!$E$9,'财富模型'!$M$6+IF(Calc!$Q$30&lt;='财富模型'!$E$11*12,'Calc'!$W$14,'Calc'!$Y$14)-(IF('Calc'!$E$14=1,0,MIN(Calc!$S$29*(1+'财富模型'!$E$20/12)+'Calc'!$B$6,IF(Calc!$Q$30&lt;='财富模型'!$E$11*12,'Calc'!$W$14,'Calc'!$Y$14))))))),0))</x:f>
        <x:v>334402.6274629482</x:v>
      </x:c>
      <x:c r="S30" t="n">
        <x:f>IF(Calc!$Q$30&gt;'Calc'!$B$8,"",MAX(Calc!$S$29*(1+'财富模型'!$E$20/12)+'Calc'!$B$6-(IF('Calc'!$E$14=1,0,MIN(Calc!$S$29*(1+'财富模型'!$E$20/12)+'Calc'!$B$6,IF(Calc!$Q$30&lt;='财富模型'!$E$11*12,'Calc'!$W$14,'Calc'!$Y$14)))),0))</x:f>
        <x:v>0</x:v>
      </x:c>
      <x:c r="T30" t="n">
        <x:f>IF(Calc!$Q$30&gt;'Calc'!$B$8,"",IF('Calc'!$E$14=1,'财富模型'!$E$9,'财富模型'!$M$6+IF(Calc!$Q$30&lt;='财富模型'!$E$11*12,'Calc'!$W$14,'Calc'!$Y$14)-(IF('Calc'!$E$14=1,0,MIN(Calc!$S$29*(1+'财富模型'!$E$20/12)+'Calc'!$B$6,IF(Calc!$Q$30&lt;='财富模型'!$E$11*12,'Calc'!$W$14,'Calc'!$Y$14))))))</x:f>
        <x:v>1388.25</x:v>
      </x:c>
      <x:c r="U30" t="n">
        <x:f>IF(Calc!$Q$30&gt;'Calc'!$B$8,"",IF('Calc'!$E$14=1,0,MIN(Calc!$S$29*(1+'财富模型'!$E$20/12)+'Calc'!$B$6,IF(Calc!$Q$30&lt;='财富模型'!$E$11*12,'Calc'!$W$14,'Calc'!$Y$14))))</x:f>
        <x:v>2847.75</x:v>
      </x:c>
      <x:c r="V30" t="n">
        <x:f>IF(Calc!$Q$30&gt;'Calc'!$B$8,"",'Calc'!$B$5-'财富模型'!$E$5-(IF('Calc'!$E$14=1,'财富模型'!$E$9,'财富模型'!$M$6+IF(Calc!$Q$30&lt;='财富模型'!$E$11*12,'Calc'!$W$14,'Calc'!$Y$14)-(IF('Calc'!$E$14=1,0,MIN(Calc!$S$29*(1+'财富模型'!$E$20/12)+'Calc'!$B$6,IF(Calc!$Q$30&lt;='财富模型'!$E$11*12,'Calc'!$W$14,'Calc'!$Y$14)))))))</x:f>
        <x:v>6545.083333333332</x:v>
      </x:c>
      <x:c r="W30" t="n">
        <x:f>IF(Calc!$Q$30&gt;'Calc'!$B$8,"",IF('Calc'!$E$14=1,0,MAX(Calc!$W$29*(1+IF(Calc!$Q$30&lt;='财富模型'!$E$11*12,'财富模型'!$E$10,'财富模型'!$E$12)/12)-IF('Calc'!$E$14=1,0,IF(Calc!$Q$30&lt;='财富模型'!$E$11*12,'Calc'!$W$14,'Calc'!$Y$14)),0)))</x:f>
        <x:v>1078101.7366472115</x:v>
      </x:c>
      <x:c r="Y30" t="n">
        <x:v>9</x:v>
      </x:c>
      <x:c r="Z30" t="n">
        <x:f>IF(Calc!$Y$30&gt;'Calc'!$B$8,"",MAX(Calc!$Z$29*(1+'财富模型'!$E$6/12)+('Calc'!$B$5-'财富模型'!$E$5-(IF('Calc'!$E$15=1,'财富模型'!$E$9,'财富模型'!$M$7+IF(Calc!$Y$30&lt;='财富模型'!$E$11*12,'Calc'!$W$15,'Calc'!$Y$15)-(IF('Calc'!$E$15=1,0,MIN(Calc!$AA$29*(1+'财富模型'!$E$20/12)+'Calc'!$B$6,IF(Calc!$Y$30&lt;='财富模型'!$E$11*12,'Calc'!$W$15,'Calc'!$Y$15))))))),0))</x:f>
        <x:v>72733.83225901183</x:v>
      </x:c>
      <x:c r="AA30" t="n">
        <x:f>IF(Calc!$Y$30&gt;'Calc'!$B$8,"",MAX(Calc!$AA$29*(1+'财富模型'!$E$20/12)+'Calc'!$B$6-(IF('Calc'!$E$15=1,0,MIN(Calc!$AA$29*(1+'财富模型'!$E$20/12)+'Calc'!$B$6,IF(Calc!$Y$30&lt;='财富模型'!$E$11*12,'Calc'!$W$15,'Calc'!$Y$15)))),0))</x:f>
        <x:v>0</x:v>
      </x:c>
      <x:c r="AB30" t="n">
        <x:f>IF(Calc!$Y$30&gt;'Calc'!$B$8,"",IF('Calc'!$E$15=1,'财富模型'!$E$9,'财富模型'!$M$7+IF(Calc!$Y$30&lt;='财富模型'!$E$11*12,'Calc'!$W$15,'Calc'!$Y$15)-(IF('Calc'!$E$15=1,0,MIN(Calc!$AA$29*(1+'财富模型'!$E$20/12)+'Calc'!$B$6,IF(Calc!$Y$30&lt;='财富模型'!$E$11*12,'Calc'!$W$15,'Calc'!$Y$15))))))</x:f>
        <x:v>1468.25</x:v>
      </x:c>
      <x:c r="AC30" t="n">
        <x:f>IF(Calc!$Y$30&gt;'Calc'!$B$8,"",IF('Calc'!$E$15=1,0,MIN(Calc!$AA$29*(1+'财富模型'!$E$20/12)+'Calc'!$B$6,IF(Calc!$Y$30&lt;='财富模型'!$E$11*12,'Calc'!$W$15,'Calc'!$Y$15))))</x:f>
        <x:v>2847.75</x:v>
      </x:c>
      <x:c r="AD30" t="n">
        <x:f>IF(Calc!$Y$30&gt;'Calc'!$B$8,"",'Calc'!$B$5-'财富模型'!$E$5-(IF('Calc'!$E$15=1,'财富模型'!$E$9,'财富模型'!$M$7+IF(Calc!$Y$30&lt;='财富模型'!$E$11*12,'Calc'!$W$15,'Calc'!$Y$15)-(IF('Calc'!$E$15=1,0,MIN(Calc!$AA$29*(1+'财富模型'!$E$20/12)+'Calc'!$B$6,IF(Calc!$Y$30&lt;='财富模型'!$E$11*12,'Calc'!$W$15,'Calc'!$Y$15)))))))</x:f>
        <x:v>6465.083333333332</x:v>
      </x:c>
      <x:c r="AE30" t="n">
        <x:f>IF(Calc!$Y$30&gt;'Calc'!$B$8,"",IF('Calc'!$E$15=1,0,MAX(Calc!$AE$29*(1+IF(Calc!$Y$30&lt;='财富模型'!$E$11*12,'财富模型'!$E$10,'财富模型'!$E$12)/12)-IF('Calc'!$E$15=1,0,IF(Calc!$Y$30&lt;='财富模型'!$E$11*12,'Calc'!$W$15,'Calc'!$Y$15)),0)))</x:f>
        <x:v>1078101.7366472115</x:v>
      </x:c>
      <x:c r="AG30" t="n">
        <x:v>9</x:v>
      </x:c>
      <x:c r="AH30" t="n">
        <x:f>IF(Calc!$AG$30&gt;'Calc'!$B$8,"",MAX(Calc!$AH$29*(1+'财富模型'!$E$6/12)+('Calc'!$B$5-'财富模型'!$E$5-(IF('Calc'!$E$16=1,'财富模型'!$E$9,'财富模型'!$M$8+IF(Calc!$AG$30&lt;='财富模型'!$E$11*12,'Calc'!$W$16,'Calc'!$Y$16)-(IF('Calc'!$E$16=1,0,MIN(Calc!$AI$29*(1+'财富模型'!$E$20/12)+'Calc'!$B$6,IF(Calc!$AG$30&lt;='财富模型'!$E$11*12,'Calc'!$W$16,'Calc'!$Y$16))))))),0))</x:f>
        <x:v>59469.930669615</x:v>
      </x:c>
      <x:c r="AI30" t="n">
        <x:f>IF(Calc!$AG$30&gt;'Calc'!$B$8,"",MAX(Calc!$AI$29*(1+'财富模型'!$E$20/12)+'Calc'!$B$6-(IF('Calc'!$E$16=1,0,MIN(Calc!$AI$29*(1+'财富模型'!$E$20/12)+'Calc'!$B$6,IF(Calc!$AG$30&lt;='财富模型'!$E$11*12,'Calc'!$W$16,'Calc'!$Y$16)))),0))</x:f>
        <x:v>0</x:v>
      </x:c>
      <x:c r="AJ30" t="n">
        <x:f>IF(Calc!$AG$30&gt;'Calc'!$B$8,"",IF('Calc'!$E$16=1,'财富模型'!$E$9,'财富模型'!$M$8+IF(Calc!$AG$30&lt;='财富模型'!$E$11*12,'Calc'!$W$16,'Calc'!$Y$16)-(IF('Calc'!$E$16=1,0,MIN(Calc!$AI$29*(1+'财富模型'!$E$20/12)+'Calc'!$B$6,IF(Calc!$AG$30&lt;='财富模型'!$E$11*12,'Calc'!$W$16,'Calc'!$Y$16))))))</x:f>
        <x:v>1478.25</x:v>
      </x:c>
      <x:c r="AK30" t="n">
        <x:f>IF(Calc!$AG$30&gt;'Calc'!$B$8,"",IF('Calc'!$E$16=1,0,MIN(Calc!$AI$29*(1+'财富模型'!$E$20/12)+'Calc'!$B$6,IF(Calc!$AG$30&lt;='财富模型'!$E$11*12,'Calc'!$W$16,'Calc'!$Y$16))))</x:f>
        <x:v>2847.75</x:v>
      </x:c>
      <x:c r="AL30" t="n">
        <x:f>IF(Calc!$AG$30&gt;'Calc'!$B$8,"",'Calc'!$B$5-'财富模型'!$E$5-(IF('Calc'!$E$16=1,'财富模型'!$E$9,'财富模型'!$M$8+IF(Calc!$AG$30&lt;='财富模型'!$E$11*12,'Calc'!$W$16,'Calc'!$Y$16)-(IF('Calc'!$E$16=1,0,MIN(Calc!$AI$29*(1+'财富模型'!$E$20/12)+'Calc'!$B$6,IF(Calc!$AG$30&lt;='财富模型'!$E$11*12,'Calc'!$W$16,'Calc'!$Y$16)))))))</x:f>
        <x:v>6455.083333333332</x:v>
      </x:c>
      <x:c r="AM30" t="n">
        <x:f>IF(Calc!$AG$30&gt;'Calc'!$B$8,"",IF('Calc'!$E$16=1,0,MAX(Calc!$AM$29*(1+IF(Calc!$AG$30&lt;='财富模型'!$E$11*12,'财富模型'!$E$10,'财富模型'!$E$12)/12)-IF('Calc'!$E$16=1,0,IF(Calc!$AG$30&lt;='财富模型'!$E$11*12,'Calc'!$W$16,'Calc'!$Y$16)),0)))</x:f>
        <x:v>1078101.7366472115</x:v>
      </x:c>
      <x:c r="AO30" t="n">
        <x:v>9</x:v>
      </x:c>
      <x:c r="AP30" t="n">
        <x:f>IF(Calc!$AO$30&gt;'Calc'!$B$8,"",MAX(Calc!$AP$29*(1+'财富模型'!$E$6/12)+('Calc'!$B$5-'财富模型'!$E$5-(IF('Calc'!$E$17=1,'财富模型'!$E$9,'财富模型'!$M$9+IF(Calc!$AO$30&lt;='财富模型'!$E$11*12,'Calc'!$W$17,'Calc'!$Y$17)-(IF('Calc'!$E$17=1,0,MIN(Calc!$AQ$29*(1+'财富模型'!$E$20/12)+'Calc'!$B$6,IF(Calc!$AO$30&lt;='财富模型'!$E$11*12,'Calc'!$W$17,'Calc'!$Y$17))))))),0))</x:f>
        <x:v>873962.0889140334</x:v>
      </x:c>
      <x:c r="AQ30" t="n">
        <x:f>IF(Calc!$AO$30&gt;'Calc'!$B$8,"",MAX(Calc!$AQ$29*(1+'财富模型'!$E$20/12)+'Calc'!$B$6-(IF('Calc'!$E$17=1,0,MIN(Calc!$AQ$29*(1+'财富模型'!$E$20/12)+'Calc'!$B$6,IF(Calc!$AO$30&lt;='财富模型'!$E$11*12,'Calc'!$W$17,'Calc'!$Y$17)))),0))</x:f>
        <x:v>25844.37274346313</x:v>
      </x:c>
      <x:c r="AR30" t="n">
        <x:f>IF(Calc!$AO$30&gt;'Calc'!$B$8,"",IF('Calc'!$E$17=1,'财富模型'!$E$9,'财富模型'!$M$9+IF(Calc!$AO$30&lt;='财富模型'!$E$11*12,'Calc'!$W$17,'Calc'!$Y$17)-(IF('Calc'!$E$17=1,0,MIN(Calc!$AQ$29*(1+'财富模型'!$E$20/12)+'Calc'!$B$6,IF(Calc!$AO$30&lt;='财富模型'!$E$11*12,'Calc'!$W$17,'Calc'!$Y$17))))))</x:f>
        <x:v>4000</x:v>
      </x:c>
      <x:c r="AS30" t="n">
        <x:f>IF(Calc!$AO$30&gt;'Calc'!$B$8,"",IF('Calc'!$E$17=1,0,MIN(Calc!$AQ$29*(1+'财富模型'!$E$20/12)+'Calc'!$B$6,IF(Calc!$AO$30&lt;='财富模型'!$E$11*12,'Calc'!$W$17,'Calc'!$Y$17))))</x:f>
        <x:v>0</x:v>
      </x:c>
      <x:c r="AT30" t="n">
        <x:f>IF(Calc!$AO$30&gt;'Calc'!$B$8,"",'Calc'!$B$5-'财富模型'!$E$5-(IF('Calc'!$E$17=1,'财富模型'!$E$9,'财富模型'!$M$9+IF(Calc!$AO$30&lt;='财富模型'!$E$11*12,'Calc'!$W$17,'Calc'!$Y$17)-(IF('Calc'!$E$17=1,0,MIN(Calc!$AQ$29*(1+'财富模型'!$E$20/12)+'Calc'!$B$6,IF(Calc!$AO$30&lt;='财富模型'!$E$11*12,'Calc'!$W$17,'Calc'!$Y$17)))))))</x:f>
        <x:v>3933.333333333332</x:v>
      </x:c>
      <x:c r="AU30" t="n">
        <x:f>IF(Calc!$AO$30&gt;'Calc'!$B$8,"",IF('Calc'!$E$17=1,0,MAX(Calc!$AU$29*(1+IF(Calc!$AO$30&lt;='财富模型'!$E$11*12,'财富模型'!$E$10,'财富模型'!$E$12)/12)-IF('Calc'!$E$17=1,0,IF(Calc!$AO$30&lt;='财富模型'!$E$11*12,'Calc'!$W$17,'Calc'!$Y$17)),0)))</x:f>
        <x:v>0</x:v>
      </x:c>
    </x:row>
    <x:row r="31">
      <x:c r="A31" t="n">
        <x:v>10</x:v>
      </x:c>
      <x:c r="B31" t="n">
        <x:f>IF(Calc!$A$31&gt;'Calc'!$B$8,"",MAX(Calc!$B$30*(1+'财富模型'!$E$6/12)+('Calc'!$B$5-'财富模型'!$E$5-(IF('Calc'!$E$12=1,'财富模型'!$E$9,'财富模型'!$M$4+IF(Calc!$A$31&lt;='财富模型'!$E$11*12,'Calc'!$W$12,'Calc'!$Y$12)-(IF('Calc'!$E$12=1,0,MIN(Calc!$C$30*(1+'财富模型'!$E$20/12)+'Calc'!$B$6,IF(Calc!$A$31&lt;='财富模型'!$E$11*12,'Calc'!$W$12,'Calc'!$Y$12))))))),0))</x:f>
        <x:v>472581.5256860983</x:v>
      </x:c>
      <x:c r="C31" t="n">
        <x:f>IF(Calc!$A$31&gt;'Calc'!$B$8,"",MAX(Calc!$C$30*(1+'财富模型'!$E$20/12)+'Calc'!$B$6-(IF('Calc'!$E$12=1,0,MIN(Calc!$C$30*(1+'财富模型'!$E$20/12)+'Calc'!$B$6,IF(Calc!$A$31&lt;='财富模型'!$E$11*12,'Calc'!$W$12,'Calc'!$Y$12)))),0))</x:f>
        <x:v>0</x:v>
      </x:c>
      <x:c r="D31" t="n">
        <x:f>IF(Calc!$A$31&gt;'Calc'!$B$8,"",IF('Calc'!$E$12=1,'财富模型'!$E$9,'财富模型'!$M$4+IF(Calc!$A$31&lt;='财富模型'!$E$11*12,'Calc'!$W$12,'Calc'!$Y$12)-(IF('Calc'!$E$12=1,0,MIN(Calc!$C$30*(1+'财富模型'!$E$20/12)+'Calc'!$B$6,IF(Calc!$A$31&lt;='财富模型'!$E$11*12,'Calc'!$W$12,'Calc'!$Y$12))))))</x:f>
        <x:v>812.25</x:v>
      </x:c>
      <x:c r="E31" t="n">
        <x:f>IF(Calc!$A$31&gt;'Calc'!$B$8,"",IF('Calc'!$E$12=1,0,MIN(Calc!$C$30*(1+'财富模型'!$E$20/12)+'Calc'!$B$6,IF(Calc!$A$31&lt;='财富模型'!$E$11*12,'Calc'!$W$12,'Calc'!$Y$12))))</x:f>
        <x:v>2847.75</x:v>
      </x:c>
      <x:c r="F31" t="n">
        <x:f>IF(Calc!$A$31&gt;'Calc'!$B$8,"",'Calc'!$B$5-'财富模型'!$E$5-(IF('Calc'!$E$12=1,'财富模型'!$E$9,'财富模型'!$M$4+IF(Calc!$A$31&lt;='财富模型'!$E$11*12,'Calc'!$W$12,'Calc'!$Y$12)-(IF('Calc'!$E$12=1,0,MIN(Calc!$C$30*(1+'财富模型'!$E$20/12)+'Calc'!$B$6,IF(Calc!$A$31&lt;='财富模型'!$E$11*12,'Calc'!$W$12,'Calc'!$Y$12)))))))</x:f>
        <x:v>7121.083333333332</x:v>
      </x:c>
      <x:c r="G31" t="n">
        <x:f>IF(Calc!$A$31&gt;'Calc'!$B$8,"",IF('Calc'!$E$12=1,0,MAX(Calc!$G$30*(1+IF(Calc!$A$31&lt;='财富模型'!$E$11*12,'财富模型'!$E$10,'财富模型'!$E$12)/12)-IF('Calc'!$E$12=1,0,IF(Calc!$A$31&lt;='财富模型'!$E$11*12,'Calc'!$W$12,'Calc'!$Y$12)),0)))</x:f>
        <x:v>935084.3408346717</x:v>
      </x:c>
      <x:c r="I31" t="n">
        <x:v>10</x:v>
      </x:c>
      <x:c r="J31" t="n">
        <x:f>IF(Calc!$I$31&gt;'Calc'!$B$8,"",MAX(Calc!$J$30*(1+'财富模型'!$E$6/12)+('Calc'!$B$5-'财富模型'!$E$5-(IF('Calc'!$E$13=1,'财富模型'!$E$9,'财富模型'!$M$5+IF(Calc!$I$31&lt;='财富模型'!$E$11*12,'Calc'!$W$13,'Calc'!$Y$13)-(IF('Calc'!$E$13=1,0,MIN(Calc!$K$30*(1+'财富模型'!$E$20/12)+'Calc'!$B$6,IF(Calc!$I$31&lt;='财富模型'!$E$11*12,'Calc'!$W$13,'Calc'!$Y$13))))))),0))</x:f>
        <x:v>477668.69240446005</x:v>
      </x:c>
      <x:c r="K31" t="n">
        <x:f>IF(Calc!$I$31&gt;'Calc'!$B$8,"",MAX(Calc!$K$30*(1+'财富模型'!$E$20/12)+'Calc'!$B$6-(IF('Calc'!$E$13=1,0,MIN(Calc!$K$30*(1+'财富模型'!$E$20/12)+'Calc'!$B$6,IF(Calc!$I$31&lt;='财富模型'!$E$11*12,'Calc'!$W$13,'Calc'!$Y$13)))),0))</x:f>
        <x:v>0</x:v>
      </x:c>
      <x:c r="L31" t="n">
        <x:f>IF(Calc!$I$31&gt;'Calc'!$B$8,"",IF('Calc'!$E$13=1,'财富模型'!$E$9,'财富模型'!$M$5+IF(Calc!$I$31&lt;='财富模型'!$E$11*12,'Calc'!$W$13,'Calc'!$Y$13)-(IF('Calc'!$E$13=1,0,MIN(Calc!$K$30*(1+'财富模型'!$E$20/12)+'Calc'!$B$6,IF(Calc!$I$31&lt;='财富模型'!$E$11*12,'Calc'!$W$13,'Calc'!$Y$13))))))</x:f>
        <x:v>843.25</x:v>
      </x:c>
      <x:c r="M31" t="n">
        <x:f>IF(Calc!$I$31&gt;'Calc'!$B$8,"",IF('Calc'!$E$13=1,0,MIN(Calc!$K$30*(1+'财富模型'!$E$20/12)+'Calc'!$B$6,IF(Calc!$I$31&lt;='财富模型'!$E$11*12,'Calc'!$W$13,'Calc'!$Y$13))))</x:f>
        <x:v>2847.75</x:v>
      </x:c>
      <x:c r="N31" t="n">
        <x:f>IF(Calc!$I$31&gt;'Calc'!$B$8,"",'Calc'!$B$5-'财富模型'!$E$5-(IF('Calc'!$E$13=1,'财富模型'!$E$9,'财富模型'!$M$5+IF(Calc!$I$31&lt;='财富模型'!$E$11*12,'Calc'!$W$13,'Calc'!$Y$13)-(IF('Calc'!$E$13=1,0,MIN(Calc!$K$30*(1+'财富模型'!$E$20/12)+'Calc'!$B$6,IF(Calc!$I$31&lt;='财富模型'!$E$11*12,'Calc'!$W$13,'Calc'!$Y$13)))))))</x:f>
        <x:v>7090.083333333332</x:v>
      </x:c>
      <x:c r="O31" t="n">
        <x:f>IF(Calc!$I$31&gt;'Calc'!$B$8,"",IF('Calc'!$E$13=1,0,MAX(Calc!$O$30*(1+IF(Calc!$I$31&lt;='财富模型'!$E$11*12,'财富模型'!$E$10,'财富模型'!$E$12)/12)-IF('Calc'!$E$13=1,0,IF(Calc!$I$31&lt;='财富模型'!$E$11*12,'Calc'!$W$13,'Calc'!$Y$13)),0)))</x:f>
        <x:v>924085.1232550713</x:v>
      </x:c>
      <x:c r="Q31" t="n">
        <x:v>10</x:v>
      </x:c>
      <x:c r="R31" t="n">
        <x:f>IF(Calc!$Q$31&gt;'Calc'!$B$8,"",MAX(Calc!$R$30*(1+'财富模型'!$E$6/12)+('Calc'!$B$5-'财富模型'!$E$5-(IF('Calc'!$E$14=1,'财富模型'!$E$9,'财富模型'!$M$6+IF(Calc!$Q$31&lt;='财富模型'!$E$11*12,'Calc'!$W$14,'Calc'!$Y$14)-(IF('Calc'!$E$14=1,0,MIN(Calc!$S$30*(1+'财富模型'!$E$20/12)+'Calc'!$B$6,IF(Calc!$Q$31&lt;='财富模型'!$E$11*12,'Calc'!$W$14,'Calc'!$Y$14))))))),0))</x:f>
        <x:v>342898.3927898154</x:v>
      </x:c>
      <x:c r="S31" t="n">
        <x:f>IF(Calc!$Q$31&gt;'Calc'!$B$8,"",MAX(Calc!$S$30*(1+'财富模型'!$E$20/12)+'Calc'!$B$6-(IF('Calc'!$E$14=1,0,MIN(Calc!$S$30*(1+'财富模型'!$E$20/12)+'Calc'!$B$6,IF(Calc!$Q$31&lt;='财富模型'!$E$11*12,'Calc'!$W$14,'Calc'!$Y$14)))),0))</x:f>
        <x:v>0</x:v>
      </x:c>
      <x:c r="T31" t="n">
        <x:f>IF(Calc!$Q$31&gt;'Calc'!$B$8,"",IF('Calc'!$E$14=1,'财富模型'!$E$9,'财富模型'!$M$6+IF(Calc!$Q$31&lt;='财富模型'!$E$11*12,'Calc'!$W$14,'Calc'!$Y$14)-(IF('Calc'!$E$14=1,0,MIN(Calc!$S$30*(1+'财富模型'!$E$20/12)+'Calc'!$B$6,IF(Calc!$Q$31&lt;='财富模型'!$E$11*12,'Calc'!$W$14,'Calc'!$Y$14))))))</x:f>
        <x:v>1388.25</x:v>
      </x:c>
      <x:c r="U31" t="n">
        <x:f>IF(Calc!$Q$31&gt;'Calc'!$B$8,"",IF('Calc'!$E$14=1,0,MIN(Calc!$S$30*(1+'财富模型'!$E$20/12)+'Calc'!$B$6,IF(Calc!$Q$31&lt;='财富模型'!$E$11*12,'Calc'!$W$14,'Calc'!$Y$14))))</x:f>
        <x:v>2847.75</x:v>
      </x:c>
      <x:c r="V31" t="n">
        <x:f>IF(Calc!$Q$31&gt;'Calc'!$B$8,"",'Calc'!$B$5-'财富模型'!$E$5-(IF('Calc'!$E$14=1,'财富模型'!$E$9,'财富模型'!$M$6+IF(Calc!$Q$31&lt;='财富模型'!$E$11*12,'Calc'!$W$14,'Calc'!$Y$14)-(IF('Calc'!$E$14=1,0,MIN(Calc!$S$30*(1+'财富模型'!$E$20/12)+'Calc'!$B$6,IF(Calc!$Q$31&lt;='财富模型'!$E$11*12,'Calc'!$W$14,'Calc'!$Y$14)))))))</x:f>
        <x:v>6545.083333333332</x:v>
      </x:c>
      <x:c r="W31" t="n">
        <x:f>IF(Calc!$Q$31&gt;'Calc'!$B$8,"",IF('Calc'!$E$14=1,0,MAX(Calc!$W$30*(1+IF(Calc!$Q$31&lt;='财富模型'!$E$11*12,'财富模型'!$E$10,'财富模型'!$E$12)/12)-IF('Calc'!$E$14=1,0,IF(Calc!$Q$31&lt;='财富模型'!$E$11*12,'Calc'!$W$14,'Calc'!$Y$14)),0)))</x:f>
        <x:v>1075653.3638180206</x:v>
      </x:c>
      <x:c r="Y31" t="n">
        <x:v>10</x:v>
      </x:c>
      <x:c r="Z31" t="n">
        <x:f>IF(Calc!$Y$31&gt;'Calc'!$B$8,"",MAX(Calc!$Z$30*(1+'财富模型'!$E$6/12)+('Calc'!$B$5-'财富模型'!$E$5-(IF('Calc'!$E$15=1,'财富模型'!$E$9,'财富模型'!$M$7+IF(Calc!$Y$31&lt;='财富模型'!$E$11*12,'Calc'!$W$15,'Calc'!$Y$15)-(IF('Calc'!$E$15=1,0,MIN(Calc!$AA$30*(1+'财富模型'!$E$20/12)+'Calc'!$B$6,IF(Calc!$Y$31&lt;='财富模型'!$E$11*12,'Calc'!$W$15,'Calc'!$Y$15))))))),0))</x:f>
        <x:v>79623.19628052274</x:v>
      </x:c>
      <x:c r="AA31" t="n">
        <x:f>IF(Calc!$Y$31&gt;'Calc'!$B$8,"",MAX(Calc!$AA$30*(1+'财富模型'!$E$20/12)+'Calc'!$B$6-(IF('Calc'!$E$15=1,0,MIN(Calc!$AA$30*(1+'财富模型'!$E$20/12)+'Calc'!$B$6,IF(Calc!$Y$31&lt;='财富模型'!$E$11*12,'Calc'!$W$15,'Calc'!$Y$15)))),0))</x:f>
        <x:v>0</x:v>
      </x:c>
      <x:c r="AB31" t="n">
        <x:f>IF(Calc!$Y$31&gt;'Calc'!$B$8,"",IF('Calc'!$E$15=1,'财富模型'!$E$9,'财富模型'!$M$7+IF(Calc!$Y$31&lt;='财富模型'!$E$11*12,'Calc'!$W$15,'Calc'!$Y$15)-(IF('Calc'!$E$15=1,0,MIN(Calc!$AA$30*(1+'财富模型'!$E$20/12)+'Calc'!$B$6,IF(Calc!$Y$31&lt;='财富模型'!$E$11*12,'Calc'!$W$15,'Calc'!$Y$15))))))</x:f>
        <x:v>1468.25</x:v>
      </x:c>
      <x:c r="AC31" t="n">
        <x:f>IF(Calc!$Y$31&gt;'Calc'!$B$8,"",IF('Calc'!$E$15=1,0,MIN(Calc!$AA$30*(1+'财富模型'!$E$20/12)+'Calc'!$B$6,IF(Calc!$Y$31&lt;='财富模型'!$E$11*12,'Calc'!$W$15,'Calc'!$Y$15))))</x:f>
        <x:v>2847.75</x:v>
      </x:c>
      <x:c r="AD31" t="n">
        <x:f>IF(Calc!$Y$31&gt;'Calc'!$B$8,"",'Calc'!$B$5-'财富模型'!$E$5-(IF('Calc'!$E$15=1,'财富模型'!$E$9,'财富模型'!$M$7+IF(Calc!$Y$31&lt;='财富模型'!$E$11*12,'Calc'!$W$15,'Calc'!$Y$15)-(IF('Calc'!$E$15=1,0,MIN(Calc!$AA$30*(1+'财富模型'!$E$20/12)+'Calc'!$B$6,IF(Calc!$Y$31&lt;='财富模型'!$E$11*12,'Calc'!$W$15,'Calc'!$Y$15)))))))</x:f>
        <x:v>6465.083333333332</x:v>
      </x:c>
      <x:c r="AE31" t="n">
        <x:f>IF(Calc!$Y$31&gt;'Calc'!$B$8,"",IF('Calc'!$E$15=1,0,MAX(Calc!$AE$30*(1+IF(Calc!$Y$31&lt;='财富模型'!$E$11*12,'财富模型'!$E$10,'财富模型'!$E$12)/12)-IF('Calc'!$E$15=1,0,IF(Calc!$Y$31&lt;='财富模型'!$E$11*12,'Calc'!$W$15,'Calc'!$Y$15)),0)))</x:f>
        <x:v>1075653.3638180206</x:v>
      </x:c>
      <x:c r="AG31" t="n">
        <x:v>10</x:v>
      </x:c>
      <x:c r="AH31" t="n">
        <x:f>IF(Calc!$AG$31&gt;'Calc'!$B$8,"",MAX(Calc!$AH$30*(1+'财富模型'!$E$6/12)+('Calc'!$B$5-'财富模型'!$E$5-(IF('Calc'!$E$16=1,'财富模型'!$E$9,'财富模型'!$M$8+IF(Calc!$AG$31&lt;='财富模型'!$E$11*12,'Calc'!$W$16,'Calc'!$Y$16)-(IF('Calc'!$E$16=1,0,MIN(Calc!$AI$30*(1+'财富模型'!$E$20/12)+'Calc'!$B$6,IF(Calc!$AG$31&lt;='财富模型'!$E$11*12,'Calc'!$W$16,'Calc'!$Y$16))))))),0))</x:f>
        <x:v>66271.92193185442</x:v>
      </x:c>
      <x:c r="AI31" t="n">
        <x:f>IF(Calc!$AG$31&gt;'Calc'!$B$8,"",MAX(Calc!$AI$30*(1+'财富模型'!$E$20/12)+'Calc'!$B$6-(IF('Calc'!$E$16=1,0,MIN(Calc!$AI$30*(1+'财富模型'!$E$20/12)+'Calc'!$B$6,IF(Calc!$AG$31&lt;='财富模型'!$E$11*12,'Calc'!$W$16,'Calc'!$Y$16)))),0))</x:f>
        <x:v>0</x:v>
      </x:c>
      <x:c r="AJ31" t="n">
        <x:f>IF(Calc!$AG$31&gt;'Calc'!$B$8,"",IF('Calc'!$E$16=1,'财富模型'!$E$9,'财富模型'!$M$8+IF(Calc!$AG$31&lt;='财富模型'!$E$11*12,'Calc'!$W$16,'Calc'!$Y$16)-(IF('Calc'!$E$16=1,0,MIN(Calc!$AI$30*(1+'财富模型'!$E$20/12)+'Calc'!$B$6,IF(Calc!$AG$31&lt;='财富模型'!$E$11*12,'Calc'!$W$16,'Calc'!$Y$16))))))</x:f>
        <x:v>1478.25</x:v>
      </x:c>
      <x:c r="AK31" t="n">
        <x:f>IF(Calc!$AG$31&gt;'Calc'!$B$8,"",IF('Calc'!$E$16=1,0,MIN(Calc!$AI$30*(1+'财富模型'!$E$20/12)+'Calc'!$B$6,IF(Calc!$AG$31&lt;='财富模型'!$E$11*12,'Calc'!$W$16,'Calc'!$Y$16))))</x:f>
        <x:v>2847.75</x:v>
      </x:c>
      <x:c r="AL31" t="n">
        <x:f>IF(Calc!$AG$31&gt;'Calc'!$B$8,"",'Calc'!$B$5-'财富模型'!$E$5-(IF('Calc'!$E$16=1,'财富模型'!$E$9,'财富模型'!$M$8+IF(Calc!$AG$31&lt;='财富模型'!$E$11*12,'Calc'!$W$16,'Calc'!$Y$16)-(IF('Calc'!$E$16=1,0,MIN(Calc!$AI$30*(1+'财富模型'!$E$20/12)+'Calc'!$B$6,IF(Calc!$AG$31&lt;='财富模型'!$E$11*12,'Calc'!$W$16,'Calc'!$Y$16)))))))</x:f>
        <x:v>6455.083333333332</x:v>
      </x:c>
      <x:c r="AM31" t="n">
        <x:f>IF(Calc!$AG$31&gt;'Calc'!$B$8,"",IF('Calc'!$E$16=1,0,MAX(Calc!$AM$30*(1+IF(Calc!$AG$31&lt;='财富模型'!$E$11*12,'财富模型'!$E$10,'财富模型'!$E$12)/12)-IF('Calc'!$E$16=1,0,IF(Calc!$AG$31&lt;='财富模型'!$E$11*12,'Calc'!$W$16,'Calc'!$Y$16)),0)))</x:f>
        <x:v>1075653.3638180206</x:v>
      </x:c>
      <x:c r="AO31" t="n">
        <x:v>10</x:v>
      </x:c>
      <x:c r="AP31" t="n">
        <x:f>IF(Calc!$AO$31&gt;'Calc'!$B$8,"",MAX(Calc!$AP$30*(1+'财富模型'!$E$6/12)+('Calc'!$B$5-'财富模型'!$E$5-(IF('Calc'!$E$17=1,'财富模型'!$E$9,'财富模型'!$M$9+IF(Calc!$AO$31&lt;='财富模型'!$E$11*12,'Calc'!$W$17,'Calc'!$Y$17)-(IF('Calc'!$E$17=1,0,MIN(Calc!$AQ$30*(1+'财富模型'!$E$20/12)+'Calc'!$B$6,IF(Calc!$AO$31&lt;='财富模型'!$E$11*12,'Calc'!$W$17,'Calc'!$Y$17))))))),0))</x:f>
        <x:v>882993.5344326986</x:v>
      </x:c>
      <x:c r="AQ31" t="n">
        <x:f>IF(Calc!$AO$31&gt;'Calc'!$B$8,"",MAX(Calc!$AQ$30*(1+'财富模型'!$E$20/12)+'Calc'!$B$6-(IF('Calc'!$E$17=1,0,MIN(Calc!$AQ$30*(1+'财富模型'!$E$20/12)+'Calc'!$B$6,IF(Calc!$AO$31&lt;='财富模型'!$E$11*12,'Calc'!$W$17,'Calc'!$Y$17)))),0))</x:f>
        <x:v>28745.96518667868</x:v>
      </x:c>
      <x:c r="AR31" t="n">
        <x:f>IF(Calc!$AO$31&gt;'Calc'!$B$8,"",IF('Calc'!$E$17=1,'财富模型'!$E$9,'财富模型'!$M$9+IF(Calc!$AO$31&lt;='财富模型'!$E$11*12,'Calc'!$W$17,'Calc'!$Y$17)-(IF('Calc'!$E$17=1,0,MIN(Calc!$AQ$30*(1+'财富模型'!$E$20/12)+'Calc'!$B$6,IF(Calc!$AO$31&lt;='财富模型'!$E$11*12,'Calc'!$W$17,'Calc'!$Y$17))))))</x:f>
        <x:v>4000</x:v>
      </x:c>
      <x:c r="AS31" t="n">
        <x:f>IF(Calc!$AO$31&gt;'Calc'!$B$8,"",IF('Calc'!$E$17=1,0,MIN(Calc!$AQ$30*(1+'财富模型'!$E$20/12)+'Calc'!$B$6,IF(Calc!$AO$31&lt;='财富模型'!$E$11*12,'Calc'!$W$17,'Calc'!$Y$17))))</x:f>
        <x:v>0</x:v>
      </x:c>
      <x:c r="AT31" t="n">
        <x:f>IF(Calc!$AO$31&gt;'Calc'!$B$8,"",'Calc'!$B$5-'财富模型'!$E$5-(IF('Calc'!$E$17=1,'财富模型'!$E$9,'财富模型'!$M$9+IF(Calc!$AO$31&lt;='财富模型'!$E$11*12,'Calc'!$W$17,'Calc'!$Y$17)-(IF('Calc'!$E$17=1,0,MIN(Calc!$AQ$30*(1+'财富模型'!$E$20/12)+'Calc'!$B$6,IF(Calc!$AO$31&lt;='财富模型'!$E$11*12,'Calc'!$W$17,'Calc'!$Y$17)))))))</x:f>
        <x:v>3933.333333333332</x:v>
      </x:c>
      <x:c r="AU31" t="n">
        <x:f>IF(Calc!$AO$31&gt;'Calc'!$B$8,"",IF('Calc'!$E$17=1,0,MAX(Calc!$AU$30*(1+IF(Calc!$AO$31&lt;='财富模型'!$E$11*12,'财富模型'!$E$10,'财富模型'!$E$12)/12)-IF('Calc'!$E$17=1,0,IF(Calc!$AO$31&lt;='财富模型'!$E$11*12,'Calc'!$W$17,'Calc'!$Y$17)),0)))</x:f>
        <x:v>0</x:v>
      </x:c>
    </x:row>
    <x:row r="32">
      <x:c r="A32" t="n">
        <x:v>11</x:v>
      </x:c>
      <x:c r="B32" t="n">
        <x:f>IF(Calc!$A$32&gt;'Calc'!$B$8,"",MAX(Calc!$B$31*(1+'财富模型'!$E$6/12)+('Calc'!$B$5-'财富模型'!$E$5-(IF('Calc'!$E$12=1,'财富模型'!$E$9,'财富模型'!$M$4+IF(Calc!$A$32&lt;='财富模型'!$E$11*12,'Calc'!$W$12,'Calc'!$Y$12)-(IF('Calc'!$E$12=1,0,MIN(Calc!$C$31*(1+'财富模型'!$E$20/12)+'Calc'!$B$6,IF(Calc!$A$32&lt;='财富模型'!$E$11*12,'Calc'!$W$12,'Calc'!$Y$12))))))),0))</x:f>
        <x:v>482459.3345859339</x:v>
      </x:c>
      <x:c r="C32" t="n">
        <x:f>IF(Calc!$A$32&gt;'Calc'!$B$8,"",MAX(Calc!$C$31*(1+'财富模型'!$E$20/12)+'Calc'!$B$6-(IF('Calc'!$E$12=1,0,MIN(Calc!$C$31*(1+'财富模型'!$E$20/12)+'Calc'!$B$6,IF(Calc!$A$32&lt;='财富模型'!$E$11*12,'Calc'!$W$12,'Calc'!$Y$12)))),0))</x:f>
        <x:v>0</x:v>
      </x:c>
      <x:c r="D32" t="n">
        <x:f>IF(Calc!$A$32&gt;'Calc'!$B$8,"",IF('Calc'!$E$12=1,'财富模型'!$E$9,'财富模型'!$M$4+IF(Calc!$A$32&lt;='财富模型'!$E$11*12,'Calc'!$W$12,'Calc'!$Y$12)-(IF('Calc'!$E$12=1,0,MIN(Calc!$C$31*(1+'财富模型'!$E$20/12)+'Calc'!$B$6,IF(Calc!$A$32&lt;='财富模型'!$E$11*12,'Calc'!$W$12,'Calc'!$Y$12))))))</x:f>
        <x:v>812.25</x:v>
      </x:c>
      <x:c r="E32" t="n">
        <x:f>IF(Calc!$A$32&gt;'Calc'!$B$8,"",IF('Calc'!$E$12=1,0,MIN(Calc!$C$31*(1+'财富模型'!$E$20/12)+'Calc'!$B$6,IF(Calc!$A$32&lt;='财富模型'!$E$11*12,'Calc'!$W$12,'Calc'!$Y$12))))</x:f>
        <x:v>2847.75</x:v>
      </x:c>
      <x:c r="F32" t="n">
        <x:f>IF(Calc!$A$32&gt;'Calc'!$B$8,"",'Calc'!$B$5-'财富模型'!$E$5-(IF('Calc'!$E$12=1,'财富模型'!$E$9,'财富模型'!$M$4+IF(Calc!$A$32&lt;='财富模型'!$E$11*12,'Calc'!$W$12,'Calc'!$Y$12)-(IF('Calc'!$E$12=1,0,MIN(Calc!$C$31*(1+'财富模型'!$E$20/12)+'Calc'!$B$6,IF(Calc!$A$32&lt;='财富模型'!$E$11*12,'Calc'!$W$12,'Calc'!$Y$12)))))))</x:f>
        <x:v>7121.083333333332</x:v>
      </x:c>
      <x:c r="G32" t="n">
        <x:f>IF(Calc!$A$32&gt;'Calc'!$B$8,"",IF('Calc'!$E$12=1,0,MAX(Calc!$G$31*(1+IF(Calc!$A$32&lt;='财富模型'!$E$11*12,'财富模型'!$E$10,'财富模型'!$E$12)/12)-IF('Calc'!$E$12=1,0,IF(Calc!$A$32&lt;='财富模型'!$E$11*12,'Calc'!$W$12,'Calc'!$Y$12)),0)))</x:f>
        <x:v>932953.196260715</x:v>
      </x:c>
      <x:c r="I32" t="n">
        <x:v>11</x:v>
      </x:c>
      <x:c r="J32" t="n">
        <x:f>IF(Calc!$I$32&gt;'Calc'!$B$8,"",MAX(Calc!$J$31*(1+'财富模型'!$E$6/12)+('Calc'!$B$5-'财富模型'!$E$5-(IF('Calc'!$E$13=1,'财富模型'!$E$9,'财富模型'!$M$5+IF(Calc!$I$32&lt;='财富模型'!$E$11*12,'Calc'!$W$13,'Calc'!$Y$13)-(IF('Calc'!$E$13=1,0,MIN(Calc!$K$31*(1+'财富模型'!$E$20/12)+'Calc'!$B$6,IF(Calc!$I$32&lt;='财富模型'!$E$11*12,'Calc'!$W$13,'Calc'!$Y$13))))))),0))</x:f>
        <x:v>487545.17644348607</x:v>
      </x:c>
      <x:c r="K32" t="n">
        <x:f>IF(Calc!$I$32&gt;'Calc'!$B$8,"",MAX(Calc!$K$31*(1+'财富模型'!$E$20/12)+'Calc'!$B$6-(IF('Calc'!$E$13=1,0,MIN(Calc!$K$31*(1+'财富模型'!$E$20/12)+'Calc'!$B$6,IF(Calc!$I$32&lt;='财富模型'!$E$11*12,'Calc'!$W$13,'Calc'!$Y$13)))),0))</x:f>
        <x:v>0</x:v>
      </x:c>
      <x:c r="L32" t="n">
        <x:f>IF(Calc!$I$32&gt;'Calc'!$B$8,"",IF('Calc'!$E$13=1,'财富模型'!$E$9,'财富模型'!$M$5+IF(Calc!$I$32&lt;='财富模型'!$E$11*12,'Calc'!$W$13,'Calc'!$Y$13)-(IF('Calc'!$E$13=1,0,MIN(Calc!$K$31*(1+'财富模型'!$E$20/12)+'Calc'!$B$6,IF(Calc!$I$32&lt;='财富模型'!$E$11*12,'Calc'!$W$13,'Calc'!$Y$13))))))</x:f>
        <x:v>843.25</x:v>
      </x:c>
      <x:c r="M32" t="n">
        <x:f>IF(Calc!$I$32&gt;'Calc'!$B$8,"",IF('Calc'!$E$13=1,0,MIN(Calc!$K$31*(1+'财富模型'!$E$20/12)+'Calc'!$B$6,IF(Calc!$I$32&lt;='财富模型'!$E$11*12,'Calc'!$W$13,'Calc'!$Y$13))))</x:f>
        <x:v>2847.75</x:v>
      </x:c>
      <x:c r="N32" t="n">
        <x:f>IF(Calc!$I$32&gt;'Calc'!$B$8,"",'Calc'!$B$5-'财富模型'!$E$5-(IF('Calc'!$E$13=1,'财富模型'!$E$9,'财富模型'!$M$5+IF(Calc!$I$32&lt;='财富模型'!$E$11*12,'Calc'!$W$13,'Calc'!$Y$13)-(IF('Calc'!$E$13=1,0,MIN(Calc!$K$31*(1+'财富模型'!$E$20/12)+'Calc'!$B$6,IF(Calc!$I$32&lt;='财富模型'!$E$11*12,'Calc'!$W$13,'Calc'!$Y$13)))))))</x:f>
        <x:v>7090.083333333332</x:v>
      </x:c>
      <x:c r="O32" t="n">
        <x:f>IF(Calc!$I$32&gt;'Calc'!$B$8,"",IF('Calc'!$E$13=1,0,MAX(Calc!$O$31*(1+IF(Calc!$I$32&lt;='财富模型'!$E$11*12,'财富模型'!$E$10,'财富模型'!$E$12)/12)-IF('Calc'!$E$13=1,0,IF(Calc!$I$32&lt;='财富模型'!$E$11*12,'Calc'!$W$13,'Calc'!$Y$13)),0)))</x:f>
        <x:v>921979.2296591401</x:v>
      </x:c>
      <x:c r="Q32" t="n">
        <x:v>11</x:v>
      </x:c>
      <x:c r="R32" t="n">
        <x:f>IF(Calc!$Q$32&gt;'Calc'!$B$8,"",MAX(Calc!$R$31*(1+'财富模型'!$E$6/12)+('Calc'!$B$5-'财富模型'!$E$5-(IF('Calc'!$E$14=1,'财富模型'!$E$9,'财富模型'!$M$6+IF(Calc!$Q$32&lt;='财富模型'!$E$11*12,'Calc'!$W$14,'Calc'!$Y$14)-(IF('Calc'!$E$14=1,0,MIN(Calc!$S$31*(1+'财富模型'!$E$20/12)+'Calc'!$B$6,IF(Calc!$Q$32&lt;='财富模型'!$E$11*12,'Calc'!$W$14,'Calc'!$Y$14))))))),0))</x:f>
        <x:v>351443.71674775594</x:v>
      </x:c>
      <x:c r="S32" t="n">
        <x:f>IF(Calc!$Q$32&gt;'Calc'!$B$8,"",MAX(Calc!$S$31*(1+'财富模型'!$E$20/12)+'Calc'!$B$6-(IF('Calc'!$E$14=1,0,MIN(Calc!$S$31*(1+'财富模型'!$E$20/12)+'Calc'!$B$6,IF(Calc!$Q$32&lt;='财富模型'!$E$11*12,'Calc'!$W$14,'Calc'!$Y$14)))),0))</x:f>
        <x:v>0</x:v>
      </x:c>
      <x:c r="T32" t="n">
        <x:f>IF(Calc!$Q$32&gt;'Calc'!$B$8,"",IF('Calc'!$E$14=1,'财富模型'!$E$9,'财富模型'!$M$6+IF(Calc!$Q$32&lt;='财富模型'!$E$11*12,'Calc'!$W$14,'Calc'!$Y$14)-(IF('Calc'!$E$14=1,0,MIN(Calc!$S$31*(1+'财富模型'!$E$20/12)+'Calc'!$B$6,IF(Calc!$Q$32&lt;='财富模型'!$E$11*12,'Calc'!$W$14,'Calc'!$Y$14))))))</x:f>
        <x:v>1388.25</x:v>
      </x:c>
      <x:c r="U32" t="n">
        <x:f>IF(Calc!$Q$32&gt;'Calc'!$B$8,"",IF('Calc'!$E$14=1,0,MIN(Calc!$S$31*(1+'财富模型'!$E$20/12)+'Calc'!$B$6,IF(Calc!$Q$32&lt;='财富模型'!$E$11*12,'Calc'!$W$14,'Calc'!$Y$14))))</x:f>
        <x:v>2847.75</x:v>
      </x:c>
      <x:c r="V32" t="n">
        <x:f>IF(Calc!$Q$32&gt;'Calc'!$B$8,"",'Calc'!$B$5-'财富模型'!$E$5-(IF('Calc'!$E$14=1,'财富模型'!$E$9,'财富模型'!$M$6+IF(Calc!$Q$32&lt;='财富模型'!$E$11*12,'Calc'!$W$14,'Calc'!$Y$14)-(IF('Calc'!$E$14=1,0,MIN(Calc!$S$31*(1+'财富模型'!$E$20/12)+'Calc'!$B$6,IF(Calc!$Q$32&lt;='财富模型'!$E$11*12,'Calc'!$W$14,'Calc'!$Y$14)))))))</x:f>
        <x:v>6545.083333333332</x:v>
      </x:c>
      <x:c r="W32" t="n">
        <x:f>IF(Calc!$Q$32&gt;'Calc'!$B$8,"",IF('Calc'!$E$14=1,0,MAX(Calc!$W$31*(1+IF(Calc!$Q$32&lt;='财富模型'!$E$11*12,'财富模型'!$E$10,'财富模型'!$E$12)/12)-IF('Calc'!$E$14=1,0,IF(Calc!$Q$32&lt;='财富模型'!$E$11*12,'Calc'!$W$14,'Calc'!$Y$14)),0)))</x:f>
        <x:v>1073201.930522793</x:v>
      </x:c>
      <x:c r="Y32" t="n">
        <x:v>11</x:v>
      </x:c>
      <x:c r="Z32" t="n">
        <x:f>IF(Calc!$Y$32&gt;'Calc'!$B$8,"",MAX(Calc!$Z$31*(1+'财富模型'!$E$6/12)+('Calc'!$B$5-'财富模型'!$E$5-(IF('Calc'!$E$15=1,'财富模型'!$E$9,'财富模型'!$M$7+IF(Calc!$Y$32&lt;='财富模型'!$E$11*12,'Calc'!$W$15,'Calc'!$Y$15)-(IF('Calc'!$E$15=1,0,MIN(Calc!$AA$31*(1+'财富模型'!$E$20/12)+'Calc'!$B$6,IF(Calc!$Y$32&lt;='财富模型'!$E$11*12,'Calc'!$W$15,'Calc'!$Y$15))))))),0))</x:f>
        <x:v>86552.74825882578</x:v>
      </x:c>
      <x:c r="AA32" t="n">
        <x:f>IF(Calc!$Y$32&gt;'Calc'!$B$8,"",MAX(Calc!$AA$31*(1+'财富模型'!$E$20/12)+'Calc'!$B$6-(IF('Calc'!$E$15=1,0,MIN(Calc!$AA$31*(1+'财富模型'!$E$20/12)+'Calc'!$B$6,IF(Calc!$Y$32&lt;='财富模型'!$E$11*12,'Calc'!$W$15,'Calc'!$Y$15)))),0))</x:f>
        <x:v>0</x:v>
      </x:c>
      <x:c r="AB32" t="n">
        <x:f>IF(Calc!$Y$32&gt;'Calc'!$B$8,"",IF('Calc'!$E$15=1,'财富模型'!$E$9,'财富模型'!$M$7+IF(Calc!$Y$32&lt;='财富模型'!$E$11*12,'Calc'!$W$15,'Calc'!$Y$15)-(IF('Calc'!$E$15=1,0,MIN(Calc!$AA$31*(1+'财富模型'!$E$20/12)+'Calc'!$B$6,IF(Calc!$Y$32&lt;='财富模型'!$E$11*12,'Calc'!$W$15,'Calc'!$Y$15))))))</x:f>
        <x:v>1468.25</x:v>
      </x:c>
      <x:c r="AC32" t="n">
        <x:f>IF(Calc!$Y$32&gt;'Calc'!$B$8,"",IF('Calc'!$E$15=1,0,MIN(Calc!$AA$31*(1+'财富模型'!$E$20/12)+'Calc'!$B$6,IF(Calc!$Y$32&lt;='财富模型'!$E$11*12,'Calc'!$W$15,'Calc'!$Y$15))))</x:f>
        <x:v>2847.75</x:v>
      </x:c>
      <x:c r="AD32" t="n">
        <x:f>IF(Calc!$Y$32&gt;'Calc'!$B$8,"",'Calc'!$B$5-'财富模型'!$E$5-(IF('Calc'!$E$15=1,'财富模型'!$E$9,'财富模型'!$M$7+IF(Calc!$Y$32&lt;='财富模型'!$E$11*12,'Calc'!$W$15,'Calc'!$Y$15)-(IF('Calc'!$E$15=1,0,MIN(Calc!$AA$31*(1+'财富模型'!$E$20/12)+'Calc'!$B$6,IF(Calc!$Y$32&lt;='财富模型'!$E$11*12,'Calc'!$W$15,'Calc'!$Y$15)))))))</x:f>
        <x:v>6465.083333333332</x:v>
      </x:c>
      <x:c r="AE32" t="n">
        <x:f>IF(Calc!$Y$32&gt;'Calc'!$B$8,"",IF('Calc'!$E$15=1,0,MAX(Calc!$AE$31*(1+IF(Calc!$Y$32&lt;='财富模型'!$E$11*12,'财富模型'!$E$10,'财富模型'!$E$12)/12)-IF('Calc'!$E$15=1,0,IF(Calc!$Y$32&lt;='财富模型'!$E$11*12,'Calc'!$W$15,'Calc'!$Y$15)),0)))</x:f>
        <x:v>1073201.930522793</x:v>
      </x:c>
      <x:c r="AG32" t="n">
        <x:v>11</x:v>
      </x:c>
      <x:c r="AH32" t="n">
        <x:f>IF(Calc!$AG$32&gt;'Calc'!$B$8,"",MAX(Calc!$AH$31*(1+'财富模型'!$E$6/12)+('Calc'!$B$5-'财富模型'!$E$5-(IF('Calc'!$E$16=1,'财富模型'!$E$9,'财富模型'!$M$8+IF(Calc!$AG$32&lt;='财富模型'!$E$11*12,'Calc'!$W$16,'Calc'!$Y$16)-(IF('Calc'!$E$16=1,0,MIN(Calc!$AI$31*(1+'财富模型'!$E$20/12)+'Calc'!$B$6,IF(Calc!$AG$32&lt;='财富模型'!$E$11*12,'Calc'!$W$16,'Calc'!$Y$16))))))),0))</x:f>
        <x:v>73113.5914764569</x:v>
      </x:c>
      <x:c r="AI32" t="n">
        <x:f>IF(Calc!$AG$32&gt;'Calc'!$B$8,"",MAX(Calc!$AI$31*(1+'财富模型'!$E$20/12)+'Calc'!$B$6-(IF('Calc'!$E$16=1,0,MIN(Calc!$AI$31*(1+'财富模型'!$E$20/12)+'Calc'!$B$6,IF(Calc!$AG$32&lt;='财富模型'!$E$11*12,'Calc'!$W$16,'Calc'!$Y$16)))),0))</x:f>
        <x:v>0</x:v>
      </x:c>
      <x:c r="AJ32" t="n">
        <x:f>IF(Calc!$AG$32&gt;'Calc'!$B$8,"",IF('Calc'!$E$16=1,'财富模型'!$E$9,'财富模型'!$M$8+IF(Calc!$AG$32&lt;='财富模型'!$E$11*12,'Calc'!$W$16,'Calc'!$Y$16)-(IF('Calc'!$E$16=1,0,MIN(Calc!$AI$31*(1+'财富模型'!$E$20/12)+'Calc'!$B$6,IF(Calc!$AG$32&lt;='财富模型'!$E$11*12,'Calc'!$W$16,'Calc'!$Y$16))))))</x:f>
        <x:v>1478.25</x:v>
      </x:c>
      <x:c r="AK32" t="n">
        <x:f>IF(Calc!$AG$32&gt;'Calc'!$B$8,"",IF('Calc'!$E$16=1,0,MIN(Calc!$AI$31*(1+'财富模型'!$E$20/12)+'Calc'!$B$6,IF(Calc!$AG$32&lt;='财富模型'!$E$11*12,'Calc'!$W$16,'Calc'!$Y$16))))</x:f>
        <x:v>2847.75</x:v>
      </x:c>
      <x:c r="AL32" t="n">
        <x:f>IF(Calc!$AG$32&gt;'Calc'!$B$8,"",'Calc'!$B$5-'财富模型'!$E$5-(IF('Calc'!$E$16=1,'财富模型'!$E$9,'财富模型'!$M$8+IF(Calc!$AG$32&lt;='财富模型'!$E$11*12,'Calc'!$W$16,'Calc'!$Y$16)-(IF('Calc'!$E$16=1,0,MIN(Calc!$AI$31*(1+'财富模型'!$E$20/12)+'Calc'!$B$6,IF(Calc!$AG$32&lt;='财富模型'!$E$11*12,'Calc'!$W$16,'Calc'!$Y$16)))))))</x:f>
        <x:v>6455.083333333332</x:v>
      </x:c>
      <x:c r="AM32" t="n">
        <x:f>IF(Calc!$AG$32&gt;'Calc'!$B$8,"",IF('Calc'!$E$16=1,0,MAX(Calc!$AM$31*(1+IF(Calc!$AG$32&lt;='财富模型'!$E$11*12,'财富模型'!$E$10,'财富模型'!$E$12)/12)-IF('Calc'!$E$16=1,0,IF(Calc!$AG$32&lt;='财富模型'!$E$11*12,'Calc'!$W$16,'Calc'!$Y$16)),0)))</x:f>
        <x:v>1073201.930522793</x:v>
      </x:c>
      <x:c r="AO32" t="n">
        <x:v>11</x:v>
      </x:c>
      <x:c r="AP32" t="n">
        <x:f>IF(Calc!$AO$32&gt;'Calc'!$B$8,"",MAX(Calc!$AP$31*(1+'财富模型'!$E$6/12)+('Calc'!$B$5-'财富模型'!$E$5-(IF('Calc'!$E$17=1,'财富模型'!$E$9,'财富模型'!$M$9+IF(Calc!$AO$32&lt;='财富模型'!$E$11*12,'Calc'!$W$17,'Calc'!$Y$17)-(IF('Calc'!$E$17=1,0,MIN(Calc!$AQ$31*(1+'财富模型'!$E$20/12)+'Calc'!$B$6,IF(Calc!$AO$32&lt;='财富模型'!$E$11*12,'Calc'!$W$17,'Calc'!$Y$17))))))),0))</x:f>
        <x:v>892077.6633835561</x:v>
      </x:c>
      <x:c r="AQ32" t="n">
        <x:f>IF(Calc!$AO$32&gt;'Calc'!$B$8,"",MAX(Calc!$AQ$31*(1+'财富模型'!$E$20/12)+'Calc'!$B$6-(IF('Calc'!$E$17=1,0,MIN(Calc!$AQ$31*(1+'财富模型'!$E$20/12)+'Calc'!$B$6,IF(Calc!$AO$32&lt;='财富模型'!$E$11*12,'Calc'!$W$17,'Calc'!$Y$17)))),0))</x:f>
        <x:v>31653.602614150932</x:v>
      </x:c>
      <x:c r="AR32" t="n">
        <x:f>IF(Calc!$AO$32&gt;'Calc'!$B$8,"",IF('Calc'!$E$17=1,'财富模型'!$E$9,'财富模型'!$M$9+IF(Calc!$AO$32&lt;='财富模型'!$E$11*12,'Calc'!$W$17,'Calc'!$Y$17)-(IF('Calc'!$E$17=1,0,MIN(Calc!$AQ$31*(1+'财富模型'!$E$20/12)+'Calc'!$B$6,IF(Calc!$AO$32&lt;='财富模型'!$E$11*12,'Calc'!$W$17,'Calc'!$Y$17))))))</x:f>
        <x:v>4000</x:v>
      </x:c>
      <x:c r="AS32" t="n">
        <x:f>IF(Calc!$AO$32&gt;'Calc'!$B$8,"",IF('Calc'!$E$17=1,0,MIN(Calc!$AQ$31*(1+'财富模型'!$E$20/12)+'Calc'!$B$6,IF(Calc!$AO$32&lt;='财富模型'!$E$11*12,'Calc'!$W$17,'Calc'!$Y$17))))</x:f>
        <x:v>0</x:v>
      </x:c>
      <x:c r="AT32" t="n">
        <x:f>IF(Calc!$AO$32&gt;'Calc'!$B$8,"",'Calc'!$B$5-'财富模型'!$E$5-(IF('Calc'!$E$17=1,'财富模型'!$E$9,'财富模型'!$M$9+IF(Calc!$AO$32&lt;='财富模型'!$E$11*12,'Calc'!$W$17,'Calc'!$Y$17)-(IF('Calc'!$E$17=1,0,MIN(Calc!$AQ$31*(1+'财富模型'!$E$20/12)+'Calc'!$B$6,IF(Calc!$AO$32&lt;='财富模型'!$E$11*12,'Calc'!$W$17,'Calc'!$Y$17)))))))</x:f>
        <x:v>3933.333333333332</x:v>
      </x:c>
      <x:c r="AU32" t="n">
        <x:f>IF(Calc!$AO$32&gt;'Calc'!$B$8,"",IF('Calc'!$E$17=1,0,MAX(Calc!$AU$31*(1+IF(Calc!$AO$32&lt;='财富模型'!$E$11*12,'财富模型'!$E$10,'财富模型'!$E$12)/12)-IF('Calc'!$E$17=1,0,IF(Calc!$AO$32&lt;='财富模型'!$E$11*12,'Calc'!$W$17,'Calc'!$Y$17)),0)))</x:f>
        <x:v>0</x:v>
      </x:c>
    </x:row>
    <x:row r="33">
      <x:c r="A33" t="n">
        <x:v>12</x:v>
      </x:c>
      <x:c r="B33" t="n">
        <x:f>IF(Calc!$A$33&gt;'Calc'!$B$8,"",MAX(Calc!$B$32*(1+'财富模型'!$E$6/12)+('Calc'!$B$5-'财富模型'!$E$5-(IF('Calc'!$E$12=1,'财富模型'!$E$9,'财富模型'!$M$4+IF(Calc!$A$33&lt;='财富模型'!$E$11*12,'Calc'!$W$12,'Calc'!$Y$12)-(IF('Calc'!$E$12=1,0,MIN(Calc!$C$32*(1+'财富模型'!$E$20/12)+'Calc'!$B$6,IF(Calc!$A$33&lt;='财富模型'!$E$11*12,'Calc'!$W$12,'Calc'!$Y$12))))))),0))</x:f>
        <x:v>492394.7640376852</x:v>
      </x:c>
      <x:c r="C33" t="n">
        <x:f>IF(Calc!$A$33&gt;'Calc'!$B$8,"",MAX(Calc!$C$32*(1+'财富模型'!$E$20/12)+'Calc'!$B$6-(IF('Calc'!$E$12=1,0,MIN(Calc!$C$32*(1+'财富模型'!$E$20/12)+'Calc'!$B$6,IF(Calc!$A$33&lt;='财富模型'!$E$11*12,'Calc'!$W$12,'Calc'!$Y$12)))),0))</x:f>
        <x:v>0</x:v>
      </x:c>
      <x:c r="D33" t="n">
        <x:f>IF(Calc!$A$33&gt;'Calc'!$B$8,"",IF('Calc'!$E$12=1,'财富模型'!$E$9,'财富模型'!$M$4+IF(Calc!$A$33&lt;='财富模型'!$E$11*12,'Calc'!$W$12,'Calc'!$Y$12)-(IF('Calc'!$E$12=1,0,MIN(Calc!$C$32*(1+'财富模型'!$E$20/12)+'Calc'!$B$6,IF(Calc!$A$33&lt;='财富模型'!$E$11*12,'Calc'!$W$12,'Calc'!$Y$12))))))</x:f>
        <x:v>812.25</x:v>
      </x:c>
      <x:c r="E33" t="n">
        <x:f>IF(Calc!$A$33&gt;'Calc'!$B$8,"",IF('Calc'!$E$12=1,0,MIN(Calc!$C$32*(1+'财富模型'!$E$20/12)+'Calc'!$B$6,IF(Calc!$A$33&lt;='财富模型'!$E$11*12,'Calc'!$W$12,'Calc'!$Y$12))))</x:f>
        <x:v>2847.75</x:v>
      </x:c>
      <x:c r="F33" t="n">
        <x:f>IF(Calc!$A$33&gt;'Calc'!$B$8,"",'Calc'!$B$5-'财富模型'!$E$5-(IF('Calc'!$E$12=1,'财富模型'!$E$9,'财富模型'!$M$4+IF(Calc!$A$33&lt;='财富模型'!$E$11*12,'Calc'!$W$12,'Calc'!$Y$12)-(IF('Calc'!$E$12=1,0,MIN(Calc!$C$32*(1+'财富模型'!$E$20/12)+'Calc'!$B$6,IF(Calc!$A$33&lt;='财富模型'!$E$11*12,'Calc'!$W$12,'Calc'!$Y$12)))))))</x:f>
        <x:v>7121.083333333332</x:v>
      </x:c>
      <x:c r="G33" t="n">
        <x:f>IF(Calc!$A$33&gt;'Calc'!$B$8,"",IF('Calc'!$E$12=1,0,MAX(Calc!$G$32*(1+IF(Calc!$A$33&lt;='财富模型'!$E$11*12,'财富模型'!$E$10,'财富模型'!$E$12)/12)-IF('Calc'!$E$12=1,0,IF(Calc!$A$33&lt;='财富模型'!$E$11*12,'Calc'!$W$12,'Calc'!$Y$12)),0)))</x:f>
        <x:v>930819.3877560409</x:v>
      </x:c>
      <x:c r="I33" t="n">
        <x:v>12</x:v>
      </x:c>
      <x:c r="J33" t="n">
        <x:f>IF(Calc!$I$33&gt;'Calc'!$B$8,"",MAX(Calc!$J$32*(1+'财富模型'!$E$6/12)+('Calc'!$B$5-'财富模型'!$E$5-(IF('Calc'!$E$13=1,'财富模型'!$E$9,'财富模型'!$M$5+IF(Calc!$I$33&lt;='财富模型'!$E$11*12,'Calc'!$W$13,'Calc'!$Y$13)-(IF('Calc'!$E$13=1,0,MIN(Calc!$K$32*(1+'财富模型'!$E$20/12)+'Calc'!$B$6,IF(Calc!$I$33&lt;='财富模型'!$E$11*12,'Calc'!$W$13,'Calc'!$Y$13))))))),0))</x:f>
        <x:v>497479.27330607304</x:v>
      </x:c>
      <x:c r="K33" t="n">
        <x:f>IF(Calc!$I$33&gt;'Calc'!$B$8,"",MAX(Calc!$K$32*(1+'财富模型'!$E$20/12)+'Calc'!$B$6-(IF('Calc'!$E$13=1,0,MIN(Calc!$K$32*(1+'财富模型'!$E$20/12)+'Calc'!$B$6,IF(Calc!$I$33&lt;='财富模型'!$E$11*12,'Calc'!$W$13,'Calc'!$Y$13)))),0))</x:f>
        <x:v>0</x:v>
      </x:c>
      <x:c r="L33" t="n">
        <x:f>IF(Calc!$I$33&gt;'Calc'!$B$8,"",IF('Calc'!$E$13=1,'财富模型'!$E$9,'财富模型'!$M$5+IF(Calc!$I$33&lt;='财富模型'!$E$11*12,'Calc'!$W$13,'Calc'!$Y$13)-(IF('Calc'!$E$13=1,0,MIN(Calc!$K$32*(1+'财富模型'!$E$20/12)+'Calc'!$B$6,IF(Calc!$I$33&lt;='财富模型'!$E$11*12,'Calc'!$W$13,'Calc'!$Y$13))))))</x:f>
        <x:v>843.25</x:v>
      </x:c>
      <x:c r="M33" t="n">
        <x:f>IF(Calc!$I$33&gt;'Calc'!$B$8,"",IF('Calc'!$E$13=1,0,MIN(Calc!$K$32*(1+'财富模型'!$E$20/12)+'Calc'!$B$6,IF(Calc!$I$33&lt;='财富模型'!$E$11*12,'Calc'!$W$13,'Calc'!$Y$13))))</x:f>
        <x:v>2847.75</x:v>
      </x:c>
      <x:c r="N33" t="n">
        <x:f>IF(Calc!$I$33&gt;'Calc'!$B$8,"",'Calc'!$B$5-'财富模型'!$E$5-(IF('Calc'!$E$13=1,'财富模型'!$E$9,'财富模型'!$M$5+IF(Calc!$I$33&lt;='财富模型'!$E$11*12,'Calc'!$W$13,'Calc'!$Y$13)-(IF('Calc'!$E$13=1,0,MIN(Calc!$K$32*(1+'财富模型'!$E$20/12)+'Calc'!$B$6,IF(Calc!$I$33&lt;='财富模型'!$E$11*12,'Calc'!$W$13,'Calc'!$Y$13)))))))</x:f>
        <x:v>7090.083333333332</x:v>
      </x:c>
      <x:c r="O33" t="n">
        <x:f>IF(Calc!$I$33&gt;'Calc'!$B$8,"",IF('Calc'!$E$13=1,0,MAX(Calc!$O$32*(1+IF(Calc!$I$33&lt;='财富模型'!$E$11*12,'财富模型'!$E$10,'财富模型'!$E$12)/12)-IF('Calc'!$E$13=1,0,IF(Calc!$I$33&lt;='财富模型'!$E$11*12,'Calc'!$W$13,'Calc'!$Y$13)),0)))</x:f>
        <x:v>919870.703696214</x:v>
      </x:c>
      <x:c r="Q33" t="n">
        <x:v>12</x:v>
      </x:c>
      <x:c r="R33" t="n">
        <x:f>IF(Calc!$Q$33&gt;'Calc'!$B$8,"",MAX(Calc!$R$32*(1+'财富模型'!$E$6/12)+('Calc'!$B$5-'财富模型'!$E$5-(IF('Calc'!$E$14=1,'财富模型'!$E$9,'财富模型'!$M$6+IF(Calc!$Q$33&lt;='财富模型'!$E$11*12,'Calc'!$W$14,'Calc'!$Y$14)-(IF('Calc'!$E$14=1,0,MIN(Calc!$S$32*(1+'财富模型'!$E$20/12)+'Calc'!$B$6,IF(Calc!$Q$33&lt;='财富模型'!$E$11*12,'Calc'!$W$14,'Calc'!$Y$14))))))),0))</x:f>
        <x:v>360038.8884287845</x:v>
      </x:c>
      <x:c r="S33" t="n">
        <x:f>IF(Calc!$Q$33&gt;'Calc'!$B$8,"",MAX(Calc!$S$32*(1+'财富模型'!$E$20/12)+'Calc'!$B$6-(IF('Calc'!$E$14=1,0,MIN(Calc!$S$32*(1+'财富模型'!$E$20/12)+'Calc'!$B$6,IF(Calc!$Q$33&lt;='财富模型'!$E$11*12,'Calc'!$W$14,'Calc'!$Y$14)))),0))</x:f>
        <x:v>0</x:v>
      </x:c>
      <x:c r="T33" t="n">
        <x:f>IF(Calc!$Q$33&gt;'Calc'!$B$8,"",IF('Calc'!$E$14=1,'财富模型'!$E$9,'财富模型'!$M$6+IF(Calc!$Q$33&lt;='财富模型'!$E$11*12,'Calc'!$W$14,'Calc'!$Y$14)-(IF('Calc'!$E$14=1,0,MIN(Calc!$S$32*(1+'财富模型'!$E$20/12)+'Calc'!$B$6,IF(Calc!$Q$33&lt;='财富模型'!$E$11*12,'Calc'!$W$14,'Calc'!$Y$14))))))</x:f>
        <x:v>1388.25</x:v>
      </x:c>
      <x:c r="U33" t="n">
        <x:f>IF(Calc!$Q$33&gt;'Calc'!$B$8,"",IF('Calc'!$E$14=1,0,MIN(Calc!$S$32*(1+'财富模型'!$E$20/12)+'Calc'!$B$6,IF(Calc!$Q$33&lt;='财富模型'!$E$11*12,'Calc'!$W$14,'Calc'!$Y$14))))</x:f>
        <x:v>2847.75</x:v>
      </x:c>
      <x:c r="V33" t="n">
        <x:f>IF(Calc!$Q$33&gt;'Calc'!$B$8,"",'Calc'!$B$5-'财富模型'!$E$5-(IF('Calc'!$E$14=1,'财富模型'!$E$9,'财富模型'!$M$6+IF(Calc!$Q$33&lt;='财富模型'!$E$11*12,'Calc'!$W$14,'Calc'!$Y$14)-(IF('Calc'!$E$14=1,0,MIN(Calc!$S$32*(1+'财富模型'!$E$20/12)+'Calc'!$B$6,IF(Calc!$Q$33&lt;='财富模型'!$E$11*12,'Calc'!$W$14,'Calc'!$Y$14)))))))</x:f>
        <x:v>6545.083333333332</x:v>
      </x:c>
      <x:c r="W33" t="n">
        <x:f>IF(Calc!$Q$33&gt;'Calc'!$B$8,"",IF('Calc'!$E$14=1,0,MAX(Calc!$W$32*(1+IF(Calc!$Q$33&lt;='财富模型'!$E$11*12,'财富模型'!$E$10,'财富模型'!$E$12)/12)-IF('Calc'!$E$14=1,0,IF(Calc!$Q$33&lt;='财富模型'!$E$11*12,'Calc'!$W$14,'Calc'!$Y$14)),0)))</x:f>
        <x:v>1070747.4329359464</x:v>
      </x:c>
      <x:c r="Y33" t="n">
        <x:v>12</x:v>
      </x:c>
      <x:c r="Z33" t="n">
        <x:f>IF(Calc!$Y$33&gt;'Calc'!$B$8,"",MAX(Calc!$Z$32*(1+'财富模型'!$E$6/12)+('Calc'!$B$5-'财富模型'!$E$5-(IF('Calc'!$E$15=1,'财富模型'!$E$9,'财富模型'!$M$7+IF(Calc!$Y$33&lt;='财富模型'!$E$11*12,'Calc'!$W$15,'Calc'!$Y$15)-(IF('Calc'!$E$15=1,0,MIN(Calc!$AA$32*(1+'财富模型'!$E$20/12)+'Calc'!$B$6,IF(Calc!$Y$33&lt;='财富模型'!$E$11*12,'Calc'!$W$15,'Calc'!$Y$15))))))),0))</x:f>
        <x:v>93522.72262366893</x:v>
      </x:c>
      <x:c r="AA33" t="n">
        <x:f>IF(Calc!$Y$33&gt;'Calc'!$B$8,"",MAX(Calc!$AA$32*(1+'财富模型'!$E$20/12)+'Calc'!$B$6-(IF('Calc'!$E$15=1,0,MIN(Calc!$AA$32*(1+'财富模型'!$E$20/12)+'Calc'!$B$6,IF(Calc!$Y$33&lt;='财富模型'!$E$11*12,'Calc'!$W$15,'Calc'!$Y$15)))),0))</x:f>
        <x:v>0</x:v>
      </x:c>
      <x:c r="AB33" t="n">
        <x:f>IF(Calc!$Y$33&gt;'Calc'!$B$8,"",IF('Calc'!$E$15=1,'财富模型'!$E$9,'财富模型'!$M$7+IF(Calc!$Y$33&lt;='财富模型'!$E$11*12,'Calc'!$W$15,'Calc'!$Y$15)-(IF('Calc'!$E$15=1,0,MIN(Calc!$AA$32*(1+'财富模型'!$E$20/12)+'Calc'!$B$6,IF(Calc!$Y$33&lt;='财富模型'!$E$11*12,'Calc'!$W$15,'Calc'!$Y$15))))))</x:f>
        <x:v>1468.25</x:v>
      </x:c>
      <x:c r="AC33" t="n">
        <x:f>IF(Calc!$Y$33&gt;'Calc'!$B$8,"",IF('Calc'!$E$15=1,0,MIN(Calc!$AA$32*(1+'财富模型'!$E$20/12)+'Calc'!$B$6,IF(Calc!$Y$33&lt;='财富模型'!$E$11*12,'Calc'!$W$15,'Calc'!$Y$15))))</x:f>
        <x:v>2847.75</x:v>
      </x:c>
      <x:c r="AD33" t="n">
        <x:f>IF(Calc!$Y$33&gt;'Calc'!$B$8,"",'Calc'!$B$5-'财富模型'!$E$5-(IF('Calc'!$E$15=1,'财富模型'!$E$9,'财富模型'!$M$7+IF(Calc!$Y$33&lt;='财富模型'!$E$11*12,'Calc'!$W$15,'Calc'!$Y$15)-(IF('Calc'!$E$15=1,0,MIN(Calc!$AA$32*(1+'财富模型'!$E$20/12)+'Calc'!$B$6,IF(Calc!$Y$33&lt;='财富模型'!$E$11*12,'Calc'!$W$15,'Calc'!$Y$15)))))))</x:f>
        <x:v>6465.083333333332</x:v>
      </x:c>
      <x:c r="AE33" t="n">
        <x:f>IF(Calc!$Y$33&gt;'Calc'!$B$8,"",IF('Calc'!$E$15=1,0,MAX(Calc!$AE$32*(1+IF(Calc!$Y$33&lt;='财富模型'!$E$11*12,'财富模型'!$E$10,'财富模型'!$E$12)/12)-IF('Calc'!$E$15=1,0,IF(Calc!$Y$33&lt;='财富模型'!$E$11*12,'Calc'!$W$15,'Calc'!$Y$15)),0)))</x:f>
        <x:v>1070747.4329359464</x:v>
      </x:c>
      <x:c r="AG33" t="n">
        <x:v>12</x:v>
      </x:c>
      <x:c r="AH33" t="n">
        <x:f>IF(Calc!$AG$33&gt;'Calc'!$B$8,"",MAX(Calc!$AH$32*(1+'财富模型'!$E$6/12)+('Calc'!$B$5-'财富模型'!$E$5-(IF('Calc'!$E$16=1,'财富模型'!$E$9,'财富模型'!$M$8+IF(Calc!$AG$33&lt;='财富模型'!$E$11*12,'Calc'!$W$16,'Calc'!$Y$16)-(IF('Calc'!$E$16=1,0,MIN(Calc!$AI$32*(1+'财富模型'!$E$20/12)+'Calc'!$B$6,IF(Calc!$AG$33&lt;='财富模型'!$E$11*12,'Calc'!$W$16,'Calc'!$Y$16))))))),0))</x:f>
        <x:v>79995.17076006957</x:v>
      </x:c>
      <x:c r="AI33" t="n">
        <x:f>IF(Calc!$AG$33&gt;'Calc'!$B$8,"",MAX(Calc!$AI$32*(1+'财富模型'!$E$20/12)+'Calc'!$B$6-(IF('Calc'!$E$16=1,0,MIN(Calc!$AI$32*(1+'财富模型'!$E$20/12)+'Calc'!$B$6,IF(Calc!$AG$33&lt;='财富模型'!$E$11*12,'Calc'!$W$16,'Calc'!$Y$16)))),0))</x:f>
        <x:v>0</x:v>
      </x:c>
      <x:c r="AJ33" t="n">
        <x:f>IF(Calc!$AG$33&gt;'Calc'!$B$8,"",IF('Calc'!$E$16=1,'财富模型'!$E$9,'财富模型'!$M$8+IF(Calc!$AG$33&lt;='财富模型'!$E$11*12,'Calc'!$W$16,'Calc'!$Y$16)-(IF('Calc'!$E$16=1,0,MIN(Calc!$AI$32*(1+'财富模型'!$E$20/12)+'Calc'!$B$6,IF(Calc!$AG$33&lt;='财富模型'!$E$11*12,'Calc'!$W$16,'Calc'!$Y$16))))))</x:f>
        <x:v>1478.25</x:v>
      </x:c>
      <x:c r="AK33" t="n">
        <x:f>IF(Calc!$AG$33&gt;'Calc'!$B$8,"",IF('Calc'!$E$16=1,0,MIN(Calc!$AI$32*(1+'财富模型'!$E$20/12)+'Calc'!$B$6,IF(Calc!$AG$33&lt;='财富模型'!$E$11*12,'Calc'!$W$16,'Calc'!$Y$16))))</x:f>
        <x:v>2847.75</x:v>
      </x:c>
      <x:c r="AL33" t="n">
        <x:f>IF(Calc!$AG$33&gt;'Calc'!$B$8,"",'Calc'!$B$5-'财富模型'!$E$5-(IF('Calc'!$E$16=1,'财富模型'!$E$9,'财富模型'!$M$8+IF(Calc!$AG$33&lt;='财富模型'!$E$11*12,'Calc'!$W$16,'Calc'!$Y$16)-(IF('Calc'!$E$16=1,0,MIN(Calc!$AI$32*(1+'财富模型'!$E$20/12)+'Calc'!$B$6,IF(Calc!$AG$33&lt;='财富模型'!$E$11*12,'Calc'!$W$16,'Calc'!$Y$16)))))))</x:f>
        <x:v>6455.083333333332</x:v>
      </x:c>
      <x:c r="AM33" t="n">
        <x:f>IF(Calc!$AG$33&gt;'Calc'!$B$8,"",IF('Calc'!$E$16=1,0,MAX(Calc!$AM$32*(1+IF(Calc!$AG$33&lt;='财富模型'!$E$11*12,'财富模型'!$E$10,'财富模型'!$E$12)/12)-IF('Calc'!$E$16=1,0,IF(Calc!$AG$33&lt;='财富模型'!$E$11*12,'Calc'!$W$16,'Calc'!$Y$16)),0)))</x:f>
        <x:v>1070747.4329359464</x:v>
      </x:c>
      <x:c r="AO33" t="n">
        <x:v>12</x:v>
      </x:c>
      <x:c r="AP33" t="n">
        <x:f>IF(Calc!$AO$33&gt;'Calc'!$B$8,"",MAX(Calc!$AP$32*(1+'财富模型'!$E$6/12)+('Calc'!$B$5-'财富模型'!$E$5-(IF('Calc'!$E$17=1,'财富模型'!$E$9,'财富模型'!$M$9+IF(Calc!$AO$33&lt;='财富模型'!$E$11*12,'Calc'!$W$17,'Calc'!$Y$17)-(IF('Calc'!$E$17=1,0,MIN(Calc!$AQ$32*(1+'财富模型'!$E$20/12)+'Calc'!$B$6,IF(Calc!$AO$33&lt;='财富模型'!$E$11*12,'Calc'!$W$17,'Calc'!$Y$17))))))),0))</x:f>
        <x:v>901214.7830866269</x:v>
      </x:c>
      <x:c r="AQ33" t="n">
        <x:f>IF(Calc!$AO$33&gt;'Calc'!$B$8,"",MAX(Calc!$AQ$32*(1+'财富模型'!$E$20/12)+'Calc'!$B$6-(IF('Calc'!$E$17=1,0,MIN(Calc!$AQ$32*(1+'财富模型'!$E$20/12)+'Calc'!$B$6,IF(Calc!$AO$33&lt;='财富模型'!$E$11*12,'Calc'!$W$17,'Calc'!$Y$17)))),0))</x:f>
        <x:v>34567.297619597084</x:v>
      </x:c>
      <x:c r="AR33" t="n">
        <x:f>IF(Calc!$AO$33&gt;'Calc'!$B$8,"",IF('Calc'!$E$17=1,'财富模型'!$E$9,'财富模型'!$M$9+IF(Calc!$AO$33&lt;='财富模型'!$E$11*12,'Calc'!$W$17,'Calc'!$Y$17)-(IF('Calc'!$E$17=1,0,MIN(Calc!$AQ$32*(1+'财富模型'!$E$20/12)+'Calc'!$B$6,IF(Calc!$AO$33&lt;='财富模型'!$E$11*12,'Calc'!$W$17,'Calc'!$Y$17))))))</x:f>
        <x:v>4000</x:v>
      </x:c>
      <x:c r="AS33" t="n">
        <x:f>IF(Calc!$AO$33&gt;'Calc'!$B$8,"",IF('Calc'!$E$17=1,0,MIN(Calc!$AQ$32*(1+'财富模型'!$E$20/12)+'Calc'!$B$6,IF(Calc!$AO$33&lt;='财富模型'!$E$11*12,'Calc'!$W$17,'Calc'!$Y$17))))</x:f>
        <x:v>0</x:v>
      </x:c>
      <x:c r="AT33" t="n">
        <x:f>IF(Calc!$AO$33&gt;'Calc'!$B$8,"",'Calc'!$B$5-'财富模型'!$E$5-(IF('Calc'!$E$17=1,'财富模型'!$E$9,'财富模型'!$M$9+IF(Calc!$AO$33&lt;='财富模型'!$E$11*12,'Calc'!$W$17,'Calc'!$Y$17)-(IF('Calc'!$E$17=1,0,MIN(Calc!$AQ$32*(1+'财富模型'!$E$20/12)+'Calc'!$B$6,IF(Calc!$AO$33&lt;='财富模型'!$E$11*12,'Calc'!$W$17,'Calc'!$Y$17)))))))</x:f>
        <x:v>3933.333333333332</x:v>
      </x:c>
      <x:c r="AU33" t="n">
        <x:f>IF(Calc!$AO$33&gt;'Calc'!$B$8,"",IF('Calc'!$E$17=1,0,MAX(Calc!$AU$32*(1+IF(Calc!$AO$33&lt;='财富模型'!$E$11*12,'财富模型'!$E$10,'财富模型'!$E$12)/12)-IF('Calc'!$E$17=1,0,IF(Calc!$AO$33&lt;='财富模型'!$E$11*12,'Calc'!$W$17,'Calc'!$Y$17)),0)))</x:f>
        <x:v>0</x:v>
      </x:c>
    </x:row>
    <x:row r="34">
      <x:c r="A34" t="n">
        <x:v>13</x:v>
      </x:c>
      <x:c r="B34" t="n">
        <x:f>IF(Calc!$A$34&gt;'Calc'!$B$8,"",MAX(Calc!$B$33*(1+'财富模型'!$E$6/12)+('Calc'!$B$5-'财富模型'!$E$5-(IF('Calc'!$E$12=1,'财富模型'!$E$9,'财富模型'!$M$4+IF(Calc!$A$34&lt;='财富模型'!$E$11*12,'Calc'!$W$12,'Calc'!$Y$12)-(IF('Calc'!$E$12=1,0,MIN(Calc!$C$33*(1+'财富模型'!$E$20/12)+'Calc'!$B$6,IF(Calc!$A$34&lt;='财富模型'!$E$11*12,'Calc'!$W$12,'Calc'!$Y$12))))))),0))</x:f>
        <x:v>502388.1501612383</x:v>
      </x:c>
      <x:c r="C34" t="n">
        <x:f>IF(Calc!$A$34&gt;'Calc'!$B$8,"",MAX(Calc!$C$33*(1+'财富模型'!$E$20/12)+'Calc'!$B$6-(IF('Calc'!$E$12=1,0,MIN(Calc!$C$33*(1+'财富模型'!$E$20/12)+'Calc'!$B$6,IF(Calc!$A$34&lt;='财富模型'!$E$11*12,'Calc'!$W$12,'Calc'!$Y$12)))),0))</x:f>
        <x:v>0</x:v>
      </x:c>
      <x:c r="D34" t="n">
        <x:f>IF(Calc!$A$34&gt;'Calc'!$B$8,"",IF('Calc'!$E$12=1,'财富模型'!$E$9,'财富模型'!$M$4+IF(Calc!$A$34&lt;='财富模型'!$E$11*12,'Calc'!$W$12,'Calc'!$Y$12)-(IF('Calc'!$E$12=1,0,MIN(Calc!$C$33*(1+'财富模型'!$E$20/12)+'Calc'!$B$6,IF(Calc!$A$34&lt;='财富模型'!$E$11*12,'Calc'!$W$12,'Calc'!$Y$12))))))</x:f>
        <x:v>812.25</x:v>
      </x:c>
      <x:c r="E34" t="n">
        <x:f>IF(Calc!$A$34&gt;'Calc'!$B$8,"",IF('Calc'!$E$12=1,0,MIN(Calc!$C$33*(1+'财富模型'!$E$20/12)+'Calc'!$B$6,IF(Calc!$A$34&lt;='财富模型'!$E$11*12,'Calc'!$W$12,'Calc'!$Y$12))))</x:f>
        <x:v>2847.75</x:v>
      </x:c>
      <x:c r="F34" t="n">
        <x:f>IF(Calc!$A$34&gt;'Calc'!$B$8,"",'Calc'!$B$5-'财富模型'!$E$5-(IF('Calc'!$E$12=1,'财富模型'!$E$9,'财富模型'!$M$4+IF(Calc!$A$34&lt;='财富模型'!$E$11*12,'Calc'!$W$12,'Calc'!$Y$12)-(IF('Calc'!$E$12=1,0,MIN(Calc!$C$33*(1+'财富模型'!$E$20/12)+'Calc'!$B$6,IF(Calc!$A$34&lt;='财富模型'!$E$11*12,'Calc'!$W$12,'Calc'!$Y$12)))))))</x:f>
        <x:v>7121.083333333332</x:v>
      </x:c>
      <x:c r="G34" t="n">
        <x:f>IF(Calc!$A$34&gt;'Calc'!$B$8,"",IF('Calc'!$E$12=1,0,MAX(Calc!$G$33*(1+IF(Calc!$A$34&lt;='财富模型'!$E$11*12,'财富模型'!$E$10,'财富模型'!$E$12)/12)-IF('Calc'!$E$12=1,0,IF(Calc!$A$34&lt;='财富模型'!$E$11*12,'Calc'!$W$12,'Calc'!$Y$12)),0)))</x:f>
        <x:v>928682.9119907359</x:v>
      </x:c>
      <x:c r="I34" t="n">
        <x:v>13</x:v>
      </x:c>
      <x:c r="J34" t="n">
        <x:f>IF(Calc!$I$34&gt;'Calc'!$B$8,"",MAX(Calc!$J$33*(1+'财富模型'!$E$6/12)+('Calc'!$B$5-'财富模型'!$E$5-(IF('Calc'!$E$13=1,'财富模型'!$E$9,'财富模型'!$M$5+IF(Calc!$I$34&lt;='财富模型'!$E$11*12,'Calc'!$W$13,'Calc'!$Y$13)-(IF('Calc'!$E$13=1,0,MIN(Calc!$K$33*(1+'财富模型'!$E$20/12)+'Calc'!$B$6,IF(Calc!$I$34&lt;='财富模型'!$E$11*12,'Calc'!$W$13,'Calc'!$Y$13))))))),0))</x:f>
        <x:v>507471.31906702515</x:v>
      </x:c>
      <x:c r="K34" t="n">
        <x:f>IF(Calc!$I$34&gt;'Calc'!$B$8,"",MAX(Calc!$K$33*(1+'财富模型'!$E$20/12)+'Calc'!$B$6-(IF('Calc'!$E$13=1,0,MIN(Calc!$K$33*(1+'财富模型'!$E$20/12)+'Calc'!$B$6,IF(Calc!$I$34&lt;='财富模型'!$E$11*12,'Calc'!$W$13,'Calc'!$Y$13)))),0))</x:f>
        <x:v>0</x:v>
      </x:c>
      <x:c r="L34" t="n">
        <x:f>IF(Calc!$I$34&gt;'Calc'!$B$8,"",IF('Calc'!$E$13=1,'财富模型'!$E$9,'财富模型'!$M$5+IF(Calc!$I$34&lt;='财富模型'!$E$11*12,'Calc'!$W$13,'Calc'!$Y$13)-(IF('Calc'!$E$13=1,0,MIN(Calc!$K$33*(1+'财富模型'!$E$20/12)+'Calc'!$B$6,IF(Calc!$I$34&lt;='财富模型'!$E$11*12,'Calc'!$W$13,'Calc'!$Y$13))))))</x:f>
        <x:v>843.25</x:v>
      </x:c>
      <x:c r="M34" t="n">
        <x:f>IF(Calc!$I$34&gt;'Calc'!$B$8,"",IF('Calc'!$E$13=1,0,MIN(Calc!$K$33*(1+'财富模型'!$E$20/12)+'Calc'!$B$6,IF(Calc!$I$34&lt;='财富模型'!$E$11*12,'Calc'!$W$13,'Calc'!$Y$13))))</x:f>
        <x:v>2847.75</x:v>
      </x:c>
      <x:c r="N34" t="n">
        <x:f>IF(Calc!$I$34&gt;'Calc'!$B$8,"",'Calc'!$B$5-'财富模型'!$E$5-(IF('Calc'!$E$13=1,'财富模型'!$E$9,'财富模型'!$M$5+IF(Calc!$I$34&lt;='财富模型'!$E$11*12,'Calc'!$W$13,'Calc'!$Y$13)-(IF('Calc'!$E$13=1,0,MIN(Calc!$K$33*(1+'财富模型'!$E$20/12)+'Calc'!$B$6,IF(Calc!$I$34&lt;='财富模型'!$E$11*12,'Calc'!$W$13,'Calc'!$Y$13)))))))</x:f>
        <x:v>7090.083333333332</x:v>
      </x:c>
      <x:c r="O34" t="n">
        <x:f>IF(Calc!$I$34&gt;'Calc'!$B$8,"",IF('Calc'!$E$13=1,0,MAX(Calc!$O$33*(1+IF(Calc!$I$34&lt;='财富模型'!$E$11*12,'财富模型'!$E$10,'财富模型'!$E$12)/12)-IF('Calc'!$E$13=1,0,IF(Calc!$I$34&lt;='财富模型'!$E$11*12,'Calc'!$W$13,'Calc'!$Y$13)),0)))</x:f>
        <x:v>917759.5420758342</x:v>
      </x:c>
      <x:c r="Q34" t="n">
        <x:v>13</x:v>
      </x:c>
      <x:c r="R34" t="n">
        <x:f>IF(Calc!$Q$34&gt;'Calc'!$B$8,"",MAX(Calc!$R$33*(1+'财富模型'!$E$6/12)+('Calc'!$B$5-'财富模型'!$E$5-(IF('Calc'!$E$14=1,'财富模型'!$E$9,'财富模型'!$M$6+IF(Calc!$Q$34&lt;='财富模型'!$E$11*12,'Calc'!$W$14,'Calc'!$Y$14)-(IF('Calc'!$E$14=1,0,MIN(Calc!$S$33*(1+'财富模型'!$E$20/12)+'Calc'!$B$6,IF(Calc!$Q$34&lt;='财富模型'!$E$11*12,'Calc'!$W$14,'Calc'!$Y$14))))))),0))</x:f>
        <x:v>368684.1986112857</x:v>
      </x:c>
      <x:c r="S34" t="n">
        <x:f>IF(Calc!$Q$34&gt;'Calc'!$B$8,"",MAX(Calc!$S$33*(1+'财富模型'!$E$20/12)+'Calc'!$B$6-(IF('Calc'!$E$14=1,0,MIN(Calc!$S$33*(1+'财富模型'!$E$20/12)+'Calc'!$B$6,IF(Calc!$Q$34&lt;='财富模型'!$E$11*12,'Calc'!$W$14,'Calc'!$Y$14)))),0))</x:f>
        <x:v>0</x:v>
      </x:c>
      <x:c r="T34" t="n">
        <x:f>IF(Calc!$Q$34&gt;'Calc'!$B$8,"",IF('Calc'!$E$14=1,'财富模型'!$E$9,'财富模型'!$M$6+IF(Calc!$Q$34&lt;='财富模型'!$E$11*12,'Calc'!$W$14,'Calc'!$Y$14)-(IF('Calc'!$E$14=1,0,MIN(Calc!$S$33*(1+'财富模型'!$E$20/12)+'Calc'!$B$6,IF(Calc!$Q$34&lt;='财富模型'!$E$11*12,'Calc'!$W$14,'Calc'!$Y$14))))))</x:f>
        <x:v>1388.25</x:v>
      </x:c>
      <x:c r="U34" t="n">
        <x:f>IF(Calc!$Q$34&gt;'Calc'!$B$8,"",IF('Calc'!$E$14=1,0,MIN(Calc!$S$33*(1+'财富模型'!$E$20/12)+'Calc'!$B$6,IF(Calc!$Q$34&lt;='财富模型'!$E$11*12,'Calc'!$W$14,'Calc'!$Y$14))))</x:f>
        <x:v>2847.75</x:v>
      </x:c>
      <x:c r="V34" t="n">
        <x:f>IF(Calc!$Q$34&gt;'Calc'!$B$8,"",'Calc'!$B$5-'财富模型'!$E$5-(IF('Calc'!$E$14=1,'财富模型'!$E$9,'财富模型'!$M$6+IF(Calc!$Q$34&lt;='财富模型'!$E$11*12,'Calc'!$W$14,'Calc'!$Y$14)-(IF('Calc'!$E$14=1,0,MIN(Calc!$S$33*(1+'财富模型'!$E$20/12)+'Calc'!$B$6,IF(Calc!$Q$34&lt;='财富模型'!$E$11*12,'Calc'!$W$14,'Calc'!$Y$14)))))))</x:f>
        <x:v>6545.083333333332</x:v>
      </x:c>
      <x:c r="W34" t="n">
        <x:f>IF(Calc!$Q$34&gt;'Calc'!$B$8,"",IF('Calc'!$E$14=1,0,MAX(Calc!$W$33*(1+IF(Calc!$Q$34&lt;='财富模型'!$E$11*12,'财富模型'!$E$10,'财富模型'!$E$12)/12)-IF('Calc'!$E$14=1,0,IF(Calc!$Q$34&lt;='财富模型'!$E$11*12,'Calc'!$W$14,'Calc'!$Y$14)),0)))</x:f>
        <x:v>1068289.8672271164</x:v>
      </x:c>
      <x:c r="Y34" t="n">
        <x:v>13</x:v>
      </x:c>
      <x:c r="Z34" t="n">
        <x:f>IF(Calc!$Y$34&gt;'Calc'!$B$8,"",MAX(Calc!$Z$33*(1+'财富模型'!$E$6/12)+('Calc'!$B$5-'财富模型'!$E$5-(IF('Calc'!$E$15=1,'财富模型'!$E$9,'财富模型'!$M$7+IF(Calc!$Y$34&lt;='财富模型'!$E$11*12,'Calc'!$W$15,'Calc'!$Y$15)-(IF('Calc'!$E$15=1,0,MIN(Calc!$AA$33*(1+'财富模型'!$E$20/12)+'Calc'!$B$6,IF(Calc!$Y$34&lt;='财富模型'!$E$11*12,'Calc'!$W$15,'Calc'!$Y$15))))))),0))</x:f>
        <x:v>100533.355172307</x:v>
      </x:c>
      <x:c r="AA34" t="n">
        <x:f>IF(Calc!$Y$34&gt;'Calc'!$B$8,"",MAX(Calc!$AA$33*(1+'财富模型'!$E$20/12)+'Calc'!$B$6-(IF('Calc'!$E$15=1,0,MIN(Calc!$AA$33*(1+'财富模型'!$E$20/12)+'Calc'!$B$6,IF(Calc!$Y$34&lt;='财富模型'!$E$11*12,'Calc'!$W$15,'Calc'!$Y$15)))),0))</x:f>
        <x:v>0</x:v>
      </x:c>
      <x:c r="AB34" t="n">
        <x:f>IF(Calc!$Y$34&gt;'Calc'!$B$8,"",IF('Calc'!$E$15=1,'财富模型'!$E$9,'财富模型'!$M$7+IF(Calc!$Y$34&lt;='财富模型'!$E$11*12,'Calc'!$W$15,'Calc'!$Y$15)-(IF('Calc'!$E$15=1,0,MIN(Calc!$AA$33*(1+'财富模型'!$E$20/12)+'Calc'!$B$6,IF(Calc!$Y$34&lt;='财富模型'!$E$11*12,'Calc'!$W$15,'Calc'!$Y$15))))))</x:f>
        <x:v>1468.25</x:v>
      </x:c>
      <x:c r="AC34" t="n">
        <x:f>IF(Calc!$Y$34&gt;'Calc'!$B$8,"",IF('Calc'!$E$15=1,0,MIN(Calc!$AA$33*(1+'财富模型'!$E$20/12)+'Calc'!$B$6,IF(Calc!$Y$34&lt;='财富模型'!$E$11*12,'Calc'!$W$15,'Calc'!$Y$15))))</x:f>
        <x:v>2847.75</x:v>
      </x:c>
      <x:c r="AD34" t="n">
        <x:f>IF(Calc!$Y$34&gt;'Calc'!$B$8,"",'Calc'!$B$5-'财富模型'!$E$5-(IF('Calc'!$E$15=1,'财富模型'!$E$9,'财富模型'!$M$7+IF(Calc!$Y$34&lt;='财富模型'!$E$11*12,'Calc'!$W$15,'Calc'!$Y$15)-(IF('Calc'!$E$15=1,0,MIN(Calc!$AA$33*(1+'财富模型'!$E$20/12)+'Calc'!$B$6,IF(Calc!$Y$34&lt;='财富模型'!$E$11*12,'Calc'!$W$15,'Calc'!$Y$15)))))))</x:f>
        <x:v>6465.083333333332</x:v>
      </x:c>
      <x:c r="AE34" t="n">
        <x:f>IF(Calc!$Y$34&gt;'Calc'!$B$8,"",IF('Calc'!$E$15=1,0,MAX(Calc!$AE$33*(1+IF(Calc!$Y$34&lt;='财富模型'!$E$11*12,'财富模型'!$E$10,'财富模型'!$E$12)/12)-IF('Calc'!$E$15=1,0,IF(Calc!$Y$34&lt;='财富模型'!$E$11*12,'Calc'!$W$15,'Calc'!$Y$15)),0)))</x:f>
        <x:v>1068289.8672271164</x:v>
      </x:c>
      <x:c r="AG34" t="n">
        <x:v>13</x:v>
      </x:c>
      <x:c r="AH34" t="n">
        <x:f>IF(Calc!$AG$34&gt;'Calc'!$B$8,"",MAX(Calc!$AH$33*(1+'财富模型'!$E$6/12)+('Calc'!$B$5-'财富模型'!$E$5-(IF('Calc'!$E$16=1,'财富模型'!$E$9,'财富模型'!$M$8+IF(Calc!$AG$34&lt;='财富模型'!$E$11*12,'Calc'!$W$16,'Calc'!$Y$16)-(IF('Calc'!$E$16=1,0,MIN(Calc!$AI$33*(1+'财富模型'!$E$20/12)+'Calc'!$B$6,IF(Calc!$AG$34&lt;='财富模型'!$E$11*12,'Calc'!$W$16,'Calc'!$Y$16))))))),0))</x:f>
        <x:v>86916.8925895033</x:v>
      </x:c>
      <x:c r="AI34" t="n">
        <x:f>IF(Calc!$AG$34&gt;'Calc'!$B$8,"",MAX(Calc!$AI$33*(1+'财富模型'!$E$20/12)+'Calc'!$B$6-(IF('Calc'!$E$16=1,0,MIN(Calc!$AI$33*(1+'财富模型'!$E$20/12)+'Calc'!$B$6,IF(Calc!$AG$34&lt;='财富模型'!$E$11*12,'Calc'!$W$16,'Calc'!$Y$16)))),0))</x:f>
        <x:v>0</x:v>
      </x:c>
      <x:c r="AJ34" t="n">
        <x:f>IF(Calc!$AG$34&gt;'Calc'!$B$8,"",IF('Calc'!$E$16=1,'财富模型'!$E$9,'财富模型'!$M$8+IF(Calc!$AG$34&lt;='财富模型'!$E$11*12,'Calc'!$W$16,'Calc'!$Y$16)-(IF('Calc'!$E$16=1,0,MIN(Calc!$AI$33*(1+'财富模型'!$E$20/12)+'Calc'!$B$6,IF(Calc!$AG$34&lt;='财富模型'!$E$11*12,'Calc'!$W$16,'Calc'!$Y$16))))))</x:f>
        <x:v>1478.25</x:v>
      </x:c>
      <x:c r="AK34" t="n">
        <x:f>IF(Calc!$AG$34&gt;'Calc'!$B$8,"",IF('Calc'!$E$16=1,0,MIN(Calc!$AI$33*(1+'财富模型'!$E$20/12)+'Calc'!$B$6,IF(Calc!$AG$34&lt;='财富模型'!$E$11*12,'Calc'!$W$16,'Calc'!$Y$16))))</x:f>
        <x:v>2847.75</x:v>
      </x:c>
      <x:c r="AL34" t="n">
        <x:f>IF(Calc!$AG$34&gt;'Calc'!$B$8,"",'Calc'!$B$5-'财富模型'!$E$5-(IF('Calc'!$E$16=1,'财富模型'!$E$9,'财富模型'!$M$8+IF(Calc!$AG$34&lt;='财富模型'!$E$11*12,'Calc'!$W$16,'Calc'!$Y$16)-(IF('Calc'!$E$16=1,0,MIN(Calc!$AI$33*(1+'财富模型'!$E$20/12)+'Calc'!$B$6,IF(Calc!$AG$34&lt;='财富模型'!$E$11*12,'Calc'!$W$16,'Calc'!$Y$16)))))))</x:f>
        <x:v>6455.083333333332</x:v>
      </x:c>
      <x:c r="AM34" t="n">
        <x:f>IF(Calc!$AG$34&gt;'Calc'!$B$8,"",IF('Calc'!$E$16=1,0,MAX(Calc!$AM$33*(1+IF(Calc!$AG$34&lt;='财富模型'!$E$11*12,'财富模型'!$E$10,'财富模型'!$E$12)/12)-IF('Calc'!$E$16=1,0,IF(Calc!$AG$34&lt;='财富模型'!$E$11*12,'Calc'!$W$16,'Calc'!$Y$16)),0)))</x:f>
        <x:v>1068289.8672271164</x:v>
      </x:c>
      <x:c r="AO34" t="n">
        <x:v>13</x:v>
      </x:c>
      <x:c r="AP34" t="n">
        <x:f>IF(Calc!$AO$34&gt;'Calc'!$B$8,"",MAX(Calc!$AP$33*(1+'财富模型'!$E$6/12)+('Calc'!$B$5-'财富模型'!$E$5-(IF('Calc'!$E$17=1,'财富模型'!$E$9,'财富模型'!$M$9+IF(Calc!$AO$34&lt;='财富模型'!$E$11*12,'Calc'!$W$17,'Calc'!$Y$17)-(IF('Calc'!$E$17=1,0,MIN(Calc!$AQ$33*(1+'财富模型'!$E$20/12)+'Calc'!$B$6,IF(Calc!$AO$34&lt;='财富模型'!$E$11*12,'Calc'!$W$17,'Calc'!$Y$17))))))),0))</x:f>
        <x:v>910405.2026546323</x:v>
      </x:c>
      <x:c r="AQ34" t="n">
        <x:f>IF(Calc!$AO$34&gt;'Calc'!$B$8,"",MAX(Calc!$AQ$33*(1+'财富模型'!$E$20/12)+'Calc'!$B$6-(IF('Calc'!$E$17=1,0,MIN(Calc!$AQ$33*(1+'财富模型'!$E$20/12)+'Calc'!$B$6,IF(Calc!$AO$34&lt;='财富模型'!$E$11*12,'Calc'!$W$17,'Calc'!$Y$17)))),0))</x:f>
        <x:v>37487.062822971246</x:v>
      </x:c>
      <x:c r="AR34" t="n">
        <x:f>IF(Calc!$AO$34&gt;'Calc'!$B$8,"",IF('Calc'!$E$17=1,'财富模型'!$E$9,'财富模型'!$M$9+IF(Calc!$AO$34&lt;='财富模型'!$E$11*12,'Calc'!$W$17,'Calc'!$Y$17)-(IF('Calc'!$E$17=1,0,MIN(Calc!$AQ$33*(1+'财富模型'!$E$20/12)+'Calc'!$B$6,IF(Calc!$AO$34&lt;='财富模型'!$E$11*12,'Calc'!$W$17,'Calc'!$Y$17))))))</x:f>
        <x:v>4000</x:v>
      </x:c>
      <x:c r="AS34" t="n">
        <x:f>IF(Calc!$AO$34&gt;'Calc'!$B$8,"",IF('Calc'!$E$17=1,0,MIN(Calc!$AQ$33*(1+'财富模型'!$E$20/12)+'Calc'!$B$6,IF(Calc!$AO$34&lt;='财富模型'!$E$11*12,'Calc'!$W$17,'Calc'!$Y$17))))</x:f>
        <x:v>0</x:v>
      </x:c>
      <x:c r="AT34" t="n">
        <x:f>IF(Calc!$AO$34&gt;'Calc'!$B$8,"",'Calc'!$B$5-'财富模型'!$E$5-(IF('Calc'!$E$17=1,'财富模型'!$E$9,'财富模型'!$M$9+IF(Calc!$AO$34&lt;='财富模型'!$E$11*12,'Calc'!$W$17,'Calc'!$Y$17)-(IF('Calc'!$E$17=1,0,MIN(Calc!$AQ$33*(1+'财富模型'!$E$20/12)+'Calc'!$B$6,IF(Calc!$AO$34&lt;='财富模型'!$E$11*12,'Calc'!$W$17,'Calc'!$Y$17)))))))</x:f>
        <x:v>3933.333333333332</x:v>
      </x:c>
      <x:c r="AU34" t="n">
        <x:f>IF(Calc!$AO$34&gt;'Calc'!$B$8,"",IF('Calc'!$E$17=1,0,MAX(Calc!$AU$33*(1+IF(Calc!$AO$34&lt;='财富模型'!$E$11*12,'财富模型'!$E$10,'财富模型'!$E$12)/12)-IF('Calc'!$E$17=1,0,IF(Calc!$AO$34&lt;='财富模型'!$E$11*12,'Calc'!$W$17,'Calc'!$Y$17)),0)))</x:f>
        <x:v>0</x:v>
      </x:c>
    </x:row>
    <x:row r="35">
      <x:c r="A35" t="n">
        <x:v>14</x:v>
      </x:c>
      <x:c r="B35" t="n">
        <x:f>IF(Calc!$A$35&gt;'Calc'!$B$8,"",MAX(Calc!$B$34*(1+'财富模型'!$E$6/12)+('Calc'!$B$5-'财富模型'!$E$5-(IF('Calc'!$E$12=1,'财富模型'!$E$9,'财富模型'!$M$4+IF(Calc!$A$35&lt;='财富模型'!$E$11*12,'Calc'!$W$12,'Calc'!$Y$12)-(IF('Calc'!$E$12=1,0,MIN(Calc!$C$34*(1+'财富模型'!$E$20/12)+'Calc'!$B$6,IF(Calc!$A$35&lt;='财富模型'!$E$11*12,'Calc'!$W$12,'Calc'!$Y$12))))))),0))</x:f>
        <x:v>512439.83103717887</x:v>
      </x:c>
      <x:c r="C35" t="n">
        <x:f>IF(Calc!$A$35&gt;'Calc'!$B$8,"",MAX(Calc!$C$34*(1+'财富模型'!$E$20/12)+'Calc'!$B$6-(IF('Calc'!$E$12=1,0,MIN(Calc!$C$34*(1+'财富模型'!$E$20/12)+'Calc'!$B$6,IF(Calc!$A$35&lt;='财富模型'!$E$11*12,'Calc'!$W$12,'Calc'!$Y$12)))),0))</x:f>
        <x:v>0</x:v>
      </x:c>
      <x:c r="D35" t="n">
        <x:f>IF(Calc!$A$35&gt;'Calc'!$B$8,"",IF('Calc'!$E$12=1,'财富模型'!$E$9,'财富模型'!$M$4+IF(Calc!$A$35&lt;='财富模型'!$E$11*12,'Calc'!$W$12,'Calc'!$Y$12)-(IF('Calc'!$E$12=1,0,MIN(Calc!$C$34*(1+'财富模型'!$E$20/12)+'Calc'!$B$6,IF(Calc!$A$35&lt;='财富模型'!$E$11*12,'Calc'!$W$12,'Calc'!$Y$12))))))</x:f>
        <x:v>812.25</x:v>
      </x:c>
      <x:c r="E35" t="n">
        <x:f>IF(Calc!$A$35&gt;'Calc'!$B$8,"",IF('Calc'!$E$12=1,0,MIN(Calc!$C$34*(1+'财富模型'!$E$20/12)+'Calc'!$B$6,IF(Calc!$A$35&lt;='财富模型'!$E$11*12,'Calc'!$W$12,'Calc'!$Y$12))))</x:f>
        <x:v>2847.75</x:v>
      </x:c>
      <x:c r="F35" t="n">
        <x:f>IF(Calc!$A$35&gt;'Calc'!$B$8,"",'Calc'!$B$5-'财富模型'!$E$5-(IF('Calc'!$E$12=1,'财富模型'!$E$9,'财富模型'!$M$4+IF(Calc!$A$35&lt;='财富模型'!$E$11*12,'Calc'!$W$12,'Calc'!$Y$12)-(IF('Calc'!$E$12=1,0,MIN(Calc!$C$34*(1+'财富模型'!$E$20/12)+'Calc'!$B$6,IF(Calc!$A$35&lt;='财富模型'!$E$11*12,'Calc'!$W$12,'Calc'!$Y$12)))))))</x:f>
        <x:v>7121.083333333332</x:v>
      </x:c>
      <x:c r="G35" t="n">
        <x:f>IF(Calc!$A$35&gt;'Calc'!$B$8,"",IF('Calc'!$E$12=1,0,MAX(Calc!$G$34*(1+IF(Calc!$A$35&lt;='财富模型'!$E$11*12,'财富模型'!$E$10,'财富模型'!$E$12)/12)-IF('Calc'!$E$12=1,0,IF(Calc!$A$35&lt;='财富模型'!$E$11*12,'Calc'!$W$12,'Calc'!$Y$12)),0)))</x:f>
        <x:v>926543.7656307243</x:v>
      </x:c>
      <x:c r="I35" t="n">
        <x:v>14</x:v>
      </x:c>
      <x:c r="J35" t="n">
        <x:f>IF(Calc!$I$35&gt;'Calc'!$B$8,"",MAX(Calc!$J$34*(1+'财富模型'!$E$6/12)+('Calc'!$B$5-'财富模型'!$E$5-(IF('Calc'!$E$13=1,'财富模型'!$E$9,'财富模型'!$M$5+IF(Calc!$I$35&lt;='财富模型'!$E$11*12,'Calc'!$W$13,'Calc'!$Y$13)-(IF('Calc'!$E$13=1,0,MIN(Calc!$K$34*(1+'财富模型'!$E$20/12)+'Calc'!$B$6,IF(Calc!$I$35&lt;='财富模型'!$E$11*12,'Calc'!$W$13,'Calc'!$Y$13))))))),0))</x:f>
        <x:v>517521.65176158276</x:v>
      </x:c>
      <x:c r="K35" t="n">
        <x:f>IF(Calc!$I$35&gt;'Calc'!$B$8,"",MAX(Calc!$K$34*(1+'财富模型'!$E$20/12)+'Calc'!$B$6-(IF('Calc'!$E$13=1,0,MIN(Calc!$K$34*(1+'财富模型'!$E$20/12)+'Calc'!$B$6,IF(Calc!$I$35&lt;='财富模型'!$E$11*12,'Calc'!$W$13,'Calc'!$Y$13)))),0))</x:f>
        <x:v>0</x:v>
      </x:c>
      <x:c r="L35" t="n">
        <x:f>IF(Calc!$I$35&gt;'Calc'!$B$8,"",IF('Calc'!$E$13=1,'财富模型'!$E$9,'财富模型'!$M$5+IF(Calc!$I$35&lt;='财富模型'!$E$11*12,'Calc'!$W$13,'Calc'!$Y$13)-(IF('Calc'!$E$13=1,0,MIN(Calc!$K$34*(1+'财富模型'!$E$20/12)+'Calc'!$B$6,IF(Calc!$I$35&lt;='财富模型'!$E$11*12,'Calc'!$W$13,'Calc'!$Y$13))))))</x:f>
        <x:v>843.25</x:v>
      </x:c>
      <x:c r="M35" t="n">
        <x:f>IF(Calc!$I$35&gt;'Calc'!$B$8,"",IF('Calc'!$E$13=1,0,MIN(Calc!$K$34*(1+'财富模型'!$E$20/12)+'Calc'!$B$6,IF(Calc!$I$35&lt;='财富模型'!$E$11*12,'Calc'!$W$13,'Calc'!$Y$13))))</x:f>
        <x:v>2847.75</x:v>
      </x:c>
      <x:c r="N35" t="n">
        <x:f>IF(Calc!$I$35&gt;'Calc'!$B$8,"",'Calc'!$B$5-'财富模型'!$E$5-(IF('Calc'!$E$13=1,'财富模型'!$E$9,'财富模型'!$M$5+IF(Calc!$I$35&lt;='财富模型'!$E$11*12,'Calc'!$W$13,'Calc'!$Y$13)-(IF('Calc'!$E$13=1,0,MIN(Calc!$K$34*(1+'财富模型'!$E$20/12)+'Calc'!$B$6,IF(Calc!$I$35&lt;='财富模型'!$E$11*12,'Calc'!$W$13,'Calc'!$Y$13)))))))</x:f>
        <x:v>7090.083333333332</x:v>
      </x:c>
      <x:c r="O35" t="n">
        <x:f>IF(Calc!$I$35&gt;'Calc'!$B$8,"",IF('Calc'!$E$13=1,0,MAX(Calc!$O$34*(1+IF(Calc!$I$35&lt;='财富模型'!$E$11*12,'财富模型'!$E$10,'财富模型'!$E$12)/12)-IF('Calc'!$E$13=1,0,IF(Calc!$I$35&lt;='财富模型'!$E$11*12,'Calc'!$W$13,'Calc'!$Y$13)),0)))</x:f>
        <x:v>915645.741503429</x:v>
      </x:c>
      <x:c r="Q35" t="n">
        <x:v>14</x:v>
      </x:c>
      <x:c r="R35" t="n">
        <x:f>IF(Calc!$Q$35&gt;'Calc'!$B$8,"",MAX(Calc!$R$34*(1+'财富模型'!$E$6/12)+('Calc'!$B$5-'财富模型'!$E$5-(IF('Calc'!$E$14=1,'财富模型'!$E$9,'财富模型'!$M$6+IF(Calc!$Q$35&lt;='财富模型'!$E$11*12,'Calc'!$W$14,'Calc'!$Y$14)-(IF('Calc'!$E$14=1,0,MIN(Calc!$S$34*(1+'财富模型'!$E$20/12)+'Calc'!$B$6,IF(Calc!$Q$35&lt;='财富模型'!$E$11*12,'Calc'!$W$14,'Calc'!$Y$14))))))),0))</x:f>
        <x:v>377379.9397698515</x:v>
      </x:c>
      <x:c r="S35" t="n">
        <x:f>IF(Calc!$Q$35&gt;'Calc'!$B$8,"",MAX(Calc!$S$34*(1+'财富模型'!$E$20/12)+'Calc'!$B$6-(IF('Calc'!$E$14=1,0,MIN(Calc!$S$34*(1+'财富模型'!$E$20/12)+'Calc'!$B$6,IF(Calc!$Q$35&lt;='财富模型'!$E$11*12,'Calc'!$W$14,'Calc'!$Y$14)))),0))</x:f>
        <x:v>0</x:v>
      </x:c>
      <x:c r="T35" t="n">
        <x:f>IF(Calc!$Q$35&gt;'Calc'!$B$8,"",IF('Calc'!$E$14=1,'财富模型'!$E$9,'财富模型'!$M$6+IF(Calc!$Q$35&lt;='财富模型'!$E$11*12,'Calc'!$W$14,'Calc'!$Y$14)-(IF('Calc'!$E$14=1,0,MIN(Calc!$S$34*(1+'财富模型'!$E$20/12)+'Calc'!$B$6,IF(Calc!$Q$35&lt;='财富模型'!$E$11*12,'Calc'!$W$14,'Calc'!$Y$14))))))</x:f>
        <x:v>1388.25</x:v>
      </x:c>
      <x:c r="U35" t="n">
        <x:f>IF(Calc!$Q$35&gt;'Calc'!$B$8,"",IF('Calc'!$E$14=1,0,MIN(Calc!$S$34*(1+'财富模型'!$E$20/12)+'Calc'!$B$6,IF(Calc!$Q$35&lt;='财富模型'!$E$11*12,'Calc'!$W$14,'Calc'!$Y$14))))</x:f>
        <x:v>2847.75</x:v>
      </x:c>
      <x:c r="V35" t="n">
        <x:f>IF(Calc!$Q$35&gt;'Calc'!$B$8,"",'Calc'!$B$5-'财富模型'!$E$5-(IF('Calc'!$E$14=1,'财富模型'!$E$9,'财富模型'!$M$6+IF(Calc!$Q$35&lt;='财富模型'!$E$11*12,'Calc'!$W$14,'Calc'!$Y$14)-(IF('Calc'!$E$14=1,0,MIN(Calc!$S$34*(1+'财富模型'!$E$20/12)+'Calc'!$B$6,IF(Calc!$Q$35&lt;='财富模型'!$E$11*12,'Calc'!$W$14,'Calc'!$Y$14)))))))</x:f>
        <x:v>6545.083333333332</x:v>
      </x:c>
      <x:c r="W35" t="n">
        <x:f>IF(Calc!$Q$35&gt;'Calc'!$B$8,"",IF('Calc'!$E$14=1,0,MAX(Calc!$W$34*(1+IF(Calc!$Q$35&lt;='财富模型'!$E$11*12,'财富模型'!$E$10,'财富模型'!$E$12)/12)-IF('Calc'!$E$14=1,0,IF(Calc!$Q$35&lt;='财富模型'!$E$11*12,'Calc'!$W$14,'Calc'!$Y$14)),0)))</x:f>
        <x:v>1065829.2295611503</x:v>
      </x:c>
      <x:c r="Y35" t="n">
        <x:v>14</x:v>
      </x:c>
      <x:c r="Z35" t="n">
        <x:f>IF(Calc!$Y$35&gt;'Calc'!$B$8,"",MAX(Calc!$Z$34*(1+'财富模型'!$E$6/12)+('Calc'!$B$5-'财富模型'!$E$5-(IF('Calc'!$E$15=1,'财富模型'!$E$9,'财富模型'!$M$7+IF(Calc!$Y$35&lt;='财富模型'!$E$11*12,'Calc'!$W$15,'Calc'!$Y$15)-(IF('Calc'!$E$15=1,0,MIN(Calc!$AA$34*(1+'财富模型'!$E$20/12)+'Calc'!$B$6,IF(Calc!$Y$35&lt;='财富模型'!$E$11*12,'Calc'!$W$15,'Calc'!$Y$15))))))),0))</x:f>
        <x:v>107584.8830774788</x:v>
      </x:c>
      <x:c r="AA35" t="n">
        <x:f>IF(Calc!$Y$35&gt;'Calc'!$B$8,"",MAX(Calc!$AA$34*(1+'财富模型'!$E$20/12)+'Calc'!$B$6-(IF('Calc'!$E$15=1,0,MIN(Calc!$AA$34*(1+'财富模型'!$E$20/12)+'Calc'!$B$6,IF(Calc!$Y$35&lt;='财富模型'!$E$11*12,'Calc'!$W$15,'Calc'!$Y$15)))),0))</x:f>
        <x:v>0</x:v>
      </x:c>
      <x:c r="AB35" t="n">
        <x:f>IF(Calc!$Y$35&gt;'Calc'!$B$8,"",IF('Calc'!$E$15=1,'财富模型'!$E$9,'财富模型'!$M$7+IF(Calc!$Y$35&lt;='财富模型'!$E$11*12,'Calc'!$W$15,'Calc'!$Y$15)-(IF('Calc'!$E$15=1,0,MIN(Calc!$AA$34*(1+'财富模型'!$E$20/12)+'Calc'!$B$6,IF(Calc!$Y$35&lt;='财富模型'!$E$11*12,'Calc'!$W$15,'Calc'!$Y$15))))))</x:f>
        <x:v>1468.25</x:v>
      </x:c>
      <x:c r="AC35" t="n">
        <x:f>IF(Calc!$Y$35&gt;'Calc'!$B$8,"",IF('Calc'!$E$15=1,0,MIN(Calc!$AA$34*(1+'财富模型'!$E$20/12)+'Calc'!$B$6,IF(Calc!$Y$35&lt;='财富模型'!$E$11*12,'Calc'!$W$15,'Calc'!$Y$15))))</x:f>
        <x:v>2847.75</x:v>
      </x:c>
      <x:c r="AD35" t="n">
        <x:f>IF(Calc!$Y$35&gt;'Calc'!$B$8,"",'Calc'!$B$5-'财富模型'!$E$5-(IF('Calc'!$E$15=1,'财富模型'!$E$9,'财富模型'!$M$7+IF(Calc!$Y$35&lt;='财富模型'!$E$11*12,'Calc'!$W$15,'Calc'!$Y$15)-(IF('Calc'!$E$15=1,0,MIN(Calc!$AA$34*(1+'财富模型'!$E$20/12)+'Calc'!$B$6,IF(Calc!$Y$35&lt;='财富模型'!$E$11*12,'Calc'!$W$15,'Calc'!$Y$15)))))))</x:f>
        <x:v>6465.083333333332</x:v>
      </x:c>
      <x:c r="AE35" t="n">
        <x:f>IF(Calc!$Y$35&gt;'Calc'!$B$8,"",IF('Calc'!$E$15=1,0,MAX(Calc!$AE$34*(1+IF(Calc!$Y$35&lt;='财富模型'!$E$11*12,'财富模型'!$E$10,'财富模型'!$E$12)/12)-IF('Calc'!$E$15=1,0,IF(Calc!$Y$35&lt;='财富模型'!$E$11*12,'Calc'!$W$15,'Calc'!$Y$15)),0)))</x:f>
        <x:v>1065829.2295611503</x:v>
      </x:c>
      <x:c r="AG35" t="n">
        <x:v>14</x:v>
      </x:c>
      <x:c r="AH35" t="n">
        <x:f>IF(Calc!$AG$35&gt;'Calc'!$B$8,"",MAX(Calc!$AH$34*(1+'财富模型'!$E$6/12)+('Calc'!$B$5-'财富模型'!$E$5-(IF('Calc'!$E$16=1,'财富模型'!$E$9,'财富模型'!$M$8+IF(Calc!$AG$35&lt;='财富模型'!$E$11*12,'Calc'!$W$16,'Calc'!$Y$16)-(IF('Calc'!$E$16=1,0,MIN(Calc!$AI$34*(1+'财富模型'!$E$20/12)+'Calc'!$B$6,IF(Calc!$AG$35&lt;='财富模型'!$E$11*12,'Calc'!$W$16,'Calc'!$Y$16))))))),0))</x:f>
        <x:v>93878.99112960874</x:v>
      </x:c>
      <x:c r="AI35" t="n">
        <x:f>IF(Calc!$AG$35&gt;'Calc'!$B$8,"",MAX(Calc!$AI$34*(1+'财富模型'!$E$20/12)+'Calc'!$B$6-(IF('Calc'!$E$16=1,0,MIN(Calc!$AI$34*(1+'财富模型'!$E$20/12)+'Calc'!$B$6,IF(Calc!$AG$35&lt;='财富模型'!$E$11*12,'Calc'!$W$16,'Calc'!$Y$16)))),0))</x:f>
        <x:v>0</x:v>
      </x:c>
      <x:c r="AJ35" t="n">
        <x:f>IF(Calc!$AG$35&gt;'Calc'!$B$8,"",IF('Calc'!$E$16=1,'财富模型'!$E$9,'财富模型'!$M$8+IF(Calc!$AG$35&lt;='财富模型'!$E$11*12,'Calc'!$W$16,'Calc'!$Y$16)-(IF('Calc'!$E$16=1,0,MIN(Calc!$AI$34*(1+'财富模型'!$E$20/12)+'Calc'!$B$6,IF(Calc!$AG$35&lt;='财富模型'!$E$11*12,'Calc'!$W$16,'Calc'!$Y$16))))))</x:f>
        <x:v>1478.25</x:v>
      </x:c>
      <x:c r="AK35" t="n">
        <x:f>IF(Calc!$AG$35&gt;'Calc'!$B$8,"",IF('Calc'!$E$16=1,0,MIN(Calc!$AI$34*(1+'财富模型'!$E$20/12)+'Calc'!$B$6,IF(Calc!$AG$35&lt;='财富模型'!$E$11*12,'Calc'!$W$16,'Calc'!$Y$16))))</x:f>
        <x:v>2847.75</x:v>
      </x:c>
      <x:c r="AL35" t="n">
        <x:f>IF(Calc!$AG$35&gt;'Calc'!$B$8,"",'Calc'!$B$5-'财富模型'!$E$5-(IF('Calc'!$E$16=1,'财富模型'!$E$9,'财富模型'!$M$8+IF(Calc!$AG$35&lt;='财富模型'!$E$11*12,'Calc'!$W$16,'Calc'!$Y$16)-(IF('Calc'!$E$16=1,0,MIN(Calc!$AI$34*(1+'财富模型'!$E$20/12)+'Calc'!$B$6,IF(Calc!$AG$35&lt;='财富模型'!$E$11*12,'Calc'!$W$16,'Calc'!$Y$16)))))))</x:f>
        <x:v>6455.083333333332</x:v>
      </x:c>
      <x:c r="AM35" t="n">
        <x:f>IF(Calc!$AG$35&gt;'Calc'!$B$8,"",IF('Calc'!$E$16=1,0,MAX(Calc!$AM$34*(1+IF(Calc!$AG$35&lt;='财富模型'!$E$11*12,'财富模型'!$E$10,'财富模型'!$E$12)/12)-IF('Calc'!$E$16=1,0,IF(Calc!$AG$35&lt;='财富模型'!$E$11*12,'Calc'!$W$16,'Calc'!$Y$16)),0)))</x:f>
        <x:v>1065829.2295611503</x:v>
      </x:c>
      <x:c r="AO35" t="n">
        <x:v>14</x:v>
      </x:c>
      <x:c r="AP35" t="n">
        <x:f>IF(Calc!$AO$35&gt;'Calc'!$B$8,"",MAX(Calc!$AP$34*(1+'财富模型'!$E$6/12)+('Calc'!$B$5-'财富模型'!$E$5-(IF('Calc'!$E$17=1,'财富模型'!$E$9,'财富模型'!$M$9+IF(Calc!$AO$35&lt;='财富模型'!$E$11*12,'Calc'!$W$17,'Calc'!$Y$17)-(IF('Calc'!$E$17=1,0,MIN(Calc!$AQ$34*(1+'财富模型'!$E$20/12)+'Calc'!$B$6,IF(Calc!$AO$35&lt;='财富模型'!$E$11*12,'Calc'!$W$17,'Calc'!$Y$17))))))),0))</x:f>
        <x:v>919649.233003451</x:v>
      </x:c>
      <x:c r="AQ35" t="n">
        <x:f>IF(Calc!$AO$35&gt;'Calc'!$B$8,"",MAX(Calc!$AQ$34*(1+'财富模型'!$E$20/12)+'Calc'!$B$6-(IF('Calc'!$E$17=1,0,MIN(Calc!$AQ$34*(1+'财富模型'!$E$20/12)+'Calc'!$B$6,IF(Calc!$AO$35&lt;='财富模型'!$E$11*12,'Calc'!$W$17,'Calc'!$Y$17)))),0))</x:f>
        <x:v>40412.9108705191</x:v>
      </x:c>
      <x:c r="AR35" t="n">
        <x:f>IF(Calc!$AO$35&gt;'Calc'!$B$8,"",IF('Calc'!$E$17=1,'财富模型'!$E$9,'财富模型'!$M$9+IF(Calc!$AO$35&lt;='财富模型'!$E$11*12,'Calc'!$W$17,'Calc'!$Y$17)-(IF('Calc'!$E$17=1,0,MIN(Calc!$AQ$34*(1+'财富模型'!$E$20/12)+'Calc'!$B$6,IF(Calc!$AO$35&lt;='财富模型'!$E$11*12,'Calc'!$W$17,'Calc'!$Y$17))))))</x:f>
        <x:v>4000</x:v>
      </x:c>
      <x:c r="AS35" t="n">
        <x:f>IF(Calc!$AO$35&gt;'Calc'!$B$8,"",IF('Calc'!$E$17=1,0,MIN(Calc!$AQ$34*(1+'财富模型'!$E$20/12)+'Calc'!$B$6,IF(Calc!$AO$35&lt;='财富模型'!$E$11*12,'Calc'!$W$17,'Calc'!$Y$17))))</x:f>
        <x:v>0</x:v>
      </x:c>
      <x:c r="AT35" t="n">
        <x:f>IF(Calc!$AO$35&gt;'Calc'!$B$8,"",'Calc'!$B$5-'财富模型'!$E$5-(IF('Calc'!$E$17=1,'财富模型'!$E$9,'财富模型'!$M$9+IF(Calc!$AO$35&lt;='财富模型'!$E$11*12,'Calc'!$W$17,'Calc'!$Y$17)-(IF('Calc'!$E$17=1,0,MIN(Calc!$AQ$34*(1+'财富模型'!$E$20/12)+'Calc'!$B$6,IF(Calc!$AO$35&lt;='财富模型'!$E$11*12,'Calc'!$W$17,'Calc'!$Y$17)))))))</x:f>
        <x:v>3933.333333333332</x:v>
      </x:c>
      <x:c r="AU35" t="n">
        <x:f>IF(Calc!$AO$35&gt;'Calc'!$B$8,"",IF('Calc'!$E$17=1,0,MAX(Calc!$AU$34*(1+IF(Calc!$AO$35&lt;='财富模型'!$E$11*12,'财富模型'!$E$10,'财富模型'!$E$12)/12)-IF('Calc'!$E$17=1,0,IF(Calc!$AO$35&lt;='财富模型'!$E$11*12,'Calc'!$W$17,'Calc'!$Y$17)),0)))</x:f>
        <x:v>0</x:v>
      </x:c>
    </x:row>
    <x:row r="36">
      <x:c r="A36" t="n">
        <x:v>15</x:v>
      </x:c>
      <x:c r="B36" t="n">
        <x:f>IF(Calc!$A$36&gt;'Calc'!$B$8,"",MAX(Calc!$B$35*(1+'财富模型'!$E$6/12)+('Calc'!$B$5-'财富模型'!$E$5-(IF('Calc'!$E$12=1,'财富模型'!$E$9,'财富模型'!$M$4+IF(Calc!$A$36&lt;='财富模型'!$E$11*12,'Calc'!$W$12,'Calc'!$Y$12)-(IF('Calc'!$E$12=1,0,MIN(Calc!$C$35*(1+'财富模型'!$E$20/12)+'Calc'!$B$6,IF(Calc!$A$36&lt;='财富模型'!$E$11*12,'Calc'!$W$12,'Calc'!$Y$12))))))),0))</x:f>
        <x:v>522550.14671822905</x:v>
      </x:c>
      <x:c r="C36" t="n">
        <x:f>IF(Calc!$A$36&gt;'Calc'!$B$8,"",MAX(Calc!$C$35*(1+'财富模型'!$E$20/12)+'Calc'!$B$6-(IF('Calc'!$E$12=1,0,MIN(Calc!$C$35*(1+'财富模型'!$E$20/12)+'Calc'!$B$6,IF(Calc!$A$36&lt;='财富模型'!$E$11*12,'Calc'!$W$12,'Calc'!$Y$12)))),0))</x:f>
        <x:v>0</x:v>
      </x:c>
      <x:c r="D36" t="n">
        <x:f>IF(Calc!$A$36&gt;'Calc'!$B$8,"",IF('Calc'!$E$12=1,'财富模型'!$E$9,'财富模型'!$M$4+IF(Calc!$A$36&lt;='财富模型'!$E$11*12,'Calc'!$W$12,'Calc'!$Y$12)-(IF('Calc'!$E$12=1,0,MIN(Calc!$C$35*(1+'财富模型'!$E$20/12)+'Calc'!$B$6,IF(Calc!$A$36&lt;='财富模型'!$E$11*12,'Calc'!$W$12,'Calc'!$Y$12))))))</x:f>
        <x:v>812.25</x:v>
      </x:c>
      <x:c r="E36" t="n">
        <x:f>IF(Calc!$A$36&gt;'Calc'!$B$8,"",IF('Calc'!$E$12=1,0,MIN(Calc!$C$35*(1+'财富模型'!$E$20/12)+'Calc'!$B$6,IF(Calc!$A$36&lt;='财富模型'!$E$11*12,'Calc'!$W$12,'Calc'!$Y$12))))</x:f>
        <x:v>2847.75</x:v>
      </x:c>
      <x:c r="F36" t="n">
        <x:f>IF(Calc!$A$36&gt;'Calc'!$B$8,"",'Calc'!$B$5-'财富模型'!$E$5-(IF('Calc'!$E$12=1,'财富模型'!$E$9,'财富模型'!$M$4+IF(Calc!$A$36&lt;='财富模型'!$E$11*12,'Calc'!$W$12,'Calc'!$Y$12)-(IF('Calc'!$E$12=1,0,MIN(Calc!$C$35*(1+'财富模型'!$E$20/12)+'Calc'!$B$6,IF(Calc!$A$36&lt;='财富模型'!$E$11*12,'Calc'!$W$12,'Calc'!$Y$12)))))))</x:f>
        <x:v>7121.083333333332</x:v>
      </x:c>
      <x:c r="G36" t="n">
        <x:f>IF(Calc!$A$36&gt;'Calc'!$B$8,"",IF('Calc'!$E$12=1,0,MAX(Calc!$G$35*(1+IF(Calc!$A$36&lt;='财富模型'!$E$11*12,'财富模型'!$E$10,'财富模型'!$E$12)/12)-IF('Calc'!$E$12=1,0,IF(Calc!$A$36&lt;='财富模型'!$E$11*12,'Calc'!$W$12,'Calc'!$Y$12)),0)))</x:f>
        <x:v>924401.9453377626</x:v>
      </x:c>
      <x:c r="I36" t="n">
        <x:v>15</x:v>
      </x:c>
      <x:c r="J36" t="n">
        <x:f>IF(Calc!$I$36&gt;'Calc'!$B$8,"",MAX(Calc!$J$35*(1+'财富模型'!$E$6/12)+('Calc'!$B$5-'财富模型'!$E$5-(IF('Calc'!$E$13=1,'财富模型'!$E$9,'财富模型'!$M$5+IF(Calc!$I$36&lt;='财富模型'!$E$11*12,'Calc'!$W$13,'Calc'!$Y$13)-(IF('Calc'!$E$13=1,0,MIN(Calc!$K$35*(1+'财富模型'!$E$20/12)+'Calc'!$B$6,IF(Calc!$I$36&lt;='财富模型'!$E$11*12,'Calc'!$W$13,'Calc'!$Y$13))))))),0))</x:f>
        <x:v>527630.6113968587</x:v>
      </x:c>
      <x:c r="K36" t="n">
        <x:f>IF(Calc!$I$36&gt;'Calc'!$B$8,"",MAX(Calc!$K$35*(1+'财富模型'!$E$20/12)+'Calc'!$B$6-(IF('Calc'!$E$13=1,0,MIN(Calc!$K$35*(1+'财富模型'!$E$20/12)+'Calc'!$B$6,IF(Calc!$I$36&lt;='财富模型'!$E$11*12,'Calc'!$W$13,'Calc'!$Y$13)))),0))</x:f>
        <x:v>0</x:v>
      </x:c>
      <x:c r="L36" t="n">
        <x:f>IF(Calc!$I$36&gt;'Calc'!$B$8,"",IF('Calc'!$E$13=1,'财富模型'!$E$9,'财富模型'!$M$5+IF(Calc!$I$36&lt;='财富模型'!$E$11*12,'Calc'!$W$13,'Calc'!$Y$13)-(IF('Calc'!$E$13=1,0,MIN(Calc!$K$35*(1+'财富模型'!$E$20/12)+'Calc'!$B$6,IF(Calc!$I$36&lt;='财富模型'!$E$11*12,'Calc'!$W$13,'Calc'!$Y$13))))))</x:f>
        <x:v>843.25</x:v>
      </x:c>
      <x:c r="M36" t="n">
        <x:f>IF(Calc!$I$36&gt;'Calc'!$B$8,"",IF('Calc'!$E$13=1,0,MIN(Calc!$K$35*(1+'财富模型'!$E$20/12)+'Calc'!$B$6,IF(Calc!$I$36&lt;='财富模型'!$E$11*12,'Calc'!$W$13,'Calc'!$Y$13))))</x:f>
        <x:v>2847.75</x:v>
      </x:c>
      <x:c r="N36" t="n">
        <x:f>IF(Calc!$I$36&gt;'Calc'!$B$8,"",'Calc'!$B$5-'财富模型'!$E$5-(IF('Calc'!$E$13=1,'财富模型'!$E$9,'财富模型'!$M$5+IF(Calc!$I$36&lt;='财富模型'!$E$11*12,'Calc'!$W$13,'Calc'!$Y$13)-(IF('Calc'!$E$13=1,0,MIN(Calc!$K$35*(1+'财富模型'!$E$20/12)+'Calc'!$B$6,IF(Calc!$I$36&lt;='财富模型'!$E$11*12,'Calc'!$W$13,'Calc'!$Y$13)))))))</x:f>
        <x:v>7090.083333333332</x:v>
      </x:c>
      <x:c r="O36" t="n">
        <x:f>IF(Calc!$I$36&gt;'Calc'!$B$8,"",IF('Calc'!$E$13=1,0,MAX(Calc!$O$35*(1+IF(Calc!$I$36&lt;='财富模型'!$E$11*12,'财富模型'!$E$10,'财富模型'!$E$12)/12)-IF('Calc'!$E$13=1,0,IF(Calc!$I$36&lt;='财富模型'!$E$11*12,'Calc'!$W$13,'Calc'!$Y$13)),0)))</x:f>
        <x:v>913529.2986803083</x:v>
      </x:c>
      <x:c r="Q36" t="n">
        <x:v>15</x:v>
      </x:c>
      <x:c r="R36" t="n">
        <x:f>IF(Calc!$Q$36&gt;'Calc'!$B$8,"",MAX(Calc!$R$35*(1+'财富模型'!$E$6/12)+('Calc'!$B$5-'财富模型'!$E$5-(IF('Calc'!$E$14=1,'财富模型'!$E$9,'财富模型'!$M$6+IF(Calc!$Q$36&lt;='财富模型'!$E$11*12,'Calc'!$W$14,'Calc'!$Y$14)-(IF('Calc'!$E$14=1,0,MIN(Calc!$S$35*(1+'财富模型'!$E$20/12)+'Calc'!$B$6,IF(Calc!$Q$36&lt;='财富模型'!$E$11*12,'Calc'!$W$14,'Calc'!$Y$14))))))),0))</x:f>
        <x:v>386126.40608517564</x:v>
      </x:c>
      <x:c r="S36" t="n">
        <x:f>IF(Calc!$Q$36&gt;'Calc'!$B$8,"",MAX(Calc!$S$35*(1+'财富模型'!$E$20/12)+'Calc'!$B$6-(IF('Calc'!$E$14=1,0,MIN(Calc!$S$35*(1+'财富模型'!$E$20/12)+'Calc'!$B$6,IF(Calc!$Q$36&lt;='财富模型'!$E$11*12,'Calc'!$W$14,'Calc'!$Y$14)))),0))</x:f>
        <x:v>0</x:v>
      </x:c>
      <x:c r="T36" t="n">
        <x:f>IF(Calc!$Q$36&gt;'Calc'!$B$8,"",IF('Calc'!$E$14=1,'财富模型'!$E$9,'财富模型'!$M$6+IF(Calc!$Q$36&lt;='财富模型'!$E$11*12,'Calc'!$W$14,'Calc'!$Y$14)-(IF('Calc'!$E$14=1,0,MIN(Calc!$S$35*(1+'财富模型'!$E$20/12)+'Calc'!$B$6,IF(Calc!$Q$36&lt;='财富模型'!$E$11*12,'Calc'!$W$14,'Calc'!$Y$14))))))</x:f>
        <x:v>1388.25</x:v>
      </x:c>
      <x:c r="U36" t="n">
        <x:f>IF(Calc!$Q$36&gt;'Calc'!$B$8,"",IF('Calc'!$E$14=1,0,MIN(Calc!$S$35*(1+'财富模型'!$E$20/12)+'Calc'!$B$6,IF(Calc!$Q$36&lt;='财富模型'!$E$11*12,'Calc'!$W$14,'Calc'!$Y$14))))</x:f>
        <x:v>2847.75</x:v>
      </x:c>
      <x:c r="V36" t="n">
        <x:f>IF(Calc!$Q$36&gt;'Calc'!$B$8,"",'Calc'!$B$5-'财富模型'!$E$5-(IF('Calc'!$E$14=1,'财富模型'!$E$9,'财富模型'!$M$6+IF(Calc!$Q$36&lt;='财富模型'!$E$11*12,'Calc'!$W$14,'Calc'!$Y$14)-(IF('Calc'!$E$14=1,0,MIN(Calc!$S$35*(1+'财富模型'!$E$20/12)+'Calc'!$B$6,IF(Calc!$Q$36&lt;='财富模型'!$E$11*12,'Calc'!$W$14,'Calc'!$Y$14)))))))</x:f>
        <x:v>6545.083333333332</x:v>
      </x:c>
      <x:c r="W36" t="n">
        <x:f>IF(Calc!$Q$36&gt;'Calc'!$B$8,"",IF('Calc'!$E$14=1,0,MAX(Calc!$W$35*(1+IF(Calc!$Q$36&lt;='财富模型'!$E$11*12,'财富模型'!$E$10,'财富模型'!$E$12)/12)-IF('Calc'!$E$14=1,0,IF(Calc!$Q$36&lt;='财富模型'!$E$11*12,'Calc'!$W$14,'Calc'!$Y$14)),0)))</x:f>
        <x:v>1063365.5160981016</x:v>
      </x:c>
      <x:c r="Y36" t="n">
        <x:v>15</x:v>
      </x:c>
      <x:c r="Z36" t="n">
        <x:f>IF(Calc!$Y$36&gt;'Calc'!$B$8,"",MAX(Calc!$Z$35*(1+'财富模型'!$E$6/12)+('Calc'!$B$5-'财富模型'!$E$5-(IF('Calc'!$E$15=1,'财富模型'!$E$9,'财富模型'!$M$7+IF(Calc!$Y$36&lt;='财富模型'!$E$11*12,'Calc'!$W$15,'Calc'!$Y$15)-(IF('Calc'!$E$15=1,0,MIN(Calc!$AA$35*(1+'财富模型'!$E$20/12)+'Calc'!$B$6,IF(Calc!$Y$36&lt;='财富模型'!$E$11*12,'Calc'!$W$15,'Calc'!$Y$15))))))),0))</x:f>
        <x:v>114677.54489543075</x:v>
      </x:c>
      <x:c r="AA36" t="n">
        <x:f>IF(Calc!$Y$36&gt;'Calc'!$B$8,"",MAX(Calc!$AA$35*(1+'财富模型'!$E$20/12)+'Calc'!$B$6-(IF('Calc'!$E$15=1,0,MIN(Calc!$AA$35*(1+'财富模型'!$E$20/12)+'Calc'!$B$6,IF(Calc!$Y$36&lt;='财富模型'!$E$11*12,'Calc'!$W$15,'Calc'!$Y$15)))),0))</x:f>
        <x:v>0</x:v>
      </x:c>
      <x:c r="AB36" t="n">
        <x:f>IF(Calc!$Y$36&gt;'Calc'!$B$8,"",IF('Calc'!$E$15=1,'财富模型'!$E$9,'财富模型'!$M$7+IF(Calc!$Y$36&lt;='财富模型'!$E$11*12,'Calc'!$W$15,'Calc'!$Y$15)-(IF('Calc'!$E$15=1,0,MIN(Calc!$AA$35*(1+'财富模型'!$E$20/12)+'Calc'!$B$6,IF(Calc!$Y$36&lt;='财富模型'!$E$11*12,'Calc'!$W$15,'Calc'!$Y$15))))))</x:f>
        <x:v>1468.25</x:v>
      </x:c>
      <x:c r="AC36" t="n">
        <x:f>IF(Calc!$Y$36&gt;'Calc'!$B$8,"",IF('Calc'!$E$15=1,0,MIN(Calc!$AA$35*(1+'财富模型'!$E$20/12)+'Calc'!$B$6,IF(Calc!$Y$36&lt;='财富模型'!$E$11*12,'Calc'!$W$15,'Calc'!$Y$15))))</x:f>
        <x:v>2847.75</x:v>
      </x:c>
      <x:c r="AD36" t="n">
        <x:f>IF(Calc!$Y$36&gt;'Calc'!$B$8,"",'Calc'!$B$5-'财富模型'!$E$5-(IF('Calc'!$E$15=1,'财富模型'!$E$9,'财富模型'!$M$7+IF(Calc!$Y$36&lt;='财富模型'!$E$11*12,'Calc'!$W$15,'Calc'!$Y$15)-(IF('Calc'!$E$15=1,0,MIN(Calc!$AA$35*(1+'财富模型'!$E$20/12)+'Calc'!$B$6,IF(Calc!$Y$36&lt;='财富模型'!$E$11*12,'Calc'!$W$15,'Calc'!$Y$15)))))))</x:f>
        <x:v>6465.083333333332</x:v>
      </x:c>
      <x:c r="AE36" t="n">
        <x:f>IF(Calc!$Y$36&gt;'Calc'!$B$8,"",IF('Calc'!$E$15=1,0,MAX(Calc!$AE$35*(1+IF(Calc!$Y$36&lt;='财富模型'!$E$11*12,'财富模型'!$E$10,'财富模型'!$E$12)/12)-IF('Calc'!$E$15=1,0,IF(Calc!$Y$36&lt;='财富模型'!$E$11*12,'Calc'!$W$15,'Calc'!$Y$15)),0)))</x:f>
        <x:v>1063365.5160981016</x:v>
      </x:c>
      <x:c r="AG36" t="n">
        <x:v>15</x:v>
      </x:c>
      <x:c r="AH36" t="n">
        <x:f>IF(Calc!$AG$36&gt;'Calc'!$B$8,"",MAX(Calc!$AH$35*(1+'财富模型'!$E$6/12)+('Calc'!$B$5-'财富模型'!$E$5-(IF('Calc'!$E$16=1,'财富模型'!$E$9,'财富模型'!$M$8+IF(Calc!$AG$36&lt;='财富模型'!$E$11*12,'Calc'!$W$16,'Calc'!$Y$16)-(IF('Calc'!$E$16=1,0,MIN(Calc!$AI$35*(1+'财富模型'!$E$20/12)+'Calc'!$B$6,IF(Calc!$AG$36&lt;='财富模型'!$E$11*12,'Calc'!$W$16,'Calc'!$Y$16))))))),0))</x:f>
        <x:v>100881.70191119812</x:v>
      </x:c>
      <x:c r="AI36" t="n">
        <x:f>IF(Calc!$AG$36&gt;'Calc'!$B$8,"",MAX(Calc!$AI$35*(1+'财富模型'!$E$20/12)+'Calc'!$B$6-(IF('Calc'!$E$16=1,0,MIN(Calc!$AI$35*(1+'财富模型'!$E$20/12)+'Calc'!$B$6,IF(Calc!$AG$36&lt;='财富模型'!$E$11*12,'Calc'!$W$16,'Calc'!$Y$16)))),0))</x:f>
        <x:v>0</x:v>
      </x:c>
      <x:c r="AJ36" t="n">
        <x:f>IF(Calc!$AG$36&gt;'Calc'!$B$8,"",IF('Calc'!$E$16=1,'财富模型'!$E$9,'财富模型'!$M$8+IF(Calc!$AG$36&lt;='财富模型'!$E$11*12,'Calc'!$W$16,'Calc'!$Y$16)-(IF('Calc'!$E$16=1,0,MIN(Calc!$AI$35*(1+'财富模型'!$E$20/12)+'Calc'!$B$6,IF(Calc!$AG$36&lt;='财富模型'!$E$11*12,'Calc'!$W$16,'Calc'!$Y$16))))))</x:f>
        <x:v>1478.25</x:v>
      </x:c>
      <x:c r="AK36" t="n">
        <x:f>IF(Calc!$AG$36&gt;'Calc'!$B$8,"",IF('Calc'!$E$16=1,0,MIN(Calc!$AI$35*(1+'财富模型'!$E$20/12)+'Calc'!$B$6,IF(Calc!$AG$36&lt;='财富模型'!$E$11*12,'Calc'!$W$16,'Calc'!$Y$16))))</x:f>
        <x:v>2847.75</x:v>
      </x:c>
      <x:c r="AL36" t="n">
        <x:f>IF(Calc!$AG$36&gt;'Calc'!$B$8,"",'Calc'!$B$5-'财富模型'!$E$5-(IF('Calc'!$E$16=1,'财富模型'!$E$9,'财富模型'!$M$8+IF(Calc!$AG$36&lt;='财富模型'!$E$11*12,'Calc'!$W$16,'Calc'!$Y$16)-(IF('Calc'!$E$16=1,0,MIN(Calc!$AI$35*(1+'财富模型'!$E$20/12)+'Calc'!$B$6,IF(Calc!$AG$36&lt;='财富模型'!$E$11*12,'Calc'!$W$16,'Calc'!$Y$16)))))))</x:f>
        <x:v>6455.083333333332</x:v>
      </x:c>
      <x:c r="AM36" t="n">
        <x:f>IF(Calc!$AG$36&gt;'Calc'!$B$8,"",IF('Calc'!$E$16=1,0,MAX(Calc!$AM$35*(1+IF(Calc!$AG$36&lt;='财富模型'!$E$11*12,'财富模型'!$E$10,'财富模型'!$E$12)/12)-IF('Calc'!$E$16=1,0,IF(Calc!$AG$36&lt;='财富模型'!$E$11*12,'Calc'!$W$16,'Calc'!$Y$16)),0)))</x:f>
        <x:v>1063365.5160981016</x:v>
      </x:c>
      <x:c r="AO36" t="n">
        <x:v>15</x:v>
      </x:c>
      <x:c r="AP36" t="n">
        <x:f>IF(Calc!$AO$36&gt;'Calc'!$B$8,"",MAX(Calc!$AP$35*(1+'财富模型'!$E$6/12)+('Calc'!$B$5-'财富模型'!$E$5-(IF('Calc'!$E$17=1,'财富模型'!$E$9,'财富模型'!$M$9+IF(Calc!$AO$36&lt;='财富模型'!$E$11*12,'Calc'!$W$17,'Calc'!$Y$17)-(IF('Calc'!$E$17=1,0,MIN(Calc!$AQ$35*(1+'财富模型'!$E$20/12)+'Calc'!$B$6,IF(Calc!$AO$36&lt;='财富模型'!$E$11*12,'Calc'!$W$17,'Calc'!$Y$17))))))),0))</x:f>
        <x:v>928947.1868626379</x:v>
      </x:c>
      <x:c r="AQ36" t="n">
        <x:f>IF(Calc!$AO$36&gt;'Calc'!$B$8,"",MAX(Calc!$AQ$35*(1+'财富模型'!$E$20/12)+'Calc'!$B$6-(IF('Calc'!$E$17=1,0,MIN(Calc!$AQ$35*(1+'财富模型'!$E$20/12)+'Calc'!$B$6,IF(Calc!$AO$36&lt;='财富模型'!$E$11*12,'Calc'!$W$17,'Calc'!$Y$17)))),0))</x:f>
        <x:v>43344.85443483269</x:v>
      </x:c>
      <x:c r="AR36" t="n">
        <x:f>IF(Calc!$AO$36&gt;'Calc'!$B$8,"",IF('Calc'!$E$17=1,'财富模型'!$E$9,'财富模型'!$M$9+IF(Calc!$AO$36&lt;='财富模型'!$E$11*12,'Calc'!$W$17,'Calc'!$Y$17)-(IF('Calc'!$E$17=1,0,MIN(Calc!$AQ$35*(1+'财富模型'!$E$20/12)+'Calc'!$B$6,IF(Calc!$AO$36&lt;='财富模型'!$E$11*12,'Calc'!$W$17,'Calc'!$Y$17))))))</x:f>
        <x:v>4000</x:v>
      </x:c>
      <x:c r="AS36" t="n">
        <x:f>IF(Calc!$AO$36&gt;'Calc'!$B$8,"",IF('Calc'!$E$17=1,0,MIN(Calc!$AQ$35*(1+'财富模型'!$E$20/12)+'Calc'!$B$6,IF(Calc!$AO$36&lt;='财富模型'!$E$11*12,'Calc'!$W$17,'Calc'!$Y$17))))</x:f>
        <x:v>0</x:v>
      </x:c>
      <x:c r="AT36" t="n">
        <x:f>IF(Calc!$AO$36&gt;'Calc'!$B$8,"",'Calc'!$B$5-'财富模型'!$E$5-(IF('Calc'!$E$17=1,'财富模型'!$E$9,'财富模型'!$M$9+IF(Calc!$AO$36&lt;='财富模型'!$E$11*12,'Calc'!$W$17,'Calc'!$Y$17)-(IF('Calc'!$E$17=1,0,MIN(Calc!$AQ$35*(1+'财富模型'!$E$20/12)+'Calc'!$B$6,IF(Calc!$AO$36&lt;='财富模型'!$E$11*12,'Calc'!$W$17,'Calc'!$Y$17)))))))</x:f>
        <x:v>3933.333333333332</x:v>
      </x:c>
      <x:c r="AU36" t="n">
        <x:f>IF(Calc!$AO$36&gt;'Calc'!$B$8,"",IF('Calc'!$E$17=1,0,MAX(Calc!$AU$35*(1+IF(Calc!$AO$36&lt;='财富模型'!$E$11*12,'财富模型'!$E$10,'财富模型'!$E$12)/12)-IF('Calc'!$E$17=1,0,IF(Calc!$AO$36&lt;='财富模型'!$E$11*12,'Calc'!$W$17,'Calc'!$Y$17)),0)))</x:f>
        <x:v>0</x:v>
      </x:c>
    </x:row>
    <x:row r="37">
      <x:c r="A37" t="n">
        <x:v>16</x:v>
      </x:c>
      <x:c r="B37" t="n">
        <x:f>IF(Calc!$A$37&gt;'Calc'!$B$8,"",MAX(Calc!$B$36*(1+'财富模型'!$E$6/12)+('Calc'!$B$5-'财富模型'!$E$5-(IF('Calc'!$E$12=1,'财富模型'!$E$9,'财富模型'!$M$4+IF(Calc!$A$37&lt;='财富模型'!$E$11*12,'Calc'!$W$12,'Calc'!$Y$12)-(IF('Calc'!$E$12=1,0,MIN(Calc!$C$36*(1+'财富模型'!$E$20/12)+'Calc'!$B$6,IF(Calc!$A$37&lt;='财富模型'!$E$11*12,'Calc'!$W$12,'Calc'!$Y$12))))))),0))</x:f>
        <x:v>532719.4392407521</x:v>
      </x:c>
      <x:c r="C37" t="n">
        <x:f>IF(Calc!$A$37&gt;'Calc'!$B$8,"",MAX(Calc!$C$36*(1+'财富模型'!$E$20/12)+'Calc'!$B$6-(IF('Calc'!$E$12=1,0,MIN(Calc!$C$36*(1+'财富模型'!$E$20/12)+'Calc'!$B$6,IF(Calc!$A$37&lt;='财富模型'!$E$11*12,'Calc'!$W$12,'Calc'!$Y$12)))),0))</x:f>
        <x:v>0</x:v>
      </x:c>
      <x:c r="D37" t="n">
        <x:f>IF(Calc!$A$37&gt;'Calc'!$B$8,"",IF('Calc'!$E$12=1,'财富模型'!$E$9,'财富模型'!$M$4+IF(Calc!$A$37&lt;='财富模型'!$E$11*12,'Calc'!$W$12,'Calc'!$Y$12)-(IF('Calc'!$E$12=1,0,MIN(Calc!$C$36*(1+'财富模型'!$E$20/12)+'Calc'!$B$6,IF(Calc!$A$37&lt;='财富模型'!$E$11*12,'Calc'!$W$12,'Calc'!$Y$12))))))</x:f>
        <x:v>812.25</x:v>
      </x:c>
      <x:c r="E37" t="n">
        <x:f>IF(Calc!$A$37&gt;'Calc'!$B$8,"",IF('Calc'!$E$12=1,0,MIN(Calc!$C$36*(1+'财富模型'!$E$20/12)+'Calc'!$B$6,IF(Calc!$A$37&lt;='财富模型'!$E$11*12,'Calc'!$W$12,'Calc'!$Y$12))))</x:f>
        <x:v>2847.75</x:v>
      </x:c>
      <x:c r="F37" t="n">
        <x:f>IF(Calc!$A$37&gt;'Calc'!$B$8,"",'Calc'!$B$5-'财富模型'!$E$5-(IF('Calc'!$E$12=1,'财富模型'!$E$9,'财富模型'!$M$4+IF(Calc!$A$37&lt;='财富模型'!$E$11*12,'Calc'!$W$12,'Calc'!$Y$12)-(IF('Calc'!$E$12=1,0,MIN(Calc!$C$36*(1+'财富模型'!$E$20/12)+'Calc'!$B$6,IF(Calc!$A$37&lt;='财富模型'!$E$11*12,'Calc'!$W$12,'Calc'!$Y$12)))))))</x:f>
        <x:v>7121.083333333332</x:v>
      </x:c>
      <x:c r="G37" t="n">
        <x:f>IF(Calc!$A$37&gt;'Calc'!$B$8,"",IF('Calc'!$E$12=1,0,MAX(Calc!$G$36*(1+IF(Calc!$A$37&lt;='财富模型'!$E$11*12,'财富模型'!$E$10,'财富模型'!$E$12)/12)-IF('Calc'!$E$12=1,0,IF(Calc!$A$37&lt;='财富模型'!$E$11*12,'Calc'!$W$12,'Calc'!$Y$12)),0)))</x:f>
        <x:v>922257.4477694348</x:v>
      </x:c>
      <x:c r="I37" t="n">
        <x:v>16</x:v>
      </x:c>
      <x:c r="J37" t="n">
        <x:f>IF(Calc!$I$37&gt;'Calc'!$B$8,"",MAX(Calc!$J$36*(1+'财富模型'!$E$6/12)+('Calc'!$B$5-'财富模型'!$E$5-(IF('Calc'!$E$13=1,'财富模型'!$E$9,'财富模型'!$M$5+IF(Calc!$I$37&lt;='财富模型'!$E$11*12,'Calc'!$W$13,'Calc'!$Y$13)-(IF('Calc'!$E$13=1,0,MIN(Calc!$K$36*(1+'财富模型'!$E$20/12)+'Calc'!$B$6,IF(Calc!$I$37&lt;='财富模型'!$E$11*12,'Calc'!$W$13,'Calc'!$Y$13))))))),0))</x:f>
        <x:v>537798.5399633404</x:v>
      </x:c>
      <x:c r="K37" t="n">
        <x:f>IF(Calc!$I$37&gt;'Calc'!$B$8,"",MAX(Calc!$K$36*(1+'财富模型'!$E$20/12)+'Calc'!$B$6-(IF('Calc'!$E$13=1,0,MIN(Calc!$K$36*(1+'财富模型'!$E$20/12)+'Calc'!$B$6,IF(Calc!$I$37&lt;='财富模型'!$E$11*12,'Calc'!$W$13,'Calc'!$Y$13)))),0))</x:f>
        <x:v>0</x:v>
      </x:c>
      <x:c r="L37" t="n">
        <x:f>IF(Calc!$I$37&gt;'Calc'!$B$8,"",IF('Calc'!$E$13=1,'财富模型'!$E$9,'财富模型'!$M$5+IF(Calc!$I$37&lt;='财富模型'!$E$11*12,'Calc'!$W$13,'Calc'!$Y$13)-(IF('Calc'!$E$13=1,0,MIN(Calc!$K$36*(1+'财富模型'!$E$20/12)+'Calc'!$B$6,IF(Calc!$I$37&lt;='财富模型'!$E$11*12,'Calc'!$W$13,'Calc'!$Y$13))))))</x:f>
        <x:v>843.25</x:v>
      </x:c>
      <x:c r="M37" t="n">
        <x:f>IF(Calc!$I$37&gt;'Calc'!$B$8,"",IF('Calc'!$E$13=1,0,MIN(Calc!$K$36*(1+'财富模型'!$E$20/12)+'Calc'!$B$6,IF(Calc!$I$37&lt;='财富模型'!$E$11*12,'Calc'!$W$13,'Calc'!$Y$13))))</x:f>
        <x:v>2847.75</x:v>
      </x:c>
      <x:c r="N37" t="n">
        <x:f>IF(Calc!$I$37&gt;'Calc'!$B$8,"",'Calc'!$B$5-'财富模型'!$E$5-(IF('Calc'!$E$13=1,'财富模型'!$E$9,'财富模型'!$M$5+IF(Calc!$I$37&lt;='财富模型'!$E$11*12,'Calc'!$W$13,'Calc'!$Y$13)-(IF('Calc'!$E$13=1,0,MIN(Calc!$K$36*(1+'财富模型'!$E$20/12)+'Calc'!$B$6,IF(Calc!$I$37&lt;='财富模型'!$E$11*12,'Calc'!$W$13,'Calc'!$Y$13)))))))</x:f>
        <x:v>7090.083333333332</x:v>
      </x:c>
      <x:c r="O37" t="n">
        <x:f>IF(Calc!$I$37&gt;'Calc'!$B$8,"",IF('Calc'!$E$13=1,0,MAX(Calc!$O$36*(1+IF(Calc!$I$37&lt;='财富模型'!$E$11*12,'财富模型'!$E$10,'财富模型'!$E$12)/12)-IF('Calc'!$E$13=1,0,IF(Calc!$I$37&lt;='财富模型'!$E$11*12,'Calc'!$W$13,'Calc'!$Y$13)),0)))</x:f>
        <x:v>911410.2103036586</x:v>
      </x:c>
      <x:c r="Q37" t="n">
        <x:v>16</x:v>
      </x:c>
      <x:c r="R37" t="n">
        <x:f>IF(Calc!$Q$37&gt;'Calc'!$B$8,"",MAX(Calc!$R$36*(1+'财富模型'!$E$6/12)+('Calc'!$B$5-'财富模型'!$E$5-(IF('Calc'!$E$14=1,'财富模型'!$E$9,'财富模型'!$M$6+IF(Calc!$Q$37&lt;='财富模型'!$E$11*12,'Calc'!$W$14,'Calc'!$Y$14)-(IF('Calc'!$E$14=1,0,MIN(Calc!$S$36*(1+'财富模型'!$E$20/12)+'Calc'!$B$6,IF(Calc!$Q$37&lt;='财富模型'!$E$11*12,'Calc'!$W$14,'Calc'!$Y$14))))))),0))</x:f>
        <x:v>394923.8934540058</x:v>
      </x:c>
      <x:c r="S37" t="n">
        <x:f>IF(Calc!$Q$37&gt;'Calc'!$B$8,"",MAX(Calc!$S$36*(1+'财富模型'!$E$20/12)+'Calc'!$B$6-(IF('Calc'!$E$14=1,0,MIN(Calc!$S$36*(1+'财富模型'!$E$20/12)+'Calc'!$B$6,IF(Calc!$Q$37&lt;='财富模型'!$E$11*12,'Calc'!$W$14,'Calc'!$Y$14)))),0))</x:f>
        <x:v>0</x:v>
      </x:c>
      <x:c r="T37" t="n">
        <x:f>IF(Calc!$Q$37&gt;'Calc'!$B$8,"",IF('Calc'!$E$14=1,'财富模型'!$E$9,'财富模型'!$M$6+IF(Calc!$Q$37&lt;='财富模型'!$E$11*12,'Calc'!$W$14,'Calc'!$Y$14)-(IF('Calc'!$E$14=1,0,MIN(Calc!$S$36*(1+'财富模型'!$E$20/12)+'Calc'!$B$6,IF(Calc!$Q$37&lt;='财富模型'!$E$11*12,'Calc'!$W$14,'Calc'!$Y$14))))))</x:f>
        <x:v>1388.25</x:v>
      </x:c>
      <x:c r="U37" t="n">
        <x:f>IF(Calc!$Q$37&gt;'Calc'!$B$8,"",IF('Calc'!$E$14=1,0,MIN(Calc!$S$36*(1+'财富模型'!$E$20/12)+'Calc'!$B$6,IF(Calc!$Q$37&lt;='财富模型'!$E$11*12,'Calc'!$W$14,'Calc'!$Y$14))))</x:f>
        <x:v>2847.75</x:v>
      </x:c>
      <x:c r="V37" t="n">
        <x:f>IF(Calc!$Q$37&gt;'Calc'!$B$8,"",'Calc'!$B$5-'财富模型'!$E$5-(IF('Calc'!$E$14=1,'财富模型'!$E$9,'财富模型'!$M$6+IF(Calc!$Q$37&lt;='财富模型'!$E$11*12,'Calc'!$W$14,'Calc'!$Y$14)-(IF('Calc'!$E$14=1,0,MIN(Calc!$S$36*(1+'财富模型'!$E$20/12)+'Calc'!$B$6,IF(Calc!$Q$37&lt;='财富模型'!$E$11*12,'Calc'!$W$14,'Calc'!$Y$14)))))))</x:f>
        <x:v>6545.083333333332</x:v>
      </x:c>
      <x:c r="W37" t="n">
        <x:f>IF(Calc!$Q$37&gt;'Calc'!$B$8,"",IF('Calc'!$E$14=1,0,MAX(Calc!$W$36*(1+IF(Calc!$Q$37&lt;='财富模型'!$E$11*12,'财富模型'!$E$10,'财富模型'!$E$12)/12)-IF('Calc'!$E$14=1,0,IF(Calc!$Q$37&lt;='财富模型'!$E$11*12,'Calc'!$W$14,'Calc'!$Y$14)),0)))</x:f>
        <x:v>1060898.7229932242</x:v>
      </x:c>
      <x:c r="Y37" t="n">
        <x:v>16</x:v>
      </x:c>
      <x:c r="Z37" t="n">
        <x:f>IF(Calc!$Y$37&gt;'Calc'!$B$8,"",MAX(Calc!$Z$36*(1+'财富模型'!$E$6/12)+('Calc'!$B$5-'财富模型'!$E$5-(IF('Calc'!$E$15=1,'财富模型'!$E$9,'财富模型'!$M$7+IF(Calc!$Y$37&lt;='财富模型'!$E$11*12,'Calc'!$W$15,'Calc'!$Y$15)-(IF('Calc'!$E$15=1,0,MIN(Calc!$AA$36*(1+'财富模型'!$E$20/12)+'Calc'!$B$6,IF(Calc!$Y$37&lt;='财富模型'!$E$11*12,'Calc'!$W$15,'Calc'!$Y$15))))))),0))</x:f>
        <x:v>121811.58057398743</x:v>
      </x:c>
      <x:c r="AA37" t="n">
        <x:f>IF(Calc!$Y$37&gt;'Calc'!$B$8,"",MAX(Calc!$AA$36*(1+'财富模型'!$E$20/12)+'Calc'!$B$6-(IF('Calc'!$E$15=1,0,MIN(Calc!$AA$36*(1+'财富模型'!$E$20/12)+'Calc'!$B$6,IF(Calc!$Y$37&lt;='财富模型'!$E$11*12,'Calc'!$W$15,'Calc'!$Y$15)))),0))</x:f>
        <x:v>0</x:v>
      </x:c>
      <x:c r="AB37" t="n">
        <x:f>IF(Calc!$Y$37&gt;'Calc'!$B$8,"",IF('Calc'!$E$15=1,'财富模型'!$E$9,'财富模型'!$M$7+IF(Calc!$Y$37&lt;='财富模型'!$E$11*12,'Calc'!$W$15,'Calc'!$Y$15)-(IF('Calc'!$E$15=1,0,MIN(Calc!$AA$36*(1+'财富模型'!$E$20/12)+'Calc'!$B$6,IF(Calc!$Y$37&lt;='财富模型'!$E$11*12,'Calc'!$W$15,'Calc'!$Y$15))))))</x:f>
        <x:v>1468.25</x:v>
      </x:c>
      <x:c r="AC37" t="n">
        <x:f>IF(Calc!$Y$37&gt;'Calc'!$B$8,"",IF('Calc'!$E$15=1,0,MIN(Calc!$AA$36*(1+'财富模型'!$E$20/12)+'Calc'!$B$6,IF(Calc!$Y$37&lt;='财富模型'!$E$11*12,'Calc'!$W$15,'Calc'!$Y$15))))</x:f>
        <x:v>2847.75</x:v>
      </x:c>
      <x:c r="AD37" t="n">
        <x:f>IF(Calc!$Y$37&gt;'Calc'!$B$8,"",'Calc'!$B$5-'财富模型'!$E$5-(IF('Calc'!$E$15=1,'财富模型'!$E$9,'财富模型'!$M$7+IF(Calc!$Y$37&lt;='财富模型'!$E$11*12,'Calc'!$W$15,'Calc'!$Y$15)-(IF('Calc'!$E$15=1,0,MIN(Calc!$AA$36*(1+'财富模型'!$E$20/12)+'Calc'!$B$6,IF(Calc!$Y$37&lt;='财富模型'!$E$11*12,'Calc'!$W$15,'Calc'!$Y$15)))))))</x:f>
        <x:v>6465.083333333332</x:v>
      </x:c>
      <x:c r="AE37" t="n">
        <x:f>IF(Calc!$Y$37&gt;'Calc'!$B$8,"",IF('Calc'!$E$15=1,0,MAX(Calc!$AE$36*(1+IF(Calc!$Y$37&lt;='财富模型'!$E$11*12,'财富模型'!$E$10,'财富模型'!$E$12)/12)-IF('Calc'!$E$15=1,0,IF(Calc!$Y$37&lt;='财富模型'!$E$11*12,'Calc'!$W$15,'Calc'!$Y$15)),0)))</x:f>
        <x:v>1060898.7229932242</x:v>
      </x:c>
      <x:c r="AG37" t="n">
        <x:v>16</x:v>
      </x:c>
      <x:c r="AH37" t="n">
        <x:f>IF(Calc!$AG$37&gt;'Calc'!$B$8,"",MAX(Calc!$AH$36*(1+'财富模型'!$E$6/12)+('Calc'!$B$5-'财富模型'!$E$5-(IF('Calc'!$E$16=1,'财富模型'!$E$9,'财富模型'!$M$8+IF(Calc!$AG$37&lt;='财富模型'!$E$11*12,'Calc'!$W$16,'Calc'!$Y$16)-(IF('Calc'!$E$16=1,0,MIN(Calc!$AI$36*(1+'财富模型'!$E$20/12)+'Calc'!$B$6,IF(Calc!$AG$37&lt;='财富模型'!$E$11*12,'Calc'!$W$16,'Calc'!$Y$16))))))),0))</x:f>
        <x:v>107925.26183901344</x:v>
      </x:c>
      <x:c r="AI37" t="n">
        <x:f>IF(Calc!$AG$37&gt;'Calc'!$B$8,"",MAX(Calc!$AI$36*(1+'财富模型'!$E$20/12)+'Calc'!$B$6-(IF('Calc'!$E$16=1,0,MIN(Calc!$AI$36*(1+'财富模型'!$E$20/12)+'Calc'!$B$6,IF(Calc!$AG$37&lt;='财富模型'!$E$11*12,'Calc'!$W$16,'Calc'!$Y$16)))),0))</x:f>
        <x:v>0</x:v>
      </x:c>
      <x:c r="AJ37" t="n">
        <x:f>IF(Calc!$AG$37&gt;'Calc'!$B$8,"",IF('Calc'!$E$16=1,'财富模型'!$E$9,'财富模型'!$M$8+IF(Calc!$AG$37&lt;='财富模型'!$E$11*12,'Calc'!$W$16,'Calc'!$Y$16)-(IF('Calc'!$E$16=1,0,MIN(Calc!$AI$36*(1+'财富模型'!$E$20/12)+'Calc'!$B$6,IF(Calc!$AG$37&lt;='财富模型'!$E$11*12,'Calc'!$W$16,'Calc'!$Y$16))))))</x:f>
        <x:v>1478.25</x:v>
      </x:c>
      <x:c r="AK37" t="n">
        <x:f>IF(Calc!$AG$37&gt;'Calc'!$B$8,"",IF('Calc'!$E$16=1,0,MIN(Calc!$AI$36*(1+'财富模型'!$E$20/12)+'Calc'!$B$6,IF(Calc!$AG$37&lt;='财富模型'!$E$11*12,'Calc'!$W$16,'Calc'!$Y$16))))</x:f>
        <x:v>2847.75</x:v>
      </x:c>
      <x:c r="AL37" t="n">
        <x:f>IF(Calc!$AG$37&gt;'Calc'!$B$8,"",'Calc'!$B$5-'财富模型'!$E$5-(IF('Calc'!$E$16=1,'财富模型'!$E$9,'财富模型'!$M$8+IF(Calc!$AG$37&lt;='财富模型'!$E$11*12,'Calc'!$W$16,'Calc'!$Y$16)-(IF('Calc'!$E$16=1,0,MIN(Calc!$AI$36*(1+'财富模型'!$E$20/12)+'Calc'!$B$6,IF(Calc!$AG$37&lt;='财富模型'!$E$11*12,'Calc'!$W$16,'Calc'!$Y$16)))))))</x:f>
        <x:v>6455.083333333332</x:v>
      </x:c>
      <x:c r="AM37" t="n">
        <x:f>IF(Calc!$AG$37&gt;'Calc'!$B$8,"",IF('Calc'!$E$16=1,0,MAX(Calc!$AM$36*(1+IF(Calc!$AG$37&lt;='财富模型'!$E$11*12,'财富模型'!$E$10,'财富模型'!$E$12)/12)-IF('Calc'!$E$16=1,0,IF(Calc!$AG$37&lt;='财富模型'!$E$11*12,'Calc'!$W$16,'Calc'!$Y$16)),0)))</x:f>
        <x:v>1060898.7229932242</x:v>
      </x:c>
      <x:c r="AO37" t="n">
        <x:v>16</x:v>
      </x:c>
      <x:c r="AP37" t="n">
        <x:f>IF(Calc!$AO$37&gt;'Calc'!$B$8,"",MAX(Calc!$AP$36*(1+'财富模型'!$E$6/12)+('Calc'!$B$5-'财富模型'!$E$5-(IF('Calc'!$E$17=1,'财富模型'!$E$9,'财富模型'!$M$9+IF(Calc!$AO$37&lt;='财富模型'!$E$11*12,'Calc'!$W$17,'Calc'!$Y$17)-(IF('Calc'!$E$17=1,0,MIN(Calc!$AQ$36*(1+'财富模型'!$E$20/12)+'Calc'!$B$6,IF(Calc!$AO$37&lt;='财富模型'!$E$11*12,'Calc'!$W$17,'Calc'!$Y$17))))))),0))</x:f>
        <x:v>938299.3787860033</x:v>
      </x:c>
      <x:c r="AQ37" t="n">
        <x:f>IF(Calc!$AO$37&gt;'Calc'!$B$8,"",MAX(Calc!$AQ$36*(1+'财富模型'!$E$20/12)+'Calc'!$B$6-(IF('Calc'!$E$17=1,0,MIN(Calc!$AQ$36*(1+'财富模型'!$E$20/12)+'Calc'!$B$6,IF(Calc!$AO$37&lt;='财富模型'!$E$11*12,'Calc'!$W$17,'Calc'!$Y$17)))),0))</x:f>
        <x:v>46282.90621490526</x:v>
      </x:c>
      <x:c r="AR37" t="n">
        <x:f>IF(Calc!$AO$37&gt;'Calc'!$B$8,"",IF('Calc'!$E$17=1,'财富模型'!$E$9,'财富模型'!$M$9+IF(Calc!$AO$37&lt;='财富模型'!$E$11*12,'Calc'!$W$17,'Calc'!$Y$17)-(IF('Calc'!$E$17=1,0,MIN(Calc!$AQ$36*(1+'财富模型'!$E$20/12)+'Calc'!$B$6,IF(Calc!$AO$37&lt;='财富模型'!$E$11*12,'Calc'!$W$17,'Calc'!$Y$17))))))</x:f>
        <x:v>4000</x:v>
      </x:c>
      <x:c r="AS37" t="n">
        <x:f>IF(Calc!$AO$37&gt;'Calc'!$B$8,"",IF('Calc'!$E$17=1,0,MIN(Calc!$AQ$36*(1+'财富模型'!$E$20/12)+'Calc'!$B$6,IF(Calc!$AO$37&lt;='财富模型'!$E$11*12,'Calc'!$W$17,'Calc'!$Y$17))))</x:f>
        <x:v>0</x:v>
      </x:c>
      <x:c r="AT37" t="n">
        <x:f>IF(Calc!$AO$37&gt;'Calc'!$B$8,"",'Calc'!$B$5-'财富模型'!$E$5-(IF('Calc'!$E$17=1,'财富模型'!$E$9,'财富模型'!$M$9+IF(Calc!$AO$37&lt;='财富模型'!$E$11*12,'Calc'!$W$17,'Calc'!$Y$17)-(IF('Calc'!$E$17=1,0,MIN(Calc!$AQ$36*(1+'财富模型'!$E$20/12)+'Calc'!$B$6,IF(Calc!$AO$37&lt;='财富模型'!$E$11*12,'Calc'!$W$17,'Calc'!$Y$17)))))))</x:f>
        <x:v>3933.333333333332</x:v>
      </x:c>
      <x:c r="AU37" t="n">
        <x:f>IF(Calc!$AO$37&gt;'Calc'!$B$8,"",IF('Calc'!$E$17=1,0,MAX(Calc!$AU$36*(1+IF(Calc!$AO$37&lt;='财富模型'!$E$11*12,'财富模型'!$E$10,'财富模型'!$E$12)/12)-IF('Calc'!$E$17=1,0,IF(Calc!$AO$37&lt;='财富模型'!$E$11*12,'Calc'!$W$17,'Calc'!$Y$17)),0)))</x:f>
        <x:v>0</x:v>
      </x:c>
    </x:row>
    <x:row r="38">
      <x:c r="A38" t="n">
        <x:v>17</x:v>
      </x:c>
      <x:c r="B38" t="n">
        <x:f>IF(Calc!$A$38&gt;'Calc'!$B$8,"",MAX(Calc!$B$37*(1+'财富模型'!$E$6/12)+('Calc'!$B$5-'财富模型'!$E$5-(IF('Calc'!$E$12=1,'财富模型'!$E$9,'财富模型'!$M$4+IF(Calc!$A$38&lt;='财富模型'!$E$11*12,'Calc'!$W$12,'Calc'!$Y$12)-(IF('Calc'!$E$12=1,0,MIN(Calc!$C$37*(1+'财富模型'!$E$20/12)+'Calc'!$B$6,IF(Calc!$A$38&lt;='财富模型'!$E$11*12,'Calc'!$W$12,'Calc'!$Y$12))))))),0))</x:f>
        <x:v>542948.0526363233</x:v>
      </x:c>
      <x:c r="C38" t="n">
        <x:f>IF(Calc!$A$38&gt;'Calc'!$B$8,"",MAX(Calc!$C$37*(1+'财富模型'!$E$20/12)+'Calc'!$B$6-(IF('Calc'!$E$12=1,0,MIN(Calc!$C$37*(1+'财富模型'!$E$20/12)+'Calc'!$B$6,IF(Calc!$A$38&lt;='财富模型'!$E$11*12,'Calc'!$W$12,'Calc'!$Y$12)))),0))</x:f>
        <x:v>0</x:v>
      </x:c>
      <x:c r="D38" t="n">
        <x:f>IF(Calc!$A$38&gt;'Calc'!$B$8,"",IF('Calc'!$E$12=1,'财富模型'!$E$9,'财富模型'!$M$4+IF(Calc!$A$38&lt;='财富模型'!$E$11*12,'Calc'!$W$12,'Calc'!$Y$12)-(IF('Calc'!$E$12=1,0,MIN(Calc!$C$37*(1+'财富模型'!$E$20/12)+'Calc'!$B$6,IF(Calc!$A$38&lt;='财富模型'!$E$11*12,'Calc'!$W$12,'Calc'!$Y$12))))))</x:f>
        <x:v>812.25</x:v>
      </x:c>
      <x:c r="E38" t="n">
        <x:f>IF(Calc!$A$38&gt;'Calc'!$B$8,"",IF('Calc'!$E$12=1,0,MIN(Calc!$C$37*(1+'财富模型'!$E$20/12)+'Calc'!$B$6,IF(Calc!$A$38&lt;='财富模型'!$E$11*12,'Calc'!$W$12,'Calc'!$Y$12))))</x:f>
        <x:v>2847.75</x:v>
      </x:c>
      <x:c r="F38" t="n">
        <x:f>IF(Calc!$A$38&gt;'Calc'!$B$8,"",'Calc'!$B$5-'财富模型'!$E$5-(IF('Calc'!$E$12=1,'财富模型'!$E$9,'财富模型'!$M$4+IF(Calc!$A$38&lt;='财富模型'!$E$11*12,'Calc'!$W$12,'Calc'!$Y$12)-(IF('Calc'!$E$12=1,0,MIN(Calc!$C$37*(1+'财富模型'!$E$20/12)+'Calc'!$B$6,IF(Calc!$A$38&lt;='财富模型'!$E$11*12,'Calc'!$W$12,'Calc'!$Y$12)))))))</x:f>
        <x:v>7121.083333333332</x:v>
      </x:c>
      <x:c r="G38" t="n">
        <x:f>IF(Calc!$A$38&gt;'Calc'!$B$8,"",IF('Calc'!$E$12=1,0,MAX(Calc!$G$37*(1+IF(Calc!$A$38&lt;='财富模型'!$E$11*12,'财富模型'!$E$10,'财富模型'!$E$12)/12)-IF('Calc'!$E$12=1,0,IF(Calc!$A$38&lt;='财富模型'!$E$11*12,'Calc'!$W$12,'Calc'!$Y$12)),0)))</x:f>
        <x:v>920110.2695791465</x:v>
      </x:c>
      <x:c r="I38" t="n">
        <x:v>17</x:v>
      </x:c>
      <x:c r="J38" t="n">
        <x:f>IF(Calc!$I$38&gt;'Calc'!$B$8,"",MAX(Calc!$J$37*(1+'财富模型'!$E$6/12)+('Calc'!$B$5-'财富模型'!$E$5-(IF('Calc'!$E$13=1,'财富模型'!$E$9,'财富模型'!$M$5+IF(Calc!$I$38&lt;='财富模型'!$E$11*12,'Calc'!$W$13,'Calc'!$Y$13)-(IF('Calc'!$E$13=1,0,MIN(Calc!$K$37*(1+'财富模型'!$E$20/12)+'Calc'!$B$6,IF(Calc!$I$38&lt;='财富模型'!$E$11*12,'Calc'!$W$13,'Calc'!$Y$13))))))),0))</x:f>
        <x:v>548025.7814464599</x:v>
      </x:c>
      <x:c r="K38" t="n">
        <x:f>IF(Calc!$I$38&gt;'Calc'!$B$8,"",MAX(Calc!$K$37*(1+'财富模型'!$E$20/12)+'Calc'!$B$6-(IF('Calc'!$E$13=1,0,MIN(Calc!$K$37*(1+'财富模型'!$E$20/12)+'Calc'!$B$6,IF(Calc!$I$38&lt;='财富模型'!$E$11*12,'Calc'!$W$13,'Calc'!$Y$13)))),0))</x:f>
        <x:v>0</x:v>
      </x:c>
      <x:c r="L38" t="n">
        <x:f>IF(Calc!$I$38&gt;'Calc'!$B$8,"",IF('Calc'!$E$13=1,'财富模型'!$E$9,'财富模型'!$M$5+IF(Calc!$I$38&lt;='财富模型'!$E$11*12,'Calc'!$W$13,'Calc'!$Y$13)-(IF('Calc'!$E$13=1,0,MIN(Calc!$K$37*(1+'财富模型'!$E$20/12)+'Calc'!$B$6,IF(Calc!$I$38&lt;='财富模型'!$E$11*12,'Calc'!$W$13,'Calc'!$Y$13))))))</x:f>
        <x:v>843.25</x:v>
      </x:c>
      <x:c r="M38" t="n">
        <x:f>IF(Calc!$I$38&gt;'Calc'!$B$8,"",IF('Calc'!$E$13=1,0,MIN(Calc!$K$37*(1+'财富模型'!$E$20/12)+'Calc'!$B$6,IF(Calc!$I$38&lt;='财富模型'!$E$11*12,'Calc'!$W$13,'Calc'!$Y$13))))</x:f>
        <x:v>2847.75</x:v>
      </x:c>
      <x:c r="N38" t="n">
        <x:f>IF(Calc!$I$38&gt;'Calc'!$B$8,"",'Calc'!$B$5-'财富模型'!$E$5-(IF('Calc'!$E$13=1,'财富模型'!$E$9,'财富模型'!$M$5+IF(Calc!$I$38&lt;='财富模型'!$E$11*12,'Calc'!$W$13,'Calc'!$Y$13)-(IF('Calc'!$E$13=1,0,MIN(Calc!$K$37*(1+'财富模型'!$E$20/12)+'Calc'!$B$6,IF(Calc!$I$38&lt;='财富模型'!$E$11*12,'Calc'!$W$13,'Calc'!$Y$13)))))))</x:f>
        <x:v>7090.083333333332</x:v>
      </x:c>
      <x:c r="O38" t="n">
        <x:f>IF(Calc!$I$38&gt;'Calc'!$B$8,"",IF('Calc'!$E$13=1,0,MAX(Calc!$O$37*(1+IF(Calc!$I$38&lt;='财富模型'!$E$11*12,'财富模型'!$E$10,'财富模型'!$E$12)/12)-IF('Calc'!$E$13=1,0,IF(Calc!$I$38&lt;='财富模型'!$E$11*12,'Calc'!$W$13,'Calc'!$Y$13)),0)))</x:f>
        <x:v>909288.4730665382</x:v>
      </x:c>
      <x:c r="Q38" t="n">
        <x:v>17</x:v>
      </x:c>
      <x:c r="R38" t="n">
        <x:f>IF(Calc!$Q$38&gt;'Calc'!$B$8,"",MAX(Calc!$R$37*(1+'财富模型'!$E$6/12)+('Calc'!$B$5-'财富模型'!$E$5-(IF('Calc'!$E$14=1,'财富模型'!$E$9,'财富模型'!$M$6+IF(Calc!$Q$38&lt;='财富模型'!$E$11*12,'Calc'!$W$14,'Calc'!$Y$14)-(IF('Calc'!$E$14=1,0,MIN(Calc!$S$37*(1+'财富模型'!$E$20/12)+'Calc'!$B$6,IF(Calc!$Q$38&lt;='财富模型'!$E$11*12,'Calc'!$W$14,'Calc'!$Y$14))))))),0))</x:f>
        <x:v>403772.6994991542</x:v>
      </x:c>
      <x:c r="S38" t="n">
        <x:f>IF(Calc!$Q$38&gt;'Calc'!$B$8,"",MAX(Calc!$S$37*(1+'财富模型'!$E$20/12)+'Calc'!$B$6-(IF('Calc'!$E$14=1,0,MIN(Calc!$S$37*(1+'财富模型'!$E$20/12)+'Calc'!$B$6,IF(Calc!$Q$38&lt;='财富模型'!$E$11*12,'Calc'!$W$14,'Calc'!$Y$14)))),0))</x:f>
        <x:v>0</x:v>
      </x:c>
      <x:c r="T38" t="n">
        <x:f>IF(Calc!$Q$38&gt;'Calc'!$B$8,"",IF('Calc'!$E$14=1,'财富模型'!$E$9,'财富模型'!$M$6+IF(Calc!$Q$38&lt;='财富模型'!$E$11*12,'Calc'!$W$14,'Calc'!$Y$14)-(IF('Calc'!$E$14=1,0,MIN(Calc!$S$37*(1+'财富模型'!$E$20/12)+'Calc'!$B$6,IF(Calc!$Q$38&lt;='财富模型'!$E$11*12,'Calc'!$W$14,'Calc'!$Y$14))))))</x:f>
        <x:v>1388.25</x:v>
      </x:c>
      <x:c r="U38" t="n">
        <x:f>IF(Calc!$Q$38&gt;'Calc'!$B$8,"",IF('Calc'!$E$14=1,0,MIN(Calc!$S$37*(1+'财富模型'!$E$20/12)+'Calc'!$B$6,IF(Calc!$Q$38&lt;='财富模型'!$E$11*12,'Calc'!$W$14,'Calc'!$Y$14))))</x:f>
        <x:v>2847.75</x:v>
      </x:c>
      <x:c r="V38" t="n">
        <x:f>IF(Calc!$Q$38&gt;'Calc'!$B$8,"",'Calc'!$B$5-'财富模型'!$E$5-(IF('Calc'!$E$14=1,'财富模型'!$E$9,'财富模型'!$M$6+IF(Calc!$Q$38&lt;='财富模型'!$E$11*12,'Calc'!$W$14,'Calc'!$Y$14)-(IF('Calc'!$E$14=1,0,MIN(Calc!$S$37*(1+'财富模型'!$E$20/12)+'Calc'!$B$6,IF(Calc!$Q$38&lt;='财富模型'!$E$11*12,'Calc'!$W$14,'Calc'!$Y$14)))))))</x:f>
        <x:v>6545.083333333332</x:v>
      </x:c>
      <x:c r="W38" t="n">
        <x:f>IF(Calc!$Q$38&gt;'Calc'!$B$8,"",IF('Calc'!$E$14=1,0,MAX(Calc!$W$37*(1+IF(Calc!$Q$38&lt;='财富模型'!$E$11*12,'财富模型'!$E$10,'财富模型'!$E$12)/12)-IF('Calc'!$E$14=1,0,IF(Calc!$Q$38&lt;='财富模型'!$E$11*12,'Calc'!$W$14,'Calc'!$Y$14)),0)))</x:f>
        <x:v>1058428.8463969657</x:v>
      </x:c>
      <x:c r="Y38" t="n">
        <x:v>17</x:v>
      </x:c>
      <x:c r="Z38" t="n">
        <x:f>IF(Calc!$Y$38&gt;'Calc'!$B$8,"",MAX(Calc!$Z$37*(1+'财富模型'!$E$6/12)+('Calc'!$B$5-'财富模型'!$E$5-(IF('Calc'!$E$15=1,'财富模型'!$E$9,'财富模型'!$M$7+IF(Calc!$Y$38&lt;='财富模型'!$E$11*12,'Calc'!$W$15,'Calc'!$Y$15)-(IF('Calc'!$E$15=1,0,MIN(Calc!$AA$37*(1+'财富模型'!$E$20/12)+'Calc'!$B$6,IF(Calc!$Y$38&lt;='财富模型'!$E$11*12,'Calc'!$W$15,'Calc'!$Y$15))))))),0))</x:f>
        <x:v>128987.23146066902</x:v>
      </x:c>
      <x:c r="AA38" t="n">
        <x:f>IF(Calc!$Y$38&gt;'Calc'!$B$8,"",MAX(Calc!$AA$37*(1+'财富模型'!$E$20/12)+'Calc'!$B$6-(IF('Calc'!$E$15=1,0,MIN(Calc!$AA$37*(1+'财富模型'!$E$20/12)+'Calc'!$B$6,IF(Calc!$Y$38&lt;='财富模型'!$E$11*12,'Calc'!$W$15,'Calc'!$Y$15)))),0))</x:f>
        <x:v>0</x:v>
      </x:c>
      <x:c r="AB38" t="n">
        <x:f>IF(Calc!$Y$38&gt;'Calc'!$B$8,"",IF('Calc'!$E$15=1,'财富模型'!$E$9,'财富模型'!$M$7+IF(Calc!$Y$38&lt;='财富模型'!$E$11*12,'Calc'!$W$15,'Calc'!$Y$15)-(IF('Calc'!$E$15=1,0,MIN(Calc!$AA$37*(1+'财富模型'!$E$20/12)+'Calc'!$B$6,IF(Calc!$Y$38&lt;='财富模型'!$E$11*12,'Calc'!$W$15,'Calc'!$Y$15))))))</x:f>
        <x:v>1468.25</x:v>
      </x:c>
      <x:c r="AC38" t="n">
        <x:f>IF(Calc!$Y$38&gt;'Calc'!$B$8,"",IF('Calc'!$E$15=1,0,MIN(Calc!$AA$37*(1+'财富模型'!$E$20/12)+'Calc'!$B$6,IF(Calc!$Y$38&lt;='财富模型'!$E$11*12,'Calc'!$W$15,'Calc'!$Y$15))))</x:f>
        <x:v>2847.75</x:v>
      </x:c>
      <x:c r="AD38" t="n">
        <x:f>IF(Calc!$Y$38&gt;'Calc'!$B$8,"",'Calc'!$B$5-'财富模型'!$E$5-(IF('Calc'!$E$15=1,'财富模型'!$E$9,'财富模型'!$M$7+IF(Calc!$Y$38&lt;='财富模型'!$E$11*12,'Calc'!$W$15,'Calc'!$Y$15)-(IF('Calc'!$E$15=1,0,MIN(Calc!$AA$37*(1+'财富模型'!$E$20/12)+'Calc'!$B$6,IF(Calc!$Y$38&lt;='财富模型'!$E$11*12,'Calc'!$W$15,'Calc'!$Y$15)))))))</x:f>
        <x:v>6465.083333333332</x:v>
      </x:c>
      <x:c r="AE38" t="n">
        <x:f>IF(Calc!$Y$38&gt;'Calc'!$B$8,"",IF('Calc'!$E$15=1,0,MAX(Calc!$AE$37*(1+IF(Calc!$Y$38&lt;='财富模型'!$E$11*12,'财富模型'!$E$10,'财富模型'!$E$12)/12)-IF('Calc'!$E$15=1,0,IF(Calc!$Y$38&lt;='财富模型'!$E$11*12,'Calc'!$W$15,'Calc'!$Y$15)),0)))</x:f>
        <x:v>1058428.8463969657</x:v>
      </x:c>
      <x:c r="AG38" t="n">
        <x:v>17</x:v>
      </x:c>
      <x:c r="AH38" t="n">
        <x:f>IF(Calc!$AG$38&gt;'Calc'!$B$8,"",MAX(Calc!$AH$37*(1+'财富模型'!$E$6/12)+('Calc'!$B$5-'财富模型'!$E$5-(IF('Calc'!$E$16=1,'财富模型'!$E$9,'财富模型'!$M$8+IF(Calc!$AG$38&lt;='财富模型'!$E$11*12,'Calc'!$W$16,'Calc'!$Y$16)-(IF('Calc'!$E$16=1,0,MIN(Calc!$AI$37*(1+'财富模型'!$E$20/12)+'Calc'!$B$6,IF(Calc!$AG$38&lt;='财富模型'!$E$11*12,'Calc'!$W$16,'Calc'!$Y$16))))))),0))</x:f>
        <x:v>115009.90919974101</x:v>
      </x:c>
      <x:c r="AI38" t="n">
        <x:f>IF(Calc!$AG$38&gt;'Calc'!$B$8,"",MAX(Calc!$AI$37*(1+'财富模型'!$E$20/12)+'Calc'!$B$6-(IF('Calc'!$E$16=1,0,MIN(Calc!$AI$37*(1+'财富模型'!$E$20/12)+'Calc'!$B$6,IF(Calc!$AG$38&lt;='财富模型'!$E$11*12,'Calc'!$W$16,'Calc'!$Y$16)))),0))</x:f>
        <x:v>0</x:v>
      </x:c>
      <x:c r="AJ38" t="n">
        <x:f>IF(Calc!$AG$38&gt;'Calc'!$B$8,"",IF('Calc'!$E$16=1,'财富模型'!$E$9,'财富模型'!$M$8+IF(Calc!$AG$38&lt;='财富模型'!$E$11*12,'Calc'!$W$16,'Calc'!$Y$16)-(IF('Calc'!$E$16=1,0,MIN(Calc!$AI$37*(1+'财富模型'!$E$20/12)+'Calc'!$B$6,IF(Calc!$AG$38&lt;='财富模型'!$E$11*12,'Calc'!$W$16,'Calc'!$Y$16))))))</x:f>
        <x:v>1478.25</x:v>
      </x:c>
      <x:c r="AK38" t="n">
        <x:f>IF(Calc!$AG$38&gt;'Calc'!$B$8,"",IF('Calc'!$E$16=1,0,MIN(Calc!$AI$37*(1+'财富模型'!$E$20/12)+'Calc'!$B$6,IF(Calc!$AG$38&lt;='财富模型'!$E$11*12,'Calc'!$W$16,'Calc'!$Y$16))))</x:f>
        <x:v>2847.75</x:v>
      </x:c>
      <x:c r="AL38" t="n">
        <x:f>IF(Calc!$AG$38&gt;'Calc'!$B$8,"",'Calc'!$B$5-'财富模型'!$E$5-(IF('Calc'!$E$16=1,'财富模型'!$E$9,'财富模型'!$M$8+IF(Calc!$AG$38&lt;='财富模型'!$E$11*12,'Calc'!$W$16,'Calc'!$Y$16)-(IF('Calc'!$E$16=1,0,MIN(Calc!$AI$37*(1+'财富模型'!$E$20/12)+'Calc'!$B$6,IF(Calc!$AG$38&lt;='财富模型'!$E$11*12,'Calc'!$W$16,'Calc'!$Y$16)))))))</x:f>
        <x:v>6455.083333333332</x:v>
      </x:c>
      <x:c r="AM38" t="n">
        <x:f>IF(Calc!$AG$38&gt;'Calc'!$B$8,"",IF('Calc'!$E$16=1,0,MAX(Calc!$AM$37*(1+IF(Calc!$AG$38&lt;='财富模型'!$E$11*12,'财富模型'!$E$10,'财富模型'!$E$12)/12)-IF('Calc'!$E$16=1,0,IF(Calc!$AG$38&lt;='财富模型'!$E$11*12,'Calc'!$W$16,'Calc'!$Y$16)),0)))</x:f>
        <x:v>1058428.8463969657</x:v>
      </x:c>
      <x:c r="AO38" t="n">
        <x:v>17</x:v>
      </x:c>
      <x:c r="AP38" t="n">
        <x:f>IF(Calc!$AO$38&gt;'Calc'!$B$8,"",MAX(Calc!$AP$37*(1+'财富模型'!$E$6/12)+('Calc'!$B$5-'财富模型'!$E$5-(IF('Calc'!$E$17=1,'财富模型'!$E$9,'财富模型'!$M$9+IF(Calc!$AO$38&lt;='财富模型'!$E$11*12,'Calc'!$W$17,'Calc'!$Y$17)-(IF('Calc'!$E$17=1,0,MIN(Calc!$AQ$37*(1+'财富模型'!$E$20/12)+'Calc'!$B$6,IF(Calc!$AO$38&lt;='财富模型'!$E$11*12,'Calc'!$W$17,'Calc'!$Y$17))))))),0))</x:f>
        <x:v>947706.1251622551</x:v>
      </x:c>
      <x:c r="AQ38" t="n">
        <x:f>IF(Calc!$AO$38&gt;'Calc'!$B$8,"",MAX(Calc!$AQ$37*(1+'财富模型'!$E$20/12)+'Calc'!$B$6-(IF('Calc'!$E$17=1,0,MIN(Calc!$AQ$37*(1+'财富模型'!$E$20/12)+'Calc'!$B$6,IF(Calc!$AO$38&lt;='财富模型'!$E$11*12,'Calc'!$W$17,'Calc'!$Y$17)))),0))</x:f>
        <x:v>49227.07893618632</x:v>
      </x:c>
      <x:c r="AR38" t="n">
        <x:f>IF(Calc!$AO$38&gt;'Calc'!$B$8,"",IF('Calc'!$E$17=1,'财富模型'!$E$9,'财富模型'!$M$9+IF(Calc!$AO$38&lt;='财富模型'!$E$11*12,'Calc'!$W$17,'Calc'!$Y$17)-(IF('Calc'!$E$17=1,0,MIN(Calc!$AQ$37*(1+'财富模型'!$E$20/12)+'Calc'!$B$6,IF(Calc!$AO$38&lt;='财富模型'!$E$11*12,'Calc'!$W$17,'Calc'!$Y$17))))))</x:f>
        <x:v>4000</x:v>
      </x:c>
      <x:c r="AS38" t="n">
        <x:f>IF(Calc!$AO$38&gt;'Calc'!$B$8,"",IF('Calc'!$E$17=1,0,MIN(Calc!$AQ$37*(1+'财富模型'!$E$20/12)+'Calc'!$B$6,IF(Calc!$AO$38&lt;='财富模型'!$E$11*12,'Calc'!$W$17,'Calc'!$Y$17))))</x:f>
        <x:v>0</x:v>
      </x:c>
      <x:c r="AT38" t="n">
        <x:f>IF(Calc!$AO$38&gt;'Calc'!$B$8,"",'Calc'!$B$5-'财富模型'!$E$5-(IF('Calc'!$E$17=1,'财富模型'!$E$9,'财富模型'!$M$9+IF(Calc!$AO$38&lt;='财富模型'!$E$11*12,'Calc'!$W$17,'Calc'!$Y$17)-(IF('Calc'!$E$17=1,0,MIN(Calc!$AQ$37*(1+'财富模型'!$E$20/12)+'Calc'!$B$6,IF(Calc!$AO$38&lt;='财富模型'!$E$11*12,'Calc'!$W$17,'Calc'!$Y$17)))))))</x:f>
        <x:v>3933.333333333332</x:v>
      </x:c>
      <x:c r="AU38" t="n">
        <x:f>IF(Calc!$AO$38&gt;'Calc'!$B$8,"",IF('Calc'!$E$17=1,0,MAX(Calc!$AU$37*(1+IF(Calc!$AO$38&lt;='财富模型'!$E$11*12,'财富模型'!$E$10,'财富模型'!$E$12)/12)-IF('Calc'!$E$17=1,0,IF(Calc!$AO$38&lt;='财富模型'!$E$11*12,'Calc'!$W$17,'Calc'!$Y$17)),0)))</x:f>
        <x:v>0</x:v>
      </x:c>
    </x:row>
    <x:row r="39">
      <x:c r="A39" t="n">
        <x:v>18</x:v>
      </x:c>
      <x:c r="B39" t="n">
        <x:f>IF(Calc!$A$39&gt;'Calc'!$B$8,"",MAX(Calc!$B$38*(1+'财富模型'!$E$6/12)+('Calc'!$B$5-'财富模型'!$E$5-(IF('Calc'!$E$12=1,'财富模型'!$E$9,'财富模型'!$M$4+IF(Calc!$A$39&lt;='财富模型'!$E$11*12,'Calc'!$W$12,'Calc'!$Y$12)-(IF('Calc'!$E$12=1,0,MIN(Calc!$C$38*(1+'财富模型'!$E$20/12)+'Calc'!$B$6,IF(Calc!$A$39&lt;='财富模型'!$E$11*12,'Calc'!$W$12,'Calc'!$Y$12))))))),0))</x:f>
        <x:v>553236.3329433686</x:v>
      </x:c>
      <x:c r="C39" t="n">
        <x:f>IF(Calc!$A$39&gt;'Calc'!$B$8,"",MAX(Calc!$C$38*(1+'财富模型'!$E$20/12)+'Calc'!$B$6-(IF('Calc'!$E$12=1,0,MIN(Calc!$C$38*(1+'财富模型'!$E$20/12)+'Calc'!$B$6,IF(Calc!$A$39&lt;='财富模型'!$E$11*12,'Calc'!$W$12,'Calc'!$Y$12)))),0))</x:f>
        <x:v>0</x:v>
      </x:c>
      <x:c r="D39" t="n">
        <x:f>IF(Calc!$A$39&gt;'Calc'!$B$8,"",IF('Calc'!$E$12=1,'财富模型'!$E$9,'财富模型'!$M$4+IF(Calc!$A$39&lt;='财富模型'!$E$11*12,'Calc'!$W$12,'Calc'!$Y$12)-(IF('Calc'!$E$12=1,0,MIN(Calc!$C$38*(1+'财富模型'!$E$20/12)+'Calc'!$B$6,IF(Calc!$A$39&lt;='财富模型'!$E$11*12,'Calc'!$W$12,'Calc'!$Y$12))))))</x:f>
        <x:v>812.25</x:v>
      </x:c>
      <x:c r="E39" t="n">
        <x:f>IF(Calc!$A$39&gt;'Calc'!$B$8,"",IF('Calc'!$E$12=1,0,MIN(Calc!$C$38*(1+'财富模型'!$E$20/12)+'Calc'!$B$6,IF(Calc!$A$39&lt;='财富模型'!$E$11*12,'Calc'!$W$12,'Calc'!$Y$12))))</x:f>
        <x:v>2847.75</x:v>
      </x:c>
      <x:c r="F39" t="n">
        <x:f>IF(Calc!$A$39&gt;'Calc'!$B$8,"",'Calc'!$B$5-'财富模型'!$E$5-(IF('Calc'!$E$12=1,'财富模型'!$E$9,'财富模型'!$M$4+IF(Calc!$A$39&lt;='财富模型'!$E$11*12,'Calc'!$W$12,'Calc'!$Y$12)-(IF('Calc'!$E$12=1,0,MIN(Calc!$C$38*(1+'财富模型'!$E$20/12)+'Calc'!$B$6,IF(Calc!$A$39&lt;='财富模型'!$E$11*12,'Calc'!$W$12,'Calc'!$Y$12)))))))</x:f>
        <x:v>7121.083333333332</x:v>
      </x:c>
      <x:c r="G39" t="n">
        <x:f>IF(Calc!$A$39&gt;'Calc'!$B$8,"",IF('Calc'!$E$12=1,0,MAX(Calc!$G$38*(1+IF(Calc!$A$39&lt;='财富模型'!$E$11*12,'财富模型'!$E$10,'财富模型'!$E$12)/12)-IF('Calc'!$E$12=1,0,IF(Calc!$A$39&lt;='财富模型'!$E$11*12,'Calc'!$W$12,'Calc'!$Y$12)),0)))</x:f>
        <x:v>917960.4074161204</x:v>
      </x:c>
      <x:c r="I39" t="n">
        <x:v>18</x:v>
      </x:c>
      <x:c r="J39" t="n">
        <x:f>IF(Calc!$I$39&gt;'Calc'!$B$8,"",MAX(Calc!$J$38*(1+'财富模型'!$E$6/12)+('Calc'!$B$5-'财富模型'!$E$5-(IF('Calc'!$E$13=1,'财富模型'!$E$9,'财富模型'!$M$5+IF(Calc!$I$39&lt;='财富模型'!$E$11*12,'Calc'!$W$13,'Calc'!$Y$13)-(IF('Calc'!$E$13=1,0,MIN(Calc!$K$38*(1+'财富模型'!$E$20/12)+'Calc'!$B$6,IF(Calc!$I$39&lt;='财富模型'!$E$11*12,'Calc'!$W$13,'Calc'!$Y$13))))))),0))</x:f>
        <x:v>558312.681838231</x:v>
      </x:c>
      <x:c r="K39" t="n">
        <x:f>IF(Calc!$I$39&gt;'Calc'!$B$8,"",MAX(Calc!$K$38*(1+'财富模型'!$E$20/12)+'Calc'!$B$6-(IF('Calc'!$E$13=1,0,MIN(Calc!$K$38*(1+'财富模型'!$E$20/12)+'Calc'!$B$6,IF(Calc!$I$39&lt;='财富模型'!$E$11*12,'Calc'!$W$13,'Calc'!$Y$13)))),0))</x:f>
        <x:v>0</x:v>
      </x:c>
      <x:c r="L39" t="n">
        <x:f>IF(Calc!$I$39&gt;'Calc'!$B$8,"",IF('Calc'!$E$13=1,'财富模型'!$E$9,'财富模型'!$M$5+IF(Calc!$I$39&lt;='财富模型'!$E$11*12,'Calc'!$W$13,'Calc'!$Y$13)-(IF('Calc'!$E$13=1,0,MIN(Calc!$K$38*(1+'财富模型'!$E$20/12)+'Calc'!$B$6,IF(Calc!$I$39&lt;='财富模型'!$E$11*12,'Calc'!$W$13,'Calc'!$Y$13))))))</x:f>
        <x:v>843.25</x:v>
      </x:c>
      <x:c r="M39" t="n">
        <x:f>IF(Calc!$I$39&gt;'Calc'!$B$8,"",IF('Calc'!$E$13=1,0,MIN(Calc!$K$38*(1+'财富模型'!$E$20/12)+'Calc'!$B$6,IF(Calc!$I$39&lt;='财富模型'!$E$11*12,'Calc'!$W$13,'Calc'!$Y$13))))</x:f>
        <x:v>2847.75</x:v>
      </x:c>
      <x:c r="N39" t="n">
        <x:f>IF(Calc!$I$39&gt;'Calc'!$B$8,"",'Calc'!$B$5-'财富模型'!$E$5-(IF('Calc'!$E$13=1,'财富模型'!$E$9,'财富模型'!$M$5+IF(Calc!$I$39&lt;='财富模型'!$E$11*12,'Calc'!$W$13,'Calc'!$Y$13)-(IF('Calc'!$E$13=1,0,MIN(Calc!$K$38*(1+'财富模型'!$E$20/12)+'Calc'!$B$6,IF(Calc!$I$39&lt;='财富模型'!$E$11*12,'Calc'!$W$13,'Calc'!$Y$13)))))))</x:f>
        <x:v>7090.083333333332</x:v>
      </x:c>
      <x:c r="O39" t="n">
        <x:f>IF(Calc!$I$39&gt;'Calc'!$B$8,"",IF('Calc'!$E$13=1,0,MAX(Calc!$O$38*(1+IF(Calc!$I$39&lt;='财富模型'!$E$11*12,'财富模型'!$E$10,'财富模型'!$E$12)/12)-IF('Calc'!$E$13=1,0,IF(Calc!$I$39&lt;='财富模型'!$E$11*12,'Calc'!$W$13,'Calc'!$Y$13)),0)))</x:f>
        <x:v>907164.0836578713</x:v>
      </x:c>
      <x:c r="Q39" t="n">
        <x:v>18</x:v>
      </x:c>
      <x:c r="R39" t="n">
        <x:f>IF(Calc!$Q$39&gt;'Calc'!$B$8,"",MAX(Calc!$R$38*(1+'财富模型'!$E$6/12)+('Calc'!$B$5-'财富模型'!$E$5-(IF('Calc'!$E$14=1,'财富模型'!$E$9,'财富模型'!$M$6+IF(Calc!$Q$39&lt;='财富模型'!$E$11*12,'Calc'!$W$14,'Calc'!$Y$14)-(IF('Calc'!$E$14=1,0,MIN(Calc!$S$38*(1+'财富模型'!$E$20/12)+'Calc'!$B$6,IF(Calc!$Q$39&lt;='财富模型'!$E$11*12,'Calc'!$W$14,'Calc'!$Y$14))))))),0))</x:f>
        <x:v>412673.1235795659</x:v>
      </x:c>
      <x:c r="S39" t="n">
        <x:f>IF(Calc!$Q$39&gt;'Calc'!$B$8,"",MAX(Calc!$S$38*(1+'财富模型'!$E$20/12)+'Calc'!$B$6-(IF('Calc'!$E$14=1,0,MIN(Calc!$S$38*(1+'财富模型'!$E$20/12)+'Calc'!$B$6,IF(Calc!$Q$39&lt;='财富模型'!$E$11*12,'Calc'!$W$14,'Calc'!$Y$14)))),0))</x:f>
        <x:v>0</x:v>
      </x:c>
      <x:c r="T39" t="n">
        <x:f>IF(Calc!$Q$39&gt;'Calc'!$B$8,"",IF('Calc'!$E$14=1,'财富模型'!$E$9,'财富模型'!$M$6+IF(Calc!$Q$39&lt;='财富模型'!$E$11*12,'Calc'!$W$14,'Calc'!$Y$14)-(IF('Calc'!$E$14=1,0,MIN(Calc!$S$38*(1+'财富模型'!$E$20/12)+'Calc'!$B$6,IF(Calc!$Q$39&lt;='财富模型'!$E$11*12,'Calc'!$W$14,'Calc'!$Y$14))))))</x:f>
        <x:v>1388.25</x:v>
      </x:c>
      <x:c r="U39" t="n">
        <x:f>IF(Calc!$Q$39&gt;'Calc'!$B$8,"",IF('Calc'!$E$14=1,0,MIN(Calc!$S$38*(1+'财富模型'!$E$20/12)+'Calc'!$B$6,IF(Calc!$Q$39&lt;='财富模型'!$E$11*12,'Calc'!$W$14,'Calc'!$Y$14))))</x:f>
        <x:v>2847.75</x:v>
      </x:c>
      <x:c r="V39" t="n">
        <x:f>IF(Calc!$Q$39&gt;'Calc'!$B$8,"",'Calc'!$B$5-'财富模型'!$E$5-(IF('Calc'!$E$14=1,'财富模型'!$E$9,'财富模型'!$M$6+IF(Calc!$Q$39&lt;='财富模型'!$E$11*12,'Calc'!$W$14,'Calc'!$Y$14)-(IF('Calc'!$E$14=1,0,MIN(Calc!$S$38*(1+'财富模型'!$E$20/12)+'Calc'!$B$6,IF(Calc!$Q$39&lt;='财富模型'!$E$11*12,'Calc'!$W$14,'Calc'!$Y$14)))))))</x:f>
        <x:v>6545.083333333332</x:v>
      </x:c>
      <x:c r="W39" t="n">
        <x:f>IF(Calc!$Q$39&gt;'Calc'!$B$8,"",IF('Calc'!$E$14=1,0,MAX(Calc!$W$38*(1+IF(Calc!$Q$39&lt;='财富模型'!$E$11*12,'财富模型'!$E$10,'财富模型'!$E$12)/12)-IF('Calc'!$E$14=1,0,IF(Calc!$Q$39&lt;='财富模型'!$E$11*12,'Calc'!$W$14,'Calc'!$Y$14)),0)))</x:f>
        <x:v>1055955.8824549618</x:v>
      </x:c>
      <x:c r="Y39" t="n">
        <x:v>18</x:v>
      </x:c>
      <x:c r="Z39" t="n">
        <x:f>IF(Calc!$Y$39&gt;'Calc'!$B$8,"",MAX(Calc!$Z$38*(1+'财富模型'!$E$6/12)+('Calc'!$B$5-'财富模型'!$E$5-(IF('Calc'!$E$15=1,'财富模型'!$E$9,'财富模型'!$M$7+IF(Calc!$Y$39&lt;='财富模型'!$E$11*12,'Calc'!$W$15,'Calc'!$Y$15)-(IF('Calc'!$E$15=1,0,MIN(Calc!$AA$38*(1+'财富模型'!$E$20/12)+'Calc'!$B$6,IF(Calc!$Y$39&lt;='财富模型'!$E$11*12,'Calc'!$W$15,'Calc'!$Y$15))))))),0))</x:f>
        <x:v>136204.74031085626</x:v>
      </x:c>
      <x:c r="AA39" t="n">
        <x:f>IF(Calc!$Y$39&gt;'Calc'!$B$8,"",MAX(Calc!$AA$38*(1+'财富模型'!$E$20/12)+'Calc'!$B$6-(IF('Calc'!$E$15=1,0,MIN(Calc!$AA$38*(1+'财富模型'!$E$20/12)+'Calc'!$B$6,IF(Calc!$Y$39&lt;='财富模型'!$E$11*12,'Calc'!$W$15,'Calc'!$Y$15)))),0))</x:f>
        <x:v>0</x:v>
      </x:c>
      <x:c r="AB39" t="n">
        <x:f>IF(Calc!$Y$39&gt;'Calc'!$B$8,"",IF('Calc'!$E$15=1,'财富模型'!$E$9,'财富模型'!$M$7+IF(Calc!$Y$39&lt;='财富模型'!$E$11*12,'Calc'!$W$15,'Calc'!$Y$15)-(IF('Calc'!$E$15=1,0,MIN(Calc!$AA$38*(1+'财富模型'!$E$20/12)+'Calc'!$B$6,IF(Calc!$Y$39&lt;='财富模型'!$E$11*12,'Calc'!$W$15,'Calc'!$Y$15))))))</x:f>
        <x:v>1468.25</x:v>
      </x:c>
      <x:c r="AC39" t="n">
        <x:f>IF(Calc!$Y$39&gt;'Calc'!$B$8,"",IF('Calc'!$E$15=1,0,MIN(Calc!$AA$38*(1+'财富模型'!$E$20/12)+'Calc'!$B$6,IF(Calc!$Y$39&lt;='财富模型'!$E$11*12,'Calc'!$W$15,'Calc'!$Y$15))))</x:f>
        <x:v>2847.75</x:v>
      </x:c>
      <x:c r="AD39" t="n">
        <x:f>IF(Calc!$Y$39&gt;'Calc'!$B$8,"",'Calc'!$B$5-'财富模型'!$E$5-(IF('Calc'!$E$15=1,'财富模型'!$E$9,'财富模型'!$M$7+IF(Calc!$Y$39&lt;='财富模型'!$E$11*12,'Calc'!$W$15,'Calc'!$Y$15)-(IF('Calc'!$E$15=1,0,MIN(Calc!$AA$38*(1+'财富模型'!$E$20/12)+'Calc'!$B$6,IF(Calc!$Y$39&lt;='财富模型'!$E$11*12,'Calc'!$W$15,'Calc'!$Y$15)))))))</x:f>
        <x:v>6465.083333333332</x:v>
      </x:c>
      <x:c r="AE39" t="n">
        <x:f>IF(Calc!$Y$39&gt;'Calc'!$B$8,"",IF('Calc'!$E$15=1,0,MAX(Calc!$AE$38*(1+IF(Calc!$Y$39&lt;='财富模型'!$E$11*12,'财富模型'!$E$10,'财富模型'!$E$12)/12)-IF('Calc'!$E$15=1,0,IF(Calc!$Y$39&lt;='财富模型'!$E$11*12,'Calc'!$W$15,'Calc'!$Y$15)),0)))</x:f>
        <x:v>1055955.8824549618</x:v>
      </x:c>
      <x:c r="AG39" t="n">
        <x:v>18</x:v>
      </x:c>
      <x:c r="AH39" t="n">
        <x:f>IF(Calc!$AG$39&gt;'Calc'!$B$8,"",MAX(Calc!$AH$38*(1+'财富模型'!$E$6/12)+('Calc'!$B$5-'财富模型'!$E$5-(IF('Calc'!$E$16=1,'财富模型'!$E$9,'财富模型'!$M$8+IF(Calc!$AG$39&lt;='财富模型'!$E$11*12,'Calc'!$W$16,'Calc'!$Y$16)-(IF('Calc'!$E$16=1,0,MIN(Calc!$AI$38*(1+'财富模型'!$E$20/12)+'Calc'!$B$6,IF(Calc!$AG$39&lt;='财富模型'!$E$11*12,'Calc'!$W$16,'Calc'!$Y$16))))))),0))</x:f>
        <x:v>122135.88367007283</x:v>
      </x:c>
      <x:c r="AI39" t="n">
        <x:f>IF(Calc!$AG$39&gt;'Calc'!$B$8,"",MAX(Calc!$AI$38*(1+'财富模型'!$E$20/12)+'Calc'!$B$6-(IF('Calc'!$E$16=1,0,MIN(Calc!$AI$38*(1+'财富模型'!$E$20/12)+'Calc'!$B$6,IF(Calc!$AG$39&lt;='财富模型'!$E$11*12,'Calc'!$W$16,'Calc'!$Y$16)))),0))</x:f>
        <x:v>0</x:v>
      </x:c>
      <x:c r="AJ39" t="n">
        <x:f>IF(Calc!$AG$39&gt;'Calc'!$B$8,"",IF('Calc'!$E$16=1,'财富模型'!$E$9,'财富模型'!$M$8+IF(Calc!$AG$39&lt;='财富模型'!$E$11*12,'Calc'!$W$16,'Calc'!$Y$16)-(IF('Calc'!$E$16=1,0,MIN(Calc!$AI$38*(1+'财富模型'!$E$20/12)+'Calc'!$B$6,IF(Calc!$AG$39&lt;='财富模型'!$E$11*12,'Calc'!$W$16,'Calc'!$Y$16))))))</x:f>
        <x:v>1478.25</x:v>
      </x:c>
      <x:c r="AK39" t="n">
        <x:f>IF(Calc!$AG$39&gt;'Calc'!$B$8,"",IF('Calc'!$E$16=1,0,MIN(Calc!$AI$38*(1+'财富模型'!$E$20/12)+'Calc'!$B$6,IF(Calc!$AG$39&lt;='财富模型'!$E$11*12,'Calc'!$W$16,'Calc'!$Y$16))))</x:f>
        <x:v>2847.75</x:v>
      </x:c>
      <x:c r="AL39" t="n">
        <x:f>IF(Calc!$AG$39&gt;'Calc'!$B$8,"",'Calc'!$B$5-'财富模型'!$E$5-(IF('Calc'!$E$16=1,'财富模型'!$E$9,'财富模型'!$M$8+IF(Calc!$AG$39&lt;='财富模型'!$E$11*12,'Calc'!$W$16,'Calc'!$Y$16)-(IF('Calc'!$E$16=1,0,MIN(Calc!$AI$38*(1+'财富模型'!$E$20/12)+'Calc'!$B$6,IF(Calc!$AG$39&lt;='财富模型'!$E$11*12,'Calc'!$W$16,'Calc'!$Y$16)))))))</x:f>
        <x:v>6455.083333333332</x:v>
      </x:c>
      <x:c r="AM39" t="n">
        <x:f>IF(Calc!$AG$39&gt;'Calc'!$B$8,"",IF('Calc'!$E$16=1,0,MAX(Calc!$AM$38*(1+IF(Calc!$AG$39&lt;='财富模型'!$E$11*12,'财富模型'!$E$10,'财富模型'!$E$12)/12)-IF('Calc'!$E$16=1,0,IF(Calc!$AG$39&lt;='财富模型'!$E$11*12,'Calc'!$W$16,'Calc'!$Y$16)),0)))</x:f>
        <x:v>1055955.8824549618</x:v>
      </x:c>
      <x:c r="AO39" t="n">
        <x:v>18</x:v>
      </x:c>
      <x:c r="AP39" t="n">
        <x:f>IF(Calc!$AO$39&gt;'Calc'!$B$8,"",MAX(Calc!$AP$38*(1+'财富模型'!$E$6/12)+('Calc'!$B$5-'财富模型'!$E$5-(IF('Calc'!$E$17=1,'财富模型'!$E$9,'财富模型'!$M$9+IF(Calc!$AO$39&lt;='财富模型'!$E$11*12,'Calc'!$W$17,'Calc'!$Y$17)-(IF('Calc'!$E$17=1,0,MIN(Calc!$AQ$38*(1+'财富模型'!$E$20/12)+'Calc'!$B$6,IF(Calc!$AO$39&lt;='财富模型'!$E$11*12,'Calc'!$W$17,'Calc'!$Y$17))))))),0))</x:f>
        <x:v>957167.7442257017</x:v>
      </x:c>
      <x:c r="AQ39" t="n">
        <x:f>IF(Calc!$AO$39&gt;'Calc'!$B$8,"",MAX(Calc!$AQ$38*(1+'财富模型'!$E$20/12)+'Calc'!$B$6-(IF('Calc'!$E$17=1,0,MIN(Calc!$AQ$38*(1+'财富模型'!$E$20/12)+'Calc'!$B$6,IF(Calc!$AO$39&lt;='财富模型'!$E$11*12,'Calc'!$W$17,'Calc'!$Y$17)))),0))</x:f>
        <x:v>52177.385350636716</x:v>
      </x:c>
      <x:c r="AR39" t="n">
        <x:f>IF(Calc!$AO$39&gt;'Calc'!$B$8,"",IF('Calc'!$E$17=1,'财富模型'!$E$9,'财富模型'!$M$9+IF(Calc!$AO$39&lt;='财富模型'!$E$11*12,'Calc'!$W$17,'Calc'!$Y$17)-(IF('Calc'!$E$17=1,0,MIN(Calc!$AQ$38*(1+'财富模型'!$E$20/12)+'Calc'!$B$6,IF(Calc!$AO$39&lt;='财富模型'!$E$11*12,'Calc'!$W$17,'Calc'!$Y$17))))))</x:f>
        <x:v>4000</x:v>
      </x:c>
      <x:c r="AS39" t="n">
        <x:f>IF(Calc!$AO$39&gt;'Calc'!$B$8,"",IF('Calc'!$E$17=1,0,MIN(Calc!$AQ$38*(1+'财富模型'!$E$20/12)+'Calc'!$B$6,IF(Calc!$AO$39&lt;='财富模型'!$E$11*12,'Calc'!$W$17,'Calc'!$Y$17))))</x:f>
        <x:v>0</x:v>
      </x:c>
      <x:c r="AT39" t="n">
        <x:f>IF(Calc!$AO$39&gt;'Calc'!$B$8,"",'Calc'!$B$5-'财富模型'!$E$5-(IF('Calc'!$E$17=1,'财富模型'!$E$9,'财富模型'!$M$9+IF(Calc!$AO$39&lt;='财富模型'!$E$11*12,'Calc'!$W$17,'Calc'!$Y$17)-(IF('Calc'!$E$17=1,0,MIN(Calc!$AQ$38*(1+'财富模型'!$E$20/12)+'Calc'!$B$6,IF(Calc!$AO$39&lt;='财富模型'!$E$11*12,'Calc'!$W$17,'Calc'!$Y$17)))))))</x:f>
        <x:v>3933.333333333332</x:v>
      </x:c>
      <x:c r="AU39" t="n">
        <x:f>IF(Calc!$AO$39&gt;'Calc'!$B$8,"",IF('Calc'!$E$17=1,0,MAX(Calc!$AU$38*(1+IF(Calc!$AO$39&lt;='财富模型'!$E$11*12,'财富模型'!$E$10,'财富模型'!$E$12)/12)-IF('Calc'!$E$17=1,0,IF(Calc!$AO$39&lt;='财富模型'!$E$11*12,'Calc'!$W$17,'Calc'!$Y$17)),0)))</x:f>
        <x:v>0</x:v>
      </x:c>
    </x:row>
    <x:row r="40">
      <x:c r="A40" t="n">
        <x:v>19</x:v>
      </x:c>
      <x:c r="B40" t="n">
        <x:f>IF(Calc!$A$40&gt;'Calc'!$B$8,"",MAX(Calc!$B$39*(1+'财富模型'!$E$6/12)+('Calc'!$B$5-'财富模型'!$E$5-(IF('Calc'!$E$12=1,'财富模型'!$E$9,'财富模型'!$M$4+IF(Calc!$A$40&lt;='财富模型'!$E$11*12,'Calc'!$W$12,'Calc'!$Y$12)-(IF('Calc'!$E$12=1,0,MIN(Calc!$C$39*(1+'财富模型'!$E$20/12)+'Calc'!$B$6,IF(Calc!$A$40&lt;='财富模型'!$E$11*12,'Calc'!$W$12,'Calc'!$Y$12))))))),0))</x:f>
        <x:v>563584.6282188717</x:v>
      </x:c>
      <x:c r="C40" t="n">
        <x:f>IF(Calc!$A$40&gt;'Calc'!$B$8,"",MAX(Calc!$C$39*(1+'财富模型'!$E$20/12)+'Calc'!$B$6-(IF('Calc'!$E$12=1,0,MIN(Calc!$C$39*(1+'财富模型'!$E$20/12)+'Calc'!$B$6,IF(Calc!$A$40&lt;='财富模型'!$E$11*12,'Calc'!$W$12,'Calc'!$Y$12)))),0))</x:f>
        <x:v>0</x:v>
      </x:c>
      <x:c r="D40" t="n">
        <x:f>IF(Calc!$A$40&gt;'Calc'!$B$8,"",IF('Calc'!$E$12=1,'财富模型'!$E$9,'财富模型'!$M$4+IF(Calc!$A$40&lt;='财富模型'!$E$11*12,'Calc'!$W$12,'Calc'!$Y$12)-(IF('Calc'!$E$12=1,0,MIN(Calc!$C$39*(1+'财富模型'!$E$20/12)+'Calc'!$B$6,IF(Calc!$A$40&lt;='财富模型'!$E$11*12,'Calc'!$W$12,'Calc'!$Y$12))))))</x:f>
        <x:v>812.25</x:v>
      </x:c>
      <x:c r="E40" t="n">
        <x:f>IF(Calc!$A$40&gt;'Calc'!$B$8,"",IF('Calc'!$E$12=1,0,MIN(Calc!$C$39*(1+'财富模型'!$E$20/12)+'Calc'!$B$6,IF(Calc!$A$40&lt;='财富模型'!$E$11*12,'Calc'!$W$12,'Calc'!$Y$12))))</x:f>
        <x:v>2847.75</x:v>
      </x:c>
      <x:c r="F40" t="n">
        <x:f>IF(Calc!$A$40&gt;'Calc'!$B$8,"",'Calc'!$B$5-'财富模型'!$E$5-(IF('Calc'!$E$12=1,'财富模型'!$E$9,'财富模型'!$M$4+IF(Calc!$A$40&lt;='财富模型'!$E$11*12,'Calc'!$W$12,'Calc'!$Y$12)-(IF('Calc'!$E$12=1,0,MIN(Calc!$C$39*(1+'财富模型'!$E$20/12)+'Calc'!$B$6,IF(Calc!$A$40&lt;='财富模型'!$E$11*12,'Calc'!$W$12,'Calc'!$Y$12)))))))</x:f>
        <x:v>7121.083333333332</x:v>
      </x:c>
      <x:c r="G40" t="n">
        <x:f>IF(Calc!$A$40&gt;'Calc'!$B$8,"",IF('Calc'!$E$12=1,0,MAX(Calc!$G$39*(1+IF(Calc!$A$40&lt;='财富模型'!$E$11*12,'财富模型'!$E$10,'财富模型'!$E$12)/12)-IF('Calc'!$E$12=1,0,IF(Calc!$A$40&lt;='财富模型'!$E$11*12,'Calc'!$W$12,'Calc'!$Y$12)),0)))</x:f>
        <x:v>915807.8579253905</x:v>
      </x:c>
      <x:c r="I40" t="n">
        <x:v>19</x:v>
      </x:c>
      <x:c r="J40" t="n">
        <x:f>IF(Calc!$I$40&gt;'Calc'!$B$8,"",MAX(Calc!$J$39*(1+'财富模型'!$E$6/12)+('Calc'!$B$5-'财富模型'!$E$5-(IF('Calc'!$E$13=1,'财富模型'!$E$9,'财富模型'!$M$5+IF(Calc!$I$40&lt;='财富模型'!$E$11*12,'Calc'!$W$13,'Calc'!$Y$13)-(IF('Calc'!$E$13=1,0,MIN(Calc!$K$39*(1+'财富模型'!$E$20/12)+'Calc'!$B$6,IF(Calc!$I$40&lt;='财富模型'!$E$11*12,'Calc'!$W$13,'Calc'!$Y$13))))))),0))</x:f>
        <x:v>568659.5891489541</x:v>
      </x:c>
      <x:c r="K40" t="n">
        <x:f>IF(Calc!$I$40&gt;'Calc'!$B$8,"",MAX(Calc!$K$39*(1+'财富模型'!$E$20/12)+'Calc'!$B$6-(IF('Calc'!$E$13=1,0,MIN(Calc!$K$39*(1+'财富模型'!$E$20/12)+'Calc'!$B$6,IF(Calc!$I$40&lt;='财富模型'!$E$11*12,'Calc'!$W$13,'Calc'!$Y$13)))),0))</x:f>
        <x:v>0</x:v>
      </x:c>
      <x:c r="L40" t="n">
        <x:f>IF(Calc!$I$40&gt;'Calc'!$B$8,"",IF('Calc'!$E$13=1,'财富模型'!$E$9,'财富模型'!$M$5+IF(Calc!$I$40&lt;='财富模型'!$E$11*12,'Calc'!$W$13,'Calc'!$Y$13)-(IF('Calc'!$E$13=1,0,MIN(Calc!$K$39*(1+'财富模型'!$E$20/12)+'Calc'!$B$6,IF(Calc!$I$40&lt;='财富模型'!$E$11*12,'Calc'!$W$13,'Calc'!$Y$13))))))</x:f>
        <x:v>843.25</x:v>
      </x:c>
      <x:c r="M40" t="n">
        <x:f>IF(Calc!$I$40&gt;'Calc'!$B$8,"",IF('Calc'!$E$13=1,0,MIN(Calc!$K$39*(1+'财富模型'!$E$20/12)+'Calc'!$B$6,IF(Calc!$I$40&lt;='财富模型'!$E$11*12,'Calc'!$W$13,'Calc'!$Y$13))))</x:f>
        <x:v>2847.75</x:v>
      </x:c>
      <x:c r="N40" t="n">
        <x:f>IF(Calc!$I$40&gt;'Calc'!$B$8,"",'Calc'!$B$5-'财富模型'!$E$5-(IF('Calc'!$E$13=1,'财富模型'!$E$9,'财富模型'!$M$5+IF(Calc!$I$40&lt;='财富模型'!$E$11*12,'Calc'!$W$13,'Calc'!$Y$13)-(IF('Calc'!$E$13=1,0,MIN(Calc!$K$39*(1+'财富模型'!$E$20/12)+'Calc'!$B$6,IF(Calc!$I$40&lt;='财富模型'!$E$11*12,'Calc'!$W$13,'Calc'!$Y$13)))))))</x:f>
        <x:v>7090.083333333332</x:v>
      </x:c>
      <x:c r="O40" t="n">
        <x:f>IF(Calc!$I$40&gt;'Calc'!$B$8,"",IF('Calc'!$E$13=1,0,MAX(Calc!$O$39*(1+IF(Calc!$I$40&lt;='财富模型'!$E$11*12,'财富模型'!$E$10,'财富模型'!$E$12)/12)-IF('Calc'!$E$13=1,0,IF(Calc!$I$40&lt;='财富模型'!$E$11*12,'Calc'!$W$13,'Calc'!$Y$13)),0)))</x:f>
        <x:v>905037.0387624437</x:v>
      </x:c>
      <x:c r="Q40" t="n">
        <x:v>19</x:v>
      </x:c>
      <x:c r="R40" t="n">
        <x:f>IF(Calc!$Q$40&gt;'Calc'!$B$8,"",MAX(Calc!$R$39*(1+'财富模型'!$E$6/12)+('Calc'!$B$5-'财富模型'!$E$5-(IF('Calc'!$E$14=1,'财富模型'!$E$9,'财富模型'!$M$6+IF(Calc!$Q$40&lt;='财富模型'!$E$11*12,'Calc'!$W$14,'Calc'!$Y$14)-(IF('Calc'!$E$14=1,0,MIN(Calc!$S$39*(1+'财富模型'!$E$20/12)+'Calc'!$B$6,IF(Calc!$Q$40&lt;='财富模型'!$E$11*12,'Calc'!$W$14,'Calc'!$Y$14))))))),0))</x:f>
        <x:v>421625.4668004467</x:v>
      </x:c>
      <x:c r="S40" t="n">
        <x:f>IF(Calc!$Q$40&gt;'Calc'!$B$8,"",MAX(Calc!$S$39*(1+'财富模型'!$E$20/12)+'Calc'!$B$6-(IF('Calc'!$E$14=1,0,MIN(Calc!$S$39*(1+'财富模型'!$E$20/12)+'Calc'!$B$6,IF(Calc!$Q$40&lt;='财富模型'!$E$11*12,'Calc'!$W$14,'Calc'!$Y$14)))),0))</x:f>
        <x:v>0</x:v>
      </x:c>
      <x:c r="T40" t="n">
        <x:f>IF(Calc!$Q$40&gt;'Calc'!$B$8,"",IF('Calc'!$E$14=1,'财富模型'!$E$9,'财富模型'!$M$6+IF(Calc!$Q$40&lt;='财富模型'!$E$11*12,'Calc'!$W$14,'Calc'!$Y$14)-(IF('Calc'!$E$14=1,0,MIN(Calc!$S$39*(1+'财富模型'!$E$20/12)+'Calc'!$B$6,IF(Calc!$Q$40&lt;='财富模型'!$E$11*12,'Calc'!$W$14,'Calc'!$Y$14))))))</x:f>
        <x:v>1388.25</x:v>
      </x:c>
      <x:c r="U40" t="n">
        <x:f>IF(Calc!$Q$40&gt;'Calc'!$B$8,"",IF('Calc'!$E$14=1,0,MIN(Calc!$S$39*(1+'财富模型'!$E$20/12)+'Calc'!$B$6,IF(Calc!$Q$40&lt;='财富模型'!$E$11*12,'Calc'!$W$14,'Calc'!$Y$14))))</x:f>
        <x:v>2847.75</x:v>
      </x:c>
      <x:c r="V40" t="n">
        <x:f>IF(Calc!$Q$40&gt;'Calc'!$B$8,"",'Calc'!$B$5-'财富模型'!$E$5-(IF('Calc'!$E$14=1,'财富模型'!$E$9,'财富模型'!$M$6+IF(Calc!$Q$40&lt;='财富模型'!$E$11*12,'Calc'!$W$14,'Calc'!$Y$14)-(IF('Calc'!$E$14=1,0,MIN(Calc!$S$39*(1+'财富模型'!$E$20/12)+'Calc'!$B$6,IF(Calc!$Q$40&lt;='财富模型'!$E$11*12,'Calc'!$W$14,'Calc'!$Y$14)))))))</x:f>
        <x:v>6545.083333333332</x:v>
      </x:c>
      <x:c r="W40" t="n">
        <x:f>IF(Calc!$Q$40&gt;'Calc'!$B$8,"",IF('Calc'!$E$14=1,0,MAX(Calc!$W$39*(1+IF(Calc!$Q$40&lt;='财富模型'!$E$11*12,'财富模型'!$E$10,'财富模型'!$E$12)/12)-IF('Calc'!$E$14=1,0,IF(Calc!$Q$40&lt;='财富模型'!$E$11*12,'Calc'!$W$14,'Calc'!$Y$14)),0)))</x:f>
        <x:v>1053479.8273080303</x:v>
      </x:c>
      <x:c r="Y40" t="n">
        <x:v>19</x:v>
      </x:c>
      <x:c r="Z40" t="n">
        <x:f>IF(Calc!$Y$40&gt;'Calc'!$B$8,"",MAX(Calc!$Z$39*(1+'财富模型'!$E$6/12)+('Calc'!$B$5-'财富模型'!$E$5-(IF('Calc'!$E$15=1,'财富模型'!$E$9,'财富模型'!$M$7+IF(Calc!$Y$40&lt;='财富模型'!$E$11*12,'Calc'!$W$15,'Calc'!$Y$15)-(IF('Calc'!$E$15=1,0,MIN(Calc!$AA$39*(1+'财富模型'!$E$20/12)+'Calc'!$B$6,IF(Calc!$Y$40&lt;='财富模型'!$E$11*12,'Calc'!$W$15,'Calc'!$Y$15))))))),0))</x:f>
        <x:v>143464.35129600292</x:v>
      </x:c>
      <x:c r="AA40" t="n">
        <x:f>IF(Calc!$Y$40&gt;'Calc'!$B$8,"",MAX(Calc!$AA$39*(1+'财富模型'!$E$20/12)+'Calc'!$B$6-(IF('Calc'!$E$15=1,0,MIN(Calc!$AA$39*(1+'财富模型'!$E$20/12)+'Calc'!$B$6,IF(Calc!$Y$40&lt;='财富模型'!$E$11*12,'Calc'!$W$15,'Calc'!$Y$15)))),0))</x:f>
        <x:v>0</x:v>
      </x:c>
      <x:c r="AB40" t="n">
        <x:f>IF(Calc!$Y$40&gt;'Calc'!$B$8,"",IF('Calc'!$E$15=1,'财富模型'!$E$9,'财富模型'!$M$7+IF(Calc!$Y$40&lt;='财富模型'!$E$11*12,'Calc'!$W$15,'Calc'!$Y$15)-(IF('Calc'!$E$15=1,0,MIN(Calc!$AA$39*(1+'财富模型'!$E$20/12)+'Calc'!$B$6,IF(Calc!$Y$40&lt;='财富模型'!$E$11*12,'Calc'!$W$15,'Calc'!$Y$15))))))</x:f>
        <x:v>1468.25</x:v>
      </x:c>
      <x:c r="AC40" t="n">
        <x:f>IF(Calc!$Y$40&gt;'Calc'!$B$8,"",IF('Calc'!$E$15=1,0,MIN(Calc!$AA$39*(1+'财富模型'!$E$20/12)+'Calc'!$B$6,IF(Calc!$Y$40&lt;='财富模型'!$E$11*12,'Calc'!$W$15,'Calc'!$Y$15))))</x:f>
        <x:v>2847.75</x:v>
      </x:c>
      <x:c r="AD40" t="n">
        <x:f>IF(Calc!$Y$40&gt;'Calc'!$B$8,"",'Calc'!$B$5-'财富模型'!$E$5-(IF('Calc'!$E$15=1,'财富模型'!$E$9,'财富模型'!$M$7+IF(Calc!$Y$40&lt;='财富模型'!$E$11*12,'Calc'!$W$15,'Calc'!$Y$15)-(IF('Calc'!$E$15=1,0,MIN(Calc!$AA$39*(1+'财富模型'!$E$20/12)+'Calc'!$B$6,IF(Calc!$Y$40&lt;='财富模型'!$E$11*12,'Calc'!$W$15,'Calc'!$Y$15)))))))</x:f>
        <x:v>6465.083333333332</x:v>
      </x:c>
      <x:c r="AE40" t="n">
        <x:f>IF(Calc!$Y$40&gt;'Calc'!$B$8,"",IF('Calc'!$E$15=1,0,MAX(Calc!$AE$39*(1+IF(Calc!$Y$40&lt;='财富模型'!$E$11*12,'财富模型'!$E$10,'财富模型'!$E$12)/12)-IF('Calc'!$E$15=1,0,IF(Calc!$Y$40&lt;='财富模型'!$E$11*12,'Calc'!$W$15,'Calc'!$Y$15)),0)))</x:f>
        <x:v>1053479.8273080303</x:v>
      </x:c>
      <x:c r="AG40" t="n">
        <x:v>19</x:v>
      </x:c>
      <x:c r="AH40" t="n">
        <x:f>IF(Calc!$AG$40&gt;'Calc'!$B$8,"",MAX(Calc!$AH$39*(1+'财富模型'!$E$6/12)+('Calc'!$B$5-'财富模型'!$E$5-(IF('Calc'!$E$16=1,'财富模型'!$E$9,'财富模型'!$M$8+IF(Calc!$AG$40&lt;='财富模型'!$E$11*12,'Calc'!$W$16,'Calc'!$Y$16)-(IF('Calc'!$E$16=1,0,MIN(Calc!$AI$39*(1+'财富模型'!$E$20/12)+'Calc'!$B$6,IF(Calc!$AG$40&lt;='财富模型'!$E$11*12,'Calc'!$W$16,'Calc'!$Y$16))))))),0))</x:f>
        <x:v>129303.42632481492</x:v>
      </x:c>
      <x:c r="AI40" t="n">
        <x:f>IF(Calc!$AG$40&gt;'Calc'!$B$8,"",MAX(Calc!$AI$39*(1+'财富模型'!$E$20/12)+'Calc'!$B$6-(IF('Calc'!$E$16=1,0,MIN(Calc!$AI$39*(1+'财富模型'!$E$20/12)+'Calc'!$B$6,IF(Calc!$AG$40&lt;='财富模型'!$E$11*12,'Calc'!$W$16,'Calc'!$Y$16)))),0))</x:f>
        <x:v>0</x:v>
      </x:c>
      <x:c r="AJ40" t="n">
        <x:f>IF(Calc!$AG$40&gt;'Calc'!$B$8,"",IF('Calc'!$E$16=1,'财富模型'!$E$9,'财富模型'!$M$8+IF(Calc!$AG$40&lt;='财富模型'!$E$11*12,'Calc'!$W$16,'Calc'!$Y$16)-(IF('Calc'!$E$16=1,0,MIN(Calc!$AI$39*(1+'财富模型'!$E$20/12)+'Calc'!$B$6,IF(Calc!$AG$40&lt;='财富模型'!$E$11*12,'Calc'!$W$16,'Calc'!$Y$16))))))</x:f>
        <x:v>1478.25</x:v>
      </x:c>
      <x:c r="AK40" t="n">
        <x:f>IF(Calc!$AG$40&gt;'Calc'!$B$8,"",IF('Calc'!$E$16=1,0,MIN(Calc!$AI$39*(1+'财富模型'!$E$20/12)+'Calc'!$B$6,IF(Calc!$AG$40&lt;='财富模型'!$E$11*12,'Calc'!$W$16,'Calc'!$Y$16))))</x:f>
        <x:v>2847.75</x:v>
      </x:c>
      <x:c r="AL40" t="n">
        <x:f>IF(Calc!$AG$40&gt;'Calc'!$B$8,"",'Calc'!$B$5-'财富模型'!$E$5-(IF('Calc'!$E$16=1,'财富模型'!$E$9,'财富模型'!$M$8+IF(Calc!$AG$40&lt;='财富模型'!$E$11*12,'Calc'!$W$16,'Calc'!$Y$16)-(IF('Calc'!$E$16=1,0,MIN(Calc!$AI$39*(1+'财富模型'!$E$20/12)+'Calc'!$B$6,IF(Calc!$AG$40&lt;='财富模型'!$E$11*12,'Calc'!$W$16,'Calc'!$Y$16)))))))</x:f>
        <x:v>6455.083333333332</x:v>
      </x:c>
      <x:c r="AM40" t="n">
        <x:f>IF(Calc!$AG$40&gt;'Calc'!$B$8,"",IF('Calc'!$E$16=1,0,MAX(Calc!$AM$39*(1+IF(Calc!$AG$40&lt;='财富模型'!$E$11*12,'财富模型'!$E$10,'财富模型'!$E$12)/12)-IF('Calc'!$E$16=1,0,IF(Calc!$AG$40&lt;='财富模型'!$E$11*12,'Calc'!$W$16,'Calc'!$Y$16)),0)))</x:f>
        <x:v>1053479.8273080303</x:v>
      </x:c>
      <x:c r="AO40" t="n">
        <x:v>19</x:v>
      </x:c>
      <x:c r="AP40" t="n">
        <x:f>IF(Calc!$AO$40&gt;'Calc'!$B$8,"",MAX(Calc!$AP$39*(1+'财富模型'!$E$6/12)+('Calc'!$B$5-'财富模型'!$E$5-(IF('Calc'!$E$17=1,'财富模型'!$E$9,'财富模型'!$M$9+IF(Calc!$AO$40&lt;='财富模型'!$E$11*12,'Calc'!$W$17,'Calc'!$Y$17)-(IF('Calc'!$E$17=1,0,MIN(Calc!$AQ$39*(1+'财富模型'!$E$20/12)+'Calc'!$B$6,IF(Calc!$AO$40&lt;='财富模型'!$E$11*12,'Calc'!$W$17,'Calc'!$Y$17))))))),0))</x:f>
        <x:v>966684.5560670183</x:v>
      </x:c>
      <x:c r="AQ40" t="n">
        <x:f>IF(Calc!$AO$40&gt;'Calc'!$B$8,"",MAX(Calc!$AQ$39*(1+'财富模型'!$E$20/12)+'Calc'!$B$6-(IF('Calc'!$E$17=1,0,MIN(Calc!$AQ$39*(1+'财富模型'!$E$20/12)+'Calc'!$B$6,IF(Calc!$AO$40&lt;='财富模型'!$E$11*12,'Calc'!$W$17,'Calc'!$Y$17)))),0))</x:f>
        <x:v>55133.83823678388</x:v>
      </x:c>
      <x:c r="AR40" t="n">
        <x:f>IF(Calc!$AO$40&gt;'Calc'!$B$8,"",IF('Calc'!$E$17=1,'财富模型'!$E$9,'财富模型'!$M$9+IF(Calc!$AO$40&lt;='财富模型'!$E$11*12,'Calc'!$W$17,'Calc'!$Y$17)-(IF('Calc'!$E$17=1,0,MIN(Calc!$AQ$39*(1+'财富模型'!$E$20/12)+'Calc'!$B$6,IF(Calc!$AO$40&lt;='财富模型'!$E$11*12,'Calc'!$W$17,'Calc'!$Y$17))))))</x:f>
        <x:v>4000</x:v>
      </x:c>
      <x:c r="AS40" t="n">
        <x:f>IF(Calc!$AO$40&gt;'Calc'!$B$8,"",IF('Calc'!$E$17=1,0,MIN(Calc!$AQ$39*(1+'财富模型'!$E$20/12)+'Calc'!$B$6,IF(Calc!$AO$40&lt;='财富模型'!$E$11*12,'Calc'!$W$17,'Calc'!$Y$17))))</x:f>
        <x:v>0</x:v>
      </x:c>
      <x:c r="AT40" t="n">
        <x:f>IF(Calc!$AO$40&gt;'Calc'!$B$8,"",'Calc'!$B$5-'财富模型'!$E$5-(IF('Calc'!$E$17=1,'财富模型'!$E$9,'财富模型'!$M$9+IF(Calc!$AO$40&lt;='财富模型'!$E$11*12,'Calc'!$W$17,'Calc'!$Y$17)-(IF('Calc'!$E$17=1,0,MIN(Calc!$AQ$39*(1+'财富模型'!$E$20/12)+'Calc'!$B$6,IF(Calc!$AO$40&lt;='财富模型'!$E$11*12,'Calc'!$W$17,'Calc'!$Y$17)))))))</x:f>
        <x:v>3933.333333333332</x:v>
      </x:c>
      <x:c r="AU40" t="n">
        <x:f>IF(Calc!$AO$40&gt;'Calc'!$B$8,"",IF('Calc'!$E$17=1,0,MAX(Calc!$AU$39*(1+IF(Calc!$AO$40&lt;='财富模型'!$E$11*12,'财富模型'!$E$10,'财富模型'!$E$12)/12)-IF('Calc'!$E$17=1,0,IF(Calc!$AO$40&lt;='财富模型'!$E$11*12,'Calc'!$W$17,'Calc'!$Y$17)),0)))</x:f>
        <x:v>0</x:v>
      </x:c>
    </x:row>
    <x:row r="41">
      <x:c r="A41" t="n">
        <x:v>20</x:v>
      </x:c>
      <x:c r="B41" t="n">
        <x:f>IF(Calc!$A$41&gt;'Calc'!$B$8,"",MAX(Calc!$B$40*(1+'财富模型'!$E$6/12)+('Calc'!$B$5-'财富模型'!$E$5-(IF('Calc'!$E$12=1,'财富模型'!$E$9,'财富模型'!$M$4+IF(Calc!$A$41&lt;='财富模型'!$E$11*12,'Calc'!$W$12,'Calc'!$Y$12)-(IF('Calc'!$E$12=1,0,MIN(Calc!$C$40*(1+'财富模型'!$E$20/12)+'Calc'!$B$6,IF(Calc!$A$41&lt;='财富模型'!$E$11*12,'Calc'!$W$12,'Calc'!$Y$12))))))),0))</x:f>
        <x:v>573993.2885501485</x:v>
      </x:c>
      <x:c r="C41" t="n">
        <x:f>IF(Calc!$A$41&gt;'Calc'!$B$8,"",MAX(Calc!$C$40*(1+'财富模型'!$E$20/12)+'Calc'!$B$6-(IF('Calc'!$E$12=1,0,MIN(Calc!$C$40*(1+'财富模型'!$E$20/12)+'Calc'!$B$6,IF(Calc!$A$41&lt;='财富模型'!$E$11*12,'Calc'!$W$12,'Calc'!$Y$12)))),0))</x:f>
        <x:v>0</x:v>
      </x:c>
      <x:c r="D41" t="n">
        <x:f>IF(Calc!$A$41&gt;'Calc'!$B$8,"",IF('Calc'!$E$12=1,'财富模型'!$E$9,'财富模型'!$M$4+IF(Calc!$A$41&lt;='财富模型'!$E$11*12,'Calc'!$W$12,'Calc'!$Y$12)-(IF('Calc'!$E$12=1,0,MIN(Calc!$C$40*(1+'财富模型'!$E$20/12)+'Calc'!$B$6,IF(Calc!$A$41&lt;='财富模型'!$E$11*12,'Calc'!$W$12,'Calc'!$Y$12))))))</x:f>
        <x:v>812.25</x:v>
      </x:c>
      <x:c r="E41" t="n">
        <x:f>IF(Calc!$A$41&gt;'Calc'!$B$8,"",IF('Calc'!$E$12=1,0,MIN(Calc!$C$40*(1+'财富模型'!$E$20/12)+'Calc'!$B$6,IF(Calc!$A$41&lt;='财富模型'!$E$11*12,'Calc'!$W$12,'Calc'!$Y$12))))</x:f>
        <x:v>2847.75</x:v>
      </x:c>
      <x:c r="F41" t="n">
        <x:f>IF(Calc!$A$41&gt;'Calc'!$B$8,"",'Calc'!$B$5-'财富模型'!$E$5-(IF('Calc'!$E$12=1,'财富模型'!$E$9,'财富模型'!$M$4+IF(Calc!$A$41&lt;='财富模型'!$E$11*12,'Calc'!$W$12,'Calc'!$Y$12)-(IF('Calc'!$E$12=1,0,MIN(Calc!$C$40*(1+'财富模型'!$E$20/12)+'Calc'!$B$6,IF(Calc!$A$41&lt;='财富模型'!$E$11*12,'Calc'!$W$12,'Calc'!$Y$12)))))))</x:f>
        <x:v>7121.083333333332</x:v>
      </x:c>
      <x:c r="G41" t="n">
        <x:f>IF(Calc!$A$41&gt;'Calc'!$B$8,"",IF('Calc'!$E$12=1,0,MAX(Calc!$G$40*(1+IF(Calc!$A$41&lt;='财富模型'!$E$11*12,'财富模型'!$E$10,'财富模型'!$E$12)/12)-IF('Calc'!$E$12=1,0,IF(Calc!$A$41&lt;='财富模型'!$E$11*12,'Calc'!$W$12,'Calc'!$Y$12)),0)))</x:f>
        <x:v>913652.6177477972</x:v>
      </x:c>
      <x:c r="I41" t="n">
        <x:v>20</x:v>
      </x:c>
      <x:c r="J41" t="n">
        <x:f>IF(Calc!$I$41&gt;'Calc'!$B$8,"",MAX(Calc!$J$40*(1+'财富模型'!$E$6/12)+('Calc'!$B$5-'财富模型'!$E$5-(IF('Calc'!$E$13=1,'财富模型'!$E$9,'财富模型'!$M$5+IF(Calc!$I$41&lt;='财富模型'!$E$11*12,'Calc'!$W$13,'Calc'!$Y$13)-(IF('Calc'!$E$13=1,0,MIN(Calc!$K$40*(1+'财富模型'!$E$20/12)+'Calc'!$B$6,IF(Calc!$I$41&lt;='财富模型'!$E$11*12,'Calc'!$W$13,'Calc'!$Y$13))))))),0))</x:f>
        <x:v>579066.8534189898</x:v>
      </x:c>
      <x:c r="K41" t="n">
        <x:f>IF(Calc!$I$41&gt;'Calc'!$B$8,"",MAX(Calc!$K$40*(1+'财富模型'!$E$20/12)+'Calc'!$B$6-(IF('Calc'!$E$13=1,0,MIN(Calc!$K$40*(1+'财富模型'!$E$20/12)+'Calc'!$B$6,IF(Calc!$I$41&lt;='财富模型'!$E$11*12,'Calc'!$W$13,'Calc'!$Y$13)))),0))</x:f>
        <x:v>0</x:v>
      </x:c>
      <x:c r="L41" t="n">
        <x:f>IF(Calc!$I$41&gt;'Calc'!$B$8,"",IF('Calc'!$E$13=1,'财富模型'!$E$9,'财富模型'!$M$5+IF(Calc!$I$41&lt;='财富模型'!$E$11*12,'Calc'!$W$13,'Calc'!$Y$13)-(IF('Calc'!$E$13=1,0,MIN(Calc!$K$40*(1+'财富模型'!$E$20/12)+'Calc'!$B$6,IF(Calc!$I$41&lt;='财富模型'!$E$11*12,'Calc'!$W$13,'Calc'!$Y$13))))))</x:f>
        <x:v>843.25</x:v>
      </x:c>
      <x:c r="M41" t="n">
        <x:f>IF(Calc!$I$41&gt;'Calc'!$B$8,"",IF('Calc'!$E$13=1,0,MIN(Calc!$K$40*(1+'财富模型'!$E$20/12)+'Calc'!$B$6,IF(Calc!$I$41&lt;='财富模型'!$E$11*12,'Calc'!$W$13,'Calc'!$Y$13))))</x:f>
        <x:v>2847.75</x:v>
      </x:c>
      <x:c r="N41" t="n">
        <x:f>IF(Calc!$I$41&gt;'Calc'!$B$8,"",'Calc'!$B$5-'财富模型'!$E$5-(IF('Calc'!$E$13=1,'财富模型'!$E$9,'财富模型'!$M$5+IF(Calc!$I$41&lt;='财富模型'!$E$11*12,'Calc'!$W$13,'Calc'!$Y$13)-(IF('Calc'!$E$13=1,0,MIN(Calc!$K$40*(1+'财富模型'!$E$20/12)+'Calc'!$B$6,IF(Calc!$I$41&lt;='财富模型'!$E$11*12,'Calc'!$W$13,'Calc'!$Y$13)))))))</x:f>
        <x:v>7090.083333333332</x:v>
      </x:c>
      <x:c r="O41" t="n">
        <x:f>IF(Calc!$I$41&gt;'Calc'!$B$8,"",IF('Calc'!$E$13=1,0,MAX(Calc!$O$40*(1+IF(Calc!$I$41&lt;='财富模型'!$E$11*12,'财富模型'!$E$10,'财富模型'!$E$12)/12)-IF('Calc'!$E$13=1,0,IF(Calc!$I$41&lt;='财富模型'!$E$11*12,'Calc'!$W$13,'Calc'!$Y$13)),0)))</x:f>
        <x:v>902907.3350608967</x:v>
      </x:c>
      <x:c r="Q41" t="n">
        <x:v>20</x:v>
      </x:c>
      <x:c r="R41" t="n">
        <x:f>IF(Calc!$Q$41&gt;'Calc'!$B$8,"",MAX(Calc!$R$40*(1+'财富模型'!$E$6/12)+('Calc'!$B$5-'财富模型'!$E$5-(IF('Calc'!$E$14=1,'财富模型'!$E$9,'财富模型'!$M$6+IF(Calc!$Q$41&lt;='财富模型'!$E$11*12,'Calc'!$W$14,'Calc'!$Y$14)-(IF('Calc'!$E$14=1,0,MIN(Calc!$S$40*(1+'财富模型'!$E$20/12)+'Calc'!$B$6,IF(Calc!$Q$41&lt;='财富模型'!$E$11*12,'Calc'!$W$14,'Calc'!$Y$14))))))),0))</x:f>
        <x:v>430630.03202344925</x:v>
      </x:c>
      <x:c r="S41" t="n">
        <x:f>IF(Calc!$Q$41&gt;'Calc'!$B$8,"",MAX(Calc!$S$40*(1+'财富模型'!$E$20/12)+'Calc'!$B$6-(IF('Calc'!$E$14=1,0,MIN(Calc!$S$40*(1+'财富模型'!$E$20/12)+'Calc'!$B$6,IF(Calc!$Q$41&lt;='财富模型'!$E$11*12,'Calc'!$W$14,'Calc'!$Y$14)))),0))</x:f>
        <x:v>0</x:v>
      </x:c>
      <x:c r="T41" t="n">
        <x:f>IF(Calc!$Q$41&gt;'Calc'!$B$8,"",IF('Calc'!$E$14=1,'财富模型'!$E$9,'财富模型'!$M$6+IF(Calc!$Q$41&lt;='财富模型'!$E$11*12,'Calc'!$W$14,'Calc'!$Y$14)-(IF('Calc'!$E$14=1,0,MIN(Calc!$S$40*(1+'财富模型'!$E$20/12)+'Calc'!$B$6,IF(Calc!$Q$41&lt;='财富模型'!$E$11*12,'Calc'!$W$14,'Calc'!$Y$14))))))</x:f>
        <x:v>1388.25</x:v>
      </x:c>
      <x:c r="U41" t="n">
        <x:f>IF(Calc!$Q$41&gt;'Calc'!$B$8,"",IF('Calc'!$E$14=1,0,MIN(Calc!$S$40*(1+'财富模型'!$E$20/12)+'Calc'!$B$6,IF(Calc!$Q$41&lt;='财富模型'!$E$11*12,'Calc'!$W$14,'Calc'!$Y$14))))</x:f>
        <x:v>2847.75</x:v>
      </x:c>
      <x:c r="V41" t="n">
        <x:f>IF(Calc!$Q$41&gt;'Calc'!$B$8,"",'Calc'!$B$5-'财富模型'!$E$5-(IF('Calc'!$E$14=1,'财富模型'!$E$9,'财富模型'!$M$6+IF(Calc!$Q$41&lt;='财富模型'!$E$11*12,'Calc'!$W$14,'Calc'!$Y$14)-(IF('Calc'!$E$14=1,0,MIN(Calc!$S$40*(1+'财富模型'!$E$20/12)+'Calc'!$B$6,IF(Calc!$Q$41&lt;='财富模型'!$E$11*12,'Calc'!$W$14,'Calc'!$Y$14)))))))</x:f>
        <x:v>6545.083333333332</x:v>
      </x:c>
      <x:c r="W41" t="n">
        <x:f>IF(Calc!$Q$41&gt;'Calc'!$B$8,"",IF('Calc'!$E$14=1,0,MAX(Calc!$W$40*(1+IF(Calc!$Q$41&lt;='财富模型'!$E$11*12,'财富模型'!$E$10,'财富模型'!$E$12)/12)-IF('Calc'!$E$14=1,0,IF(Calc!$Q$41&lt;='财富模型'!$E$11*12,'Calc'!$W$14,'Calc'!$Y$14)),0)))</x:f>
        <x:v>1051000.6770921655</x:v>
      </x:c>
      <x:c r="Y41" t="n">
        <x:v>20</x:v>
      </x:c>
      <x:c r="Z41" t="n">
        <x:f>IF(Calc!$Y$41&gt;'Calc'!$B$8,"",MAX(Calc!$Z$40*(1+'财富模型'!$E$6/12)+('Calc'!$B$5-'财富模型'!$E$5-(IF('Calc'!$E$15=1,'财富模型'!$E$9,'财富模型'!$M$7+IF(Calc!$Y$41&lt;='财富模型'!$E$11*12,'Calc'!$W$15,'Calc'!$Y$15)-(IF('Calc'!$E$15=1,0,MIN(Calc!$AA$40*(1+'财富模型'!$E$20/12)+'Calc'!$B$6,IF(Calc!$Y$41&lt;='财富模型'!$E$11*12,'Calc'!$W$15,'Calc'!$Y$15))))))),0))</x:f>
        <x:v>150766.31001189628</x:v>
      </x:c>
      <x:c r="AA41" t="n">
        <x:f>IF(Calc!$Y$41&gt;'Calc'!$B$8,"",MAX(Calc!$AA$40*(1+'财富模型'!$E$20/12)+'Calc'!$B$6-(IF('Calc'!$E$15=1,0,MIN(Calc!$AA$40*(1+'财富模型'!$E$20/12)+'Calc'!$B$6,IF(Calc!$Y$41&lt;='财富模型'!$E$11*12,'Calc'!$W$15,'Calc'!$Y$15)))),0))</x:f>
        <x:v>0</x:v>
      </x:c>
      <x:c r="AB41" t="n">
        <x:f>IF(Calc!$Y$41&gt;'Calc'!$B$8,"",IF('Calc'!$E$15=1,'财富模型'!$E$9,'财富模型'!$M$7+IF(Calc!$Y$41&lt;='财富模型'!$E$11*12,'Calc'!$W$15,'Calc'!$Y$15)-(IF('Calc'!$E$15=1,0,MIN(Calc!$AA$40*(1+'财富模型'!$E$20/12)+'Calc'!$B$6,IF(Calc!$Y$41&lt;='财富模型'!$E$11*12,'Calc'!$W$15,'Calc'!$Y$15))))))</x:f>
        <x:v>1468.25</x:v>
      </x:c>
      <x:c r="AC41" t="n">
        <x:f>IF(Calc!$Y$41&gt;'Calc'!$B$8,"",IF('Calc'!$E$15=1,0,MIN(Calc!$AA$40*(1+'财富模型'!$E$20/12)+'Calc'!$B$6,IF(Calc!$Y$41&lt;='财富模型'!$E$11*12,'Calc'!$W$15,'Calc'!$Y$15))))</x:f>
        <x:v>2847.75</x:v>
      </x:c>
      <x:c r="AD41" t="n">
        <x:f>IF(Calc!$Y$41&gt;'Calc'!$B$8,"",'Calc'!$B$5-'财富模型'!$E$5-(IF('Calc'!$E$15=1,'财富模型'!$E$9,'财富模型'!$M$7+IF(Calc!$Y$41&lt;='财富模型'!$E$11*12,'Calc'!$W$15,'Calc'!$Y$15)-(IF('Calc'!$E$15=1,0,MIN(Calc!$AA$40*(1+'财富模型'!$E$20/12)+'Calc'!$B$6,IF(Calc!$Y$41&lt;='财富模型'!$E$11*12,'Calc'!$W$15,'Calc'!$Y$15)))))))</x:f>
        <x:v>6465.083333333332</x:v>
      </x:c>
      <x:c r="AE41" t="n">
        <x:f>IF(Calc!$Y$41&gt;'Calc'!$B$8,"",IF('Calc'!$E$15=1,0,MAX(Calc!$AE$40*(1+IF(Calc!$Y$41&lt;='财富模型'!$E$11*12,'财富模型'!$E$10,'财富模型'!$E$12)/12)-IF('Calc'!$E$15=1,0,IF(Calc!$Y$41&lt;='财富模型'!$E$11*12,'Calc'!$W$15,'Calc'!$Y$15)),0)))</x:f>
        <x:v>1051000.6770921655</x:v>
      </x:c>
      <x:c r="AG41" t="n">
        <x:v>20</x:v>
      </x:c>
      <x:c r="AH41" t="n">
        <x:f>IF(Calc!$AG$41&gt;'Calc'!$B$8,"",MAX(Calc!$AH$40*(1+'财富模型'!$E$6/12)+('Calc'!$B$5-'财富模型'!$E$5-(IF('Calc'!$E$16=1,'财富模型'!$E$9,'财富模型'!$M$8+IF(Calc!$AG$41&lt;='财富模型'!$E$11*12,'Calc'!$W$16,'Calc'!$Y$16)-(IF('Calc'!$E$16=1,0,MIN(Calc!$AI$40*(1+'财富模型'!$E$20/12)+'Calc'!$B$6,IF(Calc!$AG$41&lt;='财富模型'!$E$11*12,'Calc'!$W$16,'Calc'!$Y$16))))))),0))</x:f>
        <x:v>136512.77964504302</x:v>
      </x:c>
      <x:c r="AI41" t="n">
        <x:f>IF(Calc!$AG$41&gt;'Calc'!$B$8,"",MAX(Calc!$AI$40*(1+'财富模型'!$E$20/12)+'Calc'!$B$6-(IF('Calc'!$E$16=1,0,MIN(Calc!$AI$40*(1+'财富模型'!$E$20/12)+'Calc'!$B$6,IF(Calc!$AG$41&lt;='财富模型'!$E$11*12,'Calc'!$W$16,'Calc'!$Y$16)))),0))</x:f>
        <x:v>0</x:v>
      </x:c>
      <x:c r="AJ41" t="n">
        <x:f>IF(Calc!$AG$41&gt;'Calc'!$B$8,"",IF('Calc'!$E$16=1,'财富模型'!$E$9,'财富模型'!$M$8+IF(Calc!$AG$41&lt;='财富模型'!$E$11*12,'Calc'!$W$16,'Calc'!$Y$16)-(IF('Calc'!$E$16=1,0,MIN(Calc!$AI$40*(1+'财富模型'!$E$20/12)+'Calc'!$B$6,IF(Calc!$AG$41&lt;='财富模型'!$E$11*12,'Calc'!$W$16,'Calc'!$Y$16))))))</x:f>
        <x:v>1478.25</x:v>
      </x:c>
      <x:c r="AK41" t="n">
        <x:f>IF(Calc!$AG$41&gt;'Calc'!$B$8,"",IF('Calc'!$E$16=1,0,MIN(Calc!$AI$40*(1+'财富模型'!$E$20/12)+'Calc'!$B$6,IF(Calc!$AG$41&lt;='财富模型'!$E$11*12,'Calc'!$W$16,'Calc'!$Y$16))))</x:f>
        <x:v>2847.75</x:v>
      </x:c>
      <x:c r="AL41" t="n">
        <x:f>IF(Calc!$AG$41&gt;'Calc'!$B$8,"",'Calc'!$B$5-'财富模型'!$E$5-(IF('Calc'!$E$16=1,'财富模型'!$E$9,'财富模型'!$M$8+IF(Calc!$AG$41&lt;='财富模型'!$E$11*12,'Calc'!$W$16,'Calc'!$Y$16)-(IF('Calc'!$E$16=1,0,MIN(Calc!$AI$40*(1+'财富模型'!$E$20/12)+'Calc'!$B$6,IF(Calc!$AG$41&lt;='财富模型'!$E$11*12,'Calc'!$W$16,'Calc'!$Y$16)))))))</x:f>
        <x:v>6455.083333333332</x:v>
      </x:c>
      <x:c r="AM41" t="n">
        <x:f>IF(Calc!$AG$41&gt;'Calc'!$B$8,"",IF('Calc'!$E$16=1,0,MAX(Calc!$AM$40*(1+IF(Calc!$AG$41&lt;='财富模型'!$E$11*12,'财富模型'!$E$10,'财富模型'!$E$12)/12)-IF('Calc'!$E$16=1,0,IF(Calc!$AG$41&lt;='财富模型'!$E$11*12,'Calc'!$W$16,'Calc'!$Y$16)),0)))</x:f>
        <x:v>1051000.6770921655</x:v>
      </x:c>
      <x:c r="AO41" t="n">
        <x:v>20</x:v>
      </x:c>
      <x:c r="AP41" t="n">
        <x:f>IF(Calc!$AO$41&gt;'Calc'!$B$8,"",MAX(Calc!$AP$40*(1+'财富模型'!$E$6/12)+('Calc'!$B$5-'财富模型'!$E$5-(IF('Calc'!$E$17=1,'财富模型'!$E$9,'财富模型'!$M$9+IF(Calc!$AO$41&lt;='财富模型'!$E$11*12,'Calc'!$W$17,'Calc'!$Y$17)-(IF('Calc'!$E$17=1,0,MIN(Calc!$AQ$40*(1+'财富模型'!$E$20/12)+'Calc'!$B$6,IF(Calc!$AO$41&lt;='财富模型'!$E$11*12,'Calc'!$W$17,'Calc'!$Y$17))))))),0))</x:f>
        <x:v>976256.882644076</x:v>
      </x:c>
      <x:c r="AQ41" t="n">
        <x:f>IF(Calc!$AO$41&gt;'Calc'!$B$8,"",MAX(Calc!$AQ$40*(1+'财富模型'!$E$20/12)+'Calc'!$B$6-(IF('Calc'!$E$17=1,0,MIN(Calc!$AQ$40*(1+'财富模型'!$E$20/12)+'Calc'!$B$6,IF(Calc!$AO$41&lt;='财富模型'!$E$11*12,'Calc'!$W$17,'Calc'!$Y$17)))),0))</x:f>
        <x:v>58096.45039977718</x:v>
      </x:c>
      <x:c r="AR41" t="n">
        <x:f>IF(Calc!$AO$41&gt;'Calc'!$B$8,"",IF('Calc'!$E$17=1,'财富模型'!$E$9,'财富模型'!$M$9+IF(Calc!$AO$41&lt;='财富模型'!$E$11*12,'Calc'!$W$17,'Calc'!$Y$17)-(IF('Calc'!$E$17=1,0,MIN(Calc!$AQ$40*(1+'财富模型'!$E$20/12)+'Calc'!$B$6,IF(Calc!$AO$41&lt;='财富模型'!$E$11*12,'Calc'!$W$17,'Calc'!$Y$17))))))</x:f>
        <x:v>4000</x:v>
      </x:c>
      <x:c r="AS41" t="n">
        <x:f>IF(Calc!$AO$41&gt;'Calc'!$B$8,"",IF('Calc'!$E$17=1,0,MIN(Calc!$AQ$40*(1+'财富模型'!$E$20/12)+'Calc'!$B$6,IF(Calc!$AO$41&lt;='财富模型'!$E$11*12,'Calc'!$W$17,'Calc'!$Y$17))))</x:f>
        <x:v>0</x:v>
      </x:c>
      <x:c r="AT41" t="n">
        <x:f>IF(Calc!$AO$41&gt;'Calc'!$B$8,"",'Calc'!$B$5-'财富模型'!$E$5-(IF('Calc'!$E$17=1,'财富模型'!$E$9,'财富模型'!$M$9+IF(Calc!$AO$41&lt;='财富模型'!$E$11*12,'Calc'!$W$17,'Calc'!$Y$17)-(IF('Calc'!$E$17=1,0,MIN(Calc!$AQ$40*(1+'财富模型'!$E$20/12)+'Calc'!$B$6,IF(Calc!$AO$41&lt;='财富模型'!$E$11*12,'Calc'!$W$17,'Calc'!$Y$17)))))))</x:f>
        <x:v>3933.333333333332</x:v>
      </x:c>
      <x:c r="AU41" t="n">
        <x:f>IF(Calc!$AO$41&gt;'Calc'!$B$8,"",IF('Calc'!$E$17=1,0,MAX(Calc!$AU$40*(1+IF(Calc!$AO$41&lt;='财富模型'!$E$11*12,'财富模型'!$E$10,'财富模型'!$E$12)/12)-IF('Calc'!$E$17=1,0,IF(Calc!$AO$41&lt;='财富模型'!$E$11*12,'Calc'!$W$17,'Calc'!$Y$17)),0)))</x:f>
        <x:v>0</x:v>
      </x:c>
    </x:row>
    <x:row r="42">
      <x:c r="A42" t="n">
        <x:v>21</x:v>
      </x:c>
      <x:c r="B42" t="n">
        <x:f>IF(Calc!$A$42&gt;'Calc'!$B$8,"",MAX(Calc!$B$41*(1+'财富模型'!$E$6/12)+('Calc'!$B$5-'财富模型'!$E$5-(IF('Calc'!$E$12=1,'财富模型'!$E$9,'财富模型'!$M$4+IF(Calc!$A$42&lt;='财富模型'!$E$11*12,'Calc'!$W$12,'Calc'!$Y$12)-(IF('Calc'!$E$12=1,0,MIN(Calc!$C$41*(1+'财富模型'!$E$20/12)+'Calc'!$B$6,IF(Calc!$A$42&lt;='财富模型'!$E$11*12,'Calc'!$W$12,'Calc'!$Y$12))))))),0))</x:f>
        <x:v>584462.666066691</x:v>
      </x:c>
      <x:c r="C42" t="n">
        <x:f>IF(Calc!$A$42&gt;'Calc'!$B$8,"",MAX(Calc!$C$41*(1+'财富模型'!$E$20/12)+'Calc'!$B$6-(IF('Calc'!$E$12=1,0,MIN(Calc!$C$41*(1+'财富模型'!$E$20/12)+'Calc'!$B$6,IF(Calc!$A$42&lt;='财富模型'!$E$11*12,'Calc'!$W$12,'Calc'!$Y$12)))),0))</x:f>
        <x:v>0</x:v>
      </x:c>
      <x:c r="D42" t="n">
        <x:f>IF(Calc!$A$42&gt;'Calc'!$B$8,"",IF('Calc'!$E$12=1,'财富模型'!$E$9,'财富模型'!$M$4+IF(Calc!$A$42&lt;='财富模型'!$E$11*12,'Calc'!$W$12,'Calc'!$Y$12)-(IF('Calc'!$E$12=1,0,MIN(Calc!$C$41*(1+'财富模型'!$E$20/12)+'Calc'!$B$6,IF(Calc!$A$42&lt;='财富模型'!$E$11*12,'Calc'!$W$12,'Calc'!$Y$12))))))</x:f>
        <x:v>812.25</x:v>
      </x:c>
      <x:c r="E42" t="n">
        <x:f>IF(Calc!$A$42&gt;'Calc'!$B$8,"",IF('Calc'!$E$12=1,0,MIN(Calc!$C$41*(1+'财富模型'!$E$20/12)+'Calc'!$B$6,IF(Calc!$A$42&lt;='财富模型'!$E$11*12,'Calc'!$W$12,'Calc'!$Y$12))))</x:f>
        <x:v>2847.75</x:v>
      </x:c>
      <x:c r="F42" t="n">
        <x:f>IF(Calc!$A$42&gt;'Calc'!$B$8,"",'Calc'!$B$5-'财富模型'!$E$5-(IF('Calc'!$E$12=1,'财富模型'!$E$9,'财富模型'!$M$4+IF(Calc!$A$42&lt;='财富模型'!$E$11*12,'Calc'!$W$12,'Calc'!$Y$12)-(IF('Calc'!$E$12=1,0,MIN(Calc!$C$41*(1+'财富模型'!$E$20/12)+'Calc'!$B$6,IF(Calc!$A$42&lt;='财富模型'!$E$11*12,'Calc'!$W$12,'Calc'!$Y$12)))))))</x:f>
        <x:v>7121.083333333332</x:v>
      </x:c>
      <x:c r="G42" t="n">
        <x:f>IF(Calc!$A$42&gt;'Calc'!$B$8,"",IF('Calc'!$E$12=1,0,MAX(Calc!$G$41*(1+IF(Calc!$A$42&lt;='财富模型'!$E$11*12,'财富模型'!$E$10,'财富模型'!$E$12)/12)-IF('Calc'!$E$12=1,0,IF(Calc!$A$42&lt;='财富模型'!$E$11*12,'Calc'!$W$12,'Calc'!$Y$12)),0)))</x:f>
        <x:v>911494.6835199819</x:v>
      </x:c>
      <x:c r="I42" t="n">
        <x:v>21</x:v>
      </x:c>
      <x:c r="J42" t="n">
        <x:f>IF(Calc!$I$42&gt;'Calc'!$B$8,"",MAX(Calc!$J$41*(1+'财富模型'!$E$6/12)+('Calc'!$B$5-'财富模型'!$E$5-(IF('Calc'!$E$13=1,'财富模型'!$E$9,'财富模型'!$M$5+IF(Calc!$I$42&lt;='财富模型'!$E$11*12,'Calc'!$W$13,'Calc'!$Y$13)-(IF('Calc'!$E$13=1,0,MIN(Calc!$K$41*(1+'财富模型'!$E$20/12)+'Calc'!$B$6,IF(Calc!$I$42&lt;='财富模型'!$E$11*12,'Calc'!$W$13,'Calc'!$Y$13))))))),0))</x:f>
        <x:v>589534.8267306007</x:v>
      </x:c>
      <x:c r="K42" t="n">
        <x:f>IF(Calc!$I$42&gt;'Calc'!$B$8,"",MAX(Calc!$K$41*(1+'财富模型'!$E$20/12)+'Calc'!$B$6-(IF('Calc'!$E$13=1,0,MIN(Calc!$K$41*(1+'财富模型'!$E$20/12)+'Calc'!$B$6,IF(Calc!$I$42&lt;='财富模型'!$E$11*12,'Calc'!$W$13,'Calc'!$Y$13)))),0))</x:f>
        <x:v>0</x:v>
      </x:c>
      <x:c r="L42" t="n">
        <x:f>IF(Calc!$I$42&gt;'Calc'!$B$8,"",IF('Calc'!$E$13=1,'财富模型'!$E$9,'财富模型'!$M$5+IF(Calc!$I$42&lt;='财富模型'!$E$11*12,'Calc'!$W$13,'Calc'!$Y$13)-(IF('Calc'!$E$13=1,0,MIN(Calc!$K$41*(1+'财富模型'!$E$20/12)+'Calc'!$B$6,IF(Calc!$I$42&lt;='财富模型'!$E$11*12,'Calc'!$W$13,'Calc'!$Y$13))))))</x:f>
        <x:v>843.25</x:v>
      </x:c>
      <x:c r="M42" t="n">
        <x:f>IF(Calc!$I$42&gt;'Calc'!$B$8,"",IF('Calc'!$E$13=1,0,MIN(Calc!$K$41*(1+'财富模型'!$E$20/12)+'Calc'!$B$6,IF(Calc!$I$42&lt;='财富模型'!$E$11*12,'Calc'!$W$13,'Calc'!$Y$13))))</x:f>
        <x:v>2847.75</x:v>
      </x:c>
      <x:c r="N42" t="n">
        <x:f>IF(Calc!$I$42&gt;'Calc'!$B$8,"",'Calc'!$B$5-'财富模型'!$E$5-(IF('Calc'!$E$13=1,'财富模型'!$E$9,'财富模型'!$M$5+IF(Calc!$I$42&lt;='财富模型'!$E$11*12,'Calc'!$W$13,'Calc'!$Y$13)-(IF('Calc'!$E$13=1,0,MIN(Calc!$K$41*(1+'财富模型'!$E$20/12)+'Calc'!$B$6,IF(Calc!$I$42&lt;='财富模型'!$E$11*12,'Calc'!$W$13,'Calc'!$Y$13)))))))</x:f>
        <x:v>7090.083333333332</x:v>
      </x:c>
      <x:c r="O42" t="n">
        <x:f>IF(Calc!$I$42&gt;'Calc'!$B$8,"",IF('Calc'!$E$13=1,0,MAX(Calc!$O$41*(1+IF(Calc!$I$42&lt;='财富模型'!$E$11*12,'财富模型'!$E$10,'财富模型'!$E$12)/12)-IF('Calc'!$E$13=1,0,IF(Calc!$I$42&lt;='财富模型'!$E$11*12,'Calc'!$W$13,'Calc'!$Y$13)),0)))</x:f>
        <x:v>900774.9692297227</x:v>
      </x:c>
      <x:c r="Q42" t="n">
        <x:v>21</x:v>
      </x:c>
      <x:c r="R42" t="n">
        <x:f>IF(Calc!$Q$42&gt;'Calc'!$B$8,"",MAX(Calc!$R$41*(1+'财富模型'!$E$6/12)+('Calc'!$B$5-'财富模型'!$E$5-(IF('Calc'!$E$14=1,'财富模型'!$E$9,'财富模型'!$M$6+IF(Calc!$Q$42&lt;='财富模型'!$E$11*12,'Calc'!$W$14,'Calc'!$Y$14)-(IF('Calc'!$E$14=1,0,MIN(Calc!$S$41*(1+'财富模型'!$E$20/12)+'Calc'!$B$6,IF(Calc!$Q$42&lt;='财富模型'!$E$11*12,'Calc'!$W$14,'Calc'!$Y$14))))))),0))</x:f>
        <x:v>439687.1238769194</x:v>
      </x:c>
      <x:c r="S42" t="n">
        <x:f>IF(Calc!$Q$42&gt;'Calc'!$B$8,"",MAX(Calc!$S$41*(1+'财富模型'!$E$20/12)+'Calc'!$B$6-(IF('Calc'!$E$14=1,0,MIN(Calc!$S$41*(1+'财富模型'!$E$20/12)+'Calc'!$B$6,IF(Calc!$Q$42&lt;='财富模型'!$E$11*12,'Calc'!$W$14,'Calc'!$Y$14)))),0))</x:f>
        <x:v>0</x:v>
      </x:c>
      <x:c r="T42" t="n">
        <x:f>IF(Calc!$Q$42&gt;'Calc'!$B$8,"",IF('Calc'!$E$14=1,'财富模型'!$E$9,'财富模型'!$M$6+IF(Calc!$Q$42&lt;='财富模型'!$E$11*12,'Calc'!$W$14,'Calc'!$Y$14)-(IF('Calc'!$E$14=1,0,MIN(Calc!$S$41*(1+'财富模型'!$E$20/12)+'Calc'!$B$6,IF(Calc!$Q$42&lt;='财富模型'!$E$11*12,'Calc'!$W$14,'Calc'!$Y$14))))))</x:f>
        <x:v>1388.25</x:v>
      </x:c>
      <x:c r="U42" t="n">
        <x:f>IF(Calc!$Q$42&gt;'Calc'!$B$8,"",IF('Calc'!$E$14=1,0,MIN(Calc!$S$41*(1+'财富模型'!$E$20/12)+'Calc'!$B$6,IF(Calc!$Q$42&lt;='财富模型'!$E$11*12,'Calc'!$W$14,'Calc'!$Y$14))))</x:f>
        <x:v>2847.75</x:v>
      </x:c>
      <x:c r="V42" t="n">
        <x:f>IF(Calc!$Q$42&gt;'Calc'!$B$8,"",'Calc'!$B$5-'财富模型'!$E$5-(IF('Calc'!$E$14=1,'财富模型'!$E$9,'财富模型'!$M$6+IF(Calc!$Q$42&lt;='财富模型'!$E$11*12,'Calc'!$W$14,'Calc'!$Y$14)-(IF('Calc'!$E$14=1,0,MIN(Calc!$S$41*(1+'财富模型'!$E$20/12)+'Calc'!$B$6,IF(Calc!$Q$42&lt;='财富模型'!$E$11*12,'Calc'!$W$14,'Calc'!$Y$14)))))))</x:f>
        <x:v>6545.083333333332</x:v>
      </x:c>
      <x:c r="W42" t="n">
        <x:f>IF(Calc!$Q$42&gt;'Calc'!$B$8,"",IF('Calc'!$E$14=1,0,MAX(Calc!$W$41*(1+IF(Calc!$Q$42&lt;='财富模型'!$E$11*12,'财富模型'!$E$10,'财富模型'!$E$12)/12)-IF('Calc'!$E$14=1,0,IF(Calc!$Q$42&lt;='财富模型'!$E$11*12,'Calc'!$W$14,'Calc'!$Y$14)),0)))</x:f>
        <x:v>1048518.4279385307</x:v>
      </x:c>
      <x:c r="Y42" t="n">
        <x:v>21</x:v>
      </x:c>
      <x:c r="Z42" t="n">
        <x:f>IF(Calc!$Y$42&gt;'Calc'!$B$8,"",MAX(Calc!$Z$41*(1+'财富模型'!$E$6/12)+('Calc'!$B$5-'财富模型'!$E$5-(IF('Calc'!$E$15=1,'财富模型'!$E$9,'财富模型'!$M$7+IF(Calc!$Y$42&lt;='财富模型'!$E$11*12,'Calc'!$W$15,'Calc'!$Y$15)-(IF('Calc'!$E$15=1,0,MIN(Calc!$AA$41*(1+'财富模型'!$E$20/12)+'Calc'!$B$6,IF(Calc!$Y$42&lt;='财富模型'!$E$11*12,'Calc'!$W$15,'Calc'!$Y$15))))))),0))</x:f>
        <x:v>158110.86348696568</x:v>
      </x:c>
      <x:c r="AA42" t="n">
        <x:f>IF(Calc!$Y$42&gt;'Calc'!$B$8,"",MAX(Calc!$AA$41*(1+'财富模型'!$E$20/12)+'Calc'!$B$6-(IF('Calc'!$E$15=1,0,MIN(Calc!$AA$41*(1+'财富模型'!$E$20/12)+'Calc'!$B$6,IF(Calc!$Y$42&lt;='财富模型'!$E$11*12,'Calc'!$W$15,'Calc'!$Y$15)))),0))</x:f>
        <x:v>0</x:v>
      </x:c>
      <x:c r="AB42" t="n">
        <x:f>IF(Calc!$Y$42&gt;'Calc'!$B$8,"",IF('Calc'!$E$15=1,'财富模型'!$E$9,'财富模型'!$M$7+IF(Calc!$Y$42&lt;='财富模型'!$E$11*12,'Calc'!$W$15,'Calc'!$Y$15)-(IF('Calc'!$E$15=1,0,MIN(Calc!$AA$41*(1+'财富模型'!$E$20/12)+'Calc'!$B$6,IF(Calc!$Y$42&lt;='财富模型'!$E$11*12,'Calc'!$W$15,'Calc'!$Y$15))))))</x:f>
        <x:v>1468.25</x:v>
      </x:c>
      <x:c r="AC42" t="n">
        <x:f>IF(Calc!$Y$42&gt;'Calc'!$B$8,"",IF('Calc'!$E$15=1,0,MIN(Calc!$AA$41*(1+'财富模型'!$E$20/12)+'Calc'!$B$6,IF(Calc!$Y$42&lt;='财富模型'!$E$11*12,'Calc'!$W$15,'Calc'!$Y$15))))</x:f>
        <x:v>2847.75</x:v>
      </x:c>
      <x:c r="AD42" t="n">
        <x:f>IF(Calc!$Y$42&gt;'Calc'!$B$8,"",'Calc'!$B$5-'财富模型'!$E$5-(IF('Calc'!$E$15=1,'财富模型'!$E$9,'财富模型'!$M$7+IF(Calc!$Y$42&lt;='财富模型'!$E$11*12,'Calc'!$W$15,'Calc'!$Y$15)-(IF('Calc'!$E$15=1,0,MIN(Calc!$AA$41*(1+'财富模型'!$E$20/12)+'Calc'!$B$6,IF(Calc!$Y$42&lt;='财富模型'!$E$11*12,'Calc'!$W$15,'Calc'!$Y$15)))))))</x:f>
        <x:v>6465.083333333332</x:v>
      </x:c>
      <x:c r="AE42" t="n">
        <x:f>IF(Calc!$Y$42&gt;'Calc'!$B$8,"",IF('Calc'!$E$15=1,0,MAX(Calc!$AE$41*(1+IF(Calc!$Y$42&lt;='财富模型'!$E$11*12,'财富模型'!$E$10,'财富模型'!$E$12)/12)-IF('Calc'!$E$15=1,0,IF(Calc!$Y$42&lt;='财富模型'!$E$11*12,'Calc'!$W$15,'Calc'!$Y$15)),0)))</x:f>
        <x:v>1048518.4279385307</x:v>
      </x:c>
      <x:c r="AG42" t="n">
        <x:v>21</x:v>
      </x:c>
      <x:c r="AH42" t="n">
        <x:f>IF(Calc!$AG$42&gt;'Calc'!$B$8,"",MAX(Calc!$AH$41*(1+'财富模型'!$E$6/12)+('Calc'!$B$5-'财富模型'!$E$5-(IF('Calc'!$E$16=1,'财富模型'!$E$9,'财富模型'!$M$8+IF(Calc!$AG$42&lt;='财富模型'!$E$11*12,'Calc'!$W$16,'Calc'!$Y$16)-(IF('Calc'!$E$16=1,0,MIN(Calc!$AI$41*(1+'财富模型'!$E$20/12)+'Calc'!$B$6,IF(Calc!$AG$42&lt;='财富模型'!$E$11*12,'Calc'!$W$16,'Calc'!$Y$16))))))),0))</x:f>
        <x:v>143764.1875263058</x:v>
      </x:c>
      <x:c r="AI42" t="n">
        <x:f>IF(Calc!$AG$42&gt;'Calc'!$B$8,"",MAX(Calc!$AI$41*(1+'财富模型'!$E$20/12)+'Calc'!$B$6-(IF('Calc'!$E$16=1,0,MIN(Calc!$AI$41*(1+'财富模型'!$E$20/12)+'Calc'!$B$6,IF(Calc!$AG$42&lt;='财富模型'!$E$11*12,'Calc'!$W$16,'Calc'!$Y$16)))),0))</x:f>
        <x:v>0</x:v>
      </x:c>
      <x:c r="AJ42" t="n">
        <x:f>IF(Calc!$AG$42&gt;'Calc'!$B$8,"",IF('Calc'!$E$16=1,'财富模型'!$E$9,'财富模型'!$M$8+IF(Calc!$AG$42&lt;='财富模型'!$E$11*12,'Calc'!$W$16,'Calc'!$Y$16)-(IF('Calc'!$E$16=1,0,MIN(Calc!$AI$41*(1+'财富模型'!$E$20/12)+'Calc'!$B$6,IF(Calc!$AG$42&lt;='财富模型'!$E$11*12,'Calc'!$W$16,'Calc'!$Y$16))))))</x:f>
        <x:v>1478.25</x:v>
      </x:c>
      <x:c r="AK42" t="n">
        <x:f>IF(Calc!$AG$42&gt;'Calc'!$B$8,"",IF('Calc'!$E$16=1,0,MIN(Calc!$AI$41*(1+'财富模型'!$E$20/12)+'Calc'!$B$6,IF(Calc!$AG$42&lt;='财富模型'!$E$11*12,'Calc'!$W$16,'Calc'!$Y$16))))</x:f>
        <x:v>2847.75</x:v>
      </x:c>
      <x:c r="AL42" t="n">
        <x:f>IF(Calc!$AG$42&gt;'Calc'!$B$8,"",'Calc'!$B$5-'财富模型'!$E$5-(IF('Calc'!$E$16=1,'财富模型'!$E$9,'财富模型'!$M$8+IF(Calc!$AG$42&lt;='财富模型'!$E$11*12,'Calc'!$W$16,'Calc'!$Y$16)-(IF('Calc'!$E$16=1,0,MIN(Calc!$AI$41*(1+'财富模型'!$E$20/12)+'Calc'!$B$6,IF(Calc!$AG$42&lt;='财富模型'!$E$11*12,'Calc'!$W$16,'Calc'!$Y$16)))))))</x:f>
        <x:v>6455.083333333332</x:v>
      </x:c>
      <x:c r="AM42" t="n">
        <x:f>IF(Calc!$AG$42&gt;'Calc'!$B$8,"",IF('Calc'!$E$16=1,0,MAX(Calc!$AM$41*(1+IF(Calc!$AG$42&lt;='财富模型'!$E$11*12,'财富模型'!$E$10,'财富模型'!$E$12)/12)-IF('Calc'!$E$16=1,0,IF(Calc!$AG$42&lt;='财富模型'!$E$11*12,'Calc'!$W$16,'Calc'!$Y$16)),0)))</x:f>
        <x:v>1048518.4279385307</x:v>
      </x:c>
      <x:c r="AO42" t="n">
        <x:v>21</x:v>
      </x:c>
      <x:c r="AP42" t="n">
        <x:f>IF(Calc!$AO$42&gt;'Calc'!$B$8,"",MAX(Calc!$AP$41*(1+'财富模型'!$E$6/12)+('Calc'!$B$5-'财富模型'!$E$5-(IF('Calc'!$E$17=1,'财富模型'!$E$9,'财富模型'!$M$9+IF(Calc!$AO$42&lt;='财富模型'!$E$11*12,'Calc'!$W$17,'Calc'!$Y$17)-(IF('Calc'!$E$17=1,0,MIN(Calc!$AQ$41*(1+'财富模型'!$E$20/12)+'Calc'!$B$6,IF(Calc!$AO$42&lt;='财富模型'!$E$11*12,'Calc'!$W$17,'Calc'!$Y$17))))))),0))</x:f>
        <x:v>985885.0477928332</x:v>
      </x:c>
      <x:c r="AQ42" t="n">
        <x:f>IF(Calc!$AO$42&gt;'Calc'!$B$8,"",MAX(Calc!$AQ$41*(1+'财富模型'!$E$20/12)+'Calc'!$B$6-(IF('Calc'!$E$17=1,0,MIN(Calc!$AQ$41*(1+'财富模型'!$E$20/12)+'Calc'!$B$6,IF(Calc!$AO$42&lt;='财富模型'!$E$11*12,'Calc'!$W$17,'Calc'!$Y$17)))),0))</x:f>
        <x:v>61065.23467144339</x:v>
      </x:c>
      <x:c r="AR42" t="n">
        <x:f>IF(Calc!$AO$42&gt;'Calc'!$B$8,"",IF('Calc'!$E$17=1,'财富模型'!$E$9,'财富模型'!$M$9+IF(Calc!$AO$42&lt;='财富模型'!$E$11*12,'Calc'!$W$17,'Calc'!$Y$17)-(IF('Calc'!$E$17=1,0,MIN(Calc!$AQ$41*(1+'财富模型'!$E$20/12)+'Calc'!$B$6,IF(Calc!$AO$42&lt;='财富模型'!$E$11*12,'Calc'!$W$17,'Calc'!$Y$17))))))</x:f>
        <x:v>4000</x:v>
      </x:c>
      <x:c r="AS42" t="n">
        <x:f>IF(Calc!$AO$42&gt;'Calc'!$B$8,"",IF('Calc'!$E$17=1,0,MIN(Calc!$AQ$41*(1+'财富模型'!$E$20/12)+'Calc'!$B$6,IF(Calc!$AO$42&lt;='财富模型'!$E$11*12,'Calc'!$W$17,'Calc'!$Y$17))))</x:f>
        <x:v>0</x:v>
      </x:c>
      <x:c r="AT42" t="n">
        <x:f>IF(Calc!$AO$42&gt;'Calc'!$B$8,"",'Calc'!$B$5-'财富模型'!$E$5-(IF('Calc'!$E$17=1,'财富模型'!$E$9,'财富模型'!$M$9+IF(Calc!$AO$42&lt;='财富模型'!$E$11*12,'Calc'!$W$17,'Calc'!$Y$17)-(IF('Calc'!$E$17=1,0,MIN(Calc!$AQ$41*(1+'财富模型'!$E$20/12)+'Calc'!$B$6,IF(Calc!$AO$42&lt;='财富模型'!$E$11*12,'Calc'!$W$17,'Calc'!$Y$17)))))))</x:f>
        <x:v>3933.333333333332</x:v>
      </x:c>
      <x:c r="AU42" t="n">
        <x:f>IF(Calc!$AO$42&gt;'Calc'!$B$8,"",IF('Calc'!$E$17=1,0,MAX(Calc!$AU$41*(1+IF(Calc!$AO$42&lt;='财富模型'!$E$11*12,'财富模型'!$E$10,'财富模型'!$E$12)/12)-IF('Calc'!$E$17=1,0,IF(Calc!$AO$42&lt;='财富模型'!$E$11*12,'Calc'!$W$17,'Calc'!$Y$17)),0)))</x:f>
        <x:v>0</x:v>
      </x:c>
    </x:row>
    <x:row r="43">
      <x:c r="A43" t="n">
        <x:v>22</x:v>
      </x:c>
      <x:c r="B43" t="n">
        <x:f>IF(Calc!$A$43&gt;'Calc'!$B$8,"",MAX(Calc!$B$42*(1+'财富模型'!$E$6/12)+('Calc'!$B$5-'财富模型'!$E$5-(IF('Calc'!$E$12=1,'财富模型'!$E$9,'财富模型'!$M$4+IF(Calc!$A$43&lt;='财富模型'!$E$11*12,'Calc'!$W$12,'Calc'!$Y$12)-(IF('Calc'!$E$12=1,0,MIN(Calc!$C$42*(1+'财富模型'!$E$20/12)+'Calc'!$B$6,IF(Calc!$A$43&lt;='财富模型'!$E$11*12,'Calc'!$W$12,'Calc'!$Y$12))))))),0))</x:f>
        <x:v>594993.1149520802</x:v>
      </x:c>
      <x:c r="C43" t="n">
        <x:f>IF(Calc!$A$43&gt;'Calc'!$B$8,"",MAX(Calc!$C$42*(1+'财富模型'!$E$20/12)+'Calc'!$B$6-(IF('Calc'!$E$12=1,0,MIN(Calc!$C$42*(1+'财富模型'!$E$20/12)+'Calc'!$B$6,IF(Calc!$A$43&lt;='财富模型'!$E$11*12,'Calc'!$W$12,'Calc'!$Y$12)))),0))</x:f>
        <x:v>0</x:v>
      </x:c>
      <x:c r="D43" t="n">
        <x:f>IF(Calc!$A$43&gt;'Calc'!$B$8,"",IF('Calc'!$E$12=1,'财富模型'!$E$9,'财富模型'!$M$4+IF(Calc!$A$43&lt;='财富模型'!$E$11*12,'Calc'!$W$12,'Calc'!$Y$12)-(IF('Calc'!$E$12=1,0,MIN(Calc!$C$42*(1+'财富模型'!$E$20/12)+'Calc'!$B$6,IF(Calc!$A$43&lt;='财富模型'!$E$11*12,'Calc'!$W$12,'Calc'!$Y$12))))))</x:f>
        <x:v>812.25</x:v>
      </x:c>
      <x:c r="E43" t="n">
        <x:f>IF(Calc!$A$43&gt;'Calc'!$B$8,"",IF('Calc'!$E$12=1,0,MIN(Calc!$C$42*(1+'财富模型'!$E$20/12)+'Calc'!$B$6,IF(Calc!$A$43&lt;='财富模型'!$E$11*12,'Calc'!$W$12,'Calc'!$Y$12))))</x:f>
        <x:v>2847.75</x:v>
      </x:c>
      <x:c r="F43" t="n">
        <x:f>IF(Calc!$A$43&gt;'Calc'!$B$8,"",'Calc'!$B$5-'财富模型'!$E$5-(IF('Calc'!$E$12=1,'财富模型'!$E$9,'财富模型'!$M$4+IF(Calc!$A$43&lt;='财富模型'!$E$11*12,'Calc'!$W$12,'Calc'!$Y$12)-(IF('Calc'!$E$12=1,0,MIN(Calc!$C$42*(1+'财富模型'!$E$20/12)+'Calc'!$B$6,IF(Calc!$A$43&lt;='财富模型'!$E$11*12,'Calc'!$W$12,'Calc'!$Y$12)))))))</x:f>
        <x:v>7121.083333333332</x:v>
      </x:c>
      <x:c r="G43" t="n">
        <x:f>IF(Calc!$A$43&gt;'Calc'!$B$8,"",IF('Calc'!$E$12=1,0,MAX(Calc!$G$42*(1+IF(Calc!$A$43&lt;='财富模型'!$E$11*12,'财富模型'!$E$10,'财富模型'!$E$12)/12)-IF('Calc'!$E$12=1,0,IF(Calc!$A$43&lt;='财富模型'!$E$11*12,'Calc'!$W$12,'Calc'!$Y$12)),0)))</x:f>
        <x:v>909334.0518743818</x:v>
      </x:c>
      <x:c r="I43" t="n">
        <x:v>22</x:v>
      </x:c>
      <x:c r="J43" t="n">
        <x:f>IF(Calc!$I$43&gt;'Calc'!$B$8,"",MAX(Calc!$J$42*(1+'财富模型'!$E$6/12)+('Calc'!$B$5-'财富模型'!$E$5-(IF('Calc'!$E$13=1,'财富模型'!$E$9,'财富模型'!$M$5+IF(Calc!$I$43&lt;='财富模型'!$E$11*12,'Calc'!$W$13,'Calc'!$Y$13)-(IF('Calc'!$E$13=1,0,MIN(Calc!$K$42*(1+'财富模型'!$E$20/12)+'Calc'!$B$6,IF(Calc!$I$43&lt;='财富模型'!$E$11*12,'Calc'!$W$13,'Calc'!$Y$13))))))),0))</x:f>
        <x:v>600063.8632198626</x:v>
      </x:c>
      <x:c r="K43" t="n">
        <x:f>IF(Calc!$I$43&gt;'Calc'!$B$8,"",MAX(Calc!$K$42*(1+'财富模型'!$E$20/12)+'Calc'!$B$6-(IF('Calc'!$E$13=1,0,MIN(Calc!$K$42*(1+'财富模型'!$E$20/12)+'Calc'!$B$6,IF(Calc!$I$43&lt;='财富模型'!$E$11*12,'Calc'!$W$13,'Calc'!$Y$13)))),0))</x:f>
        <x:v>0</x:v>
      </x:c>
      <x:c r="L43" t="n">
        <x:f>IF(Calc!$I$43&gt;'Calc'!$B$8,"",IF('Calc'!$E$13=1,'财富模型'!$E$9,'财富模型'!$M$5+IF(Calc!$I$43&lt;='财富模型'!$E$11*12,'Calc'!$W$13,'Calc'!$Y$13)-(IF('Calc'!$E$13=1,0,MIN(Calc!$K$42*(1+'财富模型'!$E$20/12)+'Calc'!$B$6,IF(Calc!$I$43&lt;='财富模型'!$E$11*12,'Calc'!$W$13,'Calc'!$Y$13))))))</x:f>
        <x:v>843.25</x:v>
      </x:c>
      <x:c r="M43" t="n">
        <x:f>IF(Calc!$I$43&gt;'Calc'!$B$8,"",IF('Calc'!$E$13=1,0,MIN(Calc!$K$42*(1+'财富模型'!$E$20/12)+'Calc'!$B$6,IF(Calc!$I$43&lt;='财富模型'!$E$11*12,'Calc'!$W$13,'Calc'!$Y$13))))</x:f>
        <x:v>2847.75</x:v>
      </x:c>
      <x:c r="N43" t="n">
        <x:f>IF(Calc!$I$43&gt;'Calc'!$B$8,"",'Calc'!$B$5-'财富模型'!$E$5-(IF('Calc'!$E$13=1,'财富模型'!$E$9,'财富模型'!$M$5+IF(Calc!$I$43&lt;='财富模型'!$E$11*12,'Calc'!$W$13,'Calc'!$Y$13)-(IF('Calc'!$E$13=1,0,MIN(Calc!$K$42*(1+'财富模型'!$E$20/12)+'Calc'!$B$6,IF(Calc!$I$43&lt;='财富模型'!$E$11*12,'Calc'!$W$13,'Calc'!$Y$13)))))))</x:f>
        <x:v>7090.083333333332</x:v>
      </x:c>
      <x:c r="O43" t="n">
        <x:f>IF(Calc!$I$43&gt;'Calc'!$B$8,"",IF('Calc'!$E$13=1,0,MAX(Calc!$O$42*(1+IF(Calc!$I$43&lt;='财富模型'!$E$11*12,'财富模型'!$E$10,'财富模型'!$E$12)/12)-IF('Calc'!$E$13=1,0,IF(Calc!$I$43&lt;='财富模型'!$E$11*12,'Calc'!$W$13,'Calc'!$Y$13)),0)))</x:f>
        <x:v>898639.9379412598</x:v>
      </x:c>
      <x:c r="Q43" t="n">
        <x:v>22</x:v>
      </x:c>
      <x:c r="R43" t="n">
        <x:f>IF(Calc!$Q$43&gt;'Calc'!$B$8,"",MAX(Calc!$R$42*(1+'财富模型'!$E$6/12)+('Calc'!$B$5-'财富模型'!$E$5-(IF('Calc'!$E$14=1,'财富模型'!$E$9,'财富模型'!$M$6+IF(Calc!$Q$43&lt;='财富模型'!$E$11*12,'Calc'!$W$14,'Calc'!$Y$14)-(IF('Calc'!$E$14=1,0,MIN(Calc!$S$42*(1+'财富模型'!$E$20/12)+'Calc'!$B$6,IF(Calc!$Q$43&lt;='财富模型'!$E$11*12,'Calc'!$W$14,'Calc'!$Y$14))))))),0))</x:f>
        <x:v>448797.0487662014</x:v>
      </x:c>
      <x:c r="S43" t="n">
        <x:f>IF(Calc!$Q$43&gt;'Calc'!$B$8,"",MAX(Calc!$S$42*(1+'财富模型'!$E$20/12)+'Calc'!$B$6-(IF('Calc'!$E$14=1,0,MIN(Calc!$S$42*(1+'财富模型'!$E$20/12)+'Calc'!$B$6,IF(Calc!$Q$43&lt;='财富模型'!$E$11*12,'Calc'!$W$14,'Calc'!$Y$14)))),0))</x:f>
        <x:v>0</x:v>
      </x:c>
      <x:c r="T43" t="n">
        <x:f>IF(Calc!$Q$43&gt;'Calc'!$B$8,"",IF('Calc'!$E$14=1,'财富模型'!$E$9,'财富模型'!$M$6+IF(Calc!$Q$43&lt;='财富模型'!$E$11*12,'Calc'!$W$14,'Calc'!$Y$14)-(IF('Calc'!$E$14=1,0,MIN(Calc!$S$42*(1+'财富模型'!$E$20/12)+'Calc'!$B$6,IF(Calc!$Q$43&lt;='财富模型'!$E$11*12,'Calc'!$W$14,'Calc'!$Y$14))))))</x:f>
        <x:v>1388.25</x:v>
      </x:c>
      <x:c r="U43" t="n">
        <x:f>IF(Calc!$Q$43&gt;'Calc'!$B$8,"",IF('Calc'!$E$14=1,0,MIN(Calc!$S$42*(1+'财富模型'!$E$20/12)+'Calc'!$B$6,IF(Calc!$Q$43&lt;='财富模型'!$E$11*12,'Calc'!$W$14,'Calc'!$Y$14))))</x:f>
        <x:v>2847.75</x:v>
      </x:c>
      <x:c r="V43" t="n">
        <x:f>IF(Calc!$Q$43&gt;'Calc'!$B$8,"",'Calc'!$B$5-'财富模型'!$E$5-(IF('Calc'!$E$14=1,'财富模型'!$E$9,'财富模型'!$M$6+IF(Calc!$Q$43&lt;='财富模型'!$E$11*12,'Calc'!$W$14,'Calc'!$Y$14)-(IF('Calc'!$E$14=1,0,MIN(Calc!$S$42*(1+'财富模型'!$E$20/12)+'Calc'!$B$6,IF(Calc!$Q$43&lt;='财富模型'!$E$11*12,'Calc'!$W$14,'Calc'!$Y$14)))))))</x:f>
        <x:v>6545.083333333332</x:v>
      </x:c>
      <x:c r="W43" t="n">
        <x:f>IF(Calc!$Q$43&gt;'Calc'!$B$8,"",IF('Calc'!$E$14=1,0,MAX(Calc!$W$42*(1+IF(Calc!$Q$43&lt;='财富模型'!$E$11*12,'财富模型'!$E$10,'财富模型'!$E$12)/12)-IF('Calc'!$E$14=1,0,IF(Calc!$Q$43&lt;='财富模型'!$E$11*12,'Calc'!$W$14,'Calc'!$Y$14)),0)))</x:f>
        <x:v>1046033.0759734539</x:v>
      </x:c>
      <x:c r="Y43" t="n">
        <x:v>22</x:v>
      </x:c>
      <x:c r="Z43" t="n">
        <x:f>IF(Calc!$Y$43&gt;'Calc'!$B$8,"",MAX(Calc!$Z$42*(1+'财富模型'!$E$6/12)+('Calc'!$B$5-'财富模型'!$E$5-(IF('Calc'!$E$15=1,'财富模型'!$E$9,'财富模型'!$M$7+IF(Calc!$Y$43&lt;='财富模型'!$E$11*12,'Calc'!$W$15,'Calc'!$Y$15)-(IF('Calc'!$E$15=1,0,MIN(Calc!$AA$42*(1+'财富模型'!$E$20/12)+'Calc'!$B$6,IF(Calc!$Y$43&lt;='财富模型'!$E$11*12,'Calc'!$W$15,'Calc'!$Y$15))))))),0))</x:f>
        <x:v>165498.26019063967</x:v>
      </x:c>
      <x:c r="AA43" t="n">
        <x:f>IF(Calc!$Y$43&gt;'Calc'!$B$8,"",MAX(Calc!$AA$42*(1+'财富模型'!$E$20/12)+'Calc'!$B$6-(IF('Calc'!$E$15=1,0,MIN(Calc!$AA$42*(1+'财富模型'!$E$20/12)+'Calc'!$B$6,IF(Calc!$Y$43&lt;='财富模型'!$E$11*12,'Calc'!$W$15,'Calc'!$Y$15)))),0))</x:f>
        <x:v>0</x:v>
      </x:c>
      <x:c r="AB43" t="n">
        <x:f>IF(Calc!$Y$43&gt;'Calc'!$B$8,"",IF('Calc'!$E$15=1,'财富模型'!$E$9,'财富模型'!$M$7+IF(Calc!$Y$43&lt;='财富模型'!$E$11*12,'Calc'!$W$15,'Calc'!$Y$15)-(IF('Calc'!$E$15=1,0,MIN(Calc!$AA$42*(1+'财富模型'!$E$20/12)+'Calc'!$B$6,IF(Calc!$Y$43&lt;='财富模型'!$E$11*12,'Calc'!$W$15,'Calc'!$Y$15))))))</x:f>
        <x:v>1468.25</x:v>
      </x:c>
      <x:c r="AC43" t="n">
        <x:f>IF(Calc!$Y$43&gt;'Calc'!$B$8,"",IF('Calc'!$E$15=1,0,MIN(Calc!$AA$42*(1+'财富模型'!$E$20/12)+'Calc'!$B$6,IF(Calc!$Y$43&lt;='财富模型'!$E$11*12,'Calc'!$W$15,'Calc'!$Y$15))))</x:f>
        <x:v>2847.75</x:v>
      </x:c>
      <x:c r="AD43" t="n">
        <x:f>IF(Calc!$Y$43&gt;'Calc'!$B$8,"",'Calc'!$B$5-'财富模型'!$E$5-(IF('Calc'!$E$15=1,'财富模型'!$E$9,'财富模型'!$M$7+IF(Calc!$Y$43&lt;='财富模型'!$E$11*12,'Calc'!$W$15,'Calc'!$Y$15)-(IF('Calc'!$E$15=1,0,MIN(Calc!$AA$42*(1+'财富模型'!$E$20/12)+'Calc'!$B$6,IF(Calc!$Y$43&lt;='财富模型'!$E$11*12,'Calc'!$W$15,'Calc'!$Y$15)))))))</x:f>
        <x:v>6465.083333333332</x:v>
      </x:c>
      <x:c r="AE43" t="n">
        <x:f>IF(Calc!$Y$43&gt;'Calc'!$B$8,"",IF('Calc'!$E$15=1,0,MAX(Calc!$AE$42*(1+IF(Calc!$Y$43&lt;='财富模型'!$E$11*12,'财富模型'!$E$10,'财富模型'!$E$12)/12)-IF('Calc'!$E$15=1,0,IF(Calc!$Y$43&lt;='财富模型'!$E$11*12,'Calc'!$W$15,'Calc'!$Y$15)),0)))</x:f>
        <x:v>1046033.0759734539</x:v>
      </x:c>
      <x:c r="AG43" t="n">
        <x:v>22</x:v>
      </x:c>
      <x:c r="AH43" t="n">
        <x:f>IF(Calc!$AG$43&gt;'Calc'!$B$8,"",MAX(Calc!$AH$42*(1+'财富模型'!$E$6/12)+('Calc'!$B$5-'财富模型'!$E$5-(IF('Calc'!$E$16=1,'财富模型'!$E$9,'财富模型'!$M$8+IF(Calc!$AG$43&lt;='财富模型'!$E$11*12,'Calc'!$W$16,'Calc'!$Y$16)-(IF('Calc'!$E$16=1,0,MIN(Calc!$AI$42*(1+'财富模型'!$E$20/12)+'Calc'!$B$6,IF(Calc!$AG$43&lt;='财富模型'!$E$11*12,'Calc'!$W$16,'Calc'!$Y$16))))))),0))</x:f>
        <x:v>151057.89528687592</x:v>
      </x:c>
      <x:c r="AI43" t="n">
        <x:f>IF(Calc!$AG$43&gt;'Calc'!$B$8,"",MAX(Calc!$AI$42*(1+'财富模型'!$E$20/12)+'Calc'!$B$6-(IF('Calc'!$E$16=1,0,MIN(Calc!$AI$42*(1+'财富模型'!$E$20/12)+'Calc'!$B$6,IF(Calc!$AG$43&lt;='财富模型'!$E$11*12,'Calc'!$W$16,'Calc'!$Y$16)))),0))</x:f>
        <x:v>0</x:v>
      </x:c>
      <x:c r="AJ43" t="n">
        <x:f>IF(Calc!$AG$43&gt;'Calc'!$B$8,"",IF('Calc'!$E$16=1,'财富模型'!$E$9,'财富模型'!$M$8+IF(Calc!$AG$43&lt;='财富模型'!$E$11*12,'Calc'!$W$16,'Calc'!$Y$16)-(IF('Calc'!$E$16=1,0,MIN(Calc!$AI$42*(1+'财富模型'!$E$20/12)+'Calc'!$B$6,IF(Calc!$AG$43&lt;='财富模型'!$E$11*12,'Calc'!$W$16,'Calc'!$Y$16))))))</x:f>
        <x:v>1478.25</x:v>
      </x:c>
      <x:c r="AK43" t="n">
        <x:f>IF(Calc!$AG$43&gt;'Calc'!$B$8,"",IF('Calc'!$E$16=1,0,MIN(Calc!$AI$42*(1+'财富模型'!$E$20/12)+'Calc'!$B$6,IF(Calc!$AG$43&lt;='财富模型'!$E$11*12,'Calc'!$W$16,'Calc'!$Y$16))))</x:f>
        <x:v>2847.75</x:v>
      </x:c>
      <x:c r="AL43" t="n">
        <x:f>IF(Calc!$AG$43&gt;'Calc'!$B$8,"",'Calc'!$B$5-'财富模型'!$E$5-(IF('Calc'!$E$16=1,'财富模型'!$E$9,'财富模型'!$M$8+IF(Calc!$AG$43&lt;='财富模型'!$E$11*12,'Calc'!$W$16,'Calc'!$Y$16)-(IF('Calc'!$E$16=1,0,MIN(Calc!$AI$42*(1+'财富模型'!$E$20/12)+'Calc'!$B$6,IF(Calc!$AG$43&lt;='财富模型'!$E$11*12,'Calc'!$W$16,'Calc'!$Y$16)))))))</x:f>
        <x:v>6455.083333333332</x:v>
      </x:c>
      <x:c r="AM43" t="n">
        <x:f>IF(Calc!$AG$43&gt;'Calc'!$B$8,"",IF('Calc'!$E$16=1,0,MAX(Calc!$AM$42*(1+IF(Calc!$AG$43&lt;='财富模型'!$E$11*12,'财富模型'!$E$10,'财富模型'!$E$12)/12)-IF('Calc'!$E$16=1,0,IF(Calc!$AG$43&lt;='财富模型'!$E$11*12,'Calc'!$W$16,'Calc'!$Y$16)),0)))</x:f>
        <x:v>1046033.0759734539</x:v>
      </x:c>
      <x:c r="AO43" t="n">
        <x:v>22</x:v>
      </x:c>
      <x:c r="AP43" t="n">
        <x:f>IF(Calc!$AO$43&gt;'Calc'!$B$8,"",MAX(Calc!$AP$42*(1+'财富模型'!$E$6/12)+('Calc'!$B$5-'财富模型'!$E$5-(IF('Calc'!$E$17=1,'财富模型'!$E$9,'财富模型'!$M$9+IF(Calc!$AO$43&lt;='财富模型'!$E$11*12,'Calc'!$W$17,'Calc'!$Y$17)-(IF('Calc'!$E$17=1,0,MIN(Calc!$AQ$42*(1+'财富模型'!$E$20/12)+'Calc'!$B$6,IF(Calc!$AO$43&lt;='财富模型'!$E$11*12,'Calc'!$W$17,'Calc'!$Y$17))))))),0))</x:f>
        <x:v>995569.3772382914</x:v>
      </x:c>
      <x:c r="AQ43" t="n">
        <x:f>IF(Calc!$AO$43&gt;'Calc'!$B$8,"",MAX(Calc!$AQ$42*(1+'财富模型'!$E$20/12)+'Calc'!$B$6-(IF('Calc'!$E$17=1,0,MIN(Calc!$AQ$42*(1+'财富模型'!$E$20/12)+'Calc'!$B$6,IF(Calc!$AO$43&lt;='财富模型'!$E$11*12,'Calc'!$W$17,'Calc'!$Y$17)))),0))</x:f>
        <x:v>64040.203910342236</x:v>
      </x:c>
      <x:c r="AR43" t="n">
        <x:f>IF(Calc!$AO$43&gt;'Calc'!$B$8,"",IF('Calc'!$E$17=1,'财富模型'!$E$9,'财富模型'!$M$9+IF(Calc!$AO$43&lt;='财富模型'!$E$11*12,'Calc'!$W$17,'Calc'!$Y$17)-(IF('Calc'!$E$17=1,0,MIN(Calc!$AQ$42*(1+'财富模型'!$E$20/12)+'Calc'!$B$6,IF(Calc!$AO$43&lt;='财富模型'!$E$11*12,'Calc'!$W$17,'Calc'!$Y$17))))))</x:f>
        <x:v>4000</x:v>
      </x:c>
      <x:c r="AS43" t="n">
        <x:f>IF(Calc!$AO$43&gt;'Calc'!$B$8,"",IF('Calc'!$E$17=1,0,MIN(Calc!$AQ$42*(1+'财富模型'!$E$20/12)+'Calc'!$B$6,IF(Calc!$AO$43&lt;='财富模型'!$E$11*12,'Calc'!$W$17,'Calc'!$Y$17))))</x:f>
        <x:v>0</x:v>
      </x:c>
      <x:c r="AT43" t="n">
        <x:f>IF(Calc!$AO$43&gt;'Calc'!$B$8,"",'Calc'!$B$5-'财富模型'!$E$5-(IF('Calc'!$E$17=1,'财富模型'!$E$9,'财富模型'!$M$9+IF(Calc!$AO$43&lt;='财富模型'!$E$11*12,'Calc'!$W$17,'Calc'!$Y$17)-(IF('Calc'!$E$17=1,0,MIN(Calc!$AQ$42*(1+'财富模型'!$E$20/12)+'Calc'!$B$6,IF(Calc!$AO$43&lt;='财富模型'!$E$11*12,'Calc'!$W$17,'Calc'!$Y$17)))))))</x:f>
        <x:v>3933.333333333332</x:v>
      </x:c>
      <x:c r="AU43" t="n">
        <x:f>IF(Calc!$AO$43&gt;'Calc'!$B$8,"",IF('Calc'!$E$17=1,0,MAX(Calc!$AU$42*(1+IF(Calc!$AO$43&lt;='财富模型'!$E$11*12,'财富模型'!$E$10,'财富模型'!$E$12)/12)-IF('Calc'!$E$17=1,0,IF(Calc!$AO$43&lt;='财富模型'!$E$11*12,'Calc'!$W$17,'Calc'!$Y$17)),0)))</x:f>
        <x:v>0</x:v>
      </x:c>
    </x:row>
    <x:row r="44">
      <x:c r="A44" t="n">
        <x:v>23</x:v>
      </x:c>
      <x:c r="B44" t="n">
        <x:f>IF(Calc!$A$44&gt;'Calc'!$B$8,"",MAX(Calc!$B$43*(1+'财富模型'!$E$6/12)+('Calc'!$B$5-'财富模型'!$E$5-(IF('Calc'!$E$12=1,'财富模型'!$E$9,'财富模型'!$M$4+IF(Calc!$A$44&lt;='财富模型'!$E$11*12,'Calc'!$W$12,'Calc'!$Y$12)-(IF('Calc'!$E$12=1,0,MIN(Calc!$C$43*(1+'财富模型'!$E$20/12)+'Calc'!$B$6,IF(Calc!$A$44&lt;='财富模型'!$E$11*12,'Calc'!$W$12,'Calc'!$Y$12))))))),0))</x:f>
        <x:v>605584.9914559674</x:v>
      </x:c>
      <x:c r="C44" t="n">
        <x:f>IF(Calc!$A$44&gt;'Calc'!$B$8,"",MAX(Calc!$C$43*(1+'财富模型'!$E$20/12)+'Calc'!$B$6-(IF('Calc'!$E$12=1,0,MIN(Calc!$C$43*(1+'财富模型'!$E$20/12)+'Calc'!$B$6,IF(Calc!$A$44&lt;='财富模型'!$E$11*12,'Calc'!$W$12,'Calc'!$Y$12)))),0))</x:f>
        <x:v>0</x:v>
      </x:c>
      <x:c r="D44" t="n">
        <x:f>IF(Calc!$A$44&gt;'Calc'!$B$8,"",IF('Calc'!$E$12=1,'财富模型'!$E$9,'财富模型'!$M$4+IF(Calc!$A$44&lt;='财富模型'!$E$11*12,'Calc'!$W$12,'Calc'!$Y$12)-(IF('Calc'!$E$12=1,0,MIN(Calc!$C$43*(1+'财富模型'!$E$20/12)+'Calc'!$B$6,IF(Calc!$A$44&lt;='财富模型'!$E$11*12,'Calc'!$W$12,'Calc'!$Y$12))))))</x:f>
        <x:v>812.25</x:v>
      </x:c>
      <x:c r="E44" t="n">
        <x:f>IF(Calc!$A$44&gt;'Calc'!$B$8,"",IF('Calc'!$E$12=1,0,MIN(Calc!$C$43*(1+'财富模型'!$E$20/12)+'Calc'!$B$6,IF(Calc!$A$44&lt;='财富模型'!$E$11*12,'Calc'!$W$12,'Calc'!$Y$12))))</x:f>
        <x:v>2847.75</x:v>
      </x:c>
      <x:c r="F44" t="n">
        <x:f>IF(Calc!$A$44&gt;'Calc'!$B$8,"",'Calc'!$B$5-'财富模型'!$E$5-(IF('Calc'!$E$12=1,'财富模型'!$E$9,'财富模型'!$M$4+IF(Calc!$A$44&lt;='财富模型'!$E$11*12,'Calc'!$W$12,'Calc'!$Y$12)-(IF('Calc'!$E$12=1,0,MIN(Calc!$C$43*(1+'财富模型'!$E$20/12)+'Calc'!$B$6,IF(Calc!$A$44&lt;='财富模型'!$E$11*12,'Calc'!$W$12,'Calc'!$Y$12)))))))</x:f>
        <x:v>7121.083333333332</x:v>
      </x:c>
      <x:c r="G44" t="n">
        <x:f>IF(Calc!$A$44&gt;'Calc'!$B$8,"",IF('Calc'!$E$12=1,0,MAX(Calc!$G$43*(1+IF(Calc!$A$44&lt;='财富模型'!$E$11*12,'财富模型'!$E$10,'财富模型'!$E$12)/12)-IF('Calc'!$E$12=1,0,IF(Calc!$A$44&lt;='财富模型'!$E$11*12,'Calc'!$W$12,'Calc'!$Y$12)),0)))</x:f>
        <x:v>907170.7194392248</x:v>
      </x:c>
      <x:c r="I44" t="n">
        <x:v>23</x:v>
      </x:c>
      <x:c r="J44" t="n">
        <x:f>IF(Calc!$I$44&gt;'Calc'!$B$8,"",MAX(Calc!$J$43*(1+'财富模型'!$E$6/12)+('Calc'!$B$5-'财富模型'!$E$5-(IF('Calc'!$E$13=1,'财富模型'!$E$9,'财富模型'!$M$5+IF(Calc!$I$44&lt;='财富模型'!$E$11*12,'Calc'!$W$13,'Calc'!$Y$13)-(IF('Calc'!$E$13=1,0,MIN(Calc!$K$43*(1+'财富模型'!$E$20/12)+'Calc'!$B$6,IF(Calc!$I$44&lt;='财富模型'!$E$11*12,'Calc'!$W$13,'Calc'!$Y$13))))))),0))</x:f>
        <x:v>610654.3190886452</x:v>
      </x:c>
      <x:c r="K44" t="n">
        <x:f>IF(Calc!$I$44&gt;'Calc'!$B$8,"",MAX(Calc!$K$43*(1+'财富模型'!$E$20/12)+'Calc'!$B$6-(IF('Calc'!$E$13=1,0,MIN(Calc!$K$43*(1+'财富模型'!$E$20/12)+'Calc'!$B$6,IF(Calc!$I$44&lt;='财富模型'!$E$11*12,'Calc'!$W$13,'Calc'!$Y$13)))),0))</x:f>
        <x:v>0</x:v>
      </x:c>
      <x:c r="L44" t="n">
        <x:f>IF(Calc!$I$44&gt;'Calc'!$B$8,"",IF('Calc'!$E$13=1,'财富模型'!$E$9,'财富模型'!$M$5+IF(Calc!$I$44&lt;='财富模型'!$E$11*12,'Calc'!$W$13,'Calc'!$Y$13)-(IF('Calc'!$E$13=1,0,MIN(Calc!$K$43*(1+'财富模型'!$E$20/12)+'Calc'!$B$6,IF(Calc!$I$44&lt;='财富模型'!$E$11*12,'Calc'!$W$13,'Calc'!$Y$13))))))</x:f>
        <x:v>843.25</x:v>
      </x:c>
      <x:c r="M44" t="n">
        <x:f>IF(Calc!$I$44&gt;'Calc'!$B$8,"",IF('Calc'!$E$13=1,0,MIN(Calc!$K$43*(1+'财富模型'!$E$20/12)+'Calc'!$B$6,IF(Calc!$I$44&lt;='财富模型'!$E$11*12,'Calc'!$W$13,'Calc'!$Y$13))))</x:f>
        <x:v>2847.75</x:v>
      </x:c>
      <x:c r="N44" t="n">
        <x:f>IF(Calc!$I$44&gt;'Calc'!$B$8,"",'Calc'!$B$5-'财富模型'!$E$5-(IF('Calc'!$E$13=1,'财富模型'!$E$9,'财富模型'!$M$5+IF(Calc!$I$44&lt;='财富模型'!$E$11*12,'Calc'!$W$13,'Calc'!$Y$13)-(IF('Calc'!$E$13=1,0,MIN(Calc!$K$43*(1+'财富模型'!$E$20/12)+'Calc'!$B$6,IF(Calc!$I$44&lt;='财富模型'!$E$11*12,'Calc'!$W$13,'Calc'!$Y$13)))))))</x:f>
        <x:v>7090.083333333332</x:v>
      </x:c>
      <x:c r="O44" t="n">
        <x:f>IF(Calc!$I$44&gt;'Calc'!$B$8,"",IF('Calc'!$E$13=1,0,MAX(Calc!$O$43*(1+IF(Calc!$I$44&lt;='财富模型'!$E$11*12,'财富模型'!$E$10,'财富模型'!$E$12)/12)-IF('Calc'!$E$13=1,0,IF(Calc!$I$44&lt;='财富模型'!$E$11*12,'Calc'!$W$13,'Calc'!$Y$13)),0)))</x:f>
        <x:v>896502.2378636864</x:v>
      </x:c>
      <x:c r="Q44" t="n">
        <x:v>23</x:v>
      </x:c>
      <x:c r="R44" t="n">
        <x:f>IF(Calc!$Q$44&gt;'Calc'!$B$8,"",MAX(Calc!$R$43*(1+'财富模型'!$E$6/12)+('Calc'!$B$5-'财富模型'!$E$5-(IF('Calc'!$E$14=1,'财富模型'!$E$9,'财富模型'!$M$6+IF(Calc!$Q$44&lt;='财富模型'!$E$11*12,'Calc'!$W$14,'Calc'!$Y$14)-(IF('Calc'!$E$14=1,0,MIN(Calc!$S$43*(1+'财富模型'!$E$20/12)+'Calc'!$B$6,IF(Calc!$Q$44&lt;='财富模型'!$E$11*12,'Calc'!$W$14,'Calc'!$Y$14))))))),0))</x:f>
        <x:v>457960.11488400423</x:v>
      </x:c>
      <x:c r="S44" t="n">
        <x:f>IF(Calc!$Q$44&gt;'Calc'!$B$8,"",MAX(Calc!$S$43*(1+'财富模型'!$E$20/12)+'Calc'!$B$6-(IF('Calc'!$E$14=1,0,MIN(Calc!$S$43*(1+'财富模型'!$E$20/12)+'Calc'!$B$6,IF(Calc!$Q$44&lt;='财富模型'!$E$11*12,'Calc'!$W$14,'Calc'!$Y$14)))),0))</x:f>
        <x:v>0</x:v>
      </x:c>
      <x:c r="T44" t="n">
        <x:f>IF(Calc!$Q$44&gt;'Calc'!$B$8,"",IF('Calc'!$E$14=1,'财富模型'!$E$9,'财富模型'!$M$6+IF(Calc!$Q$44&lt;='财富模型'!$E$11*12,'Calc'!$W$14,'Calc'!$Y$14)-(IF('Calc'!$E$14=1,0,MIN(Calc!$S$43*(1+'财富模型'!$E$20/12)+'Calc'!$B$6,IF(Calc!$Q$44&lt;='财富模型'!$E$11*12,'Calc'!$W$14,'Calc'!$Y$14))))))</x:f>
        <x:v>1388.25</x:v>
      </x:c>
      <x:c r="U44" t="n">
        <x:f>IF(Calc!$Q$44&gt;'Calc'!$B$8,"",IF('Calc'!$E$14=1,0,MIN(Calc!$S$43*(1+'财富模型'!$E$20/12)+'Calc'!$B$6,IF(Calc!$Q$44&lt;='财富模型'!$E$11*12,'Calc'!$W$14,'Calc'!$Y$14))))</x:f>
        <x:v>2847.75</x:v>
      </x:c>
      <x:c r="V44" t="n">
        <x:f>IF(Calc!$Q$44&gt;'Calc'!$B$8,"",'Calc'!$B$5-'财富模型'!$E$5-(IF('Calc'!$E$14=1,'财富模型'!$E$9,'财富模型'!$M$6+IF(Calc!$Q$44&lt;='财富模型'!$E$11*12,'Calc'!$W$14,'Calc'!$Y$14)-(IF('Calc'!$E$14=1,0,MIN(Calc!$S$43*(1+'财富模型'!$E$20/12)+'Calc'!$B$6,IF(Calc!$Q$44&lt;='财富模型'!$E$11*12,'Calc'!$W$14,'Calc'!$Y$14)))))))</x:f>
        <x:v>6545.083333333332</x:v>
      </x:c>
      <x:c r="W44" t="n">
        <x:f>IF(Calc!$Q$44&gt;'Calc'!$B$8,"",IF('Calc'!$E$14=1,0,MAX(Calc!$W$43*(1+IF(Calc!$Q$44&lt;='财富模型'!$E$11*12,'财富模型'!$E$10,'财富模型'!$E$12)/12)-IF('Calc'!$E$14=1,0,IF(Calc!$Q$44&lt;='财富模型'!$E$11*12,'Calc'!$W$14,'Calc'!$Y$14)),0)))</x:f>
        <x:v>1043544.6173184207</x:v>
      </x:c>
      <x:c r="Y44" t="n">
        <x:v>23</x:v>
      </x:c>
      <x:c r="Z44" t="n">
        <x:f>IF(Calc!$Y$44&gt;'Calc'!$B$8,"",MAX(Calc!$Z$43*(1+'财富模型'!$E$6/12)+('Calc'!$B$5-'财富模型'!$E$5-(IF('Calc'!$E$15=1,'财富模型'!$E$9,'财富模型'!$M$7+IF(Calc!$Y$44&lt;='财富模型'!$E$11*12,'Calc'!$W$15,'Calc'!$Y$15)-(IF('Calc'!$E$15=1,0,MIN(Calc!$AA$43*(1+'财富模型'!$E$20/12)+'Calc'!$B$6,IF(Calc!$Y$44&lt;='财富模型'!$E$11*12,'Calc'!$W$15,'Calc'!$Y$15))))))),0))</x:f>
        <x:v>172928.75004175174</x:v>
      </x:c>
      <x:c r="AA44" t="n">
        <x:f>IF(Calc!$Y$44&gt;'Calc'!$B$8,"",MAX(Calc!$AA$43*(1+'财富模型'!$E$20/12)+'Calc'!$B$6-(IF('Calc'!$E$15=1,0,MIN(Calc!$AA$43*(1+'财富模型'!$E$20/12)+'Calc'!$B$6,IF(Calc!$Y$44&lt;='财富模型'!$E$11*12,'Calc'!$W$15,'Calc'!$Y$15)))),0))</x:f>
        <x:v>0</x:v>
      </x:c>
      <x:c r="AB44" t="n">
        <x:f>IF(Calc!$Y$44&gt;'Calc'!$B$8,"",IF('Calc'!$E$15=1,'财富模型'!$E$9,'财富模型'!$M$7+IF(Calc!$Y$44&lt;='财富模型'!$E$11*12,'Calc'!$W$15,'Calc'!$Y$15)-(IF('Calc'!$E$15=1,0,MIN(Calc!$AA$43*(1+'财富模型'!$E$20/12)+'Calc'!$B$6,IF(Calc!$Y$44&lt;='财富模型'!$E$11*12,'Calc'!$W$15,'Calc'!$Y$15))))))</x:f>
        <x:v>1468.25</x:v>
      </x:c>
      <x:c r="AC44" t="n">
        <x:f>IF(Calc!$Y$44&gt;'Calc'!$B$8,"",IF('Calc'!$E$15=1,0,MIN(Calc!$AA$43*(1+'财富模型'!$E$20/12)+'Calc'!$B$6,IF(Calc!$Y$44&lt;='财富模型'!$E$11*12,'Calc'!$W$15,'Calc'!$Y$15))))</x:f>
        <x:v>2847.75</x:v>
      </x:c>
      <x:c r="AD44" t="n">
        <x:f>IF(Calc!$Y$44&gt;'Calc'!$B$8,"",'Calc'!$B$5-'财富模型'!$E$5-(IF('Calc'!$E$15=1,'财富模型'!$E$9,'财富模型'!$M$7+IF(Calc!$Y$44&lt;='财富模型'!$E$11*12,'Calc'!$W$15,'Calc'!$Y$15)-(IF('Calc'!$E$15=1,0,MIN(Calc!$AA$43*(1+'财富模型'!$E$20/12)+'Calc'!$B$6,IF(Calc!$Y$44&lt;='财富模型'!$E$11*12,'Calc'!$W$15,'Calc'!$Y$15)))))))</x:f>
        <x:v>6465.083333333332</x:v>
      </x:c>
      <x:c r="AE44" t="n">
        <x:f>IF(Calc!$Y$44&gt;'Calc'!$B$8,"",IF('Calc'!$E$15=1,0,MAX(Calc!$AE$43*(1+IF(Calc!$Y$44&lt;='财富模型'!$E$11*12,'财富模型'!$E$10,'财富模型'!$E$12)/12)-IF('Calc'!$E$15=1,0,IF(Calc!$Y$44&lt;='财富模型'!$E$11*12,'Calc'!$W$15,'Calc'!$Y$15)),0)))</x:f>
        <x:v>1043544.6173184207</x:v>
      </x:c>
      <x:c r="AG44" t="n">
        <x:v>23</x:v>
      </x:c>
      <x:c r="AH44" t="n">
        <x:f>IF(Calc!$AG$44&gt;'Calc'!$B$8,"",MAX(Calc!$AH$43*(1+'财富模型'!$E$6/12)+('Calc'!$B$5-'财富模型'!$E$5-(IF('Calc'!$E$16=1,'财富模型'!$E$9,'财富模型'!$M$8+IF(Calc!$AG$44&lt;='财富模型'!$E$11*12,'Calc'!$W$16,'Calc'!$Y$16)-(IF('Calc'!$E$16=1,0,MIN(Calc!$AI$43*(1+'财富模型'!$E$20/12)+'Calc'!$B$6,IF(Calc!$AG$44&lt;='财富模型'!$E$11*12,'Calc'!$W$16,'Calc'!$Y$16))))))),0))</x:f>
        <x:v>158394.1496760494</x:v>
      </x:c>
      <x:c r="AI44" t="n">
        <x:f>IF(Calc!$AG$44&gt;'Calc'!$B$8,"",MAX(Calc!$AI$43*(1+'财富模型'!$E$20/12)+'Calc'!$B$6-(IF('Calc'!$E$16=1,0,MIN(Calc!$AI$43*(1+'财富模型'!$E$20/12)+'Calc'!$B$6,IF(Calc!$AG$44&lt;='财富模型'!$E$11*12,'Calc'!$W$16,'Calc'!$Y$16)))),0))</x:f>
        <x:v>0</x:v>
      </x:c>
      <x:c r="AJ44" t="n">
        <x:f>IF(Calc!$AG$44&gt;'Calc'!$B$8,"",IF('Calc'!$E$16=1,'财富模型'!$E$9,'财富模型'!$M$8+IF(Calc!$AG$44&lt;='财富模型'!$E$11*12,'Calc'!$W$16,'Calc'!$Y$16)-(IF('Calc'!$E$16=1,0,MIN(Calc!$AI$43*(1+'财富模型'!$E$20/12)+'Calc'!$B$6,IF(Calc!$AG$44&lt;='财富模型'!$E$11*12,'Calc'!$W$16,'Calc'!$Y$16))))))</x:f>
        <x:v>1478.25</x:v>
      </x:c>
      <x:c r="AK44" t="n">
        <x:f>IF(Calc!$AG$44&gt;'Calc'!$B$8,"",IF('Calc'!$E$16=1,0,MIN(Calc!$AI$43*(1+'财富模型'!$E$20/12)+'Calc'!$B$6,IF(Calc!$AG$44&lt;='财富模型'!$E$11*12,'Calc'!$W$16,'Calc'!$Y$16))))</x:f>
        <x:v>2847.75</x:v>
      </x:c>
      <x:c r="AL44" t="n">
        <x:f>IF(Calc!$AG$44&gt;'Calc'!$B$8,"",'Calc'!$B$5-'财富模型'!$E$5-(IF('Calc'!$E$16=1,'财富模型'!$E$9,'财富模型'!$M$8+IF(Calc!$AG$44&lt;='财富模型'!$E$11*12,'Calc'!$W$16,'Calc'!$Y$16)-(IF('Calc'!$E$16=1,0,MIN(Calc!$AI$43*(1+'财富模型'!$E$20/12)+'Calc'!$B$6,IF(Calc!$AG$44&lt;='财富模型'!$E$11*12,'Calc'!$W$16,'Calc'!$Y$16)))))))</x:f>
        <x:v>6455.083333333332</x:v>
      </x:c>
      <x:c r="AM44" t="n">
        <x:f>IF(Calc!$AG$44&gt;'Calc'!$B$8,"",IF('Calc'!$E$16=1,0,MAX(Calc!$AM$43*(1+IF(Calc!$AG$44&lt;='财富模型'!$E$11*12,'财富模型'!$E$10,'财富模型'!$E$12)/12)-IF('Calc'!$E$16=1,0,IF(Calc!$AG$44&lt;='财富模型'!$E$11*12,'Calc'!$W$16,'Calc'!$Y$16)),0)))</x:f>
        <x:v>1043544.6173184207</x:v>
      </x:c>
      <x:c r="AO44" t="n">
        <x:v>23</x:v>
      </x:c>
      <x:c r="AP44" t="n">
        <x:f>IF(Calc!$AO$44&gt;'Calc'!$B$8,"",MAX(Calc!$AP$43*(1+'财富模型'!$E$6/12)+('Calc'!$B$5-'财富模型'!$E$5-(IF('Calc'!$E$17=1,'财富模型'!$E$9,'财富模型'!$M$9+IF(Calc!$AO$44&lt;='财富模型'!$E$11*12,'Calc'!$W$17,'Calc'!$Y$17)-(IF('Calc'!$E$17=1,0,MIN(Calc!$AQ$43*(1+'财富模型'!$E$20/12)+'Calc'!$B$6,IF(Calc!$AO$44&lt;='财富模型'!$E$11*12,'Calc'!$W$17,'Calc'!$Y$17))))))),0))</x:f>
        <x:v>1005310.1986055148</x:v>
      </x:c>
      <x:c r="AQ44" t="n">
        <x:f>IF(Calc!$AO$44&gt;'Calc'!$B$8,"",MAX(Calc!$AQ$43*(1+'财富模型'!$E$20/12)+'Calc'!$B$6-(IF('Calc'!$E$17=1,0,MIN(Calc!$AQ$43*(1+'财富模型'!$E$20/12)+'Calc'!$B$6,IF(Calc!$AO$44&lt;='财富模型'!$E$11*12,'Calc'!$W$17,'Calc'!$Y$17)))),0))</x:f>
        <x:v>67021.37100182212</x:v>
      </x:c>
      <x:c r="AR44" t="n">
        <x:f>IF(Calc!$AO$44&gt;'Calc'!$B$8,"",IF('Calc'!$E$17=1,'财富模型'!$E$9,'财富模型'!$M$9+IF(Calc!$AO$44&lt;='财富模型'!$E$11*12,'Calc'!$W$17,'Calc'!$Y$17)-(IF('Calc'!$E$17=1,0,MIN(Calc!$AQ$43*(1+'财富模型'!$E$20/12)+'Calc'!$B$6,IF(Calc!$AO$44&lt;='财富模型'!$E$11*12,'Calc'!$W$17,'Calc'!$Y$17))))))</x:f>
        <x:v>4000</x:v>
      </x:c>
      <x:c r="AS44" t="n">
        <x:f>IF(Calc!$AO$44&gt;'Calc'!$B$8,"",IF('Calc'!$E$17=1,0,MIN(Calc!$AQ$43*(1+'财富模型'!$E$20/12)+'Calc'!$B$6,IF(Calc!$AO$44&lt;='财富模型'!$E$11*12,'Calc'!$W$17,'Calc'!$Y$17))))</x:f>
        <x:v>0</x:v>
      </x:c>
      <x:c r="AT44" t="n">
        <x:f>IF(Calc!$AO$44&gt;'Calc'!$B$8,"",'Calc'!$B$5-'财富模型'!$E$5-(IF('Calc'!$E$17=1,'财富模型'!$E$9,'财富模型'!$M$9+IF(Calc!$AO$44&lt;='财富模型'!$E$11*12,'Calc'!$W$17,'Calc'!$Y$17)-(IF('Calc'!$E$17=1,0,MIN(Calc!$AQ$43*(1+'财富模型'!$E$20/12)+'Calc'!$B$6,IF(Calc!$AO$44&lt;='财富模型'!$E$11*12,'Calc'!$W$17,'Calc'!$Y$17)))))))</x:f>
        <x:v>3933.333333333332</x:v>
      </x:c>
      <x:c r="AU44" t="n">
        <x:f>IF(Calc!$AO$44&gt;'Calc'!$B$8,"",IF('Calc'!$E$17=1,0,MAX(Calc!$AU$43*(1+IF(Calc!$AO$44&lt;='财富模型'!$E$11*12,'财富模型'!$E$10,'财富模型'!$E$12)/12)-IF('Calc'!$E$17=1,0,IF(Calc!$AO$44&lt;='财富模型'!$E$11*12,'Calc'!$W$17,'Calc'!$Y$17)),0)))</x:f>
        <x:v>0</x:v>
      </x:c>
    </x:row>
    <x:row r="45">
      <x:c r="A45" t="n">
        <x:v>24</x:v>
      </x:c>
      <x:c r="B45" t="n">
        <x:f>IF(Calc!$A$45&gt;'Calc'!$B$8,"",MAX(Calc!$B$44*(1+'财富模型'!$E$6/12)+('Calc'!$B$5-'财富模型'!$E$5-(IF('Calc'!$E$12=1,'财富模型'!$E$9,'财富模型'!$M$4+IF(Calc!$A$45&lt;='财富模型'!$E$11*12,'Calc'!$W$12,'Calc'!$Y$12)-(IF('Calc'!$E$12=1,0,MIN(Calc!$C$44*(1+'财富模型'!$E$20/12)+'Calc'!$B$6,IF(Calc!$A$45&lt;='财富模型'!$E$11*12,'Calc'!$W$12,'Calc'!$Y$12))))))),0))</x:f>
        <x:v>616238.6539061273</x:v>
      </x:c>
      <x:c r="C45" t="n">
        <x:f>IF(Calc!$A$45&gt;'Calc'!$B$8,"",MAX(Calc!$C$44*(1+'财富模型'!$E$20/12)+'Calc'!$B$6-(IF('Calc'!$E$12=1,0,MIN(Calc!$C$44*(1+'财富模型'!$E$20/12)+'Calc'!$B$6,IF(Calc!$A$45&lt;='财富模型'!$E$11*12,'Calc'!$W$12,'Calc'!$Y$12)))),0))</x:f>
        <x:v>0</x:v>
      </x:c>
      <x:c r="D45" t="n">
        <x:f>IF(Calc!$A$45&gt;'Calc'!$B$8,"",IF('Calc'!$E$12=1,'财富模型'!$E$9,'财富模型'!$M$4+IF(Calc!$A$45&lt;='财富模型'!$E$11*12,'Calc'!$W$12,'Calc'!$Y$12)-(IF('Calc'!$E$12=1,0,MIN(Calc!$C$44*(1+'财富模型'!$E$20/12)+'Calc'!$B$6,IF(Calc!$A$45&lt;='财富模型'!$E$11*12,'Calc'!$W$12,'Calc'!$Y$12))))))</x:f>
        <x:v>812.25</x:v>
      </x:c>
      <x:c r="E45" t="n">
        <x:f>IF(Calc!$A$45&gt;'Calc'!$B$8,"",IF('Calc'!$E$12=1,0,MIN(Calc!$C$44*(1+'财富模型'!$E$20/12)+'Calc'!$B$6,IF(Calc!$A$45&lt;='财富模型'!$E$11*12,'Calc'!$W$12,'Calc'!$Y$12))))</x:f>
        <x:v>2847.75</x:v>
      </x:c>
      <x:c r="F45" t="n">
        <x:f>IF(Calc!$A$45&gt;'Calc'!$B$8,"",'Calc'!$B$5-'财富模型'!$E$5-(IF('Calc'!$E$12=1,'财富模型'!$E$9,'财富模型'!$M$4+IF(Calc!$A$45&lt;='财富模型'!$E$11*12,'Calc'!$W$12,'Calc'!$Y$12)-(IF('Calc'!$E$12=1,0,MIN(Calc!$C$44*(1+'财富模型'!$E$20/12)+'Calc'!$B$6,IF(Calc!$A$45&lt;='财富模型'!$E$11*12,'Calc'!$W$12,'Calc'!$Y$12)))))))</x:f>
        <x:v>7121.083333333332</x:v>
      </x:c>
      <x:c r="G45" t="n">
        <x:f>IF(Calc!$A$45&gt;'Calc'!$B$8,"",IF('Calc'!$E$12=1,0,MAX(Calc!$G$44*(1+IF(Calc!$A$45&lt;='财富模型'!$E$11*12,'财富模型'!$E$10,'财富模型'!$E$12)/12)-IF('Calc'!$E$12=1,0,IF(Calc!$A$45&lt;='财富模型'!$E$11*12,'Calc'!$W$12,'Calc'!$Y$12)),0)))</x:f>
        <x:v>905004.6828385238</x:v>
      </x:c>
      <x:c r="I45" t="n">
        <x:v>24</x:v>
      </x:c>
      <x:c r="J45" t="n">
        <x:f>IF(Calc!$I$45&gt;'Calc'!$B$8,"",MAX(Calc!$J$44*(1+'财富模型'!$E$6/12)+('Calc'!$B$5-'财富模型'!$E$5-(IF('Calc'!$E$13=1,'财富模型'!$E$9,'财富模型'!$M$5+IF(Calc!$I$45&lt;='财富模型'!$E$11*12,'Calc'!$W$13,'Calc'!$Y$13)-(IF('Calc'!$E$13=1,0,MIN(Calc!$K$44*(1+'财富模型'!$E$20/12)+'Calc'!$B$6,IF(Calc!$I$45&lt;='财富模型'!$E$11*12,'Calc'!$W$13,'Calc'!$Y$13))))))),0))</x:f>
        <x:v>621306.5526166623</x:v>
      </x:c>
      <x:c r="K45" t="n">
        <x:f>IF(Calc!$I$45&gt;'Calc'!$B$8,"",MAX(Calc!$K$44*(1+'财富模型'!$E$20/12)+'Calc'!$B$6-(IF('Calc'!$E$13=1,0,MIN(Calc!$K$44*(1+'财富模型'!$E$20/12)+'Calc'!$B$6,IF(Calc!$I$45&lt;='财富模型'!$E$11*12,'Calc'!$W$13,'Calc'!$Y$13)))),0))</x:f>
        <x:v>0</x:v>
      </x:c>
      <x:c r="L45" t="n">
        <x:f>IF(Calc!$I$45&gt;'Calc'!$B$8,"",IF('Calc'!$E$13=1,'财富模型'!$E$9,'财富模型'!$M$5+IF(Calc!$I$45&lt;='财富模型'!$E$11*12,'Calc'!$W$13,'Calc'!$Y$13)-(IF('Calc'!$E$13=1,0,MIN(Calc!$K$44*(1+'财富模型'!$E$20/12)+'Calc'!$B$6,IF(Calc!$I$45&lt;='财富模型'!$E$11*12,'Calc'!$W$13,'Calc'!$Y$13))))))</x:f>
        <x:v>843.25</x:v>
      </x:c>
      <x:c r="M45" t="n">
        <x:f>IF(Calc!$I$45&gt;'Calc'!$B$8,"",IF('Calc'!$E$13=1,0,MIN(Calc!$K$44*(1+'财富模型'!$E$20/12)+'Calc'!$B$6,IF(Calc!$I$45&lt;='财富模型'!$E$11*12,'Calc'!$W$13,'Calc'!$Y$13))))</x:f>
        <x:v>2847.75</x:v>
      </x:c>
      <x:c r="N45" t="n">
        <x:f>IF(Calc!$I$45&gt;'Calc'!$B$8,"",'Calc'!$B$5-'财富模型'!$E$5-(IF('Calc'!$E$13=1,'财富模型'!$E$9,'财富模型'!$M$5+IF(Calc!$I$45&lt;='财富模型'!$E$11*12,'Calc'!$W$13,'Calc'!$Y$13)-(IF('Calc'!$E$13=1,0,MIN(Calc!$K$44*(1+'财富模型'!$E$20/12)+'Calc'!$B$6,IF(Calc!$I$45&lt;='财富模型'!$E$11*12,'Calc'!$W$13,'Calc'!$Y$13)))))))</x:f>
        <x:v>7090.083333333332</x:v>
      </x:c>
      <x:c r="O45" t="n">
        <x:f>IF(Calc!$I$45&gt;'Calc'!$B$8,"",IF('Calc'!$E$13=1,0,MAX(Calc!$O$44*(1+IF(Calc!$I$45&lt;='财富模型'!$E$11*12,'财富模型'!$E$10,'财富模型'!$E$12)/12)-IF('Calc'!$E$13=1,0,IF(Calc!$I$45&lt;='财富模型'!$E$11*12,'Calc'!$W$13,'Calc'!$Y$13)),0)))</x:f>
        <x:v>894361.865661016</x:v>
      </x:c>
      <x:c r="Q45" t="n">
        <x:v>24</x:v>
      </x:c>
      <x:c r="R45" t="n">
        <x:f>IF(Calc!$Q$45&gt;'Calc'!$B$8,"",MAX(Calc!$R$44*(1+'财富模型'!$E$6/12)+('Calc'!$B$5-'财富模型'!$E$5-(IF('Calc'!$E$14=1,'财富模型'!$E$9,'财富模型'!$M$6+IF(Calc!$Q$45&lt;='财富模型'!$E$11*12,'Calc'!$W$14,'Calc'!$Y$14)-(IF('Calc'!$E$14=1,0,MIN(Calc!$S$44*(1+'财富模型'!$E$20/12)+'Calc'!$B$6,IF(Calc!$Q$45&lt;='财富模型'!$E$11*12,'Calc'!$W$14,'Calc'!$Y$14))))))),0))</x:f>
        <x:v>467176.63222082757</x:v>
      </x:c>
      <x:c r="S45" t="n">
        <x:f>IF(Calc!$Q$45&gt;'Calc'!$B$8,"",MAX(Calc!$S$44*(1+'财富模型'!$E$20/12)+'Calc'!$B$6-(IF('Calc'!$E$14=1,0,MIN(Calc!$S$44*(1+'财富模型'!$E$20/12)+'Calc'!$B$6,IF(Calc!$Q$45&lt;='财富模型'!$E$11*12,'Calc'!$W$14,'Calc'!$Y$14)))),0))</x:f>
        <x:v>0</x:v>
      </x:c>
      <x:c r="T45" t="n">
        <x:f>IF(Calc!$Q$45&gt;'Calc'!$B$8,"",IF('Calc'!$E$14=1,'财富模型'!$E$9,'财富模型'!$M$6+IF(Calc!$Q$45&lt;='财富模型'!$E$11*12,'Calc'!$W$14,'Calc'!$Y$14)-(IF('Calc'!$E$14=1,0,MIN(Calc!$S$44*(1+'财富模型'!$E$20/12)+'Calc'!$B$6,IF(Calc!$Q$45&lt;='财富模型'!$E$11*12,'Calc'!$W$14,'Calc'!$Y$14))))))</x:f>
        <x:v>1388.25</x:v>
      </x:c>
      <x:c r="U45" t="n">
        <x:f>IF(Calc!$Q$45&gt;'Calc'!$B$8,"",IF('Calc'!$E$14=1,0,MIN(Calc!$S$44*(1+'财富模型'!$E$20/12)+'Calc'!$B$6,IF(Calc!$Q$45&lt;='财富模型'!$E$11*12,'Calc'!$W$14,'Calc'!$Y$14))))</x:f>
        <x:v>2847.75</x:v>
      </x:c>
      <x:c r="V45" t="n">
        <x:f>IF(Calc!$Q$45&gt;'Calc'!$B$8,"",'Calc'!$B$5-'财富模型'!$E$5-(IF('Calc'!$E$14=1,'财富模型'!$E$9,'财富模型'!$M$6+IF(Calc!$Q$45&lt;='财富模型'!$E$11*12,'Calc'!$W$14,'Calc'!$Y$14)-(IF('Calc'!$E$14=1,0,MIN(Calc!$S$44*(1+'财富模型'!$E$20/12)+'Calc'!$B$6,IF(Calc!$Q$45&lt;='财富模型'!$E$11*12,'Calc'!$W$14,'Calc'!$Y$14)))))))</x:f>
        <x:v>6545.083333333332</x:v>
      </x:c>
      <x:c r="W45" t="n">
        <x:f>IF(Calc!$Q$45&gt;'Calc'!$B$8,"",IF('Calc'!$E$14=1,0,MAX(Calc!$W$44*(1+IF(Calc!$Q$45&lt;='财富模型'!$E$11*12,'财富模型'!$E$10,'财富模型'!$E$12)/12)-IF('Calc'!$E$14=1,0,IF(Calc!$Q$45&lt;='财富模型'!$E$11*12,'Calc'!$W$14,'Calc'!$Y$14)),0)))</x:f>
        <x:v>1041053.0480900686</x:v>
      </x:c>
      <x:c r="Y45" t="n">
        <x:v>24</x:v>
      </x:c>
      <x:c r="Z45" t="n">
        <x:f>IF(Calc!$Y$45&gt;'Calc'!$B$8,"",MAX(Calc!$Z$44*(1+'财富模型'!$E$6/12)+('Calc'!$B$5-'财富模型'!$E$5-(IF('Calc'!$E$15=1,'财富模型'!$E$9,'财富模型'!$M$7+IF(Calc!$Y$45&lt;='财富模型'!$E$11*12,'Calc'!$W$15,'Calc'!$Y$15)-(IF('Calc'!$E$15=1,0,MIN(Calc!$AA$44*(1+'财富模型'!$E$20/12)+'Calc'!$B$6,IF(Calc!$Y$45&lt;='财富模型'!$E$11*12,'Calc'!$W$15,'Calc'!$Y$15))))))),0))</x:f>
        <x:v>180402.58441699532</x:v>
      </x:c>
      <x:c r="AA45" t="n">
        <x:f>IF(Calc!$Y$45&gt;'Calc'!$B$8,"",MAX(Calc!$AA$44*(1+'财富模型'!$E$20/12)+'Calc'!$B$6-(IF('Calc'!$E$15=1,0,MIN(Calc!$AA$44*(1+'财富模型'!$E$20/12)+'Calc'!$B$6,IF(Calc!$Y$45&lt;='财富模型'!$E$11*12,'Calc'!$W$15,'Calc'!$Y$15)))),0))</x:f>
        <x:v>0</x:v>
      </x:c>
      <x:c r="AB45" t="n">
        <x:f>IF(Calc!$Y$45&gt;'Calc'!$B$8,"",IF('Calc'!$E$15=1,'财富模型'!$E$9,'财富模型'!$M$7+IF(Calc!$Y$45&lt;='财富模型'!$E$11*12,'Calc'!$W$15,'Calc'!$Y$15)-(IF('Calc'!$E$15=1,0,MIN(Calc!$AA$44*(1+'财富模型'!$E$20/12)+'Calc'!$B$6,IF(Calc!$Y$45&lt;='财富模型'!$E$11*12,'Calc'!$W$15,'Calc'!$Y$15))))))</x:f>
        <x:v>1468.25</x:v>
      </x:c>
      <x:c r="AC45" t="n">
        <x:f>IF(Calc!$Y$45&gt;'Calc'!$B$8,"",IF('Calc'!$E$15=1,0,MIN(Calc!$AA$44*(1+'财富模型'!$E$20/12)+'Calc'!$B$6,IF(Calc!$Y$45&lt;='财富模型'!$E$11*12,'Calc'!$W$15,'Calc'!$Y$15))))</x:f>
        <x:v>2847.75</x:v>
      </x:c>
      <x:c r="AD45" t="n">
        <x:f>IF(Calc!$Y$45&gt;'Calc'!$B$8,"",'Calc'!$B$5-'财富模型'!$E$5-(IF('Calc'!$E$15=1,'财富模型'!$E$9,'财富模型'!$M$7+IF(Calc!$Y$45&lt;='财富模型'!$E$11*12,'Calc'!$W$15,'Calc'!$Y$15)-(IF('Calc'!$E$15=1,0,MIN(Calc!$AA$44*(1+'财富模型'!$E$20/12)+'Calc'!$B$6,IF(Calc!$Y$45&lt;='财富模型'!$E$11*12,'Calc'!$W$15,'Calc'!$Y$15)))))))</x:f>
        <x:v>6465.083333333332</x:v>
      </x:c>
      <x:c r="AE45" t="n">
        <x:f>IF(Calc!$Y$45&gt;'Calc'!$B$8,"",IF('Calc'!$E$15=1,0,MAX(Calc!$AE$44*(1+IF(Calc!$Y$45&lt;='财富模型'!$E$11*12,'财富模型'!$E$10,'财富模型'!$E$12)/12)-IF('Calc'!$E$15=1,0,IF(Calc!$Y$45&lt;='财富模型'!$E$11*12,'Calc'!$W$15,'Calc'!$Y$15)),0)))</x:f>
        <x:v>1041053.0480900686</x:v>
      </x:c>
      <x:c r="AG45" t="n">
        <x:v>24</x:v>
      </x:c>
      <x:c r="AH45" t="n">
        <x:f>IF(Calc!$AG$45&gt;'Calc'!$B$8,"",MAX(Calc!$AH$44*(1+'财富模型'!$E$6/12)+('Calc'!$B$5-'财富模型'!$E$5-(IF('Calc'!$E$16=1,'财富模型'!$E$9,'财富模型'!$M$8+IF(Calc!$AG$45&lt;='财富模型'!$E$11*12,'Calc'!$W$16,'Calc'!$Y$16)-(IF('Calc'!$E$16=1,0,MIN(Calc!$AI$44*(1+'财富模型'!$E$20/12)+'Calc'!$B$6,IF(Calc!$AG$45&lt;='财富模型'!$E$11*12,'Calc'!$W$16,'Calc'!$Y$16))))))),0))</x:f>
        <x:v>165773.19888249302</x:v>
      </x:c>
      <x:c r="AI45" t="n">
        <x:f>IF(Calc!$AG$45&gt;'Calc'!$B$8,"",MAX(Calc!$AI$44*(1+'财富模型'!$E$20/12)+'Calc'!$B$6-(IF('Calc'!$E$16=1,0,MIN(Calc!$AI$44*(1+'财富模型'!$E$20/12)+'Calc'!$B$6,IF(Calc!$AG$45&lt;='财富模型'!$E$11*12,'Calc'!$W$16,'Calc'!$Y$16)))),0))</x:f>
        <x:v>0</x:v>
      </x:c>
      <x:c r="AJ45" t="n">
        <x:f>IF(Calc!$AG$45&gt;'Calc'!$B$8,"",IF('Calc'!$E$16=1,'财富模型'!$E$9,'财富模型'!$M$8+IF(Calc!$AG$45&lt;='财富模型'!$E$11*12,'Calc'!$W$16,'Calc'!$Y$16)-(IF('Calc'!$E$16=1,0,MIN(Calc!$AI$44*(1+'财富模型'!$E$20/12)+'Calc'!$B$6,IF(Calc!$AG$45&lt;='财富模型'!$E$11*12,'Calc'!$W$16,'Calc'!$Y$16))))))</x:f>
        <x:v>1478.25</x:v>
      </x:c>
      <x:c r="AK45" t="n">
        <x:f>IF(Calc!$AG$45&gt;'Calc'!$B$8,"",IF('Calc'!$E$16=1,0,MIN(Calc!$AI$44*(1+'财富模型'!$E$20/12)+'Calc'!$B$6,IF(Calc!$AG$45&lt;='财富模型'!$E$11*12,'Calc'!$W$16,'Calc'!$Y$16))))</x:f>
        <x:v>2847.75</x:v>
      </x:c>
      <x:c r="AL45" t="n">
        <x:f>IF(Calc!$AG$45&gt;'Calc'!$B$8,"",'Calc'!$B$5-'财富模型'!$E$5-(IF('Calc'!$E$16=1,'财富模型'!$E$9,'财富模型'!$M$8+IF(Calc!$AG$45&lt;='财富模型'!$E$11*12,'Calc'!$W$16,'Calc'!$Y$16)-(IF('Calc'!$E$16=1,0,MIN(Calc!$AI$44*(1+'财富模型'!$E$20/12)+'Calc'!$B$6,IF(Calc!$AG$45&lt;='财富模型'!$E$11*12,'Calc'!$W$16,'Calc'!$Y$16)))))))</x:f>
        <x:v>6455.083333333332</x:v>
      </x:c>
      <x:c r="AM45" t="n">
        <x:f>IF(Calc!$AG$45&gt;'Calc'!$B$8,"",IF('Calc'!$E$16=1,0,MAX(Calc!$AM$44*(1+IF(Calc!$AG$45&lt;='财富模型'!$E$11*12,'财富模型'!$E$10,'财富模型'!$E$12)/12)-IF('Calc'!$E$16=1,0,IF(Calc!$AG$45&lt;='财富模型'!$E$11*12,'Calc'!$W$16,'Calc'!$Y$16)),0)))</x:f>
        <x:v>1041053.0480900686</x:v>
      </x:c>
      <x:c r="AO45" t="n">
        <x:v>24</x:v>
      </x:c>
      <x:c r="AP45" t="n">
        <x:f>IF(Calc!$AO$45&gt;'Calc'!$B$8,"",MAX(Calc!$AP$44*(1+'财富模型'!$E$6/12)+('Calc'!$B$5-'财富模型'!$E$5-(IF('Calc'!$E$17=1,'财富模型'!$E$9,'财富模型'!$M$9+IF(Calc!$AO$45&lt;='财富模型'!$E$11*12,'Calc'!$W$17,'Calc'!$Y$17)-(IF('Calc'!$E$17=1,0,MIN(Calc!$AQ$44*(1+'财富模型'!$E$20/12)+'Calc'!$B$6,IF(Calc!$AO$45&lt;='财富模型'!$E$11*12,'Calc'!$W$17,'Calc'!$Y$17))))))),0))</x:f>
        <x:v>1015107.8414307138</x:v>
      </x:c>
      <x:c r="AQ45" t="n">
        <x:f>IF(Calc!$AO$45&gt;'Calc'!$B$8,"",MAX(Calc!$AQ$44*(1+'财富模型'!$E$20/12)+'Calc'!$B$6-(IF('Calc'!$E$17=1,0,MIN(Calc!$AQ$44*(1+'财富模型'!$E$20/12)+'Calc'!$B$6,IF(Calc!$AO$45&lt;='财富模型'!$E$11*12,'Calc'!$W$17,'Calc'!$Y$17)))),0))</x:f>
        <x:v>70008.74885807592</x:v>
      </x:c>
      <x:c r="AR45" t="n">
        <x:f>IF(Calc!$AO$45&gt;'Calc'!$B$8,"",IF('Calc'!$E$17=1,'财富模型'!$E$9,'财富模型'!$M$9+IF(Calc!$AO$45&lt;='财富模型'!$E$11*12,'Calc'!$W$17,'Calc'!$Y$17)-(IF('Calc'!$E$17=1,0,MIN(Calc!$AQ$44*(1+'财富模型'!$E$20/12)+'Calc'!$B$6,IF(Calc!$AO$45&lt;='财富模型'!$E$11*12,'Calc'!$W$17,'Calc'!$Y$17))))))</x:f>
        <x:v>4000</x:v>
      </x:c>
      <x:c r="AS45" t="n">
        <x:f>IF(Calc!$AO$45&gt;'Calc'!$B$8,"",IF('Calc'!$E$17=1,0,MIN(Calc!$AQ$44*(1+'财富模型'!$E$20/12)+'Calc'!$B$6,IF(Calc!$AO$45&lt;='财富模型'!$E$11*12,'Calc'!$W$17,'Calc'!$Y$17))))</x:f>
        <x:v>0</x:v>
      </x:c>
      <x:c r="AT45" t="n">
        <x:f>IF(Calc!$AO$45&gt;'Calc'!$B$8,"",'Calc'!$B$5-'财富模型'!$E$5-(IF('Calc'!$E$17=1,'财富模型'!$E$9,'财富模型'!$M$9+IF(Calc!$AO$45&lt;='财富模型'!$E$11*12,'Calc'!$W$17,'Calc'!$Y$17)-(IF('Calc'!$E$17=1,0,MIN(Calc!$AQ$44*(1+'财富模型'!$E$20/12)+'Calc'!$B$6,IF(Calc!$AO$45&lt;='财富模型'!$E$11*12,'Calc'!$W$17,'Calc'!$Y$17)))))))</x:f>
        <x:v>3933.333333333332</x:v>
      </x:c>
      <x:c r="AU45" t="n">
        <x:f>IF(Calc!$AO$45&gt;'Calc'!$B$8,"",IF('Calc'!$E$17=1,0,MAX(Calc!$AU$44*(1+IF(Calc!$AO$45&lt;='财富模型'!$E$11*12,'财富模型'!$E$10,'财富模型'!$E$12)/12)-IF('Calc'!$E$17=1,0,IF(Calc!$AO$45&lt;='财富模型'!$E$11*12,'Calc'!$W$17,'Calc'!$Y$17)),0)))</x:f>
        <x:v>0</x:v>
      </x:c>
    </x:row>
    <x:row r="46">
      <x:c r="A46" t="n">
        <x:v>25</x:v>
      </x:c>
      <x:c r="B46" t="e">
        <x:f>IF(Calc!$A$46&gt;'Calc'!$B$8,"",MAX(Calc!$B$45*(1+'财富模型'!$E$6/12)+('Calc'!$B$5-'财富模型'!$E$5-(IF('Calc'!$E$12=1,'财富模型'!$E$9,'财富模型'!$M$4+IF(Calc!$A$46&lt;='财富模型'!$E$11*12,'Calc'!$W$12,'Calc'!$Y$12)-(IF('Calc'!$E$12=1,0,MIN(Calc!$C$45*(1+'财富模型'!$E$20/12)+'Calc'!$B$6,IF(Calc!$A$46&lt;='财富模型'!$E$11*12,'Calc'!$W$12,'Calc'!$Y$12))))))),0))</x:f>
      </x:c>
      <x:c r="C46" t="e">
        <x:f>IF(Calc!$A$46&gt;'Calc'!$B$8,"",MAX(Calc!$C$45*(1+'财富模型'!$E$20/12)+'Calc'!$B$6-(IF('Calc'!$E$12=1,0,MIN(Calc!$C$45*(1+'财富模型'!$E$20/12)+'Calc'!$B$6,IF(Calc!$A$46&lt;='财富模型'!$E$11*12,'Calc'!$W$12,'Calc'!$Y$12)))),0))</x:f>
      </x:c>
      <x:c r="D46" t="e">
        <x:f>IF(Calc!$A$46&gt;'Calc'!$B$8,"",IF('Calc'!$E$12=1,'财富模型'!$E$9,'财富模型'!$M$4+IF(Calc!$A$46&lt;='财富模型'!$E$11*12,'Calc'!$W$12,'Calc'!$Y$12)-(IF('Calc'!$E$12=1,0,MIN(Calc!$C$45*(1+'财富模型'!$E$20/12)+'Calc'!$B$6,IF(Calc!$A$46&lt;='财富模型'!$E$11*12,'Calc'!$W$12,'Calc'!$Y$12))))))</x:f>
      </x:c>
      <x:c r="E46" t="e">
        <x:f>IF(Calc!$A$46&gt;'Calc'!$B$8,"",IF('Calc'!$E$12=1,0,MIN(Calc!$C$45*(1+'财富模型'!$E$20/12)+'Calc'!$B$6,IF(Calc!$A$46&lt;='财富模型'!$E$11*12,'Calc'!$W$12,'Calc'!$Y$12))))</x:f>
      </x:c>
      <x:c r="F46" t="e">
        <x:f>IF(Calc!$A$46&gt;'Calc'!$B$8,"",'Calc'!$B$5-'财富模型'!$E$5-(IF('Calc'!$E$12=1,'财富模型'!$E$9,'财富模型'!$M$4+IF(Calc!$A$46&lt;='财富模型'!$E$11*12,'Calc'!$W$12,'Calc'!$Y$12)-(IF('Calc'!$E$12=1,0,MIN(Calc!$C$45*(1+'财富模型'!$E$20/12)+'Calc'!$B$6,IF(Calc!$A$46&lt;='财富模型'!$E$11*12,'Calc'!$W$12,'Calc'!$Y$12)))))))</x:f>
      </x:c>
      <x:c r="G46" t="e">
        <x:f>IF(Calc!$A$46&gt;'Calc'!$B$8,"",IF('Calc'!$E$12=1,0,MAX(Calc!$G$45*(1+IF(Calc!$A$46&lt;='财富模型'!$E$11*12,'财富模型'!$E$10,'财富模型'!$E$12)/12)-IF('Calc'!$E$12=1,0,IF(Calc!$A$46&lt;='财富模型'!$E$11*12,'Calc'!$W$12,'Calc'!$Y$12)),0)))</x:f>
      </x:c>
      <x:c r="I46" t="n">
        <x:v>25</x:v>
      </x:c>
      <x:c r="J46" t="e">
        <x:f>IF(Calc!$I$46&gt;'Calc'!$B$8,"",MAX(Calc!$J$45*(1+'财富模型'!$E$6/12)+('Calc'!$B$5-'财富模型'!$E$5-(IF('Calc'!$E$13=1,'财富模型'!$E$9,'财富模型'!$M$5+IF(Calc!$I$46&lt;='财富模型'!$E$11*12,'Calc'!$W$13,'Calc'!$Y$13)-(IF('Calc'!$E$13=1,0,MIN(Calc!$K$45*(1+'财富模型'!$E$20/12)+'Calc'!$B$6,IF(Calc!$I$46&lt;='财富模型'!$E$11*12,'Calc'!$W$13,'Calc'!$Y$13))))))),0))</x:f>
      </x:c>
      <x:c r="K46" t="e">
        <x:f>IF(Calc!$I$46&gt;'Calc'!$B$8,"",MAX(Calc!$K$45*(1+'财富模型'!$E$20/12)+'Calc'!$B$6-(IF('Calc'!$E$13=1,0,MIN(Calc!$K$45*(1+'财富模型'!$E$20/12)+'Calc'!$B$6,IF(Calc!$I$46&lt;='财富模型'!$E$11*12,'Calc'!$W$13,'Calc'!$Y$13)))),0))</x:f>
      </x:c>
      <x:c r="L46" t="e">
        <x:f>IF(Calc!$I$46&gt;'Calc'!$B$8,"",IF('Calc'!$E$13=1,'财富模型'!$E$9,'财富模型'!$M$5+IF(Calc!$I$46&lt;='财富模型'!$E$11*12,'Calc'!$W$13,'Calc'!$Y$13)-(IF('Calc'!$E$13=1,0,MIN(Calc!$K$45*(1+'财富模型'!$E$20/12)+'Calc'!$B$6,IF(Calc!$I$46&lt;='财富模型'!$E$11*12,'Calc'!$W$13,'Calc'!$Y$13))))))</x:f>
      </x:c>
      <x:c r="M46" t="e">
        <x:f>IF(Calc!$I$46&gt;'Calc'!$B$8,"",IF('Calc'!$E$13=1,0,MIN(Calc!$K$45*(1+'财富模型'!$E$20/12)+'Calc'!$B$6,IF(Calc!$I$46&lt;='财富模型'!$E$11*12,'Calc'!$W$13,'Calc'!$Y$13))))</x:f>
      </x:c>
      <x:c r="N46" t="e">
        <x:f>IF(Calc!$I$46&gt;'Calc'!$B$8,"",'Calc'!$B$5-'财富模型'!$E$5-(IF('Calc'!$E$13=1,'财富模型'!$E$9,'财富模型'!$M$5+IF(Calc!$I$46&lt;='财富模型'!$E$11*12,'Calc'!$W$13,'Calc'!$Y$13)-(IF('Calc'!$E$13=1,0,MIN(Calc!$K$45*(1+'财富模型'!$E$20/12)+'Calc'!$B$6,IF(Calc!$I$46&lt;='财富模型'!$E$11*12,'Calc'!$W$13,'Calc'!$Y$13)))))))</x:f>
      </x:c>
      <x:c r="O46" t="e">
        <x:f>IF(Calc!$I$46&gt;'Calc'!$B$8,"",IF('Calc'!$E$13=1,0,MAX(Calc!$O$45*(1+IF(Calc!$I$46&lt;='财富模型'!$E$11*12,'财富模型'!$E$10,'财富模型'!$E$12)/12)-IF('Calc'!$E$13=1,0,IF(Calc!$I$46&lt;='财富模型'!$E$11*12,'Calc'!$W$13,'Calc'!$Y$13)),0)))</x:f>
      </x:c>
      <x:c r="Q46" t="n">
        <x:v>25</x:v>
      </x:c>
      <x:c r="R46" t="e">
        <x:f>IF(Calc!$Q$46&gt;'Calc'!$B$8,"",MAX(Calc!$R$45*(1+'财富模型'!$E$6/12)+('Calc'!$B$5-'财富模型'!$E$5-(IF('Calc'!$E$14=1,'财富模型'!$E$9,'财富模型'!$M$6+IF(Calc!$Q$46&lt;='财富模型'!$E$11*12,'Calc'!$W$14,'Calc'!$Y$14)-(IF('Calc'!$E$14=1,0,MIN(Calc!$S$45*(1+'财富模型'!$E$20/12)+'Calc'!$B$6,IF(Calc!$Q$46&lt;='财富模型'!$E$11*12,'Calc'!$W$14,'Calc'!$Y$14))))))),0))</x:f>
      </x:c>
      <x:c r="S46" t="e">
        <x:f>IF(Calc!$Q$46&gt;'Calc'!$B$8,"",MAX(Calc!$S$45*(1+'财富模型'!$E$20/12)+'Calc'!$B$6-(IF('Calc'!$E$14=1,0,MIN(Calc!$S$45*(1+'财富模型'!$E$20/12)+'Calc'!$B$6,IF(Calc!$Q$46&lt;='财富模型'!$E$11*12,'Calc'!$W$14,'Calc'!$Y$14)))),0))</x:f>
      </x:c>
      <x:c r="T46" t="e">
        <x:f>IF(Calc!$Q$46&gt;'Calc'!$B$8,"",IF('Calc'!$E$14=1,'财富模型'!$E$9,'财富模型'!$M$6+IF(Calc!$Q$46&lt;='财富模型'!$E$11*12,'Calc'!$W$14,'Calc'!$Y$14)-(IF('Calc'!$E$14=1,0,MIN(Calc!$S$45*(1+'财富模型'!$E$20/12)+'Calc'!$B$6,IF(Calc!$Q$46&lt;='财富模型'!$E$11*12,'Calc'!$W$14,'Calc'!$Y$14))))))</x:f>
      </x:c>
      <x:c r="U46" t="e">
        <x:f>IF(Calc!$Q$46&gt;'Calc'!$B$8,"",IF('Calc'!$E$14=1,0,MIN(Calc!$S$45*(1+'财富模型'!$E$20/12)+'Calc'!$B$6,IF(Calc!$Q$46&lt;='财富模型'!$E$11*12,'Calc'!$W$14,'Calc'!$Y$14))))</x:f>
      </x:c>
      <x:c r="V46" t="e">
        <x:f>IF(Calc!$Q$46&gt;'Calc'!$B$8,"",'Calc'!$B$5-'财富模型'!$E$5-(IF('Calc'!$E$14=1,'财富模型'!$E$9,'财富模型'!$M$6+IF(Calc!$Q$46&lt;='财富模型'!$E$11*12,'Calc'!$W$14,'Calc'!$Y$14)-(IF('Calc'!$E$14=1,0,MIN(Calc!$S$45*(1+'财富模型'!$E$20/12)+'Calc'!$B$6,IF(Calc!$Q$46&lt;='财富模型'!$E$11*12,'Calc'!$W$14,'Calc'!$Y$14)))))))</x:f>
      </x:c>
      <x:c r="W46" t="e">
        <x:f>IF(Calc!$Q$46&gt;'Calc'!$B$8,"",IF('Calc'!$E$14=1,0,MAX(Calc!$W$45*(1+IF(Calc!$Q$46&lt;='财富模型'!$E$11*12,'财富模型'!$E$10,'财富模型'!$E$12)/12)-IF('Calc'!$E$14=1,0,IF(Calc!$Q$46&lt;='财富模型'!$E$11*12,'Calc'!$W$14,'Calc'!$Y$14)),0)))</x:f>
      </x:c>
      <x:c r="Y46" t="n">
        <x:v>25</x:v>
      </x:c>
      <x:c r="Z46" t="e">
        <x:f>IF(Calc!$Y$46&gt;'Calc'!$B$8,"",MAX(Calc!$Z$45*(1+'财富模型'!$E$6/12)+('Calc'!$B$5-'财富模型'!$E$5-(IF('Calc'!$E$15=1,'财富模型'!$E$9,'财富模型'!$M$7+IF(Calc!$Y$46&lt;='财富模型'!$E$11*12,'Calc'!$W$15,'Calc'!$Y$15)-(IF('Calc'!$E$15=1,0,MIN(Calc!$AA$45*(1+'财富模型'!$E$20/12)+'Calc'!$B$6,IF(Calc!$Y$46&lt;='财富模型'!$E$11*12,'Calc'!$W$15,'Calc'!$Y$15))))))),0))</x:f>
      </x:c>
      <x:c r="AA46" t="e">
        <x:f>IF(Calc!$Y$46&gt;'Calc'!$B$8,"",MAX(Calc!$AA$45*(1+'财富模型'!$E$20/12)+'Calc'!$B$6-(IF('Calc'!$E$15=1,0,MIN(Calc!$AA$45*(1+'财富模型'!$E$20/12)+'Calc'!$B$6,IF(Calc!$Y$46&lt;='财富模型'!$E$11*12,'Calc'!$W$15,'Calc'!$Y$15)))),0))</x:f>
      </x:c>
      <x:c r="AB46" t="e">
        <x:f>IF(Calc!$Y$46&gt;'Calc'!$B$8,"",IF('Calc'!$E$15=1,'财富模型'!$E$9,'财富模型'!$M$7+IF(Calc!$Y$46&lt;='财富模型'!$E$11*12,'Calc'!$W$15,'Calc'!$Y$15)-(IF('Calc'!$E$15=1,0,MIN(Calc!$AA$45*(1+'财富模型'!$E$20/12)+'Calc'!$B$6,IF(Calc!$Y$46&lt;='财富模型'!$E$11*12,'Calc'!$W$15,'Calc'!$Y$15))))))</x:f>
      </x:c>
      <x:c r="AC46" t="e">
        <x:f>IF(Calc!$Y$46&gt;'Calc'!$B$8,"",IF('Calc'!$E$15=1,0,MIN(Calc!$AA$45*(1+'财富模型'!$E$20/12)+'Calc'!$B$6,IF(Calc!$Y$46&lt;='财富模型'!$E$11*12,'Calc'!$W$15,'Calc'!$Y$15))))</x:f>
      </x:c>
      <x:c r="AD46" t="e">
        <x:f>IF(Calc!$Y$46&gt;'Calc'!$B$8,"",'Calc'!$B$5-'财富模型'!$E$5-(IF('Calc'!$E$15=1,'财富模型'!$E$9,'财富模型'!$M$7+IF(Calc!$Y$46&lt;='财富模型'!$E$11*12,'Calc'!$W$15,'Calc'!$Y$15)-(IF('Calc'!$E$15=1,0,MIN(Calc!$AA$45*(1+'财富模型'!$E$20/12)+'Calc'!$B$6,IF(Calc!$Y$46&lt;='财富模型'!$E$11*12,'Calc'!$W$15,'Calc'!$Y$15)))))))</x:f>
      </x:c>
      <x:c r="AE46" t="e">
        <x:f>IF(Calc!$Y$46&gt;'Calc'!$B$8,"",IF('Calc'!$E$15=1,0,MAX(Calc!$AE$45*(1+IF(Calc!$Y$46&lt;='财富模型'!$E$11*12,'财富模型'!$E$10,'财富模型'!$E$12)/12)-IF('Calc'!$E$15=1,0,IF(Calc!$Y$46&lt;='财富模型'!$E$11*12,'Calc'!$W$15,'Calc'!$Y$15)),0)))</x:f>
      </x:c>
      <x:c r="AG46" t="n">
        <x:v>25</x:v>
      </x:c>
      <x:c r="AH46" t="e">
        <x:f>IF(Calc!$AG$46&gt;'Calc'!$B$8,"",MAX(Calc!$AH$45*(1+'财富模型'!$E$6/12)+('Calc'!$B$5-'财富模型'!$E$5-(IF('Calc'!$E$16=1,'财富模型'!$E$9,'财富模型'!$M$8+IF(Calc!$AG$46&lt;='财富模型'!$E$11*12,'Calc'!$W$16,'Calc'!$Y$16)-(IF('Calc'!$E$16=1,0,MIN(Calc!$AI$45*(1+'财富模型'!$E$20/12)+'Calc'!$B$6,IF(Calc!$AG$46&lt;='财富模型'!$E$11*12,'Calc'!$W$16,'Calc'!$Y$16))))))),0))</x:f>
      </x:c>
      <x:c r="AI46" t="e">
        <x:f>IF(Calc!$AG$46&gt;'Calc'!$B$8,"",MAX(Calc!$AI$45*(1+'财富模型'!$E$20/12)+'Calc'!$B$6-(IF('Calc'!$E$16=1,0,MIN(Calc!$AI$45*(1+'财富模型'!$E$20/12)+'Calc'!$B$6,IF(Calc!$AG$46&lt;='财富模型'!$E$11*12,'Calc'!$W$16,'Calc'!$Y$16)))),0))</x:f>
      </x:c>
      <x:c r="AJ46" t="e">
        <x:f>IF(Calc!$AG$46&gt;'Calc'!$B$8,"",IF('Calc'!$E$16=1,'财富模型'!$E$9,'财富模型'!$M$8+IF(Calc!$AG$46&lt;='财富模型'!$E$11*12,'Calc'!$W$16,'Calc'!$Y$16)-(IF('Calc'!$E$16=1,0,MIN(Calc!$AI$45*(1+'财富模型'!$E$20/12)+'Calc'!$B$6,IF(Calc!$AG$46&lt;='财富模型'!$E$11*12,'Calc'!$W$16,'Calc'!$Y$16))))))</x:f>
      </x:c>
      <x:c r="AK46" t="e">
        <x:f>IF(Calc!$AG$46&gt;'Calc'!$B$8,"",IF('Calc'!$E$16=1,0,MIN(Calc!$AI$45*(1+'财富模型'!$E$20/12)+'Calc'!$B$6,IF(Calc!$AG$46&lt;='财富模型'!$E$11*12,'Calc'!$W$16,'Calc'!$Y$16))))</x:f>
      </x:c>
      <x:c r="AL46" t="e">
        <x:f>IF(Calc!$AG$46&gt;'Calc'!$B$8,"",'Calc'!$B$5-'财富模型'!$E$5-(IF('Calc'!$E$16=1,'财富模型'!$E$9,'财富模型'!$M$8+IF(Calc!$AG$46&lt;='财富模型'!$E$11*12,'Calc'!$W$16,'Calc'!$Y$16)-(IF('Calc'!$E$16=1,0,MIN(Calc!$AI$45*(1+'财富模型'!$E$20/12)+'Calc'!$B$6,IF(Calc!$AG$46&lt;='财富模型'!$E$11*12,'Calc'!$W$16,'Calc'!$Y$16)))))))</x:f>
      </x:c>
      <x:c r="AM46" t="e">
        <x:f>IF(Calc!$AG$46&gt;'Calc'!$B$8,"",IF('Calc'!$E$16=1,0,MAX(Calc!$AM$45*(1+IF(Calc!$AG$46&lt;='财富模型'!$E$11*12,'财富模型'!$E$10,'财富模型'!$E$12)/12)-IF('Calc'!$E$16=1,0,IF(Calc!$AG$46&lt;='财富模型'!$E$11*12,'Calc'!$W$16,'Calc'!$Y$16)),0)))</x:f>
      </x:c>
      <x:c r="AO46" t="n">
        <x:v>25</x:v>
      </x:c>
      <x:c r="AP46" t="n">
        <x:f>IF(Calc!$AO$46&gt;'Calc'!$B$8,"",MAX(Calc!$AP$45*(1+'财富模型'!$E$6/12)+('Calc'!$B$5-'财富模型'!$E$5-(IF('Calc'!$E$17=1,'财富模型'!$E$9,'财富模型'!$M$9+IF(Calc!$AO$46&lt;='财富模型'!$E$11*12,'Calc'!$W$17,'Calc'!$Y$17)-(IF('Calc'!$E$17=1,0,MIN(Calc!$AQ$45*(1+'财富模型'!$E$20/12)+'Calc'!$B$6,IF(Calc!$AO$46&lt;='财富模型'!$E$11*12,'Calc'!$W$17,'Calc'!$Y$17))))))),0))</x:f>
        <x:v>1024962.637172393</x:v>
      </x:c>
      <x:c r="AQ46" t="n">
        <x:f>IF(Calc!$AO$46&gt;'Calc'!$B$8,"",MAX(Calc!$AQ$45*(1+'财富模型'!$E$20/12)+'Calc'!$B$6-(IF('Calc'!$E$17=1,0,MIN(Calc!$AQ$45*(1+'财富模型'!$E$20/12)+'Calc'!$B$6,IF(Calc!$AO$46&lt;='财富模型'!$E$11*12,'Calc'!$W$17,'Calc'!$Y$17)))),0))</x:f>
        <x:v>73002.35041819692</x:v>
      </x:c>
      <x:c r="AR46" t="n">
        <x:f>IF(Calc!$AO$46&gt;'Calc'!$B$8,"",IF('Calc'!$E$17=1,'财富模型'!$E$9,'财富模型'!$M$9+IF(Calc!$AO$46&lt;='财富模型'!$E$11*12,'Calc'!$W$17,'Calc'!$Y$17)-(IF('Calc'!$E$17=1,0,MIN(Calc!$AQ$45*(1+'财富模型'!$E$20/12)+'Calc'!$B$6,IF(Calc!$AO$46&lt;='财富模型'!$E$11*12,'Calc'!$W$17,'Calc'!$Y$17))))))</x:f>
        <x:v>4000</x:v>
      </x:c>
      <x:c r="AS46" t="n">
        <x:f>IF(Calc!$AO$46&gt;'Calc'!$B$8,"",IF('Calc'!$E$17=1,0,MIN(Calc!$AQ$45*(1+'财富模型'!$E$20/12)+'Calc'!$B$6,IF(Calc!$AO$46&lt;='财富模型'!$E$11*12,'Calc'!$W$17,'Calc'!$Y$17))))</x:f>
        <x:v>0</x:v>
      </x:c>
      <x:c r="AT46" t="n">
        <x:f>IF(Calc!$AO$46&gt;'Calc'!$B$8,"",'Calc'!$B$5-'财富模型'!$E$5-(IF('Calc'!$E$17=1,'财富模型'!$E$9,'财富模型'!$M$9+IF(Calc!$AO$46&lt;='财富模型'!$E$11*12,'Calc'!$W$17,'Calc'!$Y$17)-(IF('Calc'!$E$17=1,0,MIN(Calc!$AQ$45*(1+'财富模型'!$E$20/12)+'Calc'!$B$6,IF(Calc!$AO$46&lt;='财富模型'!$E$11*12,'Calc'!$W$17,'Calc'!$Y$17)))))))</x:f>
        <x:v>3933.333333333332</x:v>
      </x:c>
      <x:c r="AU46" t="n">
        <x:f>IF(Calc!$AO$46&gt;'Calc'!$B$8,"",IF('Calc'!$E$17=1,0,MAX(Calc!$AU$45*(1+IF(Calc!$AO$46&lt;='财富模型'!$E$11*12,'财富模型'!$E$10,'财富模型'!$E$12)/12)-IF('Calc'!$E$17=1,0,IF(Calc!$AO$46&lt;='财富模型'!$E$11*12,'Calc'!$W$17,'Calc'!$Y$17)),0)))</x:f>
        <x:v>0</x:v>
      </x:c>
    </x:row>
    <x:row r="47">
      <x:c r="A47" t="n">
        <x:v>26</x:v>
      </x:c>
      <x:c r="B47" t="e">
        <x:f>IF(Calc!$A$47&gt;'Calc'!$B$8,"",MAX(Calc!$B$46*(1+'财富模型'!$E$6/12)+('Calc'!$B$5-'财富模型'!$E$5-(IF('Calc'!$E$12=1,'财富模型'!$E$9,'财富模型'!$M$4+IF(Calc!$A$47&lt;='财富模型'!$E$11*12,'Calc'!$W$12,'Calc'!$Y$12)-(IF('Calc'!$E$12=1,0,MIN(Calc!$C$46*(1+'财富模型'!$E$20/12)+'Calc'!$B$6,IF(Calc!$A$47&lt;='财富模型'!$E$11*12,'Calc'!$W$12,'Calc'!$Y$12))))))),0))</x:f>
      </x:c>
      <x:c r="C47" t="e">
        <x:f>IF(Calc!$A$47&gt;'Calc'!$B$8,"",MAX(Calc!$C$46*(1+'财富模型'!$E$20/12)+'Calc'!$B$6-(IF('Calc'!$E$12=1,0,MIN(Calc!$C$46*(1+'财富模型'!$E$20/12)+'Calc'!$B$6,IF(Calc!$A$47&lt;='财富模型'!$E$11*12,'Calc'!$W$12,'Calc'!$Y$12)))),0))</x:f>
      </x:c>
      <x:c r="D47" t="e">
        <x:f>IF(Calc!$A$47&gt;'Calc'!$B$8,"",IF('Calc'!$E$12=1,'财富模型'!$E$9,'财富模型'!$M$4+IF(Calc!$A$47&lt;='财富模型'!$E$11*12,'Calc'!$W$12,'Calc'!$Y$12)-(IF('Calc'!$E$12=1,0,MIN(Calc!$C$46*(1+'财富模型'!$E$20/12)+'Calc'!$B$6,IF(Calc!$A$47&lt;='财富模型'!$E$11*12,'Calc'!$W$12,'Calc'!$Y$12))))))</x:f>
      </x:c>
      <x:c r="E47" t="e">
        <x:f>IF(Calc!$A$47&gt;'Calc'!$B$8,"",IF('Calc'!$E$12=1,0,MIN(Calc!$C$46*(1+'财富模型'!$E$20/12)+'Calc'!$B$6,IF(Calc!$A$47&lt;='财富模型'!$E$11*12,'Calc'!$W$12,'Calc'!$Y$12))))</x:f>
      </x:c>
      <x:c r="F47" t="e">
        <x:f>IF(Calc!$A$47&gt;'Calc'!$B$8,"",'Calc'!$B$5-'财富模型'!$E$5-(IF('Calc'!$E$12=1,'财富模型'!$E$9,'财富模型'!$M$4+IF(Calc!$A$47&lt;='财富模型'!$E$11*12,'Calc'!$W$12,'Calc'!$Y$12)-(IF('Calc'!$E$12=1,0,MIN(Calc!$C$46*(1+'财富模型'!$E$20/12)+'Calc'!$B$6,IF(Calc!$A$47&lt;='财富模型'!$E$11*12,'Calc'!$W$12,'Calc'!$Y$12)))))))</x:f>
      </x:c>
      <x:c r="G47" t="e">
        <x:f>IF(Calc!$A$47&gt;'Calc'!$B$8,"",IF('Calc'!$E$12=1,0,MAX(Calc!$G$46*(1+IF(Calc!$A$47&lt;='财富模型'!$E$11*12,'财富模型'!$E$10,'财富模型'!$E$12)/12)-IF('Calc'!$E$12=1,0,IF(Calc!$A$47&lt;='财富模型'!$E$11*12,'Calc'!$W$12,'Calc'!$Y$12)),0)))</x:f>
      </x:c>
      <x:c r="I47" t="n">
        <x:v>26</x:v>
      </x:c>
      <x:c r="J47" t="e">
        <x:f>IF(Calc!$I$47&gt;'Calc'!$B$8,"",MAX(Calc!$J$46*(1+'财富模型'!$E$6/12)+('Calc'!$B$5-'财富模型'!$E$5-(IF('Calc'!$E$13=1,'财富模型'!$E$9,'财富模型'!$M$5+IF(Calc!$I$47&lt;='财富模型'!$E$11*12,'Calc'!$W$13,'Calc'!$Y$13)-(IF('Calc'!$E$13=1,0,MIN(Calc!$K$46*(1+'财富模型'!$E$20/12)+'Calc'!$B$6,IF(Calc!$I$47&lt;='财富模型'!$E$11*12,'Calc'!$W$13,'Calc'!$Y$13))))))),0))</x:f>
      </x:c>
      <x:c r="K47" t="e">
        <x:f>IF(Calc!$I$47&gt;'Calc'!$B$8,"",MAX(Calc!$K$46*(1+'财富模型'!$E$20/12)+'Calc'!$B$6-(IF('Calc'!$E$13=1,0,MIN(Calc!$K$46*(1+'财富模型'!$E$20/12)+'Calc'!$B$6,IF(Calc!$I$47&lt;='财富模型'!$E$11*12,'Calc'!$W$13,'Calc'!$Y$13)))),0))</x:f>
      </x:c>
      <x:c r="L47" t="e">
        <x:f>IF(Calc!$I$47&gt;'Calc'!$B$8,"",IF('Calc'!$E$13=1,'财富模型'!$E$9,'财富模型'!$M$5+IF(Calc!$I$47&lt;='财富模型'!$E$11*12,'Calc'!$W$13,'Calc'!$Y$13)-(IF('Calc'!$E$13=1,0,MIN(Calc!$K$46*(1+'财富模型'!$E$20/12)+'Calc'!$B$6,IF(Calc!$I$47&lt;='财富模型'!$E$11*12,'Calc'!$W$13,'Calc'!$Y$13))))))</x:f>
      </x:c>
      <x:c r="M47" t="e">
        <x:f>IF(Calc!$I$47&gt;'Calc'!$B$8,"",IF('Calc'!$E$13=1,0,MIN(Calc!$K$46*(1+'财富模型'!$E$20/12)+'Calc'!$B$6,IF(Calc!$I$47&lt;='财富模型'!$E$11*12,'Calc'!$W$13,'Calc'!$Y$13))))</x:f>
      </x:c>
      <x:c r="N47" t="e">
        <x:f>IF(Calc!$I$47&gt;'Calc'!$B$8,"",'Calc'!$B$5-'财富模型'!$E$5-(IF('Calc'!$E$13=1,'财富模型'!$E$9,'财富模型'!$M$5+IF(Calc!$I$47&lt;='财富模型'!$E$11*12,'Calc'!$W$13,'Calc'!$Y$13)-(IF('Calc'!$E$13=1,0,MIN(Calc!$K$46*(1+'财富模型'!$E$20/12)+'Calc'!$B$6,IF(Calc!$I$47&lt;='财富模型'!$E$11*12,'Calc'!$W$13,'Calc'!$Y$13)))))))</x:f>
      </x:c>
      <x:c r="O47" t="e">
        <x:f>IF(Calc!$I$47&gt;'Calc'!$B$8,"",IF('Calc'!$E$13=1,0,MAX(Calc!$O$46*(1+IF(Calc!$I$47&lt;='财富模型'!$E$11*12,'财富模型'!$E$10,'财富模型'!$E$12)/12)-IF('Calc'!$E$13=1,0,IF(Calc!$I$47&lt;='财富模型'!$E$11*12,'Calc'!$W$13,'Calc'!$Y$13)),0)))</x:f>
      </x:c>
      <x:c r="Q47" t="n">
        <x:v>26</x:v>
      </x:c>
      <x:c r="R47" t="e">
        <x:f>IF(Calc!$Q$47&gt;'Calc'!$B$8,"",MAX(Calc!$R$46*(1+'财富模型'!$E$6/12)+('Calc'!$B$5-'财富模型'!$E$5-(IF('Calc'!$E$14=1,'财富模型'!$E$9,'财富模型'!$M$6+IF(Calc!$Q$47&lt;='财富模型'!$E$11*12,'Calc'!$W$14,'Calc'!$Y$14)-(IF('Calc'!$E$14=1,0,MIN(Calc!$S$46*(1+'财富模型'!$E$20/12)+'Calc'!$B$6,IF(Calc!$Q$47&lt;='财富模型'!$E$11*12,'Calc'!$W$14,'Calc'!$Y$14))))))),0))</x:f>
      </x:c>
      <x:c r="S47" t="e">
        <x:f>IF(Calc!$Q$47&gt;'Calc'!$B$8,"",MAX(Calc!$S$46*(1+'财富模型'!$E$20/12)+'Calc'!$B$6-(IF('Calc'!$E$14=1,0,MIN(Calc!$S$46*(1+'财富模型'!$E$20/12)+'Calc'!$B$6,IF(Calc!$Q$47&lt;='财富模型'!$E$11*12,'Calc'!$W$14,'Calc'!$Y$14)))),0))</x:f>
      </x:c>
      <x:c r="T47" t="e">
        <x:f>IF(Calc!$Q$47&gt;'Calc'!$B$8,"",IF('Calc'!$E$14=1,'财富模型'!$E$9,'财富模型'!$M$6+IF(Calc!$Q$47&lt;='财富模型'!$E$11*12,'Calc'!$W$14,'Calc'!$Y$14)-(IF('Calc'!$E$14=1,0,MIN(Calc!$S$46*(1+'财富模型'!$E$20/12)+'Calc'!$B$6,IF(Calc!$Q$47&lt;='财富模型'!$E$11*12,'Calc'!$W$14,'Calc'!$Y$14))))))</x:f>
      </x:c>
      <x:c r="U47" t="e">
        <x:f>IF(Calc!$Q$47&gt;'Calc'!$B$8,"",IF('Calc'!$E$14=1,0,MIN(Calc!$S$46*(1+'财富模型'!$E$20/12)+'Calc'!$B$6,IF(Calc!$Q$47&lt;='财富模型'!$E$11*12,'Calc'!$W$14,'Calc'!$Y$14))))</x:f>
      </x:c>
      <x:c r="V47" t="e">
        <x:f>IF(Calc!$Q$47&gt;'Calc'!$B$8,"",'Calc'!$B$5-'财富模型'!$E$5-(IF('Calc'!$E$14=1,'财富模型'!$E$9,'财富模型'!$M$6+IF(Calc!$Q$47&lt;='财富模型'!$E$11*12,'Calc'!$W$14,'Calc'!$Y$14)-(IF('Calc'!$E$14=1,0,MIN(Calc!$S$46*(1+'财富模型'!$E$20/12)+'Calc'!$B$6,IF(Calc!$Q$47&lt;='财富模型'!$E$11*12,'Calc'!$W$14,'Calc'!$Y$14)))))))</x:f>
      </x:c>
      <x:c r="W47" t="e">
        <x:f>IF(Calc!$Q$47&gt;'Calc'!$B$8,"",IF('Calc'!$E$14=1,0,MAX(Calc!$W$46*(1+IF(Calc!$Q$47&lt;='财富模型'!$E$11*12,'财富模型'!$E$10,'财富模型'!$E$12)/12)-IF('Calc'!$E$14=1,0,IF(Calc!$Q$47&lt;='财富模型'!$E$11*12,'Calc'!$W$14,'Calc'!$Y$14)),0)))</x:f>
      </x:c>
      <x:c r="Y47" t="n">
        <x:v>26</x:v>
      </x:c>
      <x:c r="Z47" t="e">
        <x:f>IF(Calc!$Y$47&gt;'Calc'!$B$8,"",MAX(Calc!$Z$46*(1+'财富模型'!$E$6/12)+('Calc'!$B$5-'财富模型'!$E$5-(IF('Calc'!$E$15=1,'财富模型'!$E$9,'财富模型'!$M$7+IF(Calc!$Y$47&lt;='财富模型'!$E$11*12,'Calc'!$W$15,'Calc'!$Y$15)-(IF('Calc'!$E$15=1,0,MIN(Calc!$AA$46*(1+'财富模型'!$E$20/12)+'Calc'!$B$6,IF(Calc!$Y$47&lt;='财富模型'!$E$11*12,'Calc'!$W$15,'Calc'!$Y$15))))))),0))</x:f>
      </x:c>
      <x:c r="AA47" t="e">
        <x:f>IF(Calc!$Y$47&gt;'Calc'!$B$8,"",MAX(Calc!$AA$46*(1+'财富模型'!$E$20/12)+'Calc'!$B$6-(IF('Calc'!$E$15=1,0,MIN(Calc!$AA$46*(1+'财富模型'!$E$20/12)+'Calc'!$B$6,IF(Calc!$Y$47&lt;='财富模型'!$E$11*12,'Calc'!$W$15,'Calc'!$Y$15)))),0))</x:f>
      </x:c>
      <x:c r="AB47" t="e">
        <x:f>IF(Calc!$Y$47&gt;'Calc'!$B$8,"",IF('Calc'!$E$15=1,'财富模型'!$E$9,'财富模型'!$M$7+IF(Calc!$Y$47&lt;='财富模型'!$E$11*12,'Calc'!$W$15,'Calc'!$Y$15)-(IF('Calc'!$E$15=1,0,MIN(Calc!$AA$46*(1+'财富模型'!$E$20/12)+'Calc'!$B$6,IF(Calc!$Y$47&lt;='财富模型'!$E$11*12,'Calc'!$W$15,'Calc'!$Y$15))))))</x:f>
      </x:c>
      <x:c r="AC47" t="e">
        <x:f>IF(Calc!$Y$47&gt;'Calc'!$B$8,"",IF('Calc'!$E$15=1,0,MIN(Calc!$AA$46*(1+'财富模型'!$E$20/12)+'Calc'!$B$6,IF(Calc!$Y$47&lt;='财富模型'!$E$11*12,'Calc'!$W$15,'Calc'!$Y$15))))</x:f>
      </x:c>
      <x:c r="AD47" t="e">
        <x:f>IF(Calc!$Y$47&gt;'Calc'!$B$8,"",'Calc'!$B$5-'财富模型'!$E$5-(IF('Calc'!$E$15=1,'财富模型'!$E$9,'财富模型'!$M$7+IF(Calc!$Y$47&lt;='财富模型'!$E$11*12,'Calc'!$W$15,'Calc'!$Y$15)-(IF('Calc'!$E$15=1,0,MIN(Calc!$AA$46*(1+'财富模型'!$E$20/12)+'Calc'!$B$6,IF(Calc!$Y$47&lt;='财富模型'!$E$11*12,'Calc'!$W$15,'Calc'!$Y$15)))))))</x:f>
      </x:c>
      <x:c r="AE47" t="e">
        <x:f>IF(Calc!$Y$47&gt;'Calc'!$B$8,"",IF('Calc'!$E$15=1,0,MAX(Calc!$AE$46*(1+IF(Calc!$Y$47&lt;='财富模型'!$E$11*12,'财富模型'!$E$10,'财富模型'!$E$12)/12)-IF('Calc'!$E$15=1,0,IF(Calc!$Y$47&lt;='财富模型'!$E$11*12,'Calc'!$W$15,'Calc'!$Y$15)),0)))</x:f>
      </x:c>
      <x:c r="AG47" t="n">
        <x:v>26</x:v>
      </x:c>
      <x:c r="AH47" t="e">
        <x:f>IF(Calc!$AG$47&gt;'Calc'!$B$8,"",MAX(Calc!$AH$46*(1+'财富模型'!$E$6/12)+('Calc'!$B$5-'财富模型'!$E$5-(IF('Calc'!$E$16=1,'财富模型'!$E$9,'财富模型'!$M$8+IF(Calc!$AG$47&lt;='财富模型'!$E$11*12,'Calc'!$W$16,'Calc'!$Y$16)-(IF('Calc'!$E$16=1,0,MIN(Calc!$AI$46*(1+'财富模型'!$E$20/12)+'Calc'!$B$6,IF(Calc!$AG$47&lt;='财富模型'!$E$11*12,'Calc'!$W$16,'Calc'!$Y$16))))))),0))</x:f>
      </x:c>
      <x:c r="AI47" t="e">
        <x:f>IF(Calc!$AG$47&gt;'Calc'!$B$8,"",MAX(Calc!$AI$46*(1+'财富模型'!$E$20/12)+'Calc'!$B$6-(IF('Calc'!$E$16=1,0,MIN(Calc!$AI$46*(1+'财富模型'!$E$20/12)+'Calc'!$B$6,IF(Calc!$AG$47&lt;='财富模型'!$E$11*12,'Calc'!$W$16,'Calc'!$Y$16)))),0))</x:f>
      </x:c>
      <x:c r="AJ47" t="e">
        <x:f>IF(Calc!$AG$47&gt;'Calc'!$B$8,"",IF('Calc'!$E$16=1,'财富模型'!$E$9,'财富模型'!$M$8+IF(Calc!$AG$47&lt;='财富模型'!$E$11*12,'Calc'!$W$16,'Calc'!$Y$16)-(IF('Calc'!$E$16=1,0,MIN(Calc!$AI$46*(1+'财富模型'!$E$20/12)+'Calc'!$B$6,IF(Calc!$AG$47&lt;='财富模型'!$E$11*12,'Calc'!$W$16,'Calc'!$Y$16))))))</x:f>
      </x:c>
      <x:c r="AK47" t="e">
        <x:f>IF(Calc!$AG$47&gt;'Calc'!$B$8,"",IF('Calc'!$E$16=1,0,MIN(Calc!$AI$46*(1+'财富模型'!$E$20/12)+'Calc'!$B$6,IF(Calc!$AG$47&lt;='财富模型'!$E$11*12,'Calc'!$W$16,'Calc'!$Y$16))))</x:f>
      </x:c>
      <x:c r="AL47" t="e">
        <x:f>IF(Calc!$AG$47&gt;'Calc'!$B$8,"",'Calc'!$B$5-'财富模型'!$E$5-(IF('Calc'!$E$16=1,'财富模型'!$E$9,'财富模型'!$M$8+IF(Calc!$AG$47&lt;='财富模型'!$E$11*12,'Calc'!$W$16,'Calc'!$Y$16)-(IF('Calc'!$E$16=1,0,MIN(Calc!$AI$46*(1+'财富模型'!$E$20/12)+'Calc'!$B$6,IF(Calc!$AG$47&lt;='财富模型'!$E$11*12,'Calc'!$W$16,'Calc'!$Y$16)))))))</x:f>
      </x:c>
      <x:c r="AM47" t="e">
        <x:f>IF(Calc!$AG$47&gt;'Calc'!$B$8,"",IF('Calc'!$E$16=1,0,MAX(Calc!$AM$46*(1+IF(Calc!$AG$47&lt;='财富模型'!$E$11*12,'财富模型'!$E$10,'财富模型'!$E$12)/12)-IF('Calc'!$E$16=1,0,IF(Calc!$AG$47&lt;='财富模型'!$E$11*12,'Calc'!$W$16,'Calc'!$Y$16)),0)))</x:f>
      </x:c>
      <x:c r="AO47" t="n">
        <x:v>26</x:v>
      </x:c>
      <x:c r="AP47" t="n">
        <x:f>IF(Calc!$AO$47&gt;'Calc'!$B$8,"",MAX(Calc!$AP$46*(1+'财富模型'!$E$6/12)+('Calc'!$B$5-'财富模型'!$E$5-(IF('Calc'!$E$17=1,'财富模型'!$E$9,'财富模型'!$M$9+IF(Calc!$AO$47&lt;='财富模型'!$E$11*12,'Calc'!$W$17,'Calc'!$Y$17)-(IF('Calc'!$E$17=1,0,MIN(Calc!$AQ$46*(1+'财富模型'!$E$20/12)+'Calc'!$B$6,IF(Calc!$AO$47&lt;='财富模型'!$E$11*12,'Calc'!$W$17,'Calc'!$Y$17))))))),0))</x:f>
        <x:v>1034874.9192225654</x:v>
      </x:c>
      <x:c r="AQ47" t="n">
        <x:f>IF(Calc!$AO$47&gt;'Calc'!$B$8,"",MAX(Calc!$AQ$46*(1+'财富模型'!$E$20/12)+'Calc'!$B$6-(IF('Calc'!$E$17=1,0,MIN(Calc!$AQ$46*(1+'财富模型'!$E$20/12)+'Calc'!$B$6,IF(Calc!$AO$47&lt;='财富模型'!$E$11*12,'Calc'!$W$17,'Calc'!$Y$17)))),0))</x:f>
        <x:v>76002.18864823483</x:v>
      </x:c>
      <x:c r="AR47" t="n">
        <x:f>IF(Calc!$AO$47&gt;'Calc'!$B$8,"",IF('Calc'!$E$17=1,'财富模型'!$E$9,'财富模型'!$M$9+IF(Calc!$AO$47&lt;='财富模型'!$E$11*12,'Calc'!$W$17,'Calc'!$Y$17)-(IF('Calc'!$E$17=1,0,MIN(Calc!$AQ$46*(1+'财富模型'!$E$20/12)+'Calc'!$B$6,IF(Calc!$AO$47&lt;='财富模型'!$E$11*12,'Calc'!$W$17,'Calc'!$Y$17))))))</x:f>
        <x:v>4000</x:v>
      </x:c>
      <x:c r="AS47" t="n">
        <x:f>IF(Calc!$AO$47&gt;'Calc'!$B$8,"",IF('Calc'!$E$17=1,0,MIN(Calc!$AQ$46*(1+'财富模型'!$E$20/12)+'Calc'!$B$6,IF(Calc!$AO$47&lt;='财富模型'!$E$11*12,'Calc'!$W$17,'Calc'!$Y$17))))</x:f>
        <x:v>0</x:v>
      </x:c>
      <x:c r="AT47" t="n">
        <x:f>IF(Calc!$AO$47&gt;'Calc'!$B$8,"",'Calc'!$B$5-'财富模型'!$E$5-(IF('Calc'!$E$17=1,'财富模型'!$E$9,'财富模型'!$M$9+IF(Calc!$AO$47&lt;='财富模型'!$E$11*12,'Calc'!$W$17,'Calc'!$Y$17)-(IF('Calc'!$E$17=1,0,MIN(Calc!$AQ$46*(1+'财富模型'!$E$20/12)+'Calc'!$B$6,IF(Calc!$AO$47&lt;='财富模型'!$E$11*12,'Calc'!$W$17,'Calc'!$Y$17)))))))</x:f>
        <x:v>3933.333333333332</x:v>
      </x:c>
      <x:c r="AU47" t="n">
        <x:f>IF(Calc!$AO$47&gt;'Calc'!$B$8,"",IF('Calc'!$E$17=1,0,MAX(Calc!$AU$46*(1+IF(Calc!$AO$47&lt;='财富模型'!$E$11*12,'财富模型'!$E$10,'财富模型'!$E$12)/12)-IF('Calc'!$E$17=1,0,IF(Calc!$AO$47&lt;='财富模型'!$E$11*12,'Calc'!$W$17,'Calc'!$Y$17)),0)))</x:f>
        <x:v>0</x:v>
      </x:c>
    </x:row>
    <x:row r="48">
      <x:c r="A48" t="n">
        <x:v>27</x:v>
      </x:c>
      <x:c r="B48" t="e">
        <x:f>IF(Calc!$A$48&gt;'Calc'!$B$8,"",MAX(Calc!$B$47*(1+'财富模型'!$E$6/12)+('Calc'!$B$5-'财富模型'!$E$5-(IF('Calc'!$E$12=1,'财富模型'!$E$9,'财富模型'!$M$4+IF(Calc!$A$48&lt;='财富模型'!$E$11*12,'Calc'!$W$12,'Calc'!$Y$12)-(IF('Calc'!$E$12=1,0,MIN(Calc!$C$47*(1+'财富模型'!$E$20/12)+'Calc'!$B$6,IF(Calc!$A$48&lt;='财富模型'!$E$11*12,'Calc'!$W$12,'Calc'!$Y$12))))))),0))</x:f>
      </x:c>
      <x:c r="C48" t="e">
        <x:f>IF(Calc!$A$48&gt;'Calc'!$B$8,"",MAX(Calc!$C$47*(1+'财富模型'!$E$20/12)+'Calc'!$B$6-(IF('Calc'!$E$12=1,0,MIN(Calc!$C$47*(1+'财富模型'!$E$20/12)+'Calc'!$B$6,IF(Calc!$A$48&lt;='财富模型'!$E$11*12,'Calc'!$W$12,'Calc'!$Y$12)))),0))</x:f>
      </x:c>
      <x:c r="D48" t="e">
        <x:f>IF(Calc!$A$48&gt;'Calc'!$B$8,"",IF('Calc'!$E$12=1,'财富模型'!$E$9,'财富模型'!$M$4+IF(Calc!$A$48&lt;='财富模型'!$E$11*12,'Calc'!$W$12,'Calc'!$Y$12)-(IF('Calc'!$E$12=1,0,MIN(Calc!$C$47*(1+'财富模型'!$E$20/12)+'Calc'!$B$6,IF(Calc!$A$48&lt;='财富模型'!$E$11*12,'Calc'!$W$12,'Calc'!$Y$12))))))</x:f>
      </x:c>
      <x:c r="E48" t="e">
        <x:f>IF(Calc!$A$48&gt;'Calc'!$B$8,"",IF('Calc'!$E$12=1,0,MIN(Calc!$C$47*(1+'财富模型'!$E$20/12)+'Calc'!$B$6,IF(Calc!$A$48&lt;='财富模型'!$E$11*12,'Calc'!$W$12,'Calc'!$Y$12))))</x:f>
      </x:c>
      <x:c r="F48" t="e">
        <x:f>IF(Calc!$A$48&gt;'Calc'!$B$8,"",'Calc'!$B$5-'财富模型'!$E$5-(IF('Calc'!$E$12=1,'财富模型'!$E$9,'财富模型'!$M$4+IF(Calc!$A$48&lt;='财富模型'!$E$11*12,'Calc'!$W$12,'Calc'!$Y$12)-(IF('Calc'!$E$12=1,0,MIN(Calc!$C$47*(1+'财富模型'!$E$20/12)+'Calc'!$B$6,IF(Calc!$A$48&lt;='财富模型'!$E$11*12,'Calc'!$W$12,'Calc'!$Y$12)))))))</x:f>
      </x:c>
      <x:c r="G48" t="e">
        <x:f>IF(Calc!$A$48&gt;'Calc'!$B$8,"",IF('Calc'!$E$12=1,0,MAX(Calc!$G$47*(1+IF(Calc!$A$48&lt;='财富模型'!$E$11*12,'财富模型'!$E$10,'财富模型'!$E$12)/12)-IF('Calc'!$E$12=1,0,IF(Calc!$A$48&lt;='财富模型'!$E$11*12,'Calc'!$W$12,'Calc'!$Y$12)),0)))</x:f>
      </x:c>
      <x:c r="I48" t="n">
        <x:v>27</x:v>
      </x:c>
      <x:c r="J48" t="e">
        <x:f>IF(Calc!$I$48&gt;'Calc'!$B$8,"",MAX(Calc!$J$47*(1+'财富模型'!$E$6/12)+('Calc'!$B$5-'财富模型'!$E$5-(IF('Calc'!$E$13=1,'财富模型'!$E$9,'财富模型'!$M$5+IF(Calc!$I$48&lt;='财富模型'!$E$11*12,'Calc'!$W$13,'Calc'!$Y$13)-(IF('Calc'!$E$13=1,0,MIN(Calc!$K$47*(1+'财富模型'!$E$20/12)+'Calc'!$B$6,IF(Calc!$I$48&lt;='财富模型'!$E$11*12,'Calc'!$W$13,'Calc'!$Y$13))))))),0))</x:f>
      </x:c>
      <x:c r="K48" t="e">
        <x:f>IF(Calc!$I$48&gt;'Calc'!$B$8,"",MAX(Calc!$K$47*(1+'财富模型'!$E$20/12)+'Calc'!$B$6-(IF('Calc'!$E$13=1,0,MIN(Calc!$K$47*(1+'财富模型'!$E$20/12)+'Calc'!$B$6,IF(Calc!$I$48&lt;='财富模型'!$E$11*12,'Calc'!$W$13,'Calc'!$Y$13)))),0))</x:f>
      </x:c>
      <x:c r="L48" t="e">
        <x:f>IF(Calc!$I$48&gt;'Calc'!$B$8,"",IF('Calc'!$E$13=1,'财富模型'!$E$9,'财富模型'!$M$5+IF(Calc!$I$48&lt;='财富模型'!$E$11*12,'Calc'!$W$13,'Calc'!$Y$13)-(IF('Calc'!$E$13=1,0,MIN(Calc!$K$47*(1+'财富模型'!$E$20/12)+'Calc'!$B$6,IF(Calc!$I$48&lt;='财富模型'!$E$11*12,'Calc'!$W$13,'Calc'!$Y$13))))))</x:f>
      </x:c>
      <x:c r="M48" t="e">
        <x:f>IF(Calc!$I$48&gt;'Calc'!$B$8,"",IF('Calc'!$E$13=1,0,MIN(Calc!$K$47*(1+'财富模型'!$E$20/12)+'Calc'!$B$6,IF(Calc!$I$48&lt;='财富模型'!$E$11*12,'Calc'!$W$13,'Calc'!$Y$13))))</x:f>
      </x:c>
      <x:c r="N48" t="e">
        <x:f>IF(Calc!$I$48&gt;'Calc'!$B$8,"",'Calc'!$B$5-'财富模型'!$E$5-(IF('Calc'!$E$13=1,'财富模型'!$E$9,'财富模型'!$M$5+IF(Calc!$I$48&lt;='财富模型'!$E$11*12,'Calc'!$W$13,'Calc'!$Y$13)-(IF('Calc'!$E$13=1,0,MIN(Calc!$K$47*(1+'财富模型'!$E$20/12)+'Calc'!$B$6,IF(Calc!$I$48&lt;='财富模型'!$E$11*12,'Calc'!$W$13,'Calc'!$Y$13)))))))</x:f>
      </x:c>
      <x:c r="O48" t="e">
        <x:f>IF(Calc!$I$48&gt;'Calc'!$B$8,"",IF('Calc'!$E$13=1,0,MAX(Calc!$O$47*(1+IF(Calc!$I$48&lt;='财富模型'!$E$11*12,'财富模型'!$E$10,'财富模型'!$E$12)/12)-IF('Calc'!$E$13=1,0,IF(Calc!$I$48&lt;='财富模型'!$E$11*12,'Calc'!$W$13,'Calc'!$Y$13)),0)))</x:f>
      </x:c>
      <x:c r="Q48" t="n">
        <x:v>27</x:v>
      </x:c>
      <x:c r="R48" t="e">
        <x:f>IF(Calc!$Q$48&gt;'Calc'!$B$8,"",MAX(Calc!$R$47*(1+'财富模型'!$E$6/12)+('Calc'!$B$5-'财富模型'!$E$5-(IF('Calc'!$E$14=1,'财富模型'!$E$9,'财富模型'!$M$6+IF(Calc!$Q$48&lt;='财富模型'!$E$11*12,'Calc'!$W$14,'Calc'!$Y$14)-(IF('Calc'!$E$14=1,0,MIN(Calc!$S$47*(1+'财富模型'!$E$20/12)+'Calc'!$B$6,IF(Calc!$Q$48&lt;='财富模型'!$E$11*12,'Calc'!$W$14,'Calc'!$Y$14))))))),0))</x:f>
      </x:c>
      <x:c r="S48" t="e">
        <x:f>IF(Calc!$Q$48&gt;'Calc'!$B$8,"",MAX(Calc!$S$47*(1+'财富模型'!$E$20/12)+'Calc'!$B$6-(IF('Calc'!$E$14=1,0,MIN(Calc!$S$47*(1+'财富模型'!$E$20/12)+'Calc'!$B$6,IF(Calc!$Q$48&lt;='财富模型'!$E$11*12,'Calc'!$W$14,'Calc'!$Y$14)))),0))</x:f>
      </x:c>
      <x:c r="T48" t="e">
        <x:f>IF(Calc!$Q$48&gt;'Calc'!$B$8,"",IF('Calc'!$E$14=1,'财富模型'!$E$9,'财富模型'!$M$6+IF(Calc!$Q$48&lt;='财富模型'!$E$11*12,'Calc'!$W$14,'Calc'!$Y$14)-(IF('Calc'!$E$14=1,0,MIN(Calc!$S$47*(1+'财富模型'!$E$20/12)+'Calc'!$B$6,IF(Calc!$Q$48&lt;='财富模型'!$E$11*12,'Calc'!$W$14,'Calc'!$Y$14))))))</x:f>
      </x:c>
      <x:c r="U48" t="e">
        <x:f>IF(Calc!$Q$48&gt;'Calc'!$B$8,"",IF('Calc'!$E$14=1,0,MIN(Calc!$S$47*(1+'财富模型'!$E$20/12)+'Calc'!$B$6,IF(Calc!$Q$48&lt;='财富模型'!$E$11*12,'Calc'!$W$14,'Calc'!$Y$14))))</x:f>
      </x:c>
      <x:c r="V48" t="e">
        <x:f>IF(Calc!$Q$48&gt;'Calc'!$B$8,"",'Calc'!$B$5-'财富模型'!$E$5-(IF('Calc'!$E$14=1,'财富模型'!$E$9,'财富模型'!$M$6+IF(Calc!$Q$48&lt;='财富模型'!$E$11*12,'Calc'!$W$14,'Calc'!$Y$14)-(IF('Calc'!$E$14=1,0,MIN(Calc!$S$47*(1+'财富模型'!$E$20/12)+'Calc'!$B$6,IF(Calc!$Q$48&lt;='财富模型'!$E$11*12,'Calc'!$W$14,'Calc'!$Y$14)))))))</x:f>
      </x:c>
      <x:c r="W48" t="e">
        <x:f>IF(Calc!$Q$48&gt;'Calc'!$B$8,"",IF('Calc'!$E$14=1,0,MAX(Calc!$W$47*(1+IF(Calc!$Q$48&lt;='财富模型'!$E$11*12,'财富模型'!$E$10,'财富模型'!$E$12)/12)-IF('Calc'!$E$14=1,0,IF(Calc!$Q$48&lt;='财富模型'!$E$11*12,'Calc'!$W$14,'Calc'!$Y$14)),0)))</x:f>
      </x:c>
      <x:c r="Y48" t="n">
        <x:v>27</x:v>
      </x:c>
      <x:c r="Z48" t="e">
        <x:f>IF(Calc!$Y$48&gt;'Calc'!$B$8,"",MAX(Calc!$Z$47*(1+'财富模型'!$E$6/12)+('Calc'!$B$5-'财富模型'!$E$5-(IF('Calc'!$E$15=1,'财富模型'!$E$9,'财富模型'!$M$7+IF(Calc!$Y$48&lt;='财富模型'!$E$11*12,'Calc'!$W$15,'Calc'!$Y$15)-(IF('Calc'!$E$15=1,0,MIN(Calc!$AA$47*(1+'财富模型'!$E$20/12)+'Calc'!$B$6,IF(Calc!$Y$48&lt;='财富模型'!$E$11*12,'Calc'!$W$15,'Calc'!$Y$15))))))),0))</x:f>
      </x:c>
      <x:c r="AA48" t="e">
        <x:f>IF(Calc!$Y$48&gt;'Calc'!$B$8,"",MAX(Calc!$AA$47*(1+'财富模型'!$E$20/12)+'Calc'!$B$6-(IF('Calc'!$E$15=1,0,MIN(Calc!$AA$47*(1+'财富模型'!$E$20/12)+'Calc'!$B$6,IF(Calc!$Y$48&lt;='财富模型'!$E$11*12,'Calc'!$W$15,'Calc'!$Y$15)))),0))</x:f>
      </x:c>
      <x:c r="AB48" t="e">
        <x:f>IF(Calc!$Y$48&gt;'Calc'!$B$8,"",IF('Calc'!$E$15=1,'财富模型'!$E$9,'财富模型'!$M$7+IF(Calc!$Y$48&lt;='财富模型'!$E$11*12,'Calc'!$W$15,'Calc'!$Y$15)-(IF('Calc'!$E$15=1,0,MIN(Calc!$AA$47*(1+'财富模型'!$E$20/12)+'Calc'!$B$6,IF(Calc!$Y$48&lt;='财富模型'!$E$11*12,'Calc'!$W$15,'Calc'!$Y$15))))))</x:f>
      </x:c>
      <x:c r="AC48" t="e">
        <x:f>IF(Calc!$Y$48&gt;'Calc'!$B$8,"",IF('Calc'!$E$15=1,0,MIN(Calc!$AA$47*(1+'财富模型'!$E$20/12)+'Calc'!$B$6,IF(Calc!$Y$48&lt;='财富模型'!$E$11*12,'Calc'!$W$15,'Calc'!$Y$15))))</x:f>
      </x:c>
      <x:c r="AD48" t="e">
        <x:f>IF(Calc!$Y$48&gt;'Calc'!$B$8,"",'Calc'!$B$5-'财富模型'!$E$5-(IF('Calc'!$E$15=1,'财富模型'!$E$9,'财富模型'!$M$7+IF(Calc!$Y$48&lt;='财富模型'!$E$11*12,'Calc'!$W$15,'Calc'!$Y$15)-(IF('Calc'!$E$15=1,0,MIN(Calc!$AA$47*(1+'财富模型'!$E$20/12)+'Calc'!$B$6,IF(Calc!$Y$48&lt;='财富模型'!$E$11*12,'Calc'!$W$15,'Calc'!$Y$15)))))))</x:f>
      </x:c>
      <x:c r="AE48" t="e">
        <x:f>IF(Calc!$Y$48&gt;'Calc'!$B$8,"",IF('Calc'!$E$15=1,0,MAX(Calc!$AE$47*(1+IF(Calc!$Y$48&lt;='财富模型'!$E$11*12,'财富模型'!$E$10,'财富模型'!$E$12)/12)-IF('Calc'!$E$15=1,0,IF(Calc!$Y$48&lt;='财富模型'!$E$11*12,'Calc'!$W$15,'Calc'!$Y$15)),0)))</x:f>
      </x:c>
      <x:c r="AG48" t="n">
        <x:v>27</x:v>
      </x:c>
      <x:c r="AH48" t="e">
        <x:f>IF(Calc!$AG$48&gt;'Calc'!$B$8,"",MAX(Calc!$AH$47*(1+'财富模型'!$E$6/12)+('Calc'!$B$5-'财富模型'!$E$5-(IF('Calc'!$E$16=1,'财富模型'!$E$9,'财富模型'!$M$8+IF(Calc!$AG$48&lt;='财富模型'!$E$11*12,'Calc'!$W$16,'Calc'!$Y$16)-(IF('Calc'!$E$16=1,0,MIN(Calc!$AI$47*(1+'财富模型'!$E$20/12)+'Calc'!$B$6,IF(Calc!$AG$48&lt;='财富模型'!$E$11*12,'Calc'!$W$16,'Calc'!$Y$16))))))),0))</x:f>
      </x:c>
      <x:c r="AI48" t="e">
        <x:f>IF(Calc!$AG$48&gt;'Calc'!$B$8,"",MAX(Calc!$AI$47*(1+'财富模型'!$E$20/12)+'Calc'!$B$6-(IF('Calc'!$E$16=1,0,MIN(Calc!$AI$47*(1+'财富模型'!$E$20/12)+'Calc'!$B$6,IF(Calc!$AG$48&lt;='财富模型'!$E$11*12,'Calc'!$W$16,'Calc'!$Y$16)))),0))</x:f>
      </x:c>
      <x:c r="AJ48" t="e">
        <x:f>IF(Calc!$AG$48&gt;'Calc'!$B$8,"",IF('Calc'!$E$16=1,'财富模型'!$E$9,'财富模型'!$M$8+IF(Calc!$AG$48&lt;='财富模型'!$E$11*12,'Calc'!$W$16,'Calc'!$Y$16)-(IF('Calc'!$E$16=1,0,MIN(Calc!$AI$47*(1+'财富模型'!$E$20/12)+'Calc'!$B$6,IF(Calc!$AG$48&lt;='财富模型'!$E$11*12,'Calc'!$W$16,'Calc'!$Y$16))))))</x:f>
      </x:c>
      <x:c r="AK48" t="e">
        <x:f>IF(Calc!$AG$48&gt;'Calc'!$B$8,"",IF('Calc'!$E$16=1,0,MIN(Calc!$AI$47*(1+'财富模型'!$E$20/12)+'Calc'!$B$6,IF(Calc!$AG$48&lt;='财富模型'!$E$11*12,'Calc'!$W$16,'Calc'!$Y$16))))</x:f>
      </x:c>
      <x:c r="AL48" t="e">
        <x:f>IF(Calc!$AG$48&gt;'Calc'!$B$8,"",'Calc'!$B$5-'财富模型'!$E$5-(IF('Calc'!$E$16=1,'财富模型'!$E$9,'财富模型'!$M$8+IF(Calc!$AG$48&lt;='财富模型'!$E$11*12,'Calc'!$W$16,'Calc'!$Y$16)-(IF('Calc'!$E$16=1,0,MIN(Calc!$AI$47*(1+'财富模型'!$E$20/12)+'Calc'!$B$6,IF(Calc!$AG$48&lt;='财富模型'!$E$11*12,'Calc'!$W$16,'Calc'!$Y$16)))))))</x:f>
      </x:c>
      <x:c r="AM48" t="e">
        <x:f>IF(Calc!$AG$48&gt;'Calc'!$B$8,"",IF('Calc'!$E$16=1,0,MAX(Calc!$AM$47*(1+IF(Calc!$AG$48&lt;='财富模型'!$E$11*12,'财富模型'!$E$10,'财富模型'!$E$12)/12)-IF('Calc'!$E$16=1,0,IF(Calc!$AG$48&lt;='财富模型'!$E$11*12,'Calc'!$W$16,'Calc'!$Y$16)),0)))</x:f>
      </x:c>
      <x:c r="AO48" t="n">
        <x:v>27</x:v>
      </x:c>
      <x:c r="AP48" t="n">
        <x:f>IF(Calc!$AO$48&gt;'Calc'!$B$8,"",MAX(Calc!$AP$47*(1+'财富模型'!$E$6/12)+('Calc'!$B$5-'财富模型'!$E$5-(IF('Calc'!$E$17=1,'财富模型'!$E$9,'财富模型'!$M$9+IF(Calc!$AO$48&lt;='财富模型'!$E$11*12,'Calc'!$W$17,'Calc'!$Y$17)-(IF('Calc'!$E$17=1,0,MIN(Calc!$AQ$47*(1+'财富模型'!$E$20/12)+'Calc'!$B$6,IF(Calc!$AO$48&lt;='财富模型'!$E$11*12,'Calc'!$W$17,'Calc'!$Y$17))))))),0))</x:f>
        <x:v>1044845.0229180304</x:v>
      </x:c>
      <x:c r="AQ48" t="n">
        <x:f>IF(Calc!$AO$48&gt;'Calc'!$B$8,"",MAX(Calc!$AQ$47*(1+'财富模型'!$E$20/12)+'Calc'!$B$6-(IF('Calc'!$E$17=1,0,MIN(Calc!$AQ$47*(1+'财富模型'!$E$20/12)+'Calc'!$B$6,IF(Calc!$AO$48&lt;='财富模型'!$E$11*12,'Calc'!$W$17,'Calc'!$Y$17)))),0))</x:f>
        <x:v>79008.276541252</x:v>
      </x:c>
      <x:c r="AR48" t="n">
        <x:f>IF(Calc!$AO$48&gt;'Calc'!$B$8,"",IF('Calc'!$E$17=1,'财富模型'!$E$9,'财富模型'!$M$9+IF(Calc!$AO$48&lt;='财富模型'!$E$11*12,'Calc'!$W$17,'Calc'!$Y$17)-(IF('Calc'!$E$17=1,0,MIN(Calc!$AQ$47*(1+'财富模型'!$E$20/12)+'Calc'!$B$6,IF(Calc!$AO$48&lt;='财富模型'!$E$11*12,'Calc'!$W$17,'Calc'!$Y$17))))))</x:f>
        <x:v>4000</x:v>
      </x:c>
      <x:c r="AS48" t="n">
        <x:f>IF(Calc!$AO$48&gt;'Calc'!$B$8,"",IF('Calc'!$E$17=1,0,MIN(Calc!$AQ$47*(1+'财富模型'!$E$20/12)+'Calc'!$B$6,IF(Calc!$AO$48&lt;='财富模型'!$E$11*12,'Calc'!$W$17,'Calc'!$Y$17))))</x:f>
        <x:v>0</x:v>
      </x:c>
      <x:c r="AT48" t="n">
        <x:f>IF(Calc!$AO$48&gt;'Calc'!$B$8,"",'Calc'!$B$5-'财富模型'!$E$5-(IF('Calc'!$E$17=1,'财富模型'!$E$9,'财富模型'!$M$9+IF(Calc!$AO$48&lt;='财富模型'!$E$11*12,'Calc'!$W$17,'Calc'!$Y$17)-(IF('Calc'!$E$17=1,0,MIN(Calc!$AQ$47*(1+'财富模型'!$E$20/12)+'Calc'!$B$6,IF(Calc!$AO$48&lt;='财富模型'!$E$11*12,'Calc'!$W$17,'Calc'!$Y$17)))))))</x:f>
        <x:v>3933.333333333332</x:v>
      </x:c>
      <x:c r="AU48" t="n">
        <x:f>IF(Calc!$AO$48&gt;'Calc'!$B$8,"",IF('Calc'!$E$17=1,0,MAX(Calc!$AU$47*(1+IF(Calc!$AO$48&lt;='财富模型'!$E$11*12,'财富模型'!$E$10,'财富模型'!$E$12)/12)-IF('Calc'!$E$17=1,0,IF(Calc!$AO$48&lt;='财富模型'!$E$11*12,'Calc'!$W$17,'Calc'!$Y$17)),0)))</x:f>
        <x:v>0</x:v>
      </x:c>
    </x:row>
    <x:row r="49">
      <x:c r="A49" t="n">
        <x:v>28</x:v>
      </x:c>
      <x:c r="B49" t="e">
        <x:f>IF(Calc!$A$49&gt;'Calc'!$B$8,"",MAX(Calc!$B$48*(1+'财富模型'!$E$6/12)+('Calc'!$B$5-'财富模型'!$E$5-(IF('Calc'!$E$12=1,'财富模型'!$E$9,'财富模型'!$M$4+IF(Calc!$A$49&lt;='财富模型'!$E$11*12,'Calc'!$W$12,'Calc'!$Y$12)-(IF('Calc'!$E$12=1,0,MIN(Calc!$C$48*(1+'财富模型'!$E$20/12)+'Calc'!$B$6,IF(Calc!$A$49&lt;='财富模型'!$E$11*12,'Calc'!$W$12,'Calc'!$Y$12))))))),0))</x:f>
      </x:c>
      <x:c r="C49" t="e">
        <x:f>IF(Calc!$A$49&gt;'Calc'!$B$8,"",MAX(Calc!$C$48*(1+'财富模型'!$E$20/12)+'Calc'!$B$6-(IF('Calc'!$E$12=1,0,MIN(Calc!$C$48*(1+'财富模型'!$E$20/12)+'Calc'!$B$6,IF(Calc!$A$49&lt;='财富模型'!$E$11*12,'Calc'!$W$12,'Calc'!$Y$12)))),0))</x:f>
      </x:c>
      <x:c r="D49" t="e">
        <x:f>IF(Calc!$A$49&gt;'Calc'!$B$8,"",IF('Calc'!$E$12=1,'财富模型'!$E$9,'财富模型'!$M$4+IF(Calc!$A$49&lt;='财富模型'!$E$11*12,'Calc'!$W$12,'Calc'!$Y$12)-(IF('Calc'!$E$12=1,0,MIN(Calc!$C$48*(1+'财富模型'!$E$20/12)+'Calc'!$B$6,IF(Calc!$A$49&lt;='财富模型'!$E$11*12,'Calc'!$W$12,'Calc'!$Y$12))))))</x:f>
      </x:c>
      <x:c r="E49" t="e">
        <x:f>IF(Calc!$A$49&gt;'Calc'!$B$8,"",IF('Calc'!$E$12=1,0,MIN(Calc!$C$48*(1+'财富模型'!$E$20/12)+'Calc'!$B$6,IF(Calc!$A$49&lt;='财富模型'!$E$11*12,'Calc'!$W$12,'Calc'!$Y$12))))</x:f>
      </x:c>
      <x:c r="F49" t="e">
        <x:f>IF(Calc!$A$49&gt;'Calc'!$B$8,"",'Calc'!$B$5-'财富模型'!$E$5-(IF('Calc'!$E$12=1,'财富模型'!$E$9,'财富模型'!$M$4+IF(Calc!$A$49&lt;='财富模型'!$E$11*12,'Calc'!$W$12,'Calc'!$Y$12)-(IF('Calc'!$E$12=1,0,MIN(Calc!$C$48*(1+'财富模型'!$E$20/12)+'Calc'!$B$6,IF(Calc!$A$49&lt;='财富模型'!$E$11*12,'Calc'!$W$12,'Calc'!$Y$12)))))))</x:f>
      </x:c>
      <x:c r="G49" t="e">
        <x:f>IF(Calc!$A$49&gt;'Calc'!$B$8,"",IF('Calc'!$E$12=1,0,MAX(Calc!$G$48*(1+IF(Calc!$A$49&lt;='财富模型'!$E$11*12,'财富模型'!$E$10,'财富模型'!$E$12)/12)-IF('Calc'!$E$12=1,0,IF(Calc!$A$49&lt;='财富模型'!$E$11*12,'Calc'!$W$12,'Calc'!$Y$12)),0)))</x:f>
      </x:c>
      <x:c r="I49" t="n">
        <x:v>28</x:v>
      </x:c>
      <x:c r="J49" t="e">
        <x:f>IF(Calc!$I$49&gt;'Calc'!$B$8,"",MAX(Calc!$J$48*(1+'财富模型'!$E$6/12)+('Calc'!$B$5-'财富模型'!$E$5-(IF('Calc'!$E$13=1,'财富模型'!$E$9,'财富模型'!$M$5+IF(Calc!$I$49&lt;='财富模型'!$E$11*12,'Calc'!$W$13,'Calc'!$Y$13)-(IF('Calc'!$E$13=1,0,MIN(Calc!$K$48*(1+'财富模型'!$E$20/12)+'Calc'!$B$6,IF(Calc!$I$49&lt;='财富模型'!$E$11*12,'Calc'!$W$13,'Calc'!$Y$13))))))),0))</x:f>
      </x:c>
      <x:c r="K49" t="e">
        <x:f>IF(Calc!$I$49&gt;'Calc'!$B$8,"",MAX(Calc!$K$48*(1+'财富模型'!$E$20/12)+'Calc'!$B$6-(IF('Calc'!$E$13=1,0,MIN(Calc!$K$48*(1+'财富模型'!$E$20/12)+'Calc'!$B$6,IF(Calc!$I$49&lt;='财富模型'!$E$11*12,'Calc'!$W$13,'Calc'!$Y$13)))),0))</x:f>
      </x:c>
      <x:c r="L49" t="e">
        <x:f>IF(Calc!$I$49&gt;'Calc'!$B$8,"",IF('Calc'!$E$13=1,'财富模型'!$E$9,'财富模型'!$M$5+IF(Calc!$I$49&lt;='财富模型'!$E$11*12,'Calc'!$W$13,'Calc'!$Y$13)-(IF('Calc'!$E$13=1,0,MIN(Calc!$K$48*(1+'财富模型'!$E$20/12)+'Calc'!$B$6,IF(Calc!$I$49&lt;='财富模型'!$E$11*12,'Calc'!$W$13,'Calc'!$Y$13))))))</x:f>
      </x:c>
      <x:c r="M49" t="e">
        <x:f>IF(Calc!$I$49&gt;'Calc'!$B$8,"",IF('Calc'!$E$13=1,0,MIN(Calc!$K$48*(1+'财富模型'!$E$20/12)+'Calc'!$B$6,IF(Calc!$I$49&lt;='财富模型'!$E$11*12,'Calc'!$W$13,'Calc'!$Y$13))))</x:f>
      </x:c>
      <x:c r="N49" t="e">
        <x:f>IF(Calc!$I$49&gt;'Calc'!$B$8,"",'Calc'!$B$5-'财富模型'!$E$5-(IF('Calc'!$E$13=1,'财富模型'!$E$9,'财富模型'!$M$5+IF(Calc!$I$49&lt;='财富模型'!$E$11*12,'Calc'!$W$13,'Calc'!$Y$13)-(IF('Calc'!$E$13=1,0,MIN(Calc!$K$48*(1+'财富模型'!$E$20/12)+'Calc'!$B$6,IF(Calc!$I$49&lt;='财富模型'!$E$11*12,'Calc'!$W$13,'Calc'!$Y$13)))))))</x:f>
      </x:c>
      <x:c r="O49" t="e">
        <x:f>IF(Calc!$I$49&gt;'Calc'!$B$8,"",IF('Calc'!$E$13=1,0,MAX(Calc!$O$48*(1+IF(Calc!$I$49&lt;='财富模型'!$E$11*12,'财富模型'!$E$10,'财富模型'!$E$12)/12)-IF('Calc'!$E$13=1,0,IF(Calc!$I$49&lt;='财富模型'!$E$11*12,'Calc'!$W$13,'Calc'!$Y$13)),0)))</x:f>
      </x:c>
      <x:c r="Q49" t="n">
        <x:v>28</x:v>
      </x:c>
      <x:c r="R49" t="e">
        <x:f>IF(Calc!$Q$49&gt;'Calc'!$B$8,"",MAX(Calc!$R$48*(1+'财富模型'!$E$6/12)+('Calc'!$B$5-'财富模型'!$E$5-(IF('Calc'!$E$14=1,'财富模型'!$E$9,'财富模型'!$M$6+IF(Calc!$Q$49&lt;='财富模型'!$E$11*12,'Calc'!$W$14,'Calc'!$Y$14)-(IF('Calc'!$E$14=1,0,MIN(Calc!$S$48*(1+'财富模型'!$E$20/12)+'Calc'!$B$6,IF(Calc!$Q$49&lt;='财富模型'!$E$11*12,'Calc'!$W$14,'Calc'!$Y$14))))))),0))</x:f>
      </x:c>
      <x:c r="S49" t="e">
        <x:f>IF(Calc!$Q$49&gt;'Calc'!$B$8,"",MAX(Calc!$S$48*(1+'财富模型'!$E$20/12)+'Calc'!$B$6-(IF('Calc'!$E$14=1,0,MIN(Calc!$S$48*(1+'财富模型'!$E$20/12)+'Calc'!$B$6,IF(Calc!$Q$49&lt;='财富模型'!$E$11*12,'Calc'!$W$14,'Calc'!$Y$14)))),0))</x:f>
      </x:c>
      <x:c r="T49" t="e">
        <x:f>IF(Calc!$Q$49&gt;'Calc'!$B$8,"",IF('Calc'!$E$14=1,'财富模型'!$E$9,'财富模型'!$M$6+IF(Calc!$Q$49&lt;='财富模型'!$E$11*12,'Calc'!$W$14,'Calc'!$Y$14)-(IF('Calc'!$E$14=1,0,MIN(Calc!$S$48*(1+'财富模型'!$E$20/12)+'Calc'!$B$6,IF(Calc!$Q$49&lt;='财富模型'!$E$11*12,'Calc'!$W$14,'Calc'!$Y$14))))))</x:f>
      </x:c>
      <x:c r="U49" t="e">
        <x:f>IF(Calc!$Q$49&gt;'Calc'!$B$8,"",IF('Calc'!$E$14=1,0,MIN(Calc!$S$48*(1+'财富模型'!$E$20/12)+'Calc'!$B$6,IF(Calc!$Q$49&lt;='财富模型'!$E$11*12,'Calc'!$W$14,'Calc'!$Y$14))))</x:f>
      </x:c>
      <x:c r="V49" t="e">
        <x:f>IF(Calc!$Q$49&gt;'Calc'!$B$8,"",'Calc'!$B$5-'财富模型'!$E$5-(IF('Calc'!$E$14=1,'财富模型'!$E$9,'财富模型'!$M$6+IF(Calc!$Q$49&lt;='财富模型'!$E$11*12,'Calc'!$W$14,'Calc'!$Y$14)-(IF('Calc'!$E$14=1,0,MIN(Calc!$S$48*(1+'财富模型'!$E$20/12)+'Calc'!$B$6,IF(Calc!$Q$49&lt;='财富模型'!$E$11*12,'Calc'!$W$14,'Calc'!$Y$14)))))))</x:f>
      </x:c>
      <x:c r="W49" t="e">
        <x:f>IF(Calc!$Q$49&gt;'Calc'!$B$8,"",IF('Calc'!$E$14=1,0,MAX(Calc!$W$48*(1+IF(Calc!$Q$49&lt;='财富模型'!$E$11*12,'财富模型'!$E$10,'财富模型'!$E$12)/12)-IF('Calc'!$E$14=1,0,IF(Calc!$Q$49&lt;='财富模型'!$E$11*12,'Calc'!$W$14,'Calc'!$Y$14)),0)))</x:f>
      </x:c>
      <x:c r="Y49" t="n">
        <x:v>28</x:v>
      </x:c>
      <x:c r="Z49" t="e">
        <x:f>IF(Calc!$Y$49&gt;'Calc'!$B$8,"",MAX(Calc!$Z$48*(1+'财富模型'!$E$6/12)+('Calc'!$B$5-'财富模型'!$E$5-(IF('Calc'!$E$15=1,'财富模型'!$E$9,'财富模型'!$M$7+IF(Calc!$Y$49&lt;='财富模型'!$E$11*12,'Calc'!$W$15,'Calc'!$Y$15)-(IF('Calc'!$E$15=1,0,MIN(Calc!$AA$48*(1+'财富模型'!$E$20/12)+'Calc'!$B$6,IF(Calc!$Y$49&lt;='财富模型'!$E$11*12,'Calc'!$W$15,'Calc'!$Y$15))))))),0))</x:f>
      </x:c>
      <x:c r="AA49" t="e">
        <x:f>IF(Calc!$Y$49&gt;'Calc'!$B$8,"",MAX(Calc!$AA$48*(1+'财富模型'!$E$20/12)+'Calc'!$B$6-(IF('Calc'!$E$15=1,0,MIN(Calc!$AA$48*(1+'财富模型'!$E$20/12)+'Calc'!$B$6,IF(Calc!$Y$49&lt;='财富模型'!$E$11*12,'Calc'!$W$15,'Calc'!$Y$15)))),0))</x:f>
      </x:c>
      <x:c r="AB49" t="e">
        <x:f>IF(Calc!$Y$49&gt;'Calc'!$B$8,"",IF('Calc'!$E$15=1,'财富模型'!$E$9,'财富模型'!$M$7+IF(Calc!$Y$49&lt;='财富模型'!$E$11*12,'Calc'!$W$15,'Calc'!$Y$15)-(IF('Calc'!$E$15=1,0,MIN(Calc!$AA$48*(1+'财富模型'!$E$20/12)+'Calc'!$B$6,IF(Calc!$Y$49&lt;='财富模型'!$E$11*12,'Calc'!$W$15,'Calc'!$Y$15))))))</x:f>
      </x:c>
      <x:c r="AC49" t="e">
        <x:f>IF(Calc!$Y$49&gt;'Calc'!$B$8,"",IF('Calc'!$E$15=1,0,MIN(Calc!$AA$48*(1+'财富模型'!$E$20/12)+'Calc'!$B$6,IF(Calc!$Y$49&lt;='财富模型'!$E$11*12,'Calc'!$W$15,'Calc'!$Y$15))))</x:f>
      </x:c>
      <x:c r="AD49" t="e">
        <x:f>IF(Calc!$Y$49&gt;'Calc'!$B$8,"",'Calc'!$B$5-'财富模型'!$E$5-(IF('Calc'!$E$15=1,'财富模型'!$E$9,'财富模型'!$M$7+IF(Calc!$Y$49&lt;='财富模型'!$E$11*12,'Calc'!$W$15,'Calc'!$Y$15)-(IF('Calc'!$E$15=1,0,MIN(Calc!$AA$48*(1+'财富模型'!$E$20/12)+'Calc'!$B$6,IF(Calc!$Y$49&lt;='财富模型'!$E$11*12,'Calc'!$W$15,'Calc'!$Y$15)))))))</x:f>
      </x:c>
      <x:c r="AE49" t="e">
        <x:f>IF(Calc!$Y$49&gt;'Calc'!$B$8,"",IF('Calc'!$E$15=1,0,MAX(Calc!$AE$48*(1+IF(Calc!$Y$49&lt;='财富模型'!$E$11*12,'财富模型'!$E$10,'财富模型'!$E$12)/12)-IF('Calc'!$E$15=1,0,IF(Calc!$Y$49&lt;='财富模型'!$E$11*12,'Calc'!$W$15,'Calc'!$Y$15)),0)))</x:f>
      </x:c>
      <x:c r="AG49" t="n">
        <x:v>28</x:v>
      </x:c>
      <x:c r="AH49" t="e">
        <x:f>IF(Calc!$AG$49&gt;'Calc'!$B$8,"",MAX(Calc!$AH$48*(1+'财富模型'!$E$6/12)+('Calc'!$B$5-'财富模型'!$E$5-(IF('Calc'!$E$16=1,'财富模型'!$E$9,'财富模型'!$M$8+IF(Calc!$AG$49&lt;='财富模型'!$E$11*12,'Calc'!$W$16,'Calc'!$Y$16)-(IF('Calc'!$E$16=1,0,MIN(Calc!$AI$48*(1+'财富模型'!$E$20/12)+'Calc'!$B$6,IF(Calc!$AG$49&lt;='财富模型'!$E$11*12,'Calc'!$W$16,'Calc'!$Y$16))))))),0))</x:f>
      </x:c>
      <x:c r="AI49" t="e">
        <x:f>IF(Calc!$AG$49&gt;'Calc'!$B$8,"",MAX(Calc!$AI$48*(1+'财富模型'!$E$20/12)+'Calc'!$B$6-(IF('Calc'!$E$16=1,0,MIN(Calc!$AI$48*(1+'财富模型'!$E$20/12)+'Calc'!$B$6,IF(Calc!$AG$49&lt;='财富模型'!$E$11*12,'Calc'!$W$16,'Calc'!$Y$16)))),0))</x:f>
      </x:c>
      <x:c r="AJ49" t="e">
        <x:f>IF(Calc!$AG$49&gt;'Calc'!$B$8,"",IF('Calc'!$E$16=1,'财富模型'!$E$9,'财富模型'!$M$8+IF(Calc!$AG$49&lt;='财富模型'!$E$11*12,'Calc'!$W$16,'Calc'!$Y$16)-(IF('Calc'!$E$16=1,0,MIN(Calc!$AI$48*(1+'财富模型'!$E$20/12)+'Calc'!$B$6,IF(Calc!$AG$49&lt;='财富模型'!$E$11*12,'Calc'!$W$16,'Calc'!$Y$16))))))</x:f>
      </x:c>
      <x:c r="AK49" t="e">
        <x:f>IF(Calc!$AG$49&gt;'Calc'!$B$8,"",IF('Calc'!$E$16=1,0,MIN(Calc!$AI$48*(1+'财富模型'!$E$20/12)+'Calc'!$B$6,IF(Calc!$AG$49&lt;='财富模型'!$E$11*12,'Calc'!$W$16,'Calc'!$Y$16))))</x:f>
      </x:c>
      <x:c r="AL49" t="e">
        <x:f>IF(Calc!$AG$49&gt;'Calc'!$B$8,"",'Calc'!$B$5-'财富模型'!$E$5-(IF('Calc'!$E$16=1,'财富模型'!$E$9,'财富模型'!$M$8+IF(Calc!$AG$49&lt;='财富模型'!$E$11*12,'Calc'!$W$16,'Calc'!$Y$16)-(IF('Calc'!$E$16=1,0,MIN(Calc!$AI$48*(1+'财富模型'!$E$20/12)+'Calc'!$B$6,IF(Calc!$AG$49&lt;='财富模型'!$E$11*12,'Calc'!$W$16,'Calc'!$Y$16)))))))</x:f>
      </x:c>
      <x:c r="AM49" t="e">
        <x:f>IF(Calc!$AG$49&gt;'Calc'!$B$8,"",IF('Calc'!$E$16=1,0,MAX(Calc!$AM$48*(1+IF(Calc!$AG$49&lt;='财富模型'!$E$11*12,'财富模型'!$E$10,'财富模型'!$E$12)/12)-IF('Calc'!$E$16=1,0,IF(Calc!$AG$49&lt;='财富模型'!$E$11*12,'Calc'!$W$16,'Calc'!$Y$16)),0)))</x:f>
      </x:c>
      <x:c r="AO49" t="n">
        <x:v>28</x:v>
      </x:c>
      <x:c r="AP49" t="n">
        <x:f>IF(Calc!$AO$49&gt;'Calc'!$B$8,"",MAX(Calc!$AP$48*(1+'财富模型'!$E$6/12)+('Calc'!$B$5-'财富模型'!$E$5-(IF('Calc'!$E$17=1,'财富模型'!$E$9,'财富模型'!$M$9+IF(Calc!$AO$49&lt;='财富模型'!$E$11*12,'Calc'!$W$17,'Calc'!$Y$17)-(IF('Calc'!$E$17=1,0,MIN(Calc!$AQ$48*(1+'财富模型'!$E$20/12)+'Calc'!$B$6,IF(Calc!$AO$49&lt;='财富模型'!$E$11*12,'Calc'!$W$17,'Calc'!$Y$17))))))),0))</x:f>
        <x:v>1054873.285551719</x:v>
      </x:c>
      <x:c r="AQ49" t="n">
        <x:f>IF(Calc!$AO$49&gt;'Calc'!$B$8,"",MAX(Calc!$AQ$48*(1+'财富模型'!$E$20/12)+'Calc'!$B$6-(IF('Calc'!$E$17=1,0,MIN(Calc!$AQ$48*(1+'财富模型'!$E$20/12)+'Calc'!$B$6,IF(Calc!$AO$49&lt;='财富模型'!$E$11*12,'Calc'!$W$17,'Calc'!$Y$17)))),0))</x:f>
        <x:v>82020.62711737961</x:v>
      </x:c>
      <x:c r="AR49" t="n">
        <x:f>IF(Calc!$AO$49&gt;'Calc'!$B$8,"",IF('Calc'!$E$17=1,'财富模型'!$E$9,'财富模型'!$M$9+IF(Calc!$AO$49&lt;='财富模型'!$E$11*12,'Calc'!$W$17,'Calc'!$Y$17)-(IF('Calc'!$E$17=1,0,MIN(Calc!$AQ$48*(1+'财富模型'!$E$20/12)+'Calc'!$B$6,IF(Calc!$AO$49&lt;='财富模型'!$E$11*12,'Calc'!$W$17,'Calc'!$Y$17))))))</x:f>
        <x:v>4000</x:v>
      </x:c>
      <x:c r="AS49" t="n">
        <x:f>IF(Calc!$AO$49&gt;'Calc'!$B$8,"",IF('Calc'!$E$17=1,0,MIN(Calc!$AQ$48*(1+'财富模型'!$E$20/12)+'Calc'!$B$6,IF(Calc!$AO$49&lt;='财富模型'!$E$11*12,'Calc'!$W$17,'Calc'!$Y$17))))</x:f>
        <x:v>0</x:v>
      </x:c>
      <x:c r="AT49" t="n">
        <x:f>IF(Calc!$AO$49&gt;'Calc'!$B$8,"",'Calc'!$B$5-'财富模型'!$E$5-(IF('Calc'!$E$17=1,'财富模型'!$E$9,'财富模型'!$M$9+IF(Calc!$AO$49&lt;='财富模型'!$E$11*12,'Calc'!$W$17,'Calc'!$Y$17)-(IF('Calc'!$E$17=1,0,MIN(Calc!$AQ$48*(1+'财富模型'!$E$20/12)+'Calc'!$B$6,IF(Calc!$AO$49&lt;='财富模型'!$E$11*12,'Calc'!$W$17,'Calc'!$Y$17)))))))</x:f>
        <x:v>3933.333333333332</x:v>
      </x:c>
      <x:c r="AU49" t="n">
        <x:f>IF(Calc!$AO$49&gt;'Calc'!$B$8,"",IF('Calc'!$E$17=1,0,MAX(Calc!$AU$48*(1+IF(Calc!$AO$49&lt;='财富模型'!$E$11*12,'财富模型'!$E$10,'财富模型'!$E$12)/12)-IF('Calc'!$E$17=1,0,IF(Calc!$AO$49&lt;='财富模型'!$E$11*12,'Calc'!$W$17,'Calc'!$Y$17)),0)))</x:f>
        <x:v>0</x:v>
      </x:c>
    </x:row>
    <x:row r="50">
      <x:c r="A50" t="n">
        <x:v>29</x:v>
      </x:c>
      <x:c r="B50" t="e">
        <x:f>IF(Calc!$A$50&gt;'Calc'!$B$8,"",MAX(Calc!$B$49*(1+'财富模型'!$E$6/12)+('Calc'!$B$5-'财富模型'!$E$5-(IF('Calc'!$E$12=1,'财富模型'!$E$9,'财富模型'!$M$4+IF(Calc!$A$50&lt;='财富模型'!$E$11*12,'Calc'!$W$12,'Calc'!$Y$12)-(IF('Calc'!$E$12=1,0,MIN(Calc!$C$49*(1+'财富模型'!$E$20/12)+'Calc'!$B$6,IF(Calc!$A$50&lt;='财富模型'!$E$11*12,'Calc'!$W$12,'Calc'!$Y$12))))))),0))</x:f>
      </x:c>
      <x:c r="C50" t="e">
        <x:f>IF(Calc!$A$50&gt;'Calc'!$B$8,"",MAX(Calc!$C$49*(1+'财富模型'!$E$20/12)+'Calc'!$B$6-(IF('Calc'!$E$12=1,0,MIN(Calc!$C$49*(1+'财富模型'!$E$20/12)+'Calc'!$B$6,IF(Calc!$A$50&lt;='财富模型'!$E$11*12,'Calc'!$W$12,'Calc'!$Y$12)))),0))</x:f>
      </x:c>
      <x:c r="D50" t="e">
        <x:f>IF(Calc!$A$50&gt;'Calc'!$B$8,"",IF('Calc'!$E$12=1,'财富模型'!$E$9,'财富模型'!$M$4+IF(Calc!$A$50&lt;='财富模型'!$E$11*12,'Calc'!$W$12,'Calc'!$Y$12)-(IF('Calc'!$E$12=1,0,MIN(Calc!$C$49*(1+'财富模型'!$E$20/12)+'Calc'!$B$6,IF(Calc!$A$50&lt;='财富模型'!$E$11*12,'Calc'!$W$12,'Calc'!$Y$12))))))</x:f>
      </x:c>
      <x:c r="E50" t="e">
        <x:f>IF(Calc!$A$50&gt;'Calc'!$B$8,"",IF('Calc'!$E$12=1,0,MIN(Calc!$C$49*(1+'财富模型'!$E$20/12)+'Calc'!$B$6,IF(Calc!$A$50&lt;='财富模型'!$E$11*12,'Calc'!$W$12,'Calc'!$Y$12))))</x:f>
      </x:c>
      <x:c r="F50" t="e">
        <x:f>IF(Calc!$A$50&gt;'Calc'!$B$8,"",'Calc'!$B$5-'财富模型'!$E$5-(IF('Calc'!$E$12=1,'财富模型'!$E$9,'财富模型'!$M$4+IF(Calc!$A$50&lt;='财富模型'!$E$11*12,'Calc'!$W$12,'Calc'!$Y$12)-(IF('Calc'!$E$12=1,0,MIN(Calc!$C$49*(1+'财富模型'!$E$20/12)+'Calc'!$B$6,IF(Calc!$A$50&lt;='财富模型'!$E$11*12,'Calc'!$W$12,'Calc'!$Y$12)))))))</x:f>
      </x:c>
      <x:c r="G50" t="e">
        <x:f>IF(Calc!$A$50&gt;'Calc'!$B$8,"",IF('Calc'!$E$12=1,0,MAX(Calc!$G$49*(1+IF(Calc!$A$50&lt;='财富模型'!$E$11*12,'财富模型'!$E$10,'财富模型'!$E$12)/12)-IF('Calc'!$E$12=1,0,IF(Calc!$A$50&lt;='财富模型'!$E$11*12,'Calc'!$W$12,'Calc'!$Y$12)),0)))</x:f>
      </x:c>
      <x:c r="I50" t="n">
        <x:v>29</x:v>
      </x:c>
      <x:c r="J50" t="e">
        <x:f>IF(Calc!$I$50&gt;'Calc'!$B$8,"",MAX(Calc!$J$49*(1+'财富模型'!$E$6/12)+('Calc'!$B$5-'财富模型'!$E$5-(IF('Calc'!$E$13=1,'财富模型'!$E$9,'财富模型'!$M$5+IF(Calc!$I$50&lt;='财富模型'!$E$11*12,'Calc'!$W$13,'Calc'!$Y$13)-(IF('Calc'!$E$13=1,0,MIN(Calc!$K$49*(1+'财富模型'!$E$20/12)+'Calc'!$B$6,IF(Calc!$I$50&lt;='财富模型'!$E$11*12,'Calc'!$W$13,'Calc'!$Y$13))))))),0))</x:f>
      </x:c>
      <x:c r="K50" t="e">
        <x:f>IF(Calc!$I$50&gt;'Calc'!$B$8,"",MAX(Calc!$K$49*(1+'财富模型'!$E$20/12)+'Calc'!$B$6-(IF('Calc'!$E$13=1,0,MIN(Calc!$K$49*(1+'财富模型'!$E$20/12)+'Calc'!$B$6,IF(Calc!$I$50&lt;='财富模型'!$E$11*12,'Calc'!$W$13,'Calc'!$Y$13)))),0))</x:f>
      </x:c>
      <x:c r="L50" t="e">
        <x:f>IF(Calc!$I$50&gt;'Calc'!$B$8,"",IF('Calc'!$E$13=1,'财富模型'!$E$9,'财富模型'!$M$5+IF(Calc!$I$50&lt;='财富模型'!$E$11*12,'Calc'!$W$13,'Calc'!$Y$13)-(IF('Calc'!$E$13=1,0,MIN(Calc!$K$49*(1+'财富模型'!$E$20/12)+'Calc'!$B$6,IF(Calc!$I$50&lt;='财富模型'!$E$11*12,'Calc'!$W$13,'Calc'!$Y$13))))))</x:f>
      </x:c>
      <x:c r="M50" t="e">
        <x:f>IF(Calc!$I$50&gt;'Calc'!$B$8,"",IF('Calc'!$E$13=1,0,MIN(Calc!$K$49*(1+'财富模型'!$E$20/12)+'Calc'!$B$6,IF(Calc!$I$50&lt;='财富模型'!$E$11*12,'Calc'!$W$13,'Calc'!$Y$13))))</x:f>
      </x:c>
      <x:c r="N50" t="e">
        <x:f>IF(Calc!$I$50&gt;'Calc'!$B$8,"",'Calc'!$B$5-'财富模型'!$E$5-(IF('Calc'!$E$13=1,'财富模型'!$E$9,'财富模型'!$M$5+IF(Calc!$I$50&lt;='财富模型'!$E$11*12,'Calc'!$W$13,'Calc'!$Y$13)-(IF('Calc'!$E$13=1,0,MIN(Calc!$K$49*(1+'财富模型'!$E$20/12)+'Calc'!$B$6,IF(Calc!$I$50&lt;='财富模型'!$E$11*12,'Calc'!$W$13,'Calc'!$Y$13)))))))</x:f>
      </x:c>
      <x:c r="O50" t="e">
        <x:f>IF(Calc!$I$50&gt;'Calc'!$B$8,"",IF('Calc'!$E$13=1,0,MAX(Calc!$O$49*(1+IF(Calc!$I$50&lt;='财富模型'!$E$11*12,'财富模型'!$E$10,'财富模型'!$E$12)/12)-IF('Calc'!$E$13=1,0,IF(Calc!$I$50&lt;='财富模型'!$E$11*12,'Calc'!$W$13,'Calc'!$Y$13)),0)))</x:f>
      </x:c>
      <x:c r="Q50" t="n">
        <x:v>29</x:v>
      </x:c>
      <x:c r="R50" t="e">
        <x:f>IF(Calc!$Q$50&gt;'Calc'!$B$8,"",MAX(Calc!$R$49*(1+'财富模型'!$E$6/12)+('Calc'!$B$5-'财富模型'!$E$5-(IF('Calc'!$E$14=1,'财富模型'!$E$9,'财富模型'!$M$6+IF(Calc!$Q$50&lt;='财富模型'!$E$11*12,'Calc'!$W$14,'Calc'!$Y$14)-(IF('Calc'!$E$14=1,0,MIN(Calc!$S$49*(1+'财富模型'!$E$20/12)+'Calc'!$B$6,IF(Calc!$Q$50&lt;='财富模型'!$E$11*12,'Calc'!$W$14,'Calc'!$Y$14))))))),0))</x:f>
      </x:c>
      <x:c r="S50" t="e">
        <x:f>IF(Calc!$Q$50&gt;'Calc'!$B$8,"",MAX(Calc!$S$49*(1+'财富模型'!$E$20/12)+'Calc'!$B$6-(IF('Calc'!$E$14=1,0,MIN(Calc!$S$49*(1+'财富模型'!$E$20/12)+'Calc'!$B$6,IF(Calc!$Q$50&lt;='财富模型'!$E$11*12,'Calc'!$W$14,'Calc'!$Y$14)))),0))</x:f>
      </x:c>
      <x:c r="T50" t="e">
        <x:f>IF(Calc!$Q$50&gt;'Calc'!$B$8,"",IF('Calc'!$E$14=1,'财富模型'!$E$9,'财富模型'!$M$6+IF(Calc!$Q$50&lt;='财富模型'!$E$11*12,'Calc'!$W$14,'Calc'!$Y$14)-(IF('Calc'!$E$14=1,0,MIN(Calc!$S$49*(1+'财富模型'!$E$20/12)+'Calc'!$B$6,IF(Calc!$Q$50&lt;='财富模型'!$E$11*12,'Calc'!$W$14,'Calc'!$Y$14))))))</x:f>
      </x:c>
      <x:c r="U50" t="e">
        <x:f>IF(Calc!$Q$50&gt;'Calc'!$B$8,"",IF('Calc'!$E$14=1,0,MIN(Calc!$S$49*(1+'财富模型'!$E$20/12)+'Calc'!$B$6,IF(Calc!$Q$50&lt;='财富模型'!$E$11*12,'Calc'!$W$14,'Calc'!$Y$14))))</x:f>
      </x:c>
      <x:c r="V50" t="e">
        <x:f>IF(Calc!$Q$50&gt;'Calc'!$B$8,"",'Calc'!$B$5-'财富模型'!$E$5-(IF('Calc'!$E$14=1,'财富模型'!$E$9,'财富模型'!$M$6+IF(Calc!$Q$50&lt;='财富模型'!$E$11*12,'Calc'!$W$14,'Calc'!$Y$14)-(IF('Calc'!$E$14=1,0,MIN(Calc!$S$49*(1+'财富模型'!$E$20/12)+'Calc'!$B$6,IF(Calc!$Q$50&lt;='财富模型'!$E$11*12,'Calc'!$W$14,'Calc'!$Y$14)))))))</x:f>
      </x:c>
      <x:c r="W50" t="e">
        <x:f>IF(Calc!$Q$50&gt;'Calc'!$B$8,"",IF('Calc'!$E$14=1,0,MAX(Calc!$W$49*(1+IF(Calc!$Q$50&lt;='财富模型'!$E$11*12,'财富模型'!$E$10,'财富模型'!$E$12)/12)-IF('Calc'!$E$14=1,0,IF(Calc!$Q$50&lt;='财富模型'!$E$11*12,'Calc'!$W$14,'Calc'!$Y$14)),0)))</x:f>
      </x:c>
      <x:c r="Y50" t="n">
        <x:v>29</x:v>
      </x:c>
      <x:c r="Z50" t="e">
        <x:f>IF(Calc!$Y$50&gt;'Calc'!$B$8,"",MAX(Calc!$Z$49*(1+'财富模型'!$E$6/12)+('Calc'!$B$5-'财富模型'!$E$5-(IF('Calc'!$E$15=1,'财富模型'!$E$9,'财富模型'!$M$7+IF(Calc!$Y$50&lt;='财富模型'!$E$11*12,'Calc'!$W$15,'Calc'!$Y$15)-(IF('Calc'!$E$15=1,0,MIN(Calc!$AA$49*(1+'财富模型'!$E$20/12)+'Calc'!$B$6,IF(Calc!$Y$50&lt;='财富模型'!$E$11*12,'Calc'!$W$15,'Calc'!$Y$15))))))),0))</x:f>
      </x:c>
      <x:c r="AA50" t="e">
        <x:f>IF(Calc!$Y$50&gt;'Calc'!$B$8,"",MAX(Calc!$AA$49*(1+'财富模型'!$E$20/12)+'Calc'!$B$6-(IF('Calc'!$E$15=1,0,MIN(Calc!$AA$49*(1+'财富模型'!$E$20/12)+'Calc'!$B$6,IF(Calc!$Y$50&lt;='财富模型'!$E$11*12,'Calc'!$W$15,'Calc'!$Y$15)))),0))</x:f>
      </x:c>
      <x:c r="AB50" t="e">
        <x:f>IF(Calc!$Y$50&gt;'Calc'!$B$8,"",IF('Calc'!$E$15=1,'财富模型'!$E$9,'财富模型'!$M$7+IF(Calc!$Y$50&lt;='财富模型'!$E$11*12,'Calc'!$W$15,'Calc'!$Y$15)-(IF('Calc'!$E$15=1,0,MIN(Calc!$AA$49*(1+'财富模型'!$E$20/12)+'Calc'!$B$6,IF(Calc!$Y$50&lt;='财富模型'!$E$11*12,'Calc'!$W$15,'Calc'!$Y$15))))))</x:f>
      </x:c>
      <x:c r="AC50" t="e">
        <x:f>IF(Calc!$Y$50&gt;'Calc'!$B$8,"",IF('Calc'!$E$15=1,0,MIN(Calc!$AA$49*(1+'财富模型'!$E$20/12)+'Calc'!$B$6,IF(Calc!$Y$50&lt;='财富模型'!$E$11*12,'Calc'!$W$15,'Calc'!$Y$15))))</x:f>
      </x:c>
      <x:c r="AD50" t="e">
        <x:f>IF(Calc!$Y$50&gt;'Calc'!$B$8,"",'Calc'!$B$5-'财富模型'!$E$5-(IF('Calc'!$E$15=1,'财富模型'!$E$9,'财富模型'!$M$7+IF(Calc!$Y$50&lt;='财富模型'!$E$11*12,'Calc'!$W$15,'Calc'!$Y$15)-(IF('Calc'!$E$15=1,0,MIN(Calc!$AA$49*(1+'财富模型'!$E$20/12)+'Calc'!$B$6,IF(Calc!$Y$50&lt;='财富模型'!$E$11*12,'Calc'!$W$15,'Calc'!$Y$15)))))))</x:f>
      </x:c>
      <x:c r="AE50" t="e">
        <x:f>IF(Calc!$Y$50&gt;'Calc'!$B$8,"",IF('Calc'!$E$15=1,0,MAX(Calc!$AE$49*(1+IF(Calc!$Y$50&lt;='财富模型'!$E$11*12,'财富模型'!$E$10,'财富模型'!$E$12)/12)-IF('Calc'!$E$15=1,0,IF(Calc!$Y$50&lt;='财富模型'!$E$11*12,'Calc'!$W$15,'Calc'!$Y$15)),0)))</x:f>
      </x:c>
      <x:c r="AG50" t="n">
        <x:v>29</x:v>
      </x:c>
      <x:c r="AH50" t="e">
        <x:f>IF(Calc!$AG$50&gt;'Calc'!$B$8,"",MAX(Calc!$AH$49*(1+'财富模型'!$E$6/12)+('Calc'!$B$5-'财富模型'!$E$5-(IF('Calc'!$E$16=1,'财富模型'!$E$9,'财富模型'!$M$8+IF(Calc!$AG$50&lt;='财富模型'!$E$11*12,'Calc'!$W$16,'Calc'!$Y$16)-(IF('Calc'!$E$16=1,0,MIN(Calc!$AI$49*(1+'财富模型'!$E$20/12)+'Calc'!$B$6,IF(Calc!$AG$50&lt;='财富模型'!$E$11*12,'Calc'!$W$16,'Calc'!$Y$16))))))),0))</x:f>
      </x:c>
      <x:c r="AI50" t="e">
        <x:f>IF(Calc!$AG$50&gt;'Calc'!$B$8,"",MAX(Calc!$AI$49*(1+'财富模型'!$E$20/12)+'Calc'!$B$6-(IF('Calc'!$E$16=1,0,MIN(Calc!$AI$49*(1+'财富模型'!$E$20/12)+'Calc'!$B$6,IF(Calc!$AG$50&lt;='财富模型'!$E$11*12,'Calc'!$W$16,'Calc'!$Y$16)))),0))</x:f>
      </x:c>
      <x:c r="AJ50" t="e">
        <x:f>IF(Calc!$AG$50&gt;'Calc'!$B$8,"",IF('Calc'!$E$16=1,'财富模型'!$E$9,'财富模型'!$M$8+IF(Calc!$AG$50&lt;='财富模型'!$E$11*12,'Calc'!$W$16,'Calc'!$Y$16)-(IF('Calc'!$E$16=1,0,MIN(Calc!$AI$49*(1+'财富模型'!$E$20/12)+'Calc'!$B$6,IF(Calc!$AG$50&lt;='财富模型'!$E$11*12,'Calc'!$W$16,'Calc'!$Y$16))))))</x:f>
      </x:c>
      <x:c r="AK50" t="e">
        <x:f>IF(Calc!$AG$50&gt;'Calc'!$B$8,"",IF('Calc'!$E$16=1,0,MIN(Calc!$AI$49*(1+'财富模型'!$E$20/12)+'Calc'!$B$6,IF(Calc!$AG$50&lt;='财富模型'!$E$11*12,'Calc'!$W$16,'Calc'!$Y$16))))</x:f>
      </x:c>
      <x:c r="AL50" t="e">
        <x:f>IF(Calc!$AG$50&gt;'Calc'!$B$8,"",'Calc'!$B$5-'财富模型'!$E$5-(IF('Calc'!$E$16=1,'财富模型'!$E$9,'财富模型'!$M$8+IF(Calc!$AG$50&lt;='财富模型'!$E$11*12,'Calc'!$W$16,'Calc'!$Y$16)-(IF('Calc'!$E$16=1,0,MIN(Calc!$AI$49*(1+'财富模型'!$E$20/12)+'Calc'!$B$6,IF(Calc!$AG$50&lt;='财富模型'!$E$11*12,'Calc'!$W$16,'Calc'!$Y$16)))))))</x:f>
      </x:c>
      <x:c r="AM50" t="e">
        <x:f>IF(Calc!$AG$50&gt;'Calc'!$B$8,"",IF('Calc'!$E$16=1,0,MAX(Calc!$AM$49*(1+IF(Calc!$AG$50&lt;='财富模型'!$E$11*12,'财富模型'!$E$10,'财富模型'!$E$12)/12)-IF('Calc'!$E$16=1,0,IF(Calc!$AG$50&lt;='财富模型'!$E$11*12,'Calc'!$W$16,'Calc'!$Y$16)),0)))</x:f>
      </x:c>
      <x:c r="AO50" t="n">
        <x:v>29</x:v>
      </x:c>
      <x:c r="AP50" t="n">
        <x:f>IF(Calc!$AO$50&gt;'Calc'!$B$8,"",MAX(Calc!$AP$49*(1+'财富模型'!$E$6/12)+('Calc'!$B$5-'财富模型'!$E$5-(IF('Calc'!$E$17=1,'财富模型'!$E$9,'财富模型'!$M$9+IF(Calc!$AO$50&lt;='财富模型'!$E$11*12,'Calc'!$W$17,'Calc'!$Y$17)-(IF('Calc'!$E$17=1,0,MIN(Calc!$AQ$49*(1+'财富模型'!$E$20/12)+'Calc'!$B$6,IF(Calc!$AO$50&lt;='财富模型'!$E$11*12,'Calc'!$W$17,'Calc'!$Y$17))))))),0))</x:f>
        <x:v>1064960.0463841038</x:v>
      </x:c>
      <x:c r="AQ50" t="n">
        <x:f>IF(Calc!$AO$50&gt;'Calc'!$B$8,"",MAX(Calc!$AQ$49*(1+'财富模型'!$E$20/12)+'Calc'!$B$6-(IF('Calc'!$E$17=1,0,MIN(Calc!$AQ$49*(1+'财富模型'!$E$20/12)+'Calc'!$B$6,IF(Calc!$AO$50&lt;='财富模型'!$E$11*12,'Calc'!$W$17,'Calc'!$Y$17)))),0))</x:f>
        <x:v>85039.25342387416</x:v>
      </x:c>
      <x:c r="AR50" t="n">
        <x:f>IF(Calc!$AO$50&gt;'Calc'!$B$8,"",IF('Calc'!$E$17=1,'财富模型'!$E$9,'财富模型'!$M$9+IF(Calc!$AO$50&lt;='财富模型'!$E$11*12,'Calc'!$W$17,'Calc'!$Y$17)-(IF('Calc'!$E$17=1,0,MIN(Calc!$AQ$49*(1+'财富模型'!$E$20/12)+'Calc'!$B$6,IF(Calc!$AO$50&lt;='财富模型'!$E$11*12,'Calc'!$W$17,'Calc'!$Y$17))))))</x:f>
        <x:v>4000</x:v>
      </x:c>
      <x:c r="AS50" t="n">
        <x:f>IF(Calc!$AO$50&gt;'Calc'!$B$8,"",IF('Calc'!$E$17=1,0,MIN(Calc!$AQ$49*(1+'财富模型'!$E$20/12)+'Calc'!$B$6,IF(Calc!$AO$50&lt;='财富模型'!$E$11*12,'Calc'!$W$17,'Calc'!$Y$17))))</x:f>
        <x:v>0</x:v>
      </x:c>
      <x:c r="AT50" t="n">
        <x:f>IF(Calc!$AO$50&gt;'Calc'!$B$8,"",'Calc'!$B$5-'财富模型'!$E$5-(IF('Calc'!$E$17=1,'财富模型'!$E$9,'财富模型'!$M$9+IF(Calc!$AO$50&lt;='财富模型'!$E$11*12,'Calc'!$W$17,'Calc'!$Y$17)-(IF('Calc'!$E$17=1,0,MIN(Calc!$AQ$49*(1+'财富模型'!$E$20/12)+'Calc'!$B$6,IF(Calc!$AO$50&lt;='财富模型'!$E$11*12,'Calc'!$W$17,'Calc'!$Y$17)))))))</x:f>
        <x:v>3933.333333333332</x:v>
      </x:c>
      <x:c r="AU50" t="n">
        <x:f>IF(Calc!$AO$50&gt;'Calc'!$B$8,"",IF('Calc'!$E$17=1,0,MAX(Calc!$AU$49*(1+IF(Calc!$AO$50&lt;='财富模型'!$E$11*12,'财富模型'!$E$10,'财富模型'!$E$12)/12)-IF('Calc'!$E$17=1,0,IF(Calc!$AO$50&lt;='财富模型'!$E$11*12,'Calc'!$W$17,'Calc'!$Y$17)),0)))</x:f>
        <x:v>0</x:v>
      </x:c>
    </x:row>
    <x:row r="51">
      <x:c r="A51" t="n">
        <x:v>30</x:v>
      </x:c>
      <x:c r="B51" t="e">
        <x:f>IF(Calc!$A$51&gt;'Calc'!$B$8,"",MAX(Calc!$B$50*(1+'财富模型'!$E$6/12)+('Calc'!$B$5-'财富模型'!$E$5-(IF('Calc'!$E$12=1,'财富模型'!$E$9,'财富模型'!$M$4+IF(Calc!$A$51&lt;='财富模型'!$E$11*12,'Calc'!$W$12,'Calc'!$Y$12)-(IF('Calc'!$E$12=1,0,MIN(Calc!$C$50*(1+'财富模型'!$E$20/12)+'Calc'!$B$6,IF(Calc!$A$51&lt;='财富模型'!$E$11*12,'Calc'!$W$12,'Calc'!$Y$12))))))),0))</x:f>
      </x:c>
      <x:c r="C51" t="e">
        <x:f>IF(Calc!$A$51&gt;'Calc'!$B$8,"",MAX(Calc!$C$50*(1+'财富模型'!$E$20/12)+'Calc'!$B$6-(IF('Calc'!$E$12=1,0,MIN(Calc!$C$50*(1+'财富模型'!$E$20/12)+'Calc'!$B$6,IF(Calc!$A$51&lt;='财富模型'!$E$11*12,'Calc'!$W$12,'Calc'!$Y$12)))),0))</x:f>
      </x:c>
      <x:c r="D51" t="e">
        <x:f>IF(Calc!$A$51&gt;'Calc'!$B$8,"",IF('Calc'!$E$12=1,'财富模型'!$E$9,'财富模型'!$M$4+IF(Calc!$A$51&lt;='财富模型'!$E$11*12,'Calc'!$W$12,'Calc'!$Y$12)-(IF('Calc'!$E$12=1,0,MIN(Calc!$C$50*(1+'财富模型'!$E$20/12)+'Calc'!$B$6,IF(Calc!$A$51&lt;='财富模型'!$E$11*12,'Calc'!$W$12,'Calc'!$Y$12))))))</x:f>
      </x:c>
      <x:c r="E51" t="e">
        <x:f>IF(Calc!$A$51&gt;'Calc'!$B$8,"",IF('Calc'!$E$12=1,0,MIN(Calc!$C$50*(1+'财富模型'!$E$20/12)+'Calc'!$B$6,IF(Calc!$A$51&lt;='财富模型'!$E$11*12,'Calc'!$W$12,'Calc'!$Y$12))))</x:f>
      </x:c>
      <x:c r="F51" t="e">
        <x:f>IF(Calc!$A$51&gt;'Calc'!$B$8,"",'Calc'!$B$5-'财富模型'!$E$5-(IF('Calc'!$E$12=1,'财富模型'!$E$9,'财富模型'!$M$4+IF(Calc!$A$51&lt;='财富模型'!$E$11*12,'Calc'!$W$12,'Calc'!$Y$12)-(IF('Calc'!$E$12=1,0,MIN(Calc!$C$50*(1+'财富模型'!$E$20/12)+'Calc'!$B$6,IF(Calc!$A$51&lt;='财富模型'!$E$11*12,'Calc'!$W$12,'Calc'!$Y$12)))))))</x:f>
      </x:c>
      <x:c r="G51" t="e">
        <x:f>IF(Calc!$A$51&gt;'Calc'!$B$8,"",IF('Calc'!$E$12=1,0,MAX(Calc!$G$50*(1+IF(Calc!$A$51&lt;='财富模型'!$E$11*12,'财富模型'!$E$10,'财富模型'!$E$12)/12)-IF('Calc'!$E$12=1,0,IF(Calc!$A$51&lt;='财富模型'!$E$11*12,'Calc'!$W$12,'Calc'!$Y$12)),0)))</x:f>
      </x:c>
      <x:c r="I51" t="n">
        <x:v>30</x:v>
      </x:c>
      <x:c r="J51" t="e">
        <x:f>IF(Calc!$I$51&gt;'Calc'!$B$8,"",MAX(Calc!$J$50*(1+'财富模型'!$E$6/12)+('Calc'!$B$5-'财富模型'!$E$5-(IF('Calc'!$E$13=1,'财富模型'!$E$9,'财富模型'!$M$5+IF(Calc!$I$51&lt;='财富模型'!$E$11*12,'Calc'!$W$13,'Calc'!$Y$13)-(IF('Calc'!$E$13=1,0,MIN(Calc!$K$50*(1+'财富模型'!$E$20/12)+'Calc'!$B$6,IF(Calc!$I$51&lt;='财富模型'!$E$11*12,'Calc'!$W$13,'Calc'!$Y$13))))))),0))</x:f>
      </x:c>
      <x:c r="K51" t="e">
        <x:f>IF(Calc!$I$51&gt;'Calc'!$B$8,"",MAX(Calc!$K$50*(1+'财富模型'!$E$20/12)+'Calc'!$B$6-(IF('Calc'!$E$13=1,0,MIN(Calc!$K$50*(1+'财富模型'!$E$20/12)+'Calc'!$B$6,IF(Calc!$I$51&lt;='财富模型'!$E$11*12,'Calc'!$W$13,'Calc'!$Y$13)))),0))</x:f>
      </x:c>
      <x:c r="L51" t="e">
        <x:f>IF(Calc!$I$51&gt;'Calc'!$B$8,"",IF('Calc'!$E$13=1,'财富模型'!$E$9,'财富模型'!$M$5+IF(Calc!$I$51&lt;='财富模型'!$E$11*12,'Calc'!$W$13,'Calc'!$Y$13)-(IF('Calc'!$E$13=1,0,MIN(Calc!$K$50*(1+'财富模型'!$E$20/12)+'Calc'!$B$6,IF(Calc!$I$51&lt;='财富模型'!$E$11*12,'Calc'!$W$13,'Calc'!$Y$13))))))</x:f>
      </x:c>
      <x:c r="M51" t="e">
        <x:f>IF(Calc!$I$51&gt;'Calc'!$B$8,"",IF('Calc'!$E$13=1,0,MIN(Calc!$K$50*(1+'财富模型'!$E$20/12)+'Calc'!$B$6,IF(Calc!$I$51&lt;='财富模型'!$E$11*12,'Calc'!$W$13,'Calc'!$Y$13))))</x:f>
      </x:c>
      <x:c r="N51" t="e">
        <x:f>IF(Calc!$I$51&gt;'Calc'!$B$8,"",'Calc'!$B$5-'财富模型'!$E$5-(IF('Calc'!$E$13=1,'财富模型'!$E$9,'财富模型'!$M$5+IF(Calc!$I$51&lt;='财富模型'!$E$11*12,'Calc'!$W$13,'Calc'!$Y$13)-(IF('Calc'!$E$13=1,0,MIN(Calc!$K$50*(1+'财富模型'!$E$20/12)+'Calc'!$B$6,IF(Calc!$I$51&lt;='财富模型'!$E$11*12,'Calc'!$W$13,'Calc'!$Y$13)))))))</x:f>
      </x:c>
      <x:c r="O51" t="e">
        <x:f>IF(Calc!$I$51&gt;'Calc'!$B$8,"",IF('Calc'!$E$13=1,0,MAX(Calc!$O$50*(1+IF(Calc!$I$51&lt;='财富模型'!$E$11*12,'财富模型'!$E$10,'财富模型'!$E$12)/12)-IF('Calc'!$E$13=1,0,IF(Calc!$I$51&lt;='财富模型'!$E$11*12,'Calc'!$W$13,'Calc'!$Y$13)),0)))</x:f>
      </x:c>
      <x:c r="Q51" t="n">
        <x:v>30</x:v>
      </x:c>
      <x:c r="R51" t="e">
        <x:f>IF(Calc!$Q$51&gt;'Calc'!$B$8,"",MAX(Calc!$R$50*(1+'财富模型'!$E$6/12)+('Calc'!$B$5-'财富模型'!$E$5-(IF('Calc'!$E$14=1,'财富模型'!$E$9,'财富模型'!$M$6+IF(Calc!$Q$51&lt;='财富模型'!$E$11*12,'Calc'!$W$14,'Calc'!$Y$14)-(IF('Calc'!$E$14=1,0,MIN(Calc!$S$50*(1+'财富模型'!$E$20/12)+'Calc'!$B$6,IF(Calc!$Q$51&lt;='财富模型'!$E$11*12,'Calc'!$W$14,'Calc'!$Y$14))))))),0))</x:f>
      </x:c>
      <x:c r="S51" t="e">
        <x:f>IF(Calc!$Q$51&gt;'Calc'!$B$8,"",MAX(Calc!$S$50*(1+'财富模型'!$E$20/12)+'Calc'!$B$6-(IF('Calc'!$E$14=1,0,MIN(Calc!$S$50*(1+'财富模型'!$E$20/12)+'Calc'!$B$6,IF(Calc!$Q$51&lt;='财富模型'!$E$11*12,'Calc'!$W$14,'Calc'!$Y$14)))),0))</x:f>
      </x:c>
      <x:c r="T51" t="e">
        <x:f>IF(Calc!$Q$51&gt;'Calc'!$B$8,"",IF('Calc'!$E$14=1,'财富模型'!$E$9,'财富模型'!$M$6+IF(Calc!$Q$51&lt;='财富模型'!$E$11*12,'Calc'!$W$14,'Calc'!$Y$14)-(IF('Calc'!$E$14=1,0,MIN(Calc!$S$50*(1+'财富模型'!$E$20/12)+'Calc'!$B$6,IF(Calc!$Q$51&lt;='财富模型'!$E$11*12,'Calc'!$W$14,'Calc'!$Y$14))))))</x:f>
      </x:c>
      <x:c r="U51" t="e">
        <x:f>IF(Calc!$Q$51&gt;'Calc'!$B$8,"",IF('Calc'!$E$14=1,0,MIN(Calc!$S$50*(1+'财富模型'!$E$20/12)+'Calc'!$B$6,IF(Calc!$Q$51&lt;='财富模型'!$E$11*12,'Calc'!$W$14,'Calc'!$Y$14))))</x:f>
      </x:c>
      <x:c r="V51" t="e">
        <x:f>IF(Calc!$Q$51&gt;'Calc'!$B$8,"",'Calc'!$B$5-'财富模型'!$E$5-(IF('Calc'!$E$14=1,'财富模型'!$E$9,'财富模型'!$M$6+IF(Calc!$Q$51&lt;='财富模型'!$E$11*12,'Calc'!$W$14,'Calc'!$Y$14)-(IF('Calc'!$E$14=1,0,MIN(Calc!$S$50*(1+'财富模型'!$E$20/12)+'Calc'!$B$6,IF(Calc!$Q$51&lt;='财富模型'!$E$11*12,'Calc'!$W$14,'Calc'!$Y$14)))))))</x:f>
      </x:c>
      <x:c r="W51" t="e">
        <x:f>IF(Calc!$Q$51&gt;'Calc'!$B$8,"",IF('Calc'!$E$14=1,0,MAX(Calc!$W$50*(1+IF(Calc!$Q$51&lt;='财富模型'!$E$11*12,'财富模型'!$E$10,'财富模型'!$E$12)/12)-IF('Calc'!$E$14=1,0,IF(Calc!$Q$51&lt;='财富模型'!$E$11*12,'Calc'!$W$14,'Calc'!$Y$14)),0)))</x:f>
      </x:c>
      <x:c r="Y51" t="n">
        <x:v>30</x:v>
      </x:c>
      <x:c r="Z51" t="e">
        <x:f>IF(Calc!$Y$51&gt;'Calc'!$B$8,"",MAX(Calc!$Z$50*(1+'财富模型'!$E$6/12)+('Calc'!$B$5-'财富模型'!$E$5-(IF('Calc'!$E$15=1,'财富模型'!$E$9,'财富模型'!$M$7+IF(Calc!$Y$51&lt;='财富模型'!$E$11*12,'Calc'!$W$15,'Calc'!$Y$15)-(IF('Calc'!$E$15=1,0,MIN(Calc!$AA$50*(1+'财富模型'!$E$20/12)+'Calc'!$B$6,IF(Calc!$Y$51&lt;='财富模型'!$E$11*12,'Calc'!$W$15,'Calc'!$Y$15))))))),0))</x:f>
      </x:c>
      <x:c r="AA51" t="e">
        <x:f>IF(Calc!$Y$51&gt;'Calc'!$B$8,"",MAX(Calc!$AA$50*(1+'财富模型'!$E$20/12)+'Calc'!$B$6-(IF('Calc'!$E$15=1,0,MIN(Calc!$AA$50*(1+'财富模型'!$E$20/12)+'Calc'!$B$6,IF(Calc!$Y$51&lt;='财富模型'!$E$11*12,'Calc'!$W$15,'Calc'!$Y$15)))),0))</x:f>
      </x:c>
      <x:c r="AB51" t="e">
        <x:f>IF(Calc!$Y$51&gt;'Calc'!$B$8,"",IF('Calc'!$E$15=1,'财富模型'!$E$9,'财富模型'!$M$7+IF(Calc!$Y$51&lt;='财富模型'!$E$11*12,'Calc'!$W$15,'Calc'!$Y$15)-(IF('Calc'!$E$15=1,0,MIN(Calc!$AA$50*(1+'财富模型'!$E$20/12)+'Calc'!$B$6,IF(Calc!$Y$51&lt;='财富模型'!$E$11*12,'Calc'!$W$15,'Calc'!$Y$15))))))</x:f>
      </x:c>
      <x:c r="AC51" t="e">
        <x:f>IF(Calc!$Y$51&gt;'Calc'!$B$8,"",IF('Calc'!$E$15=1,0,MIN(Calc!$AA$50*(1+'财富模型'!$E$20/12)+'Calc'!$B$6,IF(Calc!$Y$51&lt;='财富模型'!$E$11*12,'Calc'!$W$15,'Calc'!$Y$15))))</x:f>
      </x:c>
      <x:c r="AD51" t="e">
        <x:f>IF(Calc!$Y$51&gt;'Calc'!$B$8,"",'Calc'!$B$5-'财富模型'!$E$5-(IF('Calc'!$E$15=1,'财富模型'!$E$9,'财富模型'!$M$7+IF(Calc!$Y$51&lt;='财富模型'!$E$11*12,'Calc'!$W$15,'Calc'!$Y$15)-(IF('Calc'!$E$15=1,0,MIN(Calc!$AA$50*(1+'财富模型'!$E$20/12)+'Calc'!$B$6,IF(Calc!$Y$51&lt;='财富模型'!$E$11*12,'Calc'!$W$15,'Calc'!$Y$15)))))))</x:f>
      </x:c>
      <x:c r="AE51" t="e">
        <x:f>IF(Calc!$Y$51&gt;'Calc'!$B$8,"",IF('Calc'!$E$15=1,0,MAX(Calc!$AE$50*(1+IF(Calc!$Y$51&lt;='财富模型'!$E$11*12,'财富模型'!$E$10,'财富模型'!$E$12)/12)-IF('Calc'!$E$15=1,0,IF(Calc!$Y$51&lt;='财富模型'!$E$11*12,'Calc'!$W$15,'Calc'!$Y$15)),0)))</x:f>
      </x:c>
      <x:c r="AG51" t="n">
        <x:v>30</x:v>
      </x:c>
      <x:c r="AH51" t="e">
        <x:f>IF(Calc!$AG$51&gt;'Calc'!$B$8,"",MAX(Calc!$AH$50*(1+'财富模型'!$E$6/12)+('Calc'!$B$5-'财富模型'!$E$5-(IF('Calc'!$E$16=1,'财富模型'!$E$9,'财富模型'!$M$8+IF(Calc!$AG$51&lt;='财富模型'!$E$11*12,'Calc'!$W$16,'Calc'!$Y$16)-(IF('Calc'!$E$16=1,0,MIN(Calc!$AI$50*(1+'财富模型'!$E$20/12)+'Calc'!$B$6,IF(Calc!$AG$51&lt;='财富模型'!$E$11*12,'Calc'!$W$16,'Calc'!$Y$16))))))),0))</x:f>
      </x:c>
      <x:c r="AI51" t="e">
        <x:f>IF(Calc!$AG$51&gt;'Calc'!$B$8,"",MAX(Calc!$AI$50*(1+'财富模型'!$E$20/12)+'Calc'!$B$6-(IF('Calc'!$E$16=1,0,MIN(Calc!$AI$50*(1+'财富模型'!$E$20/12)+'Calc'!$B$6,IF(Calc!$AG$51&lt;='财富模型'!$E$11*12,'Calc'!$W$16,'Calc'!$Y$16)))),0))</x:f>
      </x:c>
      <x:c r="AJ51" t="e">
        <x:f>IF(Calc!$AG$51&gt;'Calc'!$B$8,"",IF('Calc'!$E$16=1,'财富模型'!$E$9,'财富模型'!$M$8+IF(Calc!$AG$51&lt;='财富模型'!$E$11*12,'Calc'!$W$16,'Calc'!$Y$16)-(IF('Calc'!$E$16=1,0,MIN(Calc!$AI$50*(1+'财富模型'!$E$20/12)+'Calc'!$B$6,IF(Calc!$AG$51&lt;='财富模型'!$E$11*12,'Calc'!$W$16,'Calc'!$Y$16))))))</x:f>
      </x:c>
      <x:c r="AK51" t="e">
        <x:f>IF(Calc!$AG$51&gt;'Calc'!$B$8,"",IF('Calc'!$E$16=1,0,MIN(Calc!$AI$50*(1+'财富模型'!$E$20/12)+'Calc'!$B$6,IF(Calc!$AG$51&lt;='财富模型'!$E$11*12,'Calc'!$W$16,'Calc'!$Y$16))))</x:f>
      </x:c>
      <x:c r="AL51" t="e">
        <x:f>IF(Calc!$AG$51&gt;'Calc'!$B$8,"",'Calc'!$B$5-'财富模型'!$E$5-(IF('Calc'!$E$16=1,'财富模型'!$E$9,'财富模型'!$M$8+IF(Calc!$AG$51&lt;='财富模型'!$E$11*12,'Calc'!$W$16,'Calc'!$Y$16)-(IF('Calc'!$E$16=1,0,MIN(Calc!$AI$50*(1+'财富模型'!$E$20/12)+'Calc'!$B$6,IF(Calc!$AG$51&lt;='财富模型'!$E$11*12,'Calc'!$W$16,'Calc'!$Y$16)))))))</x:f>
      </x:c>
      <x:c r="AM51" t="e">
        <x:f>IF(Calc!$AG$51&gt;'Calc'!$B$8,"",IF('Calc'!$E$16=1,0,MAX(Calc!$AM$50*(1+IF(Calc!$AG$51&lt;='财富模型'!$E$11*12,'财富模型'!$E$10,'财富模型'!$E$12)/12)-IF('Calc'!$E$16=1,0,IF(Calc!$AG$51&lt;='财富模型'!$E$11*12,'Calc'!$W$16,'Calc'!$Y$16)),0)))</x:f>
      </x:c>
      <x:c r="AO51" t="n">
        <x:v>30</x:v>
      </x:c>
      <x:c r="AP51" t="n">
        <x:f>IF(Calc!$AO$51&gt;'Calc'!$B$8,"",MAX(Calc!$AP$50*(1+'财富模型'!$E$6/12)+('Calc'!$B$5-'财富模型'!$E$5-(IF('Calc'!$E$17=1,'财富模型'!$E$9,'财富模型'!$M$9+IF(Calc!$AO$51&lt;='财富模型'!$E$11*12,'Calc'!$W$17,'Calc'!$Y$17)-(IF('Calc'!$E$17=1,0,MIN(Calc!$AQ$50*(1+'财富模型'!$E$20/12)+'Calc'!$B$6,IF(Calc!$AO$51&lt;='财富模型'!$E$11*12,'Calc'!$W$17,'Calc'!$Y$17))))))),0))</x:f>
        <x:v>1075105.6466546778</x:v>
      </x:c>
      <x:c r="AQ51" t="n">
        <x:f>IF(Calc!$AO$51&gt;'Calc'!$B$8,"",MAX(Calc!$AQ$50*(1+'财富模型'!$E$20/12)+'Calc'!$B$6-(IF('Calc'!$E$17=1,0,MIN(Calc!$AQ$50*(1+'财富模型'!$E$20/12)+'Calc'!$B$6,IF(Calc!$AO$51&lt;='财富模型'!$E$11*12,'Calc'!$W$17,'Calc'!$Y$17)))),0))</x:f>
        <x:v>88064.16853517391</x:v>
      </x:c>
      <x:c r="AR51" t="n">
        <x:f>IF(Calc!$AO$51&gt;'Calc'!$B$8,"",IF('Calc'!$E$17=1,'财富模型'!$E$9,'财富模型'!$M$9+IF(Calc!$AO$51&lt;='财富模型'!$E$11*12,'Calc'!$W$17,'Calc'!$Y$17)-(IF('Calc'!$E$17=1,0,MIN(Calc!$AQ$50*(1+'财富模型'!$E$20/12)+'Calc'!$B$6,IF(Calc!$AO$51&lt;='财富模型'!$E$11*12,'Calc'!$W$17,'Calc'!$Y$17))))))</x:f>
        <x:v>4000</x:v>
      </x:c>
      <x:c r="AS51" t="n">
        <x:f>IF(Calc!$AO$51&gt;'Calc'!$B$8,"",IF('Calc'!$E$17=1,0,MIN(Calc!$AQ$50*(1+'财富模型'!$E$20/12)+'Calc'!$B$6,IF(Calc!$AO$51&lt;='财富模型'!$E$11*12,'Calc'!$W$17,'Calc'!$Y$17))))</x:f>
        <x:v>0</x:v>
      </x:c>
      <x:c r="AT51" t="n">
        <x:f>IF(Calc!$AO$51&gt;'Calc'!$B$8,"",'Calc'!$B$5-'财富模型'!$E$5-(IF('Calc'!$E$17=1,'财富模型'!$E$9,'财富模型'!$M$9+IF(Calc!$AO$51&lt;='财富模型'!$E$11*12,'Calc'!$W$17,'Calc'!$Y$17)-(IF('Calc'!$E$17=1,0,MIN(Calc!$AQ$50*(1+'财富模型'!$E$20/12)+'Calc'!$B$6,IF(Calc!$AO$51&lt;='财富模型'!$E$11*12,'Calc'!$W$17,'Calc'!$Y$17)))))))</x:f>
        <x:v>3933.333333333332</x:v>
      </x:c>
      <x:c r="AU51" t="n">
        <x:f>IF(Calc!$AO$51&gt;'Calc'!$B$8,"",IF('Calc'!$E$17=1,0,MAX(Calc!$AU$50*(1+IF(Calc!$AO$51&lt;='财富模型'!$E$11*12,'财富模型'!$E$10,'财富模型'!$E$12)/12)-IF('Calc'!$E$17=1,0,IF(Calc!$AO$51&lt;='财富模型'!$E$11*12,'Calc'!$W$17,'Calc'!$Y$17)),0)))</x:f>
        <x:v>0</x:v>
      </x:c>
    </x:row>
    <x:row r="52">
      <x:c r="A52" t="n">
        <x:v>31</x:v>
      </x:c>
      <x:c r="B52" t="e">
        <x:f>IF(Calc!$A$52&gt;'Calc'!$B$8,"",MAX(Calc!$B$51*(1+'财富模型'!$E$6/12)+('Calc'!$B$5-'财富模型'!$E$5-(IF('Calc'!$E$12=1,'财富模型'!$E$9,'财富模型'!$M$4+IF(Calc!$A$52&lt;='财富模型'!$E$11*12,'Calc'!$W$12,'Calc'!$Y$12)-(IF('Calc'!$E$12=1,0,MIN(Calc!$C$51*(1+'财富模型'!$E$20/12)+'Calc'!$B$6,IF(Calc!$A$52&lt;='财富模型'!$E$11*12,'Calc'!$W$12,'Calc'!$Y$12))))))),0))</x:f>
      </x:c>
      <x:c r="C52" t="e">
        <x:f>IF(Calc!$A$52&gt;'Calc'!$B$8,"",MAX(Calc!$C$51*(1+'财富模型'!$E$20/12)+'Calc'!$B$6-(IF('Calc'!$E$12=1,0,MIN(Calc!$C$51*(1+'财富模型'!$E$20/12)+'Calc'!$B$6,IF(Calc!$A$52&lt;='财富模型'!$E$11*12,'Calc'!$W$12,'Calc'!$Y$12)))),0))</x:f>
      </x:c>
      <x:c r="D52" t="e">
        <x:f>IF(Calc!$A$52&gt;'Calc'!$B$8,"",IF('Calc'!$E$12=1,'财富模型'!$E$9,'财富模型'!$M$4+IF(Calc!$A$52&lt;='财富模型'!$E$11*12,'Calc'!$W$12,'Calc'!$Y$12)-(IF('Calc'!$E$12=1,0,MIN(Calc!$C$51*(1+'财富模型'!$E$20/12)+'Calc'!$B$6,IF(Calc!$A$52&lt;='财富模型'!$E$11*12,'Calc'!$W$12,'Calc'!$Y$12))))))</x:f>
      </x:c>
      <x:c r="E52" t="e">
        <x:f>IF(Calc!$A$52&gt;'Calc'!$B$8,"",IF('Calc'!$E$12=1,0,MIN(Calc!$C$51*(1+'财富模型'!$E$20/12)+'Calc'!$B$6,IF(Calc!$A$52&lt;='财富模型'!$E$11*12,'Calc'!$W$12,'Calc'!$Y$12))))</x:f>
      </x:c>
      <x:c r="F52" t="e">
        <x:f>IF(Calc!$A$52&gt;'Calc'!$B$8,"",'Calc'!$B$5-'财富模型'!$E$5-(IF('Calc'!$E$12=1,'财富模型'!$E$9,'财富模型'!$M$4+IF(Calc!$A$52&lt;='财富模型'!$E$11*12,'Calc'!$W$12,'Calc'!$Y$12)-(IF('Calc'!$E$12=1,0,MIN(Calc!$C$51*(1+'财富模型'!$E$20/12)+'Calc'!$B$6,IF(Calc!$A$52&lt;='财富模型'!$E$11*12,'Calc'!$W$12,'Calc'!$Y$12)))))))</x:f>
      </x:c>
      <x:c r="G52" t="e">
        <x:f>IF(Calc!$A$52&gt;'Calc'!$B$8,"",IF('Calc'!$E$12=1,0,MAX(Calc!$G$51*(1+IF(Calc!$A$52&lt;='财富模型'!$E$11*12,'财富模型'!$E$10,'财富模型'!$E$12)/12)-IF('Calc'!$E$12=1,0,IF(Calc!$A$52&lt;='财富模型'!$E$11*12,'Calc'!$W$12,'Calc'!$Y$12)),0)))</x:f>
      </x:c>
      <x:c r="I52" t="n">
        <x:v>31</x:v>
      </x:c>
      <x:c r="J52" t="e">
        <x:f>IF(Calc!$I$52&gt;'Calc'!$B$8,"",MAX(Calc!$J$51*(1+'财富模型'!$E$6/12)+('Calc'!$B$5-'财富模型'!$E$5-(IF('Calc'!$E$13=1,'财富模型'!$E$9,'财富模型'!$M$5+IF(Calc!$I$52&lt;='财富模型'!$E$11*12,'Calc'!$W$13,'Calc'!$Y$13)-(IF('Calc'!$E$13=1,0,MIN(Calc!$K$51*(1+'财富模型'!$E$20/12)+'Calc'!$B$6,IF(Calc!$I$52&lt;='财富模型'!$E$11*12,'Calc'!$W$13,'Calc'!$Y$13))))))),0))</x:f>
      </x:c>
      <x:c r="K52" t="e">
        <x:f>IF(Calc!$I$52&gt;'Calc'!$B$8,"",MAX(Calc!$K$51*(1+'财富模型'!$E$20/12)+'Calc'!$B$6-(IF('Calc'!$E$13=1,0,MIN(Calc!$K$51*(1+'财富模型'!$E$20/12)+'Calc'!$B$6,IF(Calc!$I$52&lt;='财富模型'!$E$11*12,'Calc'!$W$13,'Calc'!$Y$13)))),0))</x:f>
      </x:c>
      <x:c r="L52" t="e">
        <x:f>IF(Calc!$I$52&gt;'Calc'!$B$8,"",IF('Calc'!$E$13=1,'财富模型'!$E$9,'财富模型'!$M$5+IF(Calc!$I$52&lt;='财富模型'!$E$11*12,'Calc'!$W$13,'Calc'!$Y$13)-(IF('Calc'!$E$13=1,0,MIN(Calc!$K$51*(1+'财富模型'!$E$20/12)+'Calc'!$B$6,IF(Calc!$I$52&lt;='财富模型'!$E$11*12,'Calc'!$W$13,'Calc'!$Y$13))))))</x:f>
      </x:c>
      <x:c r="M52" t="e">
        <x:f>IF(Calc!$I$52&gt;'Calc'!$B$8,"",IF('Calc'!$E$13=1,0,MIN(Calc!$K$51*(1+'财富模型'!$E$20/12)+'Calc'!$B$6,IF(Calc!$I$52&lt;='财富模型'!$E$11*12,'Calc'!$W$13,'Calc'!$Y$13))))</x:f>
      </x:c>
      <x:c r="N52" t="e">
        <x:f>IF(Calc!$I$52&gt;'Calc'!$B$8,"",'Calc'!$B$5-'财富模型'!$E$5-(IF('Calc'!$E$13=1,'财富模型'!$E$9,'财富模型'!$M$5+IF(Calc!$I$52&lt;='财富模型'!$E$11*12,'Calc'!$W$13,'Calc'!$Y$13)-(IF('Calc'!$E$13=1,0,MIN(Calc!$K$51*(1+'财富模型'!$E$20/12)+'Calc'!$B$6,IF(Calc!$I$52&lt;='财富模型'!$E$11*12,'Calc'!$W$13,'Calc'!$Y$13)))))))</x:f>
      </x:c>
      <x:c r="O52" t="e">
        <x:f>IF(Calc!$I$52&gt;'Calc'!$B$8,"",IF('Calc'!$E$13=1,0,MAX(Calc!$O$51*(1+IF(Calc!$I$52&lt;='财富模型'!$E$11*12,'财富模型'!$E$10,'财富模型'!$E$12)/12)-IF('Calc'!$E$13=1,0,IF(Calc!$I$52&lt;='财富模型'!$E$11*12,'Calc'!$W$13,'Calc'!$Y$13)),0)))</x:f>
      </x:c>
      <x:c r="Q52" t="n">
        <x:v>31</x:v>
      </x:c>
      <x:c r="R52" t="e">
        <x:f>IF(Calc!$Q$52&gt;'Calc'!$B$8,"",MAX(Calc!$R$51*(1+'财富模型'!$E$6/12)+('Calc'!$B$5-'财富模型'!$E$5-(IF('Calc'!$E$14=1,'财富模型'!$E$9,'财富模型'!$M$6+IF(Calc!$Q$52&lt;='财富模型'!$E$11*12,'Calc'!$W$14,'Calc'!$Y$14)-(IF('Calc'!$E$14=1,0,MIN(Calc!$S$51*(1+'财富模型'!$E$20/12)+'Calc'!$B$6,IF(Calc!$Q$52&lt;='财富模型'!$E$11*12,'Calc'!$W$14,'Calc'!$Y$14))))))),0))</x:f>
      </x:c>
      <x:c r="S52" t="e">
        <x:f>IF(Calc!$Q$52&gt;'Calc'!$B$8,"",MAX(Calc!$S$51*(1+'财富模型'!$E$20/12)+'Calc'!$B$6-(IF('Calc'!$E$14=1,0,MIN(Calc!$S$51*(1+'财富模型'!$E$20/12)+'Calc'!$B$6,IF(Calc!$Q$52&lt;='财富模型'!$E$11*12,'Calc'!$W$14,'Calc'!$Y$14)))),0))</x:f>
      </x:c>
      <x:c r="T52" t="e">
        <x:f>IF(Calc!$Q$52&gt;'Calc'!$B$8,"",IF('Calc'!$E$14=1,'财富模型'!$E$9,'财富模型'!$M$6+IF(Calc!$Q$52&lt;='财富模型'!$E$11*12,'Calc'!$W$14,'Calc'!$Y$14)-(IF('Calc'!$E$14=1,0,MIN(Calc!$S$51*(1+'财富模型'!$E$20/12)+'Calc'!$B$6,IF(Calc!$Q$52&lt;='财富模型'!$E$11*12,'Calc'!$W$14,'Calc'!$Y$14))))))</x:f>
      </x:c>
      <x:c r="U52" t="e">
        <x:f>IF(Calc!$Q$52&gt;'Calc'!$B$8,"",IF('Calc'!$E$14=1,0,MIN(Calc!$S$51*(1+'财富模型'!$E$20/12)+'Calc'!$B$6,IF(Calc!$Q$52&lt;='财富模型'!$E$11*12,'Calc'!$W$14,'Calc'!$Y$14))))</x:f>
      </x:c>
      <x:c r="V52" t="e">
        <x:f>IF(Calc!$Q$52&gt;'Calc'!$B$8,"",'Calc'!$B$5-'财富模型'!$E$5-(IF('Calc'!$E$14=1,'财富模型'!$E$9,'财富模型'!$M$6+IF(Calc!$Q$52&lt;='财富模型'!$E$11*12,'Calc'!$W$14,'Calc'!$Y$14)-(IF('Calc'!$E$14=1,0,MIN(Calc!$S$51*(1+'财富模型'!$E$20/12)+'Calc'!$B$6,IF(Calc!$Q$52&lt;='财富模型'!$E$11*12,'Calc'!$W$14,'Calc'!$Y$14)))))))</x:f>
      </x:c>
      <x:c r="W52" t="e">
        <x:f>IF(Calc!$Q$52&gt;'Calc'!$B$8,"",IF('Calc'!$E$14=1,0,MAX(Calc!$W$51*(1+IF(Calc!$Q$52&lt;='财富模型'!$E$11*12,'财富模型'!$E$10,'财富模型'!$E$12)/12)-IF('Calc'!$E$14=1,0,IF(Calc!$Q$52&lt;='财富模型'!$E$11*12,'Calc'!$W$14,'Calc'!$Y$14)),0)))</x:f>
      </x:c>
      <x:c r="Y52" t="n">
        <x:v>31</x:v>
      </x:c>
      <x:c r="Z52" t="e">
        <x:f>IF(Calc!$Y$52&gt;'Calc'!$B$8,"",MAX(Calc!$Z$51*(1+'财富模型'!$E$6/12)+('Calc'!$B$5-'财富模型'!$E$5-(IF('Calc'!$E$15=1,'财富模型'!$E$9,'财富模型'!$M$7+IF(Calc!$Y$52&lt;='财富模型'!$E$11*12,'Calc'!$W$15,'Calc'!$Y$15)-(IF('Calc'!$E$15=1,0,MIN(Calc!$AA$51*(1+'财富模型'!$E$20/12)+'Calc'!$B$6,IF(Calc!$Y$52&lt;='财富模型'!$E$11*12,'Calc'!$W$15,'Calc'!$Y$15))))))),0))</x:f>
      </x:c>
      <x:c r="AA52" t="e">
        <x:f>IF(Calc!$Y$52&gt;'Calc'!$B$8,"",MAX(Calc!$AA$51*(1+'财富模型'!$E$20/12)+'Calc'!$B$6-(IF('Calc'!$E$15=1,0,MIN(Calc!$AA$51*(1+'财富模型'!$E$20/12)+'Calc'!$B$6,IF(Calc!$Y$52&lt;='财富模型'!$E$11*12,'Calc'!$W$15,'Calc'!$Y$15)))),0))</x:f>
      </x:c>
      <x:c r="AB52" t="e">
        <x:f>IF(Calc!$Y$52&gt;'Calc'!$B$8,"",IF('Calc'!$E$15=1,'财富模型'!$E$9,'财富模型'!$M$7+IF(Calc!$Y$52&lt;='财富模型'!$E$11*12,'Calc'!$W$15,'Calc'!$Y$15)-(IF('Calc'!$E$15=1,0,MIN(Calc!$AA$51*(1+'财富模型'!$E$20/12)+'Calc'!$B$6,IF(Calc!$Y$52&lt;='财富模型'!$E$11*12,'Calc'!$W$15,'Calc'!$Y$15))))))</x:f>
      </x:c>
      <x:c r="AC52" t="e">
        <x:f>IF(Calc!$Y$52&gt;'Calc'!$B$8,"",IF('Calc'!$E$15=1,0,MIN(Calc!$AA$51*(1+'财富模型'!$E$20/12)+'Calc'!$B$6,IF(Calc!$Y$52&lt;='财富模型'!$E$11*12,'Calc'!$W$15,'Calc'!$Y$15))))</x:f>
      </x:c>
      <x:c r="AD52" t="e">
        <x:f>IF(Calc!$Y$52&gt;'Calc'!$B$8,"",'Calc'!$B$5-'财富模型'!$E$5-(IF('Calc'!$E$15=1,'财富模型'!$E$9,'财富模型'!$M$7+IF(Calc!$Y$52&lt;='财富模型'!$E$11*12,'Calc'!$W$15,'Calc'!$Y$15)-(IF('Calc'!$E$15=1,0,MIN(Calc!$AA$51*(1+'财富模型'!$E$20/12)+'Calc'!$B$6,IF(Calc!$Y$52&lt;='财富模型'!$E$11*12,'Calc'!$W$15,'Calc'!$Y$15)))))))</x:f>
      </x:c>
      <x:c r="AE52" t="e">
        <x:f>IF(Calc!$Y$52&gt;'Calc'!$B$8,"",IF('Calc'!$E$15=1,0,MAX(Calc!$AE$51*(1+IF(Calc!$Y$52&lt;='财富模型'!$E$11*12,'财富模型'!$E$10,'财富模型'!$E$12)/12)-IF('Calc'!$E$15=1,0,IF(Calc!$Y$52&lt;='财富模型'!$E$11*12,'Calc'!$W$15,'Calc'!$Y$15)),0)))</x:f>
      </x:c>
      <x:c r="AG52" t="n">
        <x:v>31</x:v>
      </x:c>
      <x:c r="AH52" t="e">
        <x:f>IF(Calc!$AG$52&gt;'Calc'!$B$8,"",MAX(Calc!$AH$51*(1+'财富模型'!$E$6/12)+('Calc'!$B$5-'财富模型'!$E$5-(IF('Calc'!$E$16=1,'财富模型'!$E$9,'财富模型'!$M$8+IF(Calc!$AG$52&lt;='财富模型'!$E$11*12,'Calc'!$W$16,'Calc'!$Y$16)-(IF('Calc'!$E$16=1,0,MIN(Calc!$AI$51*(1+'财富模型'!$E$20/12)+'Calc'!$B$6,IF(Calc!$AG$52&lt;='财富模型'!$E$11*12,'Calc'!$W$16,'Calc'!$Y$16))))))),0))</x:f>
      </x:c>
      <x:c r="AI52" t="e">
        <x:f>IF(Calc!$AG$52&gt;'Calc'!$B$8,"",MAX(Calc!$AI$51*(1+'财富模型'!$E$20/12)+'Calc'!$B$6-(IF('Calc'!$E$16=1,0,MIN(Calc!$AI$51*(1+'财富模型'!$E$20/12)+'Calc'!$B$6,IF(Calc!$AG$52&lt;='财富模型'!$E$11*12,'Calc'!$W$16,'Calc'!$Y$16)))),0))</x:f>
      </x:c>
      <x:c r="AJ52" t="e">
        <x:f>IF(Calc!$AG$52&gt;'Calc'!$B$8,"",IF('Calc'!$E$16=1,'财富模型'!$E$9,'财富模型'!$M$8+IF(Calc!$AG$52&lt;='财富模型'!$E$11*12,'Calc'!$W$16,'Calc'!$Y$16)-(IF('Calc'!$E$16=1,0,MIN(Calc!$AI$51*(1+'财富模型'!$E$20/12)+'Calc'!$B$6,IF(Calc!$AG$52&lt;='财富模型'!$E$11*12,'Calc'!$W$16,'Calc'!$Y$16))))))</x:f>
      </x:c>
      <x:c r="AK52" t="e">
        <x:f>IF(Calc!$AG$52&gt;'Calc'!$B$8,"",IF('Calc'!$E$16=1,0,MIN(Calc!$AI$51*(1+'财富模型'!$E$20/12)+'Calc'!$B$6,IF(Calc!$AG$52&lt;='财富模型'!$E$11*12,'Calc'!$W$16,'Calc'!$Y$16))))</x:f>
      </x:c>
      <x:c r="AL52" t="e">
        <x:f>IF(Calc!$AG$52&gt;'Calc'!$B$8,"",'Calc'!$B$5-'财富模型'!$E$5-(IF('Calc'!$E$16=1,'财富模型'!$E$9,'财富模型'!$M$8+IF(Calc!$AG$52&lt;='财富模型'!$E$11*12,'Calc'!$W$16,'Calc'!$Y$16)-(IF('Calc'!$E$16=1,0,MIN(Calc!$AI$51*(1+'财富模型'!$E$20/12)+'Calc'!$B$6,IF(Calc!$AG$52&lt;='财富模型'!$E$11*12,'Calc'!$W$16,'Calc'!$Y$16)))))))</x:f>
      </x:c>
      <x:c r="AM52" t="e">
        <x:f>IF(Calc!$AG$52&gt;'Calc'!$B$8,"",IF('Calc'!$E$16=1,0,MAX(Calc!$AM$51*(1+IF(Calc!$AG$52&lt;='财富模型'!$E$11*12,'财富模型'!$E$10,'财富模型'!$E$12)/12)-IF('Calc'!$E$16=1,0,IF(Calc!$AG$52&lt;='财富模型'!$E$11*12,'Calc'!$W$16,'Calc'!$Y$16)),0)))</x:f>
      </x:c>
      <x:c r="AO52" t="n">
        <x:v>31</x:v>
      </x:c>
      <x:c r="AP52" t="n">
        <x:f>IF(Calc!$AO$52&gt;'Calc'!$B$8,"",MAX(Calc!$AP$51*(1+'财富模型'!$E$6/12)+('Calc'!$B$5-'财富模型'!$E$5-(IF('Calc'!$E$17=1,'财富模型'!$E$9,'财富模型'!$M$9+IF(Calc!$AO$52&lt;='财富模型'!$E$11*12,'Calc'!$W$17,'Calc'!$Y$17)-(IF('Calc'!$E$17=1,0,MIN(Calc!$AQ$51*(1+'财富模型'!$E$20/12)+'Calc'!$B$6,IF(Calc!$AO$52&lt;='财富模型'!$E$11*12,'Calc'!$W$17,'Calc'!$Y$17))))))),0))</x:f>
        <x:v>1085310.4295934967</x:v>
      </x:c>
      <x:c r="AQ52" t="n">
        <x:f>IF(Calc!$AO$52&gt;'Calc'!$B$8,"",MAX(Calc!$AQ$51*(1+'财富模型'!$E$20/12)+'Calc'!$B$6-(IF('Calc'!$E$17=1,0,MIN(Calc!$AQ$51*(1+'财富模型'!$E$20/12)+'Calc'!$B$6,IF(Calc!$AO$52&lt;='财富模型'!$E$11*12,'Calc'!$W$17,'Calc'!$Y$17)))),0))</x:f>
        <x:v>91095.38555295553</x:v>
      </x:c>
      <x:c r="AR52" t="n">
        <x:f>IF(Calc!$AO$52&gt;'Calc'!$B$8,"",IF('Calc'!$E$17=1,'财富模型'!$E$9,'财富模型'!$M$9+IF(Calc!$AO$52&lt;='财富模型'!$E$11*12,'Calc'!$W$17,'Calc'!$Y$17)-(IF('Calc'!$E$17=1,0,MIN(Calc!$AQ$51*(1+'财富模型'!$E$20/12)+'Calc'!$B$6,IF(Calc!$AO$52&lt;='财富模型'!$E$11*12,'Calc'!$W$17,'Calc'!$Y$17))))))</x:f>
        <x:v>4000</x:v>
      </x:c>
      <x:c r="AS52" t="n">
        <x:f>IF(Calc!$AO$52&gt;'Calc'!$B$8,"",IF('Calc'!$E$17=1,0,MIN(Calc!$AQ$51*(1+'财富模型'!$E$20/12)+'Calc'!$B$6,IF(Calc!$AO$52&lt;='财富模型'!$E$11*12,'Calc'!$W$17,'Calc'!$Y$17))))</x:f>
        <x:v>0</x:v>
      </x:c>
      <x:c r="AT52" t="n">
        <x:f>IF(Calc!$AO$52&gt;'Calc'!$B$8,"",'Calc'!$B$5-'财富模型'!$E$5-(IF('Calc'!$E$17=1,'财富模型'!$E$9,'财富模型'!$M$9+IF(Calc!$AO$52&lt;='财富模型'!$E$11*12,'Calc'!$W$17,'Calc'!$Y$17)-(IF('Calc'!$E$17=1,0,MIN(Calc!$AQ$51*(1+'财富模型'!$E$20/12)+'Calc'!$B$6,IF(Calc!$AO$52&lt;='财富模型'!$E$11*12,'Calc'!$W$17,'Calc'!$Y$17)))))))</x:f>
        <x:v>3933.333333333332</x:v>
      </x:c>
      <x:c r="AU52" t="n">
        <x:f>IF(Calc!$AO$52&gt;'Calc'!$B$8,"",IF('Calc'!$E$17=1,0,MAX(Calc!$AU$51*(1+IF(Calc!$AO$52&lt;='财富模型'!$E$11*12,'财富模型'!$E$10,'财富模型'!$E$12)/12)-IF('Calc'!$E$17=1,0,IF(Calc!$AO$52&lt;='财富模型'!$E$11*12,'Calc'!$W$17,'Calc'!$Y$17)),0)))</x:f>
        <x:v>0</x:v>
      </x:c>
    </x:row>
    <x:row r="53">
      <x:c r="A53" t="n">
        <x:v>32</x:v>
      </x:c>
      <x:c r="B53" t="e">
        <x:f>IF(Calc!$A$53&gt;'Calc'!$B$8,"",MAX(Calc!$B$52*(1+'财富模型'!$E$6/12)+('Calc'!$B$5-'财富模型'!$E$5-(IF('Calc'!$E$12=1,'财富模型'!$E$9,'财富模型'!$M$4+IF(Calc!$A$53&lt;='财富模型'!$E$11*12,'Calc'!$W$12,'Calc'!$Y$12)-(IF('Calc'!$E$12=1,0,MIN(Calc!$C$52*(1+'财富模型'!$E$20/12)+'Calc'!$B$6,IF(Calc!$A$53&lt;='财富模型'!$E$11*12,'Calc'!$W$12,'Calc'!$Y$12))))))),0))</x:f>
      </x:c>
      <x:c r="C53" t="e">
        <x:f>IF(Calc!$A$53&gt;'Calc'!$B$8,"",MAX(Calc!$C$52*(1+'财富模型'!$E$20/12)+'Calc'!$B$6-(IF('Calc'!$E$12=1,0,MIN(Calc!$C$52*(1+'财富模型'!$E$20/12)+'Calc'!$B$6,IF(Calc!$A$53&lt;='财富模型'!$E$11*12,'Calc'!$W$12,'Calc'!$Y$12)))),0))</x:f>
      </x:c>
      <x:c r="D53" t="e">
        <x:f>IF(Calc!$A$53&gt;'Calc'!$B$8,"",IF('Calc'!$E$12=1,'财富模型'!$E$9,'财富模型'!$M$4+IF(Calc!$A$53&lt;='财富模型'!$E$11*12,'Calc'!$W$12,'Calc'!$Y$12)-(IF('Calc'!$E$12=1,0,MIN(Calc!$C$52*(1+'财富模型'!$E$20/12)+'Calc'!$B$6,IF(Calc!$A$53&lt;='财富模型'!$E$11*12,'Calc'!$W$12,'Calc'!$Y$12))))))</x:f>
      </x:c>
      <x:c r="E53" t="e">
        <x:f>IF(Calc!$A$53&gt;'Calc'!$B$8,"",IF('Calc'!$E$12=1,0,MIN(Calc!$C$52*(1+'财富模型'!$E$20/12)+'Calc'!$B$6,IF(Calc!$A$53&lt;='财富模型'!$E$11*12,'Calc'!$W$12,'Calc'!$Y$12))))</x:f>
      </x:c>
      <x:c r="F53" t="e">
        <x:f>IF(Calc!$A$53&gt;'Calc'!$B$8,"",'Calc'!$B$5-'财富模型'!$E$5-(IF('Calc'!$E$12=1,'财富模型'!$E$9,'财富模型'!$M$4+IF(Calc!$A$53&lt;='财富模型'!$E$11*12,'Calc'!$W$12,'Calc'!$Y$12)-(IF('Calc'!$E$12=1,0,MIN(Calc!$C$52*(1+'财富模型'!$E$20/12)+'Calc'!$B$6,IF(Calc!$A$53&lt;='财富模型'!$E$11*12,'Calc'!$W$12,'Calc'!$Y$12)))))))</x:f>
      </x:c>
      <x:c r="G53" t="e">
        <x:f>IF(Calc!$A$53&gt;'Calc'!$B$8,"",IF('Calc'!$E$12=1,0,MAX(Calc!$G$52*(1+IF(Calc!$A$53&lt;='财富模型'!$E$11*12,'财富模型'!$E$10,'财富模型'!$E$12)/12)-IF('Calc'!$E$12=1,0,IF(Calc!$A$53&lt;='财富模型'!$E$11*12,'Calc'!$W$12,'Calc'!$Y$12)),0)))</x:f>
      </x:c>
      <x:c r="I53" t="n">
        <x:v>32</x:v>
      </x:c>
      <x:c r="J53" t="e">
        <x:f>IF(Calc!$I$53&gt;'Calc'!$B$8,"",MAX(Calc!$J$52*(1+'财富模型'!$E$6/12)+('Calc'!$B$5-'财富模型'!$E$5-(IF('Calc'!$E$13=1,'财富模型'!$E$9,'财富模型'!$M$5+IF(Calc!$I$53&lt;='财富模型'!$E$11*12,'Calc'!$W$13,'Calc'!$Y$13)-(IF('Calc'!$E$13=1,0,MIN(Calc!$K$52*(1+'财富模型'!$E$20/12)+'Calc'!$B$6,IF(Calc!$I$53&lt;='财富模型'!$E$11*12,'Calc'!$W$13,'Calc'!$Y$13))))))),0))</x:f>
      </x:c>
      <x:c r="K53" t="e">
        <x:f>IF(Calc!$I$53&gt;'Calc'!$B$8,"",MAX(Calc!$K$52*(1+'财富模型'!$E$20/12)+'Calc'!$B$6-(IF('Calc'!$E$13=1,0,MIN(Calc!$K$52*(1+'财富模型'!$E$20/12)+'Calc'!$B$6,IF(Calc!$I$53&lt;='财富模型'!$E$11*12,'Calc'!$W$13,'Calc'!$Y$13)))),0))</x:f>
      </x:c>
      <x:c r="L53" t="e">
        <x:f>IF(Calc!$I$53&gt;'Calc'!$B$8,"",IF('Calc'!$E$13=1,'财富模型'!$E$9,'财富模型'!$M$5+IF(Calc!$I$53&lt;='财富模型'!$E$11*12,'Calc'!$W$13,'Calc'!$Y$13)-(IF('Calc'!$E$13=1,0,MIN(Calc!$K$52*(1+'财富模型'!$E$20/12)+'Calc'!$B$6,IF(Calc!$I$53&lt;='财富模型'!$E$11*12,'Calc'!$W$13,'Calc'!$Y$13))))))</x:f>
      </x:c>
      <x:c r="M53" t="e">
        <x:f>IF(Calc!$I$53&gt;'Calc'!$B$8,"",IF('Calc'!$E$13=1,0,MIN(Calc!$K$52*(1+'财富模型'!$E$20/12)+'Calc'!$B$6,IF(Calc!$I$53&lt;='财富模型'!$E$11*12,'Calc'!$W$13,'Calc'!$Y$13))))</x:f>
      </x:c>
      <x:c r="N53" t="e">
        <x:f>IF(Calc!$I$53&gt;'Calc'!$B$8,"",'Calc'!$B$5-'财富模型'!$E$5-(IF('Calc'!$E$13=1,'财富模型'!$E$9,'财富模型'!$M$5+IF(Calc!$I$53&lt;='财富模型'!$E$11*12,'Calc'!$W$13,'Calc'!$Y$13)-(IF('Calc'!$E$13=1,0,MIN(Calc!$K$52*(1+'财富模型'!$E$20/12)+'Calc'!$B$6,IF(Calc!$I$53&lt;='财富模型'!$E$11*12,'Calc'!$W$13,'Calc'!$Y$13)))))))</x:f>
      </x:c>
      <x:c r="O53" t="e">
        <x:f>IF(Calc!$I$53&gt;'Calc'!$B$8,"",IF('Calc'!$E$13=1,0,MAX(Calc!$O$52*(1+IF(Calc!$I$53&lt;='财富模型'!$E$11*12,'财富模型'!$E$10,'财富模型'!$E$12)/12)-IF('Calc'!$E$13=1,0,IF(Calc!$I$53&lt;='财富模型'!$E$11*12,'Calc'!$W$13,'Calc'!$Y$13)),0)))</x:f>
      </x:c>
      <x:c r="Q53" t="n">
        <x:v>32</x:v>
      </x:c>
      <x:c r="R53" t="e">
        <x:f>IF(Calc!$Q$53&gt;'Calc'!$B$8,"",MAX(Calc!$R$52*(1+'财富模型'!$E$6/12)+('Calc'!$B$5-'财富模型'!$E$5-(IF('Calc'!$E$14=1,'财富模型'!$E$9,'财富模型'!$M$6+IF(Calc!$Q$53&lt;='财富模型'!$E$11*12,'Calc'!$W$14,'Calc'!$Y$14)-(IF('Calc'!$E$14=1,0,MIN(Calc!$S$52*(1+'财富模型'!$E$20/12)+'Calc'!$B$6,IF(Calc!$Q$53&lt;='财富模型'!$E$11*12,'Calc'!$W$14,'Calc'!$Y$14))))))),0))</x:f>
      </x:c>
      <x:c r="S53" t="e">
        <x:f>IF(Calc!$Q$53&gt;'Calc'!$B$8,"",MAX(Calc!$S$52*(1+'财富模型'!$E$20/12)+'Calc'!$B$6-(IF('Calc'!$E$14=1,0,MIN(Calc!$S$52*(1+'财富模型'!$E$20/12)+'Calc'!$B$6,IF(Calc!$Q$53&lt;='财富模型'!$E$11*12,'Calc'!$W$14,'Calc'!$Y$14)))),0))</x:f>
      </x:c>
      <x:c r="T53" t="e">
        <x:f>IF(Calc!$Q$53&gt;'Calc'!$B$8,"",IF('Calc'!$E$14=1,'财富模型'!$E$9,'财富模型'!$M$6+IF(Calc!$Q$53&lt;='财富模型'!$E$11*12,'Calc'!$W$14,'Calc'!$Y$14)-(IF('Calc'!$E$14=1,0,MIN(Calc!$S$52*(1+'财富模型'!$E$20/12)+'Calc'!$B$6,IF(Calc!$Q$53&lt;='财富模型'!$E$11*12,'Calc'!$W$14,'Calc'!$Y$14))))))</x:f>
      </x:c>
      <x:c r="U53" t="e">
        <x:f>IF(Calc!$Q$53&gt;'Calc'!$B$8,"",IF('Calc'!$E$14=1,0,MIN(Calc!$S$52*(1+'财富模型'!$E$20/12)+'Calc'!$B$6,IF(Calc!$Q$53&lt;='财富模型'!$E$11*12,'Calc'!$W$14,'Calc'!$Y$14))))</x:f>
      </x:c>
      <x:c r="V53" t="e">
        <x:f>IF(Calc!$Q$53&gt;'Calc'!$B$8,"",'Calc'!$B$5-'财富模型'!$E$5-(IF('Calc'!$E$14=1,'财富模型'!$E$9,'财富模型'!$M$6+IF(Calc!$Q$53&lt;='财富模型'!$E$11*12,'Calc'!$W$14,'Calc'!$Y$14)-(IF('Calc'!$E$14=1,0,MIN(Calc!$S$52*(1+'财富模型'!$E$20/12)+'Calc'!$B$6,IF(Calc!$Q$53&lt;='财富模型'!$E$11*12,'Calc'!$W$14,'Calc'!$Y$14)))))))</x:f>
      </x:c>
      <x:c r="W53" t="e">
        <x:f>IF(Calc!$Q$53&gt;'Calc'!$B$8,"",IF('Calc'!$E$14=1,0,MAX(Calc!$W$52*(1+IF(Calc!$Q$53&lt;='财富模型'!$E$11*12,'财富模型'!$E$10,'财富模型'!$E$12)/12)-IF('Calc'!$E$14=1,0,IF(Calc!$Q$53&lt;='财富模型'!$E$11*12,'Calc'!$W$14,'Calc'!$Y$14)),0)))</x:f>
      </x:c>
      <x:c r="Y53" t="n">
        <x:v>32</x:v>
      </x:c>
      <x:c r="Z53" t="e">
        <x:f>IF(Calc!$Y$53&gt;'Calc'!$B$8,"",MAX(Calc!$Z$52*(1+'财富模型'!$E$6/12)+('Calc'!$B$5-'财富模型'!$E$5-(IF('Calc'!$E$15=1,'财富模型'!$E$9,'财富模型'!$M$7+IF(Calc!$Y$53&lt;='财富模型'!$E$11*12,'Calc'!$W$15,'Calc'!$Y$15)-(IF('Calc'!$E$15=1,0,MIN(Calc!$AA$52*(1+'财富模型'!$E$20/12)+'Calc'!$B$6,IF(Calc!$Y$53&lt;='财富模型'!$E$11*12,'Calc'!$W$15,'Calc'!$Y$15))))))),0))</x:f>
      </x:c>
      <x:c r="AA53" t="e">
        <x:f>IF(Calc!$Y$53&gt;'Calc'!$B$8,"",MAX(Calc!$AA$52*(1+'财富模型'!$E$20/12)+'Calc'!$B$6-(IF('Calc'!$E$15=1,0,MIN(Calc!$AA$52*(1+'财富模型'!$E$20/12)+'Calc'!$B$6,IF(Calc!$Y$53&lt;='财富模型'!$E$11*12,'Calc'!$W$15,'Calc'!$Y$15)))),0))</x:f>
      </x:c>
      <x:c r="AB53" t="e">
        <x:f>IF(Calc!$Y$53&gt;'Calc'!$B$8,"",IF('Calc'!$E$15=1,'财富模型'!$E$9,'财富模型'!$M$7+IF(Calc!$Y$53&lt;='财富模型'!$E$11*12,'Calc'!$W$15,'Calc'!$Y$15)-(IF('Calc'!$E$15=1,0,MIN(Calc!$AA$52*(1+'财富模型'!$E$20/12)+'Calc'!$B$6,IF(Calc!$Y$53&lt;='财富模型'!$E$11*12,'Calc'!$W$15,'Calc'!$Y$15))))))</x:f>
      </x:c>
      <x:c r="AC53" t="e">
        <x:f>IF(Calc!$Y$53&gt;'Calc'!$B$8,"",IF('Calc'!$E$15=1,0,MIN(Calc!$AA$52*(1+'财富模型'!$E$20/12)+'Calc'!$B$6,IF(Calc!$Y$53&lt;='财富模型'!$E$11*12,'Calc'!$W$15,'Calc'!$Y$15))))</x:f>
      </x:c>
      <x:c r="AD53" t="e">
        <x:f>IF(Calc!$Y$53&gt;'Calc'!$B$8,"",'Calc'!$B$5-'财富模型'!$E$5-(IF('Calc'!$E$15=1,'财富模型'!$E$9,'财富模型'!$M$7+IF(Calc!$Y$53&lt;='财富模型'!$E$11*12,'Calc'!$W$15,'Calc'!$Y$15)-(IF('Calc'!$E$15=1,0,MIN(Calc!$AA$52*(1+'财富模型'!$E$20/12)+'Calc'!$B$6,IF(Calc!$Y$53&lt;='财富模型'!$E$11*12,'Calc'!$W$15,'Calc'!$Y$15)))))))</x:f>
      </x:c>
      <x:c r="AE53" t="e">
        <x:f>IF(Calc!$Y$53&gt;'Calc'!$B$8,"",IF('Calc'!$E$15=1,0,MAX(Calc!$AE$52*(1+IF(Calc!$Y$53&lt;='财富模型'!$E$11*12,'财富模型'!$E$10,'财富模型'!$E$12)/12)-IF('Calc'!$E$15=1,0,IF(Calc!$Y$53&lt;='财富模型'!$E$11*12,'Calc'!$W$15,'Calc'!$Y$15)),0)))</x:f>
      </x:c>
      <x:c r="AG53" t="n">
        <x:v>32</x:v>
      </x:c>
      <x:c r="AH53" t="e">
        <x:f>IF(Calc!$AG$53&gt;'Calc'!$B$8,"",MAX(Calc!$AH$52*(1+'财富模型'!$E$6/12)+('Calc'!$B$5-'财富模型'!$E$5-(IF('Calc'!$E$16=1,'财富模型'!$E$9,'财富模型'!$M$8+IF(Calc!$AG$53&lt;='财富模型'!$E$11*12,'Calc'!$W$16,'Calc'!$Y$16)-(IF('Calc'!$E$16=1,0,MIN(Calc!$AI$52*(1+'财富模型'!$E$20/12)+'Calc'!$B$6,IF(Calc!$AG$53&lt;='财富模型'!$E$11*12,'Calc'!$W$16,'Calc'!$Y$16))))))),0))</x:f>
      </x:c>
      <x:c r="AI53" t="e">
        <x:f>IF(Calc!$AG$53&gt;'Calc'!$B$8,"",MAX(Calc!$AI$52*(1+'财富模型'!$E$20/12)+'Calc'!$B$6-(IF('Calc'!$E$16=1,0,MIN(Calc!$AI$52*(1+'财富模型'!$E$20/12)+'Calc'!$B$6,IF(Calc!$AG$53&lt;='财富模型'!$E$11*12,'Calc'!$W$16,'Calc'!$Y$16)))),0))</x:f>
      </x:c>
      <x:c r="AJ53" t="e">
        <x:f>IF(Calc!$AG$53&gt;'Calc'!$B$8,"",IF('Calc'!$E$16=1,'财富模型'!$E$9,'财富模型'!$M$8+IF(Calc!$AG$53&lt;='财富模型'!$E$11*12,'Calc'!$W$16,'Calc'!$Y$16)-(IF('Calc'!$E$16=1,0,MIN(Calc!$AI$52*(1+'财富模型'!$E$20/12)+'Calc'!$B$6,IF(Calc!$AG$53&lt;='财富模型'!$E$11*12,'Calc'!$W$16,'Calc'!$Y$16))))))</x:f>
      </x:c>
      <x:c r="AK53" t="e">
        <x:f>IF(Calc!$AG$53&gt;'Calc'!$B$8,"",IF('Calc'!$E$16=1,0,MIN(Calc!$AI$52*(1+'财富模型'!$E$20/12)+'Calc'!$B$6,IF(Calc!$AG$53&lt;='财富模型'!$E$11*12,'Calc'!$W$16,'Calc'!$Y$16))))</x:f>
      </x:c>
      <x:c r="AL53" t="e">
        <x:f>IF(Calc!$AG$53&gt;'Calc'!$B$8,"",'Calc'!$B$5-'财富模型'!$E$5-(IF('Calc'!$E$16=1,'财富模型'!$E$9,'财富模型'!$M$8+IF(Calc!$AG$53&lt;='财富模型'!$E$11*12,'Calc'!$W$16,'Calc'!$Y$16)-(IF('Calc'!$E$16=1,0,MIN(Calc!$AI$52*(1+'财富模型'!$E$20/12)+'Calc'!$B$6,IF(Calc!$AG$53&lt;='财富模型'!$E$11*12,'Calc'!$W$16,'Calc'!$Y$16)))))))</x:f>
      </x:c>
      <x:c r="AM53" t="e">
        <x:f>IF(Calc!$AG$53&gt;'Calc'!$B$8,"",IF('Calc'!$E$16=1,0,MAX(Calc!$AM$52*(1+IF(Calc!$AG$53&lt;='财富模型'!$E$11*12,'财富模型'!$E$10,'财富模型'!$E$12)/12)-IF('Calc'!$E$16=1,0,IF(Calc!$AG$53&lt;='财富模型'!$E$11*12,'Calc'!$W$16,'Calc'!$Y$16)),0)))</x:f>
      </x:c>
      <x:c r="AO53" t="n">
        <x:v>32</x:v>
      </x:c>
      <x:c r="AP53" t="n">
        <x:f>IF(Calc!$AO$53&gt;'Calc'!$B$8,"",MAX(Calc!$AP$52*(1+'财富模型'!$E$6/12)+('Calc'!$B$5-'财富模型'!$E$5-(IF('Calc'!$E$17=1,'财富模型'!$E$9,'财富模型'!$M$9+IF(Calc!$AO$53&lt;='财富模型'!$E$11*12,'Calc'!$W$17,'Calc'!$Y$17)-(IF('Calc'!$E$17=1,0,MIN(Calc!$AQ$52*(1+'财富模型'!$E$20/12)+'Calc'!$B$6,IF(Calc!$AO$53&lt;='财富模型'!$E$11*12,'Calc'!$W$17,'Calc'!$Y$17))))))),0))</x:f>
        <x:v>1095574.740432792</x:v>
      </x:c>
      <x:c r="AQ53" t="n">
        <x:f>IF(Calc!$AO$53&gt;'Calc'!$B$8,"",MAX(Calc!$AQ$52*(1+'财富模型'!$E$20/12)+'Calc'!$B$6-(IF('Calc'!$E$17=1,0,MIN(Calc!$AQ$52*(1+'财富模型'!$E$20/12)+'Calc'!$B$6,IF(Calc!$AO$53&lt;='财富模型'!$E$11*12,'Calc'!$W$17,'Calc'!$Y$17)))),0))</x:f>
        <x:v>94132.91760619087</x:v>
      </x:c>
      <x:c r="AR53" t="n">
        <x:f>IF(Calc!$AO$53&gt;'Calc'!$B$8,"",IF('Calc'!$E$17=1,'财富模型'!$E$9,'财富模型'!$M$9+IF(Calc!$AO$53&lt;='财富模型'!$E$11*12,'Calc'!$W$17,'Calc'!$Y$17)-(IF('Calc'!$E$17=1,0,MIN(Calc!$AQ$52*(1+'财富模型'!$E$20/12)+'Calc'!$B$6,IF(Calc!$AO$53&lt;='财富模型'!$E$11*12,'Calc'!$W$17,'Calc'!$Y$17))))))</x:f>
        <x:v>4000</x:v>
      </x:c>
      <x:c r="AS53" t="n">
        <x:f>IF(Calc!$AO$53&gt;'Calc'!$B$8,"",IF('Calc'!$E$17=1,0,MIN(Calc!$AQ$52*(1+'财富模型'!$E$20/12)+'Calc'!$B$6,IF(Calc!$AO$53&lt;='财富模型'!$E$11*12,'Calc'!$W$17,'Calc'!$Y$17))))</x:f>
        <x:v>0</x:v>
      </x:c>
      <x:c r="AT53" t="n">
        <x:f>IF(Calc!$AO$53&gt;'Calc'!$B$8,"",'Calc'!$B$5-'财富模型'!$E$5-(IF('Calc'!$E$17=1,'财富模型'!$E$9,'财富模型'!$M$9+IF(Calc!$AO$53&lt;='财富模型'!$E$11*12,'Calc'!$W$17,'Calc'!$Y$17)-(IF('Calc'!$E$17=1,0,MIN(Calc!$AQ$52*(1+'财富模型'!$E$20/12)+'Calc'!$B$6,IF(Calc!$AO$53&lt;='财富模型'!$E$11*12,'Calc'!$W$17,'Calc'!$Y$17)))))))</x:f>
        <x:v>3933.333333333332</x:v>
      </x:c>
      <x:c r="AU53" t="n">
        <x:f>IF(Calc!$AO$53&gt;'Calc'!$B$8,"",IF('Calc'!$E$17=1,0,MAX(Calc!$AU$52*(1+IF(Calc!$AO$53&lt;='财富模型'!$E$11*12,'财富模型'!$E$10,'财富模型'!$E$12)/12)-IF('Calc'!$E$17=1,0,IF(Calc!$AO$53&lt;='财富模型'!$E$11*12,'Calc'!$W$17,'Calc'!$Y$17)),0)))</x:f>
        <x:v>0</x:v>
      </x:c>
    </x:row>
    <x:row r="54">
      <x:c r="A54" t="n">
        <x:v>33</x:v>
      </x:c>
      <x:c r="B54" t="e">
        <x:f>IF(Calc!$A$54&gt;'Calc'!$B$8,"",MAX(Calc!$B$53*(1+'财富模型'!$E$6/12)+('Calc'!$B$5-'财富模型'!$E$5-(IF('Calc'!$E$12=1,'财富模型'!$E$9,'财富模型'!$M$4+IF(Calc!$A$54&lt;='财富模型'!$E$11*12,'Calc'!$W$12,'Calc'!$Y$12)-(IF('Calc'!$E$12=1,0,MIN(Calc!$C$53*(1+'财富模型'!$E$20/12)+'Calc'!$B$6,IF(Calc!$A$54&lt;='财富模型'!$E$11*12,'Calc'!$W$12,'Calc'!$Y$12))))))),0))</x:f>
      </x:c>
      <x:c r="C54" t="e">
        <x:f>IF(Calc!$A$54&gt;'Calc'!$B$8,"",MAX(Calc!$C$53*(1+'财富模型'!$E$20/12)+'Calc'!$B$6-(IF('Calc'!$E$12=1,0,MIN(Calc!$C$53*(1+'财富模型'!$E$20/12)+'Calc'!$B$6,IF(Calc!$A$54&lt;='财富模型'!$E$11*12,'Calc'!$W$12,'Calc'!$Y$12)))),0))</x:f>
      </x:c>
      <x:c r="D54" t="e">
        <x:f>IF(Calc!$A$54&gt;'Calc'!$B$8,"",IF('Calc'!$E$12=1,'财富模型'!$E$9,'财富模型'!$M$4+IF(Calc!$A$54&lt;='财富模型'!$E$11*12,'Calc'!$W$12,'Calc'!$Y$12)-(IF('Calc'!$E$12=1,0,MIN(Calc!$C$53*(1+'财富模型'!$E$20/12)+'Calc'!$B$6,IF(Calc!$A$54&lt;='财富模型'!$E$11*12,'Calc'!$W$12,'Calc'!$Y$12))))))</x:f>
      </x:c>
      <x:c r="E54" t="e">
        <x:f>IF(Calc!$A$54&gt;'Calc'!$B$8,"",IF('Calc'!$E$12=1,0,MIN(Calc!$C$53*(1+'财富模型'!$E$20/12)+'Calc'!$B$6,IF(Calc!$A$54&lt;='财富模型'!$E$11*12,'Calc'!$W$12,'Calc'!$Y$12))))</x:f>
      </x:c>
      <x:c r="F54" t="e">
        <x:f>IF(Calc!$A$54&gt;'Calc'!$B$8,"",'Calc'!$B$5-'财富模型'!$E$5-(IF('Calc'!$E$12=1,'财富模型'!$E$9,'财富模型'!$M$4+IF(Calc!$A$54&lt;='财富模型'!$E$11*12,'Calc'!$W$12,'Calc'!$Y$12)-(IF('Calc'!$E$12=1,0,MIN(Calc!$C$53*(1+'财富模型'!$E$20/12)+'Calc'!$B$6,IF(Calc!$A$54&lt;='财富模型'!$E$11*12,'Calc'!$W$12,'Calc'!$Y$12)))))))</x:f>
      </x:c>
      <x:c r="G54" t="e">
        <x:f>IF(Calc!$A$54&gt;'Calc'!$B$8,"",IF('Calc'!$E$12=1,0,MAX(Calc!$G$53*(1+IF(Calc!$A$54&lt;='财富模型'!$E$11*12,'财富模型'!$E$10,'财富模型'!$E$12)/12)-IF('Calc'!$E$12=1,0,IF(Calc!$A$54&lt;='财富模型'!$E$11*12,'Calc'!$W$12,'Calc'!$Y$12)),0)))</x:f>
      </x:c>
      <x:c r="I54" t="n">
        <x:v>33</x:v>
      </x:c>
      <x:c r="J54" t="e">
        <x:f>IF(Calc!$I$54&gt;'Calc'!$B$8,"",MAX(Calc!$J$53*(1+'财富模型'!$E$6/12)+('Calc'!$B$5-'财富模型'!$E$5-(IF('Calc'!$E$13=1,'财富模型'!$E$9,'财富模型'!$M$5+IF(Calc!$I$54&lt;='财富模型'!$E$11*12,'Calc'!$W$13,'Calc'!$Y$13)-(IF('Calc'!$E$13=1,0,MIN(Calc!$K$53*(1+'财富模型'!$E$20/12)+'Calc'!$B$6,IF(Calc!$I$54&lt;='财富模型'!$E$11*12,'Calc'!$W$13,'Calc'!$Y$13))))))),0))</x:f>
      </x:c>
      <x:c r="K54" t="e">
        <x:f>IF(Calc!$I$54&gt;'Calc'!$B$8,"",MAX(Calc!$K$53*(1+'财富模型'!$E$20/12)+'Calc'!$B$6-(IF('Calc'!$E$13=1,0,MIN(Calc!$K$53*(1+'财富模型'!$E$20/12)+'Calc'!$B$6,IF(Calc!$I$54&lt;='财富模型'!$E$11*12,'Calc'!$W$13,'Calc'!$Y$13)))),0))</x:f>
      </x:c>
      <x:c r="L54" t="e">
        <x:f>IF(Calc!$I$54&gt;'Calc'!$B$8,"",IF('Calc'!$E$13=1,'财富模型'!$E$9,'财富模型'!$M$5+IF(Calc!$I$54&lt;='财富模型'!$E$11*12,'Calc'!$W$13,'Calc'!$Y$13)-(IF('Calc'!$E$13=1,0,MIN(Calc!$K$53*(1+'财富模型'!$E$20/12)+'Calc'!$B$6,IF(Calc!$I$54&lt;='财富模型'!$E$11*12,'Calc'!$W$13,'Calc'!$Y$13))))))</x:f>
      </x:c>
      <x:c r="M54" t="e">
        <x:f>IF(Calc!$I$54&gt;'Calc'!$B$8,"",IF('Calc'!$E$13=1,0,MIN(Calc!$K$53*(1+'财富模型'!$E$20/12)+'Calc'!$B$6,IF(Calc!$I$54&lt;='财富模型'!$E$11*12,'Calc'!$W$13,'Calc'!$Y$13))))</x:f>
      </x:c>
      <x:c r="N54" t="e">
        <x:f>IF(Calc!$I$54&gt;'Calc'!$B$8,"",'Calc'!$B$5-'财富模型'!$E$5-(IF('Calc'!$E$13=1,'财富模型'!$E$9,'财富模型'!$M$5+IF(Calc!$I$54&lt;='财富模型'!$E$11*12,'Calc'!$W$13,'Calc'!$Y$13)-(IF('Calc'!$E$13=1,0,MIN(Calc!$K$53*(1+'财富模型'!$E$20/12)+'Calc'!$B$6,IF(Calc!$I$54&lt;='财富模型'!$E$11*12,'Calc'!$W$13,'Calc'!$Y$13)))))))</x:f>
      </x:c>
      <x:c r="O54" t="e">
        <x:f>IF(Calc!$I$54&gt;'Calc'!$B$8,"",IF('Calc'!$E$13=1,0,MAX(Calc!$O$53*(1+IF(Calc!$I$54&lt;='财富模型'!$E$11*12,'财富模型'!$E$10,'财富模型'!$E$12)/12)-IF('Calc'!$E$13=1,0,IF(Calc!$I$54&lt;='财富模型'!$E$11*12,'Calc'!$W$13,'Calc'!$Y$13)),0)))</x:f>
      </x:c>
      <x:c r="Q54" t="n">
        <x:v>33</x:v>
      </x:c>
      <x:c r="R54" t="e">
        <x:f>IF(Calc!$Q$54&gt;'Calc'!$B$8,"",MAX(Calc!$R$53*(1+'财富模型'!$E$6/12)+('Calc'!$B$5-'财富模型'!$E$5-(IF('Calc'!$E$14=1,'财富模型'!$E$9,'财富模型'!$M$6+IF(Calc!$Q$54&lt;='财富模型'!$E$11*12,'Calc'!$W$14,'Calc'!$Y$14)-(IF('Calc'!$E$14=1,0,MIN(Calc!$S$53*(1+'财富模型'!$E$20/12)+'Calc'!$B$6,IF(Calc!$Q$54&lt;='财富模型'!$E$11*12,'Calc'!$W$14,'Calc'!$Y$14))))))),0))</x:f>
      </x:c>
      <x:c r="S54" t="e">
        <x:f>IF(Calc!$Q$54&gt;'Calc'!$B$8,"",MAX(Calc!$S$53*(1+'财富模型'!$E$20/12)+'Calc'!$B$6-(IF('Calc'!$E$14=1,0,MIN(Calc!$S$53*(1+'财富模型'!$E$20/12)+'Calc'!$B$6,IF(Calc!$Q$54&lt;='财富模型'!$E$11*12,'Calc'!$W$14,'Calc'!$Y$14)))),0))</x:f>
      </x:c>
      <x:c r="T54" t="e">
        <x:f>IF(Calc!$Q$54&gt;'Calc'!$B$8,"",IF('Calc'!$E$14=1,'财富模型'!$E$9,'财富模型'!$M$6+IF(Calc!$Q$54&lt;='财富模型'!$E$11*12,'Calc'!$W$14,'Calc'!$Y$14)-(IF('Calc'!$E$14=1,0,MIN(Calc!$S$53*(1+'财富模型'!$E$20/12)+'Calc'!$B$6,IF(Calc!$Q$54&lt;='财富模型'!$E$11*12,'Calc'!$W$14,'Calc'!$Y$14))))))</x:f>
      </x:c>
      <x:c r="U54" t="e">
        <x:f>IF(Calc!$Q$54&gt;'Calc'!$B$8,"",IF('Calc'!$E$14=1,0,MIN(Calc!$S$53*(1+'财富模型'!$E$20/12)+'Calc'!$B$6,IF(Calc!$Q$54&lt;='财富模型'!$E$11*12,'Calc'!$W$14,'Calc'!$Y$14))))</x:f>
      </x:c>
      <x:c r="V54" t="e">
        <x:f>IF(Calc!$Q$54&gt;'Calc'!$B$8,"",'Calc'!$B$5-'财富模型'!$E$5-(IF('Calc'!$E$14=1,'财富模型'!$E$9,'财富模型'!$M$6+IF(Calc!$Q$54&lt;='财富模型'!$E$11*12,'Calc'!$W$14,'Calc'!$Y$14)-(IF('Calc'!$E$14=1,0,MIN(Calc!$S$53*(1+'财富模型'!$E$20/12)+'Calc'!$B$6,IF(Calc!$Q$54&lt;='财富模型'!$E$11*12,'Calc'!$W$14,'Calc'!$Y$14)))))))</x:f>
      </x:c>
      <x:c r="W54" t="e">
        <x:f>IF(Calc!$Q$54&gt;'Calc'!$B$8,"",IF('Calc'!$E$14=1,0,MAX(Calc!$W$53*(1+IF(Calc!$Q$54&lt;='财富模型'!$E$11*12,'财富模型'!$E$10,'财富模型'!$E$12)/12)-IF('Calc'!$E$14=1,0,IF(Calc!$Q$54&lt;='财富模型'!$E$11*12,'Calc'!$W$14,'Calc'!$Y$14)),0)))</x:f>
      </x:c>
      <x:c r="Y54" t="n">
        <x:v>33</x:v>
      </x:c>
      <x:c r="Z54" t="e">
        <x:f>IF(Calc!$Y$54&gt;'Calc'!$B$8,"",MAX(Calc!$Z$53*(1+'财富模型'!$E$6/12)+('Calc'!$B$5-'财富模型'!$E$5-(IF('Calc'!$E$15=1,'财富模型'!$E$9,'财富模型'!$M$7+IF(Calc!$Y$54&lt;='财富模型'!$E$11*12,'Calc'!$W$15,'Calc'!$Y$15)-(IF('Calc'!$E$15=1,0,MIN(Calc!$AA$53*(1+'财富模型'!$E$20/12)+'Calc'!$B$6,IF(Calc!$Y$54&lt;='财富模型'!$E$11*12,'Calc'!$W$15,'Calc'!$Y$15))))))),0))</x:f>
      </x:c>
      <x:c r="AA54" t="e">
        <x:f>IF(Calc!$Y$54&gt;'Calc'!$B$8,"",MAX(Calc!$AA$53*(1+'财富模型'!$E$20/12)+'Calc'!$B$6-(IF('Calc'!$E$15=1,0,MIN(Calc!$AA$53*(1+'财富模型'!$E$20/12)+'Calc'!$B$6,IF(Calc!$Y$54&lt;='财富模型'!$E$11*12,'Calc'!$W$15,'Calc'!$Y$15)))),0))</x:f>
      </x:c>
      <x:c r="AB54" t="e">
        <x:f>IF(Calc!$Y$54&gt;'Calc'!$B$8,"",IF('Calc'!$E$15=1,'财富模型'!$E$9,'财富模型'!$M$7+IF(Calc!$Y$54&lt;='财富模型'!$E$11*12,'Calc'!$W$15,'Calc'!$Y$15)-(IF('Calc'!$E$15=1,0,MIN(Calc!$AA$53*(1+'财富模型'!$E$20/12)+'Calc'!$B$6,IF(Calc!$Y$54&lt;='财富模型'!$E$11*12,'Calc'!$W$15,'Calc'!$Y$15))))))</x:f>
      </x:c>
      <x:c r="AC54" t="e">
        <x:f>IF(Calc!$Y$54&gt;'Calc'!$B$8,"",IF('Calc'!$E$15=1,0,MIN(Calc!$AA$53*(1+'财富模型'!$E$20/12)+'Calc'!$B$6,IF(Calc!$Y$54&lt;='财富模型'!$E$11*12,'Calc'!$W$15,'Calc'!$Y$15))))</x:f>
      </x:c>
      <x:c r="AD54" t="e">
        <x:f>IF(Calc!$Y$54&gt;'Calc'!$B$8,"",'Calc'!$B$5-'财富模型'!$E$5-(IF('Calc'!$E$15=1,'财富模型'!$E$9,'财富模型'!$M$7+IF(Calc!$Y$54&lt;='财富模型'!$E$11*12,'Calc'!$W$15,'Calc'!$Y$15)-(IF('Calc'!$E$15=1,0,MIN(Calc!$AA$53*(1+'财富模型'!$E$20/12)+'Calc'!$B$6,IF(Calc!$Y$54&lt;='财富模型'!$E$11*12,'Calc'!$W$15,'Calc'!$Y$15)))))))</x:f>
      </x:c>
      <x:c r="AE54" t="e">
        <x:f>IF(Calc!$Y$54&gt;'Calc'!$B$8,"",IF('Calc'!$E$15=1,0,MAX(Calc!$AE$53*(1+IF(Calc!$Y$54&lt;='财富模型'!$E$11*12,'财富模型'!$E$10,'财富模型'!$E$12)/12)-IF('Calc'!$E$15=1,0,IF(Calc!$Y$54&lt;='财富模型'!$E$11*12,'Calc'!$W$15,'Calc'!$Y$15)),0)))</x:f>
      </x:c>
      <x:c r="AG54" t="n">
        <x:v>33</x:v>
      </x:c>
      <x:c r="AH54" t="e">
        <x:f>IF(Calc!$AG$54&gt;'Calc'!$B$8,"",MAX(Calc!$AH$53*(1+'财富模型'!$E$6/12)+('Calc'!$B$5-'财富模型'!$E$5-(IF('Calc'!$E$16=1,'财富模型'!$E$9,'财富模型'!$M$8+IF(Calc!$AG$54&lt;='财富模型'!$E$11*12,'Calc'!$W$16,'Calc'!$Y$16)-(IF('Calc'!$E$16=1,0,MIN(Calc!$AI$53*(1+'财富模型'!$E$20/12)+'Calc'!$B$6,IF(Calc!$AG$54&lt;='财富模型'!$E$11*12,'Calc'!$W$16,'Calc'!$Y$16))))))),0))</x:f>
      </x:c>
      <x:c r="AI54" t="e">
        <x:f>IF(Calc!$AG$54&gt;'Calc'!$B$8,"",MAX(Calc!$AI$53*(1+'财富模型'!$E$20/12)+'Calc'!$B$6-(IF('Calc'!$E$16=1,0,MIN(Calc!$AI$53*(1+'财富模型'!$E$20/12)+'Calc'!$B$6,IF(Calc!$AG$54&lt;='财富模型'!$E$11*12,'Calc'!$W$16,'Calc'!$Y$16)))),0))</x:f>
      </x:c>
      <x:c r="AJ54" t="e">
        <x:f>IF(Calc!$AG$54&gt;'Calc'!$B$8,"",IF('Calc'!$E$16=1,'财富模型'!$E$9,'财富模型'!$M$8+IF(Calc!$AG$54&lt;='财富模型'!$E$11*12,'Calc'!$W$16,'Calc'!$Y$16)-(IF('Calc'!$E$16=1,0,MIN(Calc!$AI$53*(1+'财富模型'!$E$20/12)+'Calc'!$B$6,IF(Calc!$AG$54&lt;='财富模型'!$E$11*12,'Calc'!$W$16,'Calc'!$Y$16))))))</x:f>
      </x:c>
      <x:c r="AK54" t="e">
        <x:f>IF(Calc!$AG$54&gt;'Calc'!$B$8,"",IF('Calc'!$E$16=1,0,MIN(Calc!$AI$53*(1+'财富模型'!$E$20/12)+'Calc'!$B$6,IF(Calc!$AG$54&lt;='财富模型'!$E$11*12,'Calc'!$W$16,'Calc'!$Y$16))))</x:f>
      </x:c>
      <x:c r="AL54" t="e">
        <x:f>IF(Calc!$AG$54&gt;'Calc'!$B$8,"",'Calc'!$B$5-'财富模型'!$E$5-(IF('Calc'!$E$16=1,'财富模型'!$E$9,'财富模型'!$M$8+IF(Calc!$AG$54&lt;='财富模型'!$E$11*12,'Calc'!$W$16,'Calc'!$Y$16)-(IF('Calc'!$E$16=1,0,MIN(Calc!$AI$53*(1+'财富模型'!$E$20/12)+'Calc'!$B$6,IF(Calc!$AG$54&lt;='财富模型'!$E$11*12,'Calc'!$W$16,'Calc'!$Y$16)))))))</x:f>
      </x:c>
      <x:c r="AM54" t="e">
        <x:f>IF(Calc!$AG$54&gt;'Calc'!$B$8,"",IF('Calc'!$E$16=1,0,MAX(Calc!$AM$53*(1+IF(Calc!$AG$54&lt;='财富模型'!$E$11*12,'财富模型'!$E$10,'财富模型'!$E$12)/12)-IF('Calc'!$E$16=1,0,IF(Calc!$AG$54&lt;='财富模型'!$E$11*12,'Calc'!$W$16,'Calc'!$Y$16)),0)))</x:f>
      </x:c>
      <x:c r="AO54" t="n">
        <x:v>33</x:v>
      </x:c>
      <x:c r="AP54" t="n">
        <x:f>IF(Calc!$AO$54&gt;'Calc'!$B$8,"",MAX(Calc!$AP$53*(1+'财富模型'!$E$6/12)+('Calc'!$B$5-'财富模型'!$E$5-(IF('Calc'!$E$17=1,'财富模型'!$E$9,'财富模型'!$M$9+IF(Calc!$AO$54&lt;='财富模型'!$E$11*12,'Calc'!$W$17,'Calc'!$Y$17)-(IF('Calc'!$E$17=1,0,MIN(Calc!$AQ$53*(1+'财富模型'!$E$20/12)+'Calc'!$B$6,IF(Calc!$AO$54&lt;='财富模型'!$E$11*12,'Calc'!$W$17,'Calc'!$Y$17))))))),0))</x:f>
        <x:v>1105898.92641865</x:v>
      </x:c>
      <x:c r="AQ54" t="n">
        <x:f>IF(Calc!$AO$54&gt;'Calc'!$B$8,"",MAX(Calc!$AQ$53*(1+'财富模型'!$E$20/12)+'Calc'!$B$6-(IF('Calc'!$E$17=1,0,MIN(Calc!$AQ$53*(1+'财富模型'!$E$20/12)+'Calc'!$B$6,IF(Calc!$AO$54&lt;='财富模型'!$E$11*12,'Calc'!$W$17,'Calc'!$Y$17)))),0))</x:f>
        <x:v>97176.77785120378</x:v>
      </x:c>
      <x:c r="AR54" t="n">
        <x:f>IF(Calc!$AO$54&gt;'Calc'!$B$8,"",IF('Calc'!$E$17=1,'财富模型'!$E$9,'财富模型'!$M$9+IF(Calc!$AO$54&lt;='财富模型'!$E$11*12,'Calc'!$W$17,'Calc'!$Y$17)-(IF('Calc'!$E$17=1,0,MIN(Calc!$AQ$53*(1+'财富模型'!$E$20/12)+'Calc'!$B$6,IF(Calc!$AO$54&lt;='财富模型'!$E$11*12,'Calc'!$W$17,'Calc'!$Y$17))))))</x:f>
        <x:v>4000</x:v>
      </x:c>
      <x:c r="AS54" t="n">
        <x:f>IF(Calc!$AO$54&gt;'Calc'!$B$8,"",IF('Calc'!$E$17=1,0,MIN(Calc!$AQ$53*(1+'财富模型'!$E$20/12)+'Calc'!$B$6,IF(Calc!$AO$54&lt;='财富模型'!$E$11*12,'Calc'!$W$17,'Calc'!$Y$17))))</x:f>
        <x:v>0</x:v>
      </x:c>
      <x:c r="AT54" t="n">
        <x:f>IF(Calc!$AO$54&gt;'Calc'!$B$8,"",'Calc'!$B$5-'财富模型'!$E$5-(IF('Calc'!$E$17=1,'财富模型'!$E$9,'财富模型'!$M$9+IF(Calc!$AO$54&lt;='财富模型'!$E$11*12,'Calc'!$W$17,'Calc'!$Y$17)-(IF('Calc'!$E$17=1,0,MIN(Calc!$AQ$53*(1+'财富模型'!$E$20/12)+'Calc'!$B$6,IF(Calc!$AO$54&lt;='财富模型'!$E$11*12,'Calc'!$W$17,'Calc'!$Y$17)))))))</x:f>
        <x:v>3933.333333333332</x:v>
      </x:c>
      <x:c r="AU54" t="n">
        <x:f>IF(Calc!$AO$54&gt;'Calc'!$B$8,"",IF('Calc'!$E$17=1,0,MAX(Calc!$AU$53*(1+IF(Calc!$AO$54&lt;='财富模型'!$E$11*12,'财富模型'!$E$10,'财富模型'!$E$12)/12)-IF('Calc'!$E$17=1,0,IF(Calc!$AO$54&lt;='财富模型'!$E$11*12,'Calc'!$W$17,'Calc'!$Y$17)),0)))</x:f>
        <x:v>0</x:v>
      </x:c>
    </x:row>
    <x:row r="55">
      <x:c r="A55" t="n">
        <x:v>34</x:v>
      </x:c>
      <x:c r="B55" t="e">
        <x:f>IF(Calc!$A$55&gt;'Calc'!$B$8,"",MAX(Calc!$B$54*(1+'财富模型'!$E$6/12)+('Calc'!$B$5-'财富模型'!$E$5-(IF('Calc'!$E$12=1,'财富模型'!$E$9,'财富模型'!$M$4+IF(Calc!$A$55&lt;='财富模型'!$E$11*12,'Calc'!$W$12,'Calc'!$Y$12)-(IF('Calc'!$E$12=1,0,MIN(Calc!$C$54*(1+'财富模型'!$E$20/12)+'Calc'!$B$6,IF(Calc!$A$55&lt;='财富模型'!$E$11*12,'Calc'!$W$12,'Calc'!$Y$12))))))),0))</x:f>
      </x:c>
      <x:c r="C55" t="e">
        <x:f>IF(Calc!$A$55&gt;'Calc'!$B$8,"",MAX(Calc!$C$54*(1+'财富模型'!$E$20/12)+'Calc'!$B$6-(IF('Calc'!$E$12=1,0,MIN(Calc!$C$54*(1+'财富模型'!$E$20/12)+'Calc'!$B$6,IF(Calc!$A$55&lt;='财富模型'!$E$11*12,'Calc'!$W$12,'Calc'!$Y$12)))),0))</x:f>
      </x:c>
      <x:c r="D55" t="e">
        <x:f>IF(Calc!$A$55&gt;'Calc'!$B$8,"",IF('Calc'!$E$12=1,'财富模型'!$E$9,'财富模型'!$M$4+IF(Calc!$A$55&lt;='财富模型'!$E$11*12,'Calc'!$W$12,'Calc'!$Y$12)-(IF('Calc'!$E$12=1,0,MIN(Calc!$C$54*(1+'财富模型'!$E$20/12)+'Calc'!$B$6,IF(Calc!$A$55&lt;='财富模型'!$E$11*12,'Calc'!$W$12,'Calc'!$Y$12))))))</x:f>
      </x:c>
      <x:c r="E55" t="e">
        <x:f>IF(Calc!$A$55&gt;'Calc'!$B$8,"",IF('Calc'!$E$12=1,0,MIN(Calc!$C$54*(1+'财富模型'!$E$20/12)+'Calc'!$B$6,IF(Calc!$A$55&lt;='财富模型'!$E$11*12,'Calc'!$W$12,'Calc'!$Y$12))))</x:f>
      </x:c>
      <x:c r="F55" t="e">
        <x:f>IF(Calc!$A$55&gt;'Calc'!$B$8,"",'Calc'!$B$5-'财富模型'!$E$5-(IF('Calc'!$E$12=1,'财富模型'!$E$9,'财富模型'!$M$4+IF(Calc!$A$55&lt;='财富模型'!$E$11*12,'Calc'!$W$12,'Calc'!$Y$12)-(IF('Calc'!$E$12=1,0,MIN(Calc!$C$54*(1+'财富模型'!$E$20/12)+'Calc'!$B$6,IF(Calc!$A$55&lt;='财富模型'!$E$11*12,'Calc'!$W$12,'Calc'!$Y$12)))))))</x:f>
      </x:c>
      <x:c r="G55" t="e">
        <x:f>IF(Calc!$A$55&gt;'Calc'!$B$8,"",IF('Calc'!$E$12=1,0,MAX(Calc!$G$54*(1+IF(Calc!$A$55&lt;='财富模型'!$E$11*12,'财富模型'!$E$10,'财富模型'!$E$12)/12)-IF('Calc'!$E$12=1,0,IF(Calc!$A$55&lt;='财富模型'!$E$11*12,'Calc'!$W$12,'Calc'!$Y$12)),0)))</x:f>
      </x:c>
      <x:c r="I55" t="n">
        <x:v>34</x:v>
      </x:c>
      <x:c r="J55" t="e">
        <x:f>IF(Calc!$I$55&gt;'Calc'!$B$8,"",MAX(Calc!$J$54*(1+'财富模型'!$E$6/12)+('Calc'!$B$5-'财富模型'!$E$5-(IF('Calc'!$E$13=1,'财富模型'!$E$9,'财富模型'!$M$5+IF(Calc!$I$55&lt;='财富模型'!$E$11*12,'Calc'!$W$13,'Calc'!$Y$13)-(IF('Calc'!$E$13=1,0,MIN(Calc!$K$54*(1+'财富模型'!$E$20/12)+'Calc'!$B$6,IF(Calc!$I$55&lt;='财富模型'!$E$11*12,'Calc'!$W$13,'Calc'!$Y$13))))))),0))</x:f>
      </x:c>
      <x:c r="K55" t="e">
        <x:f>IF(Calc!$I$55&gt;'Calc'!$B$8,"",MAX(Calc!$K$54*(1+'财富模型'!$E$20/12)+'Calc'!$B$6-(IF('Calc'!$E$13=1,0,MIN(Calc!$K$54*(1+'财富模型'!$E$20/12)+'Calc'!$B$6,IF(Calc!$I$55&lt;='财富模型'!$E$11*12,'Calc'!$W$13,'Calc'!$Y$13)))),0))</x:f>
      </x:c>
      <x:c r="L55" t="e">
        <x:f>IF(Calc!$I$55&gt;'Calc'!$B$8,"",IF('Calc'!$E$13=1,'财富模型'!$E$9,'财富模型'!$M$5+IF(Calc!$I$55&lt;='财富模型'!$E$11*12,'Calc'!$W$13,'Calc'!$Y$13)-(IF('Calc'!$E$13=1,0,MIN(Calc!$K$54*(1+'财富模型'!$E$20/12)+'Calc'!$B$6,IF(Calc!$I$55&lt;='财富模型'!$E$11*12,'Calc'!$W$13,'Calc'!$Y$13))))))</x:f>
      </x:c>
      <x:c r="M55" t="e">
        <x:f>IF(Calc!$I$55&gt;'Calc'!$B$8,"",IF('Calc'!$E$13=1,0,MIN(Calc!$K$54*(1+'财富模型'!$E$20/12)+'Calc'!$B$6,IF(Calc!$I$55&lt;='财富模型'!$E$11*12,'Calc'!$W$13,'Calc'!$Y$13))))</x:f>
      </x:c>
      <x:c r="N55" t="e">
        <x:f>IF(Calc!$I$55&gt;'Calc'!$B$8,"",'Calc'!$B$5-'财富模型'!$E$5-(IF('Calc'!$E$13=1,'财富模型'!$E$9,'财富模型'!$M$5+IF(Calc!$I$55&lt;='财富模型'!$E$11*12,'Calc'!$W$13,'Calc'!$Y$13)-(IF('Calc'!$E$13=1,0,MIN(Calc!$K$54*(1+'财富模型'!$E$20/12)+'Calc'!$B$6,IF(Calc!$I$55&lt;='财富模型'!$E$11*12,'Calc'!$W$13,'Calc'!$Y$13)))))))</x:f>
      </x:c>
      <x:c r="O55" t="e">
        <x:f>IF(Calc!$I$55&gt;'Calc'!$B$8,"",IF('Calc'!$E$13=1,0,MAX(Calc!$O$54*(1+IF(Calc!$I$55&lt;='财富模型'!$E$11*12,'财富模型'!$E$10,'财富模型'!$E$12)/12)-IF('Calc'!$E$13=1,0,IF(Calc!$I$55&lt;='财富模型'!$E$11*12,'Calc'!$W$13,'Calc'!$Y$13)),0)))</x:f>
      </x:c>
      <x:c r="Q55" t="n">
        <x:v>34</x:v>
      </x:c>
      <x:c r="R55" t="e">
        <x:f>IF(Calc!$Q$55&gt;'Calc'!$B$8,"",MAX(Calc!$R$54*(1+'财富模型'!$E$6/12)+('Calc'!$B$5-'财富模型'!$E$5-(IF('Calc'!$E$14=1,'财富模型'!$E$9,'财富模型'!$M$6+IF(Calc!$Q$55&lt;='财富模型'!$E$11*12,'Calc'!$W$14,'Calc'!$Y$14)-(IF('Calc'!$E$14=1,0,MIN(Calc!$S$54*(1+'财富模型'!$E$20/12)+'Calc'!$B$6,IF(Calc!$Q$55&lt;='财富模型'!$E$11*12,'Calc'!$W$14,'Calc'!$Y$14))))))),0))</x:f>
      </x:c>
      <x:c r="S55" t="e">
        <x:f>IF(Calc!$Q$55&gt;'Calc'!$B$8,"",MAX(Calc!$S$54*(1+'财富模型'!$E$20/12)+'Calc'!$B$6-(IF('Calc'!$E$14=1,0,MIN(Calc!$S$54*(1+'财富模型'!$E$20/12)+'Calc'!$B$6,IF(Calc!$Q$55&lt;='财富模型'!$E$11*12,'Calc'!$W$14,'Calc'!$Y$14)))),0))</x:f>
      </x:c>
      <x:c r="T55" t="e">
        <x:f>IF(Calc!$Q$55&gt;'Calc'!$B$8,"",IF('Calc'!$E$14=1,'财富模型'!$E$9,'财富模型'!$M$6+IF(Calc!$Q$55&lt;='财富模型'!$E$11*12,'Calc'!$W$14,'Calc'!$Y$14)-(IF('Calc'!$E$14=1,0,MIN(Calc!$S$54*(1+'财富模型'!$E$20/12)+'Calc'!$B$6,IF(Calc!$Q$55&lt;='财富模型'!$E$11*12,'Calc'!$W$14,'Calc'!$Y$14))))))</x:f>
      </x:c>
      <x:c r="U55" t="e">
        <x:f>IF(Calc!$Q$55&gt;'Calc'!$B$8,"",IF('Calc'!$E$14=1,0,MIN(Calc!$S$54*(1+'财富模型'!$E$20/12)+'Calc'!$B$6,IF(Calc!$Q$55&lt;='财富模型'!$E$11*12,'Calc'!$W$14,'Calc'!$Y$14))))</x:f>
      </x:c>
      <x:c r="V55" t="e">
        <x:f>IF(Calc!$Q$55&gt;'Calc'!$B$8,"",'Calc'!$B$5-'财富模型'!$E$5-(IF('Calc'!$E$14=1,'财富模型'!$E$9,'财富模型'!$M$6+IF(Calc!$Q$55&lt;='财富模型'!$E$11*12,'Calc'!$W$14,'Calc'!$Y$14)-(IF('Calc'!$E$14=1,0,MIN(Calc!$S$54*(1+'财富模型'!$E$20/12)+'Calc'!$B$6,IF(Calc!$Q$55&lt;='财富模型'!$E$11*12,'Calc'!$W$14,'Calc'!$Y$14)))))))</x:f>
      </x:c>
      <x:c r="W55" t="e">
        <x:f>IF(Calc!$Q$55&gt;'Calc'!$B$8,"",IF('Calc'!$E$14=1,0,MAX(Calc!$W$54*(1+IF(Calc!$Q$55&lt;='财富模型'!$E$11*12,'财富模型'!$E$10,'财富模型'!$E$12)/12)-IF('Calc'!$E$14=1,0,IF(Calc!$Q$55&lt;='财富模型'!$E$11*12,'Calc'!$W$14,'Calc'!$Y$14)),0)))</x:f>
      </x:c>
      <x:c r="Y55" t="n">
        <x:v>34</x:v>
      </x:c>
      <x:c r="Z55" t="e">
        <x:f>IF(Calc!$Y$55&gt;'Calc'!$B$8,"",MAX(Calc!$Z$54*(1+'财富模型'!$E$6/12)+('Calc'!$B$5-'财富模型'!$E$5-(IF('Calc'!$E$15=1,'财富模型'!$E$9,'财富模型'!$M$7+IF(Calc!$Y$55&lt;='财富模型'!$E$11*12,'Calc'!$W$15,'Calc'!$Y$15)-(IF('Calc'!$E$15=1,0,MIN(Calc!$AA$54*(1+'财富模型'!$E$20/12)+'Calc'!$B$6,IF(Calc!$Y$55&lt;='财富模型'!$E$11*12,'Calc'!$W$15,'Calc'!$Y$15))))))),0))</x:f>
      </x:c>
      <x:c r="AA55" t="e">
        <x:f>IF(Calc!$Y$55&gt;'Calc'!$B$8,"",MAX(Calc!$AA$54*(1+'财富模型'!$E$20/12)+'Calc'!$B$6-(IF('Calc'!$E$15=1,0,MIN(Calc!$AA$54*(1+'财富模型'!$E$20/12)+'Calc'!$B$6,IF(Calc!$Y$55&lt;='财富模型'!$E$11*12,'Calc'!$W$15,'Calc'!$Y$15)))),0))</x:f>
      </x:c>
      <x:c r="AB55" t="e">
        <x:f>IF(Calc!$Y$55&gt;'Calc'!$B$8,"",IF('Calc'!$E$15=1,'财富模型'!$E$9,'财富模型'!$M$7+IF(Calc!$Y$55&lt;='财富模型'!$E$11*12,'Calc'!$W$15,'Calc'!$Y$15)-(IF('Calc'!$E$15=1,0,MIN(Calc!$AA$54*(1+'财富模型'!$E$20/12)+'Calc'!$B$6,IF(Calc!$Y$55&lt;='财富模型'!$E$11*12,'Calc'!$W$15,'Calc'!$Y$15))))))</x:f>
      </x:c>
      <x:c r="AC55" t="e">
        <x:f>IF(Calc!$Y$55&gt;'Calc'!$B$8,"",IF('Calc'!$E$15=1,0,MIN(Calc!$AA$54*(1+'财富模型'!$E$20/12)+'Calc'!$B$6,IF(Calc!$Y$55&lt;='财富模型'!$E$11*12,'Calc'!$W$15,'Calc'!$Y$15))))</x:f>
      </x:c>
      <x:c r="AD55" t="e">
        <x:f>IF(Calc!$Y$55&gt;'Calc'!$B$8,"",'Calc'!$B$5-'财富模型'!$E$5-(IF('Calc'!$E$15=1,'财富模型'!$E$9,'财富模型'!$M$7+IF(Calc!$Y$55&lt;='财富模型'!$E$11*12,'Calc'!$W$15,'Calc'!$Y$15)-(IF('Calc'!$E$15=1,0,MIN(Calc!$AA$54*(1+'财富模型'!$E$20/12)+'Calc'!$B$6,IF(Calc!$Y$55&lt;='财富模型'!$E$11*12,'Calc'!$W$15,'Calc'!$Y$15)))))))</x:f>
      </x:c>
      <x:c r="AE55" t="e">
        <x:f>IF(Calc!$Y$55&gt;'Calc'!$B$8,"",IF('Calc'!$E$15=1,0,MAX(Calc!$AE$54*(1+IF(Calc!$Y$55&lt;='财富模型'!$E$11*12,'财富模型'!$E$10,'财富模型'!$E$12)/12)-IF('Calc'!$E$15=1,0,IF(Calc!$Y$55&lt;='财富模型'!$E$11*12,'Calc'!$W$15,'Calc'!$Y$15)),0)))</x:f>
      </x:c>
      <x:c r="AG55" t="n">
        <x:v>34</x:v>
      </x:c>
      <x:c r="AH55" t="e">
        <x:f>IF(Calc!$AG$55&gt;'Calc'!$B$8,"",MAX(Calc!$AH$54*(1+'财富模型'!$E$6/12)+('Calc'!$B$5-'财富模型'!$E$5-(IF('Calc'!$E$16=1,'财富模型'!$E$9,'财富模型'!$M$8+IF(Calc!$AG$55&lt;='财富模型'!$E$11*12,'Calc'!$W$16,'Calc'!$Y$16)-(IF('Calc'!$E$16=1,0,MIN(Calc!$AI$54*(1+'财富模型'!$E$20/12)+'Calc'!$B$6,IF(Calc!$AG$55&lt;='财富模型'!$E$11*12,'Calc'!$W$16,'Calc'!$Y$16))))))),0))</x:f>
      </x:c>
      <x:c r="AI55" t="e">
        <x:f>IF(Calc!$AG$55&gt;'Calc'!$B$8,"",MAX(Calc!$AI$54*(1+'财富模型'!$E$20/12)+'Calc'!$B$6-(IF('Calc'!$E$16=1,0,MIN(Calc!$AI$54*(1+'财富模型'!$E$20/12)+'Calc'!$B$6,IF(Calc!$AG$55&lt;='财富模型'!$E$11*12,'Calc'!$W$16,'Calc'!$Y$16)))),0))</x:f>
      </x:c>
      <x:c r="AJ55" t="e">
        <x:f>IF(Calc!$AG$55&gt;'Calc'!$B$8,"",IF('Calc'!$E$16=1,'财富模型'!$E$9,'财富模型'!$M$8+IF(Calc!$AG$55&lt;='财富模型'!$E$11*12,'Calc'!$W$16,'Calc'!$Y$16)-(IF('Calc'!$E$16=1,0,MIN(Calc!$AI$54*(1+'财富模型'!$E$20/12)+'Calc'!$B$6,IF(Calc!$AG$55&lt;='财富模型'!$E$11*12,'Calc'!$W$16,'Calc'!$Y$16))))))</x:f>
      </x:c>
      <x:c r="AK55" t="e">
        <x:f>IF(Calc!$AG$55&gt;'Calc'!$B$8,"",IF('Calc'!$E$16=1,0,MIN(Calc!$AI$54*(1+'财富模型'!$E$20/12)+'Calc'!$B$6,IF(Calc!$AG$55&lt;='财富模型'!$E$11*12,'Calc'!$W$16,'Calc'!$Y$16))))</x:f>
      </x:c>
      <x:c r="AL55" t="e">
        <x:f>IF(Calc!$AG$55&gt;'Calc'!$B$8,"",'Calc'!$B$5-'财富模型'!$E$5-(IF('Calc'!$E$16=1,'财富模型'!$E$9,'财富模型'!$M$8+IF(Calc!$AG$55&lt;='财富模型'!$E$11*12,'Calc'!$W$16,'Calc'!$Y$16)-(IF('Calc'!$E$16=1,0,MIN(Calc!$AI$54*(1+'财富模型'!$E$20/12)+'Calc'!$B$6,IF(Calc!$AG$55&lt;='财富模型'!$E$11*12,'Calc'!$W$16,'Calc'!$Y$16)))))))</x:f>
      </x:c>
      <x:c r="AM55" t="e">
        <x:f>IF(Calc!$AG$55&gt;'Calc'!$B$8,"",IF('Calc'!$E$16=1,0,MAX(Calc!$AM$54*(1+IF(Calc!$AG$55&lt;='财富模型'!$E$11*12,'财富模型'!$E$10,'财富模型'!$E$12)/12)-IF('Calc'!$E$16=1,0,IF(Calc!$AG$55&lt;='财富模型'!$E$11*12,'Calc'!$W$16,'Calc'!$Y$16)),0)))</x:f>
      </x:c>
      <x:c r="AO55" t="n">
        <x:v>34</x:v>
      </x:c>
      <x:c r="AP55" t="n">
        <x:f>IF(Calc!$AO$55&gt;'Calc'!$B$8,"",MAX(Calc!$AP$54*(1+'财富模型'!$E$6/12)+('Calc'!$B$5-'财富模型'!$E$5-(IF('Calc'!$E$17=1,'财富模型'!$E$9,'财富模型'!$M$9+IF(Calc!$AO$55&lt;='财富模型'!$E$11*12,'Calc'!$W$17,'Calc'!$Y$17)-(IF('Calc'!$E$17=1,0,MIN(Calc!$AQ$54*(1+'财富模型'!$E$20/12)+'Calc'!$B$6,IF(Calc!$AO$55&lt;='财富模型'!$E$11*12,'Calc'!$W$17,'Calc'!$Y$17))))))),0))</x:f>
        <x:v>1116283.3368227587</x:v>
      </x:c>
      <x:c r="AQ55" t="n">
        <x:f>IF(Calc!$AO$55&gt;'Calc'!$B$8,"",MAX(Calc!$AQ$54*(1+'财富模型'!$E$20/12)+'Calc'!$B$6-(IF('Calc'!$E$17=1,0,MIN(Calc!$AQ$54*(1+'财富模型'!$E$20/12)+'Calc'!$B$6,IF(Calc!$AO$55&lt;='财富模型'!$E$11*12,'Calc'!$W$17,'Calc'!$Y$17)))),0))</x:f>
        <x:v>100226.97947172713</x:v>
      </x:c>
      <x:c r="AR55" t="n">
        <x:f>IF(Calc!$AO$55&gt;'Calc'!$B$8,"",IF('Calc'!$E$17=1,'财富模型'!$E$9,'财富模型'!$M$9+IF(Calc!$AO$55&lt;='财富模型'!$E$11*12,'Calc'!$W$17,'Calc'!$Y$17)-(IF('Calc'!$E$17=1,0,MIN(Calc!$AQ$54*(1+'财富模型'!$E$20/12)+'Calc'!$B$6,IF(Calc!$AO$55&lt;='财富模型'!$E$11*12,'Calc'!$W$17,'Calc'!$Y$17))))))</x:f>
        <x:v>4000</x:v>
      </x:c>
      <x:c r="AS55" t="n">
        <x:f>IF(Calc!$AO$55&gt;'Calc'!$B$8,"",IF('Calc'!$E$17=1,0,MIN(Calc!$AQ$54*(1+'财富模型'!$E$20/12)+'Calc'!$B$6,IF(Calc!$AO$55&lt;='财富模型'!$E$11*12,'Calc'!$W$17,'Calc'!$Y$17))))</x:f>
        <x:v>0</x:v>
      </x:c>
      <x:c r="AT55" t="n">
        <x:f>IF(Calc!$AO$55&gt;'Calc'!$B$8,"",'Calc'!$B$5-'财富模型'!$E$5-(IF('Calc'!$E$17=1,'财富模型'!$E$9,'财富模型'!$M$9+IF(Calc!$AO$55&lt;='财富模型'!$E$11*12,'Calc'!$W$17,'Calc'!$Y$17)-(IF('Calc'!$E$17=1,0,MIN(Calc!$AQ$54*(1+'财富模型'!$E$20/12)+'Calc'!$B$6,IF(Calc!$AO$55&lt;='财富模型'!$E$11*12,'Calc'!$W$17,'Calc'!$Y$17)))))))</x:f>
        <x:v>3933.333333333332</x:v>
      </x:c>
      <x:c r="AU55" t="n">
        <x:f>IF(Calc!$AO$55&gt;'Calc'!$B$8,"",IF('Calc'!$E$17=1,0,MAX(Calc!$AU$54*(1+IF(Calc!$AO$55&lt;='财富模型'!$E$11*12,'财富模型'!$E$10,'财富模型'!$E$12)/12)-IF('Calc'!$E$17=1,0,IF(Calc!$AO$55&lt;='财富模型'!$E$11*12,'Calc'!$W$17,'Calc'!$Y$17)),0)))</x:f>
        <x:v>0</x:v>
      </x:c>
    </x:row>
    <x:row r="56">
      <x:c r="A56" t="n">
        <x:v>35</x:v>
      </x:c>
      <x:c r="B56" t="e">
        <x:f>IF(Calc!$A$56&gt;'Calc'!$B$8,"",MAX(Calc!$B$55*(1+'财富模型'!$E$6/12)+('Calc'!$B$5-'财富模型'!$E$5-(IF('Calc'!$E$12=1,'财富模型'!$E$9,'财富模型'!$M$4+IF(Calc!$A$56&lt;='财富模型'!$E$11*12,'Calc'!$W$12,'Calc'!$Y$12)-(IF('Calc'!$E$12=1,0,MIN(Calc!$C$55*(1+'财富模型'!$E$20/12)+'Calc'!$B$6,IF(Calc!$A$56&lt;='财富模型'!$E$11*12,'Calc'!$W$12,'Calc'!$Y$12))))))),0))</x:f>
      </x:c>
      <x:c r="C56" t="e">
        <x:f>IF(Calc!$A$56&gt;'Calc'!$B$8,"",MAX(Calc!$C$55*(1+'财富模型'!$E$20/12)+'Calc'!$B$6-(IF('Calc'!$E$12=1,0,MIN(Calc!$C$55*(1+'财富模型'!$E$20/12)+'Calc'!$B$6,IF(Calc!$A$56&lt;='财富模型'!$E$11*12,'Calc'!$W$12,'Calc'!$Y$12)))),0))</x:f>
      </x:c>
      <x:c r="D56" t="e">
        <x:f>IF(Calc!$A$56&gt;'Calc'!$B$8,"",IF('Calc'!$E$12=1,'财富模型'!$E$9,'财富模型'!$M$4+IF(Calc!$A$56&lt;='财富模型'!$E$11*12,'Calc'!$W$12,'Calc'!$Y$12)-(IF('Calc'!$E$12=1,0,MIN(Calc!$C$55*(1+'财富模型'!$E$20/12)+'Calc'!$B$6,IF(Calc!$A$56&lt;='财富模型'!$E$11*12,'Calc'!$W$12,'Calc'!$Y$12))))))</x:f>
      </x:c>
      <x:c r="E56" t="e">
        <x:f>IF(Calc!$A$56&gt;'Calc'!$B$8,"",IF('Calc'!$E$12=1,0,MIN(Calc!$C$55*(1+'财富模型'!$E$20/12)+'Calc'!$B$6,IF(Calc!$A$56&lt;='财富模型'!$E$11*12,'Calc'!$W$12,'Calc'!$Y$12))))</x:f>
      </x:c>
      <x:c r="F56" t="e">
        <x:f>IF(Calc!$A$56&gt;'Calc'!$B$8,"",'Calc'!$B$5-'财富模型'!$E$5-(IF('Calc'!$E$12=1,'财富模型'!$E$9,'财富模型'!$M$4+IF(Calc!$A$56&lt;='财富模型'!$E$11*12,'Calc'!$W$12,'Calc'!$Y$12)-(IF('Calc'!$E$12=1,0,MIN(Calc!$C$55*(1+'财富模型'!$E$20/12)+'Calc'!$B$6,IF(Calc!$A$56&lt;='财富模型'!$E$11*12,'Calc'!$W$12,'Calc'!$Y$12)))))))</x:f>
      </x:c>
      <x:c r="G56" t="e">
        <x:f>IF(Calc!$A$56&gt;'Calc'!$B$8,"",IF('Calc'!$E$12=1,0,MAX(Calc!$G$55*(1+IF(Calc!$A$56&lt;='财富模型'!$E$11*12,'财富模型'!$E$10,'财富模型'!$E$12)/12)-IF('Calc'!$E$12=1,0,IF(Calc!$A$56&lt;='财富模型'!$E$11*12,'Calc'!$W$12,'Calc'!$Y$12)),0)))</x:f>
      </x:c>
      <x:c r="I56" t="n">
        <x:v>35</x:v>
      </x:c>
      <x:c r="J56" t="e">
        <x:f>IF(Calc!$I$56&gt;'Calc'!$B$8,"",MAX(Calc!$J$55*(1+'财富模型'!$E$6/12)+('Calc'!$B$5-'财富模型'!$E$5-(IF('Calc'!$E$13=1,'财富模型'!$E$9,'财富模型'!$M$5+IF(Calc!$I$56&lt;='财富模型'!$E$11*12,'Calc'!$W$13,'Calc'!$Y$13)-(IF('Calc'!$E$13=1,0,MIN(Calc!$K$55*(1+'财富模型'!$E$20/12)+'Calc'!$B$6,IF(Calc!$I$56&lt;='财富模型'!$E$11*12,'Calc'!$W$13,'Calc'!$Y$13))))))),0))</x:f>
      </x:c>
      <x:c r="K56" t="e">
        <x:f>IF(Calc!$I$56&gt;'Calc'!$B$8,"",MAX(Calc!$K$55*(1+'财富模型'!$E$20/12)+'Calc'!$B$6-(IF('Calc'!$E$13=1,0,MIN(Calc!$K$55*(1+'财富模型'!$E$20/12)+'Calc'!$B$6,IF(Calc!$I$56&lt;='财富模型'!$E$11*12,'Calc'!$W$13,'Calc'!$Y$13)))),0))</x:f>
      </x:c>
      <x:c r="L56" t="e">
        <x:f>IF(Calc!$I$56&gt;'Calc'!$B$8,"",IF('Calc'!$E$13=1,'财富模型'!$E$9,'财富模型'!$M$5+IF(Calc!$I$56&lt;='财富模型'!$E$11*12,'Calc'!$W$13,'Calc'!$Y$13)-(IF('Calc'!$E$13=1,0,MIN(Calc!$K$55*(1+'财富模型'!$E$20/12)+'Calc'!$B$6,IF(Calc!$I$56&lt;='财富模型'!$E$11*12,'Calc'!$W$13,'Calc'!$Y$13))))))</x:f>
      </x:c>
      <x:c r="M56" t="e">
        <x:f>IF(Calc!$I$56&gt;'Calc'!$B$8,"",IF('Calc'!$E$13=1,0,MIN(Calc!$K$55*(1+'财富模型'!$E$20/12)+'Calc'!$B$6,IF(Calc!$I$56&lt;='财富模型'!$E$11*12,'Calc'!$W$13,'Calc'!$Y$13))))</x:f>
      </x:c>
      <x:c r="N56" t="e">
        <x:f>IF(Calc!$I$56&gt;'Calc'!$B$8,"",'Calc'!$B$5-'财富模型'!$E$5-(IF('Calc'!$E$13=1,'财富模型'!$E$9,'财富模型'!$M$5+IF(Calc!$I$56&lt;='财富模型'!$E$11*12,'Calc'!$W$13,'Calc'!$Y$13)-(IF('Calc'!$E$13=1,0,MIN(Calc!$K$55*(1+'财富模型'!$E$20/12)+'Calc'!$B$6,IF(Calc!$I$56&lt;='财富模型'!$E$11*12,'Calc'!$W$13,'Calc'!$Y$13)))))))</x:f>
      </x:c>
      <x:c r="O56" t="e">
        <x:f>IF(Calc!$I$56&gt;'Calc'!$B$8,"",IF('Calc'!$E$13=1,0,MAX(Calc!$O$55*(1+IF(Calc!$I$56&lt;='财富模型'!$E$11*12,'财富模型'!$E$10,'财富模型'!$E$12)/12)-IF('Calc'!$E$13=1,0,IF(Calc!$I$56&lt;='财富模型'!$E$11*12,'Calc'!$W$13,'Calc'!$Y$13)),0)))</x:f>
      </x:c>
      <x:c r="Q56" t="n">
        <x:v>35</x:v>
      </x:c>
      <x:c r="R56" t="e">
        <x:f>IF(Calc!$Q$56&gt;'Calc'!$B$8,"",MAX(Calc!$R$55*(1+'财富模型'!$E$6/12)+('Calc'!$B$5-'财富模型'!$E$5-(IF('Calc'!$E$14=1,'财富模型'!$E$9,'财富模型'!$M$6+IF(Calc!$Q$56&lt;='财富模型'!$E$11*12,'Calc'!$W$14,'Calc'!$Y$14)-(IF('Calc'!$E$14=1,0,MIN(Calc!$S$55*(1+'财富模型'!$E$20/12)+'Calc'!$B$6,IF(Calc!$Q$56&lt;='财富模型'!$E$11*12,'Calc'!$W$14,'Calc'!$Y$14))))))),0))</x:f>
      </x:c>
      <x:c r="S56" t="e">
        <x:f>IF(Calc!$Q$56&gt;'Calc'!$B$8,"",MAX(Calc!$S$55*(1+'财富模型'!$E$20/12)+'Calc'!$B$6-(IF('Calc'!$E$14=1,0,MIN(Calc!$S$55*(1+'财富模型'!$E$20/12)+'Calc'!$B$6,IF(Calc!$Q$56&lt;='财富模型'!$E$11*12,'Calc'!$W$14,'Calc'!$Y$14)))),0))</x:f>
      </x:c>
      <x:c r="T56" t="e">
        <x:f>IF(Calc!$Q$56&gt;'Calc'!$B$8,"",IF('Calc'!$E$14=1,'财富模型'!$E$9,'财富模型'!$M$6+IF(Calc!$Q$56&lt;='财富模型'!$E$11*12,'Calc'!$W$14,'Calc'!$Y$14)-(IF('Calc'!$E$14=1,0,MIN(Calc!$S$55*(1+'财富模型'!$E$20/12)+'Calc'!$B$6,IF(Calc!$Q$56&lt;='财富模型'!$E$11*12,'Calc'!$W$14,'Calc'!$Y$14))))))</x:f>
      </x:c>
      <x:c r="U56" t="e">
        <x:f>IF(Calc!$Q$56&gt;'Calc'!$B$8,"",IF('Calc'!$E$14=1,0,MIN(Calc!$S$55*(1+'财富模型'!$E$20/12)+'Calc'!$B$6,IF(Calc!$Q$56&lt;='财富模型'!$E$11*12,'Calc'!$W$14,'Calc'!$Y$14))))</x:f>
      </x:c>
      <x:c r="V56" t="e">
        <x:f>IF(Calc!$Q$56&gt;'Calc'!$B$8,"",'Calc'!$B$5-'财富模型'!$E$5-(IF('Calc'!$E$14=1,'财富模型'!$E$9,'财富模型'!$M$6+IF(Calc!$Q$56&lt;='财富模型'!$E$11*12,'Calc'!$W$14,'Calc'!$Y$14)-(IF('Calc'!$E$14=1,0,MIN(Calc!$S$55*(1+'财富模型'!$E$20/12)+'Calc'!$B$6,IF(Calc!$Q$56&lt;='财富模型'!$E$11*12,'Calc'!$W$14,'Calc'!$Y$14)))))))</x:f>
      </x:c>
      <x:c r="W56" t="e">
        <x:f>IF(Calc!$Q$56&gt;'Calc'!$B$8,"",IF('Calc'!$E$14=1,0,MAX(Calc!$W$55*(1+IF(Calc!$Q$56&lt;='财富模型'!$E$11*12,'财富模型'!$E$10,'财富模型'!$E$12)/12)-IF('Calc'!$E$14=1,0,IF(Calc!$Q$56&lt;='财富模型'!$E$11*12,'Calc'!$W$14,'Calc'!$Y$14)),0)))</x:f>
      </x:c>
      <x:c r="Y56" t="n">
        <x:v>35</x:v>
      </x:c>
      <x:c r="Z56" t="e">
        <x:f>IF(Calc!$Y$56&gt;'Calc'!$B$8,"",MAX(Calc!$Z$55*(1+'财富模型'!$E$6/12)+('Calc'!$B$5-'财富模型'!$E$5-(IF('Calc'!$E$15=1,'财富模型'!$E$9,'财富模型'!$M$7+IF(Calc!$Y$56&lt;='财富模型'!$E$11*12,'Calc'!$W$15,'Calc'!$Y$15)-(IF('Calc'!$E$15=1,0,MIN(Calc!$AA$55*(1+'财富模型'!$E$20/12)+'Calc'!$B$6,IF(Calc!$Y$56&lt;='财富模型'!$E$11*12,'Calc'!$W$15,'Calc'!$Y$15))))))),0))</x:f>
      </x:c>
      <x:c r="AA56" t="e">
        <x:f>IF(Calc!$Y$56&gt;'Calc'!$B$8,"",MAX(Calc!$AA$55*(1+'财富模型'!$E$20/12)+'Calc'!$B$6-(IF('Calc'!$E$15=1,0,MIN(Calc!$AA$55*(1+'财富模型'!$E$20/12)+'Calc'!$B$6,IF(Calc!$Y$56&lt;='财富模型'!$E$11*12,'Calc'!$W$15,'Calc'!$Y$15)))),0))</x:f>
      </x:c>
      <x:c r="AB56" t="e">
        <x:f>IF(Calc!$Y$56&gt;'Calc'!$B$8,"",IF('Calc'!$E$15=1,'财富模型'!$E$9,'财富模型'!$M$7+IF(Calc!$Y$56&lt;='财富模型'!$E$11*12,'Calc'!$W$15,'Calc'!$Y$15)-(IF('Calc'!$E$15=1,0,MIN(Calc!$AA$55*(1+'财富模型'!$E$20/12)+'Calc'!$B$6,IF(Calc!$Y$56&lt;='财富模型'!$E$11*12,'Calc'!$W$15,'Calc'!$Y$15))))))</x:f>
      </x:c>
      <x:c r="AC56" t="e">
        <x:f>IF(Calc!$Y$56&gt;'Calc'!$B$8,"",IF('Calc'!$E$15=1,0,MIN(Calc!$AA$55*(1+'财富模型'!$E$20/12)+'Calc'!$B$6,IF(Calc!$Y$56&lt;='财富模型'!$E$11*12,'Calc'!$W$15,'Calc'!$Y$15))))</x:f>
      </x:c>
      <x:c r="AD56" t="e">
        <x:f>IF(Calc!$Y$56&gt;'Calc'!$B$8,"",'Calc'!$B$5-'财富模型'!$E$5-(IF('Calc'!$E$15=1,'财富模型'!$E$9,'财富模型'!$M$7+IF(Calc!$Y$56&lt;='财富模型'!$E$11*12,'Calc'!$W$15,'Calc'!$Y$15)-(IF('Calc'!$E$15=1,0,MIN(Calc!$AA$55*(1+'财富模型'!$E$20/12)+'Calc'!$B$6,IF(Calc!$Y$56&lt;='财富模型'!$E$11*12,'Calc'!$W$15,'Calc'!$Y$15)))))))</x:f>
      </x:c>
      <x:c r="AE56" t="e">
        <x:f>IF(Calc!$Y$56&gt;'Calc'!$B$8,"",IF('Calc'!$E$15=1,0,MAX(Calc!$AE$55*(1+IF(Calc!$Y$56&lt;='财富模型'!$E$11*12,'财富模型'!$E$10,'财富模型'!$E$12)/12)-IF('Calc'!$E$15=1,0,IF(Calc!$Y$56&lt;='财富模型'!$E$11*12,'Calc'!$W$15,'Calc'!$Y$15)),0)))</x:f>
      </x:c>
      <x:c r="AG56" t="n">
        <x:v>35</x:v>
      </x:c>
      <x:c r="AH56" t="e">
        <x:f>IF(Calc!$AG$56&gt;'Calc'!$B$8,"",MAX(Calc!$AH$55*(1+'财富模型'!$E$6/12)+('Calc'!$B$5-'财富模型'!$E$5-(IF('Calc'!$E$16=1,'财富模型'!$E$9,'财富模型'!$M$8+IF(Calc!$AG$56&lt;='财富模型'!$E$11*12,'Calc'!$W$16,'Calc'!$Y$16)-(IF('Calc'!$E$16=1,0,MIN(Calc!$AI$55*(1+'财富模型'!$E$20/12)+'Calc'!$B$6,IF(Calc!$AG$56&lt;='财富模型'!$E$11*12,'Calc'!$W$16,'Calc'!$Y$16))))))),0))</x:f>
      </x:c>
      <x:c r="AI56" t="e">
        <x:f>IF(Calc!$AG$56&gt;'Calc'!$B$8,"",MAX(Calc!$AI$55*(1+'财富模型'!$E$20/12)+'Calc'!$B$6-(IF('Calc'!$E$16=1,0,MIN(Calc!$AI$55*(1+'财富模型'!$E$20/12)+'Calc'!$B$6,IF(Calc!$AG$56&lt;='财富模型'!$E$11*12,'Calc'!$W$16,'Calc'!$Y$16)))),0))</x:f>
      </x:c>
      <x:c r="AJ56" t="e">
        <x:f>IF(Calc!$AG$56&gt;'Calc'!$B$8,"",IF('Calc'!$E$16=1,'财富模型'!$E$9,'财富模型'!$M$8+IF(Calc!$AG$56&lt;='财富模型'!$E$11*12,'Calc'!$W$16,'Calc'!$Y$16)-(IF('Calc'!$E$16=1,0,MIN(Calc!$AI$55*(1+'财富模型'!$E$20/12)+'Calc'!$B$6,IF(Calc!$AG$56&lt;='财富模型'!$E$11*12,'Calc'!$W$16,'Calc'!$Y$16))))))</x:f>
      </x:c>
      <x:c r="AK56" t="e">
        <x:f>IF(Calc!$AG$56&gt;'Calc'!$B$8,"",IF('Calc'!$E$16=1,0,MIN(Calc!$AI$55*(1+'财富模型'!$E$20/12)+'Calc'!$B$6,IF(Calc!$AG$56&lt;='财富模型'!$E$11*12,'Calc'!$W$16,'Calc'!$Y$16))))</x:f>
      </x:c>
      <x:c r="AL56" t="e">
        <x:f>IF(Calc!$AG$56&gt;'Calc'!$B$8,"",'Calc'!$B$5-'财富模型'!$E$5-(IF('Calc'!$E$16=1,'财富模型'!$E$9,'财富模型'!$M$8+IF(Calc!$AG$56&lt;='财富模型'!$E$11*12,'Calc'!$W$16,'Calc'!$Y$16)-(IF('Calc'!$E$16=1,0,MIN(Calc!$AI$55*(1+'财富模型'!$E$20/12)+'Calc'!$B$6,IF(Calc!$AG$56&lt;='财富模型'!$E$11*12,'Calc'!$W$16,'Calc'!$Y$16)))))))</x:f>
      </x:c>
      <x:c r="AM56" t="e">
        <x:f>IF(Calc!$AG$56&gt;'Calc'!$B$8,"",IF('Calc'!$E$16=1,0,MAX(Calc!$AM$55*(1+IF(Calc!$AG$56&lt;='财富模型'!$E$11*12,'财富模型'!$E$10,'财富模型'!$E$12)/12)-IF('Calc'!$E$16=1,0,IF(Calc!$AG$56&lt;='财富模型'!$E$11*12,'Calc'!$W$16,'Calc'!$Y$16)),0)))</x:f>
      </x:c>
      <x:c r="AO56" t="n">
        <x:v>35</x:v>
      </x:c>
      <x:c r="AP56" t="n">
        <x:f>IF(Calc!$AO$56&gt;'Calc'!$B$8,"",MAX(Calc!$AP$55*(1+'财富模型'!$E$6/12)+('Calc'!$B$5-'财富模型'!$E$5-(IF('Calc'!$E$17=1,'财富模型'!$E$9,'财富模型'!$M$9+IF(Calc!$AO$56&lt;='财富模型'!$E$11*12,'Calc'!$W$17,'Calc'!$Y$17)-(IF('Calc'!$E$17=1,0,MIN(Calc!$AQ$55*(1+'财富模型'!$E$20/12)+'Calc'!$B$6,IF(Calc!$AO$56&lt;='财富模型'!$E$11*12,'Calc'!$W$17,'Calc'!$Y$17))))))),0))</x:f>
        <x:v>1126728.3229542247</x:v>
      </x:c>
      <x:c r="AQ56" t="n">
        <x:f>IF(Calc!$AO$56&gt;'Calc'!$B$8,"",MAX(Calc!$AQ$55*(1+'财富模型'!$E$20/12)+'Calc'!$B$6-(IF('Calc'!$E$17=1,0,MIN(Calc!$AQ$55*(1+'财富模型'!$E$20/12)+'Calc'!$B$6,IF(Calc!$AO$56&lt;='财富模型'!$E$11*12,'Calc'!$W$17,'Calc'!$Y$17)))),0))</x:f>
        <x:v>103283.5356789599</x:v>
      </x:c>
      <x:c r="AR56" t="n">
        <x:f>IF(Calc!$AO$56&gt;'Calc'!$B$8,"",IF('Calc'!$E$17=1,'财富模型'!$E$9,'财富模型'!$M$9+IF(Calc!$AO$56&lt;='财富模型'!$E$11*12,'Calc'!$W$17,'Calc'!$Y$17)-(IF('Calc'!$E$17=1,0,MIN(Calc!$AQ$55*(1+'财富模型'!$E$20/12)+'Calc'!$B$6,IF(Calc!$AO$56&lt;='财富模型'!$E$11*12,'Calc'!$W$17,'Calc'!$Y$17))))))</x:f>
        <x:v>4000</x:v>
      </x:c>
      <x:c r="AS56" t="n">
        <x:f>IF(Calc!$AO$56&gt;'Calc'!$B$8,"",IF('Calc'!$E$17=1,0,MIN(Calc!$AQ$55*(1+'财富模型'!$E$20/12)+'Calc'!$B$6,IF(Calc!$AO$56&lt;='财富模型'!$E$11*12,'Calc'!$W$17,'Calc'!$Y$17))))</x:f>
        <x:v>0</x:v>
      </x:c>
      <x:c r="AT56" t="n">
        <x:f>IF(Calc!$AO$56&gt;'Calc'!$B$8,"",'Calc'!$B$5-'财富模型'!$E$5-(IF('Calc'!$E$17=1,'财富模型'!$E$9,'财富模型'!$M$9+IF(Calc!$AO$56&lt;='财富模型'!$E$11*12,'Calc'!$W$17,'Calc'!$Y$17)-(IF('Calc'!$E$17=1,0,MIN(Calc!$AQ$55*(1+'财富模型'!$E$20/12)+'Calc'!$B$6,IF(Calc!$AO$56&lt;='财富模型'!$E$11*12,'Calc'!$W$17,'Calc'!$Y$17)))))))</x:f>
        <x:v>3933.333333333332</x:v>
      </x:c>
      <x:c r="AU56" t="n">
        <x:f>IF(Calc!$AO$56&gt;'Calc'!$B$8,"",IF('Calc'!$E$17=1,0,MAX(Calc!$AU$55*(1+IF(Calc!$AO$56&lt;='财富模型'!$E$11*12,'财富模型'!$E$10,'财富模型'!$E$12)/12)-IF('Calc'!$E$17=1,0,IF(Calc!$AO$56&lt;='财富模型'!$E$11*12,'Calc'!$W$17,'Calc'!$Y$17)),0)))</x:f>
        <x:v>0</x:v>
      </x:c>
    </x:row>
    <x:row r="57">
      <x:c r="A57" t="n">
        <x:v>36</x:v>
      </x:c>
      <x:c r="B57" t="e">
        <x:f>IF(Calc!$A$57&gt;'Calc'!$B$8,"",MAX(Calc!$B$56*(1+'财富模型'!$E$6/12)+('Calc'!$B$5-'财富模型'!$E$5-(IF('Calc'!$E$12=1,'财富模型'!$E$9,'财富模型'!$M$4+IF(Calc!$A$57&lt;='财富模型'!$E$11*12,'Calc'!$W$12,'Calc'!$Y$12)-(IF('Calc'!$E$12=1,0,MIN(Calc!$C$56*(1+'财富模型'!$E$20/12)+'Calc'!$B$6,IF(Calc!$A$57&lt;='财富模型'!$E$11*12,'Calc'!$W$12,'Calc'!$Y$12))))))),0))</x:f>
      </x:c>
      <x:c r="C57" t="e">
        <x:f>IF(Calc!$A$57&gt;'Calc'!$B$8,"",MAX(Calc!$C$56*(1+'财富模型'!$E$20/12)+'Calc'!$B$6-(IF('Calc'!$E$12=1,0,MIN(Calc!$C$56*(1+'财富模型'!$E$20/12)+'Calc'!$B$6,IF(Calc!$A$57&lt;='财富模型'!$E$11*12,'Calc'!$W$12,'Calc'!$Y$12)))),0))</x:f>
      </x:c>
      <x:c r="D57" t="e">
        <x:f>IF(Calc!$A$57&gt;'Calc'!$B$8,"",IF('Calc'!$E$12=1,'财富模型'!$E$9,'财富模型'!$M$4+IF(Calc!$A$57&lt;='财富模型'!$E$11*12,'Calc'!$W$12,'Calc'!$Y$12)-(IF('Calc'!$E$12=1,0,MIN(Calc!$C$56*(1+'财富模型'!$E$20/12)+'Calc'!$B$6,IF(Calc!$A$57&lt;='财富模型'!$E$11*12,'Calc'!$W$12,'Calc'!$Y$12))))))</x:f>
      </x:c>
      <x:c r="E57" t="e">
        <x:f>IF(Calc!$A$57&gt;'Calc'!$B$8,"",IF('Calc'!$E$12=1,0,MIN(Calc!$C$56*(1+'财富模型'!$E$20/12)+'Calc'!$B$6,IF(Calc!$A$57&lt;='财富模型'!$E$11*12,'Calc'!$W$12,'Calc'!$Y$12))))</x:f>
      </x:c>
      <x:c r="F57" t="e">
        <x:f>IF(Calc!$A$57&gt;'Calc'!$B$8,"",'Calc'!$B$5-'财富模型'!$E$5-(IF('Calc'!$E$12=1,'财富模型'!$E$9,'财富模型'!$M$4+IF(Calc!$A$57&lt;='财富模型'!$E$11*12,'Calc'!$W$12,'Calc'!$Y$12)-(IF('Calc'!$E$12=1,0,MIN(Calc!$C$56*(1+'财富模型'!$E$20/12)+'Calc'!$B$6,IF(Calc!$A$57&lt;='财富模型'!$E$11*12,'Calc'!$W$12,'Calc'!$Y$12)))))))</x:f>
      </x:c>
      <x:c r="G57" t="e">
        <x:f>IF(Calc!$A$57&gt;'Calc'!$B$8,"",IF('Calc'!$E$12=1,0,MAX(Calc!$G$56*(1+IF(Calc!$A$57&lt;='财富模型'!$E$11*12,'财富模型'!$E$10,'财富模型'!$E$12)/12)-IF('Calc'!$E$12=1,0,IF(Calc!$A$57&lt;='财富模型'!$E$11*12,'Calc'!$W$12,'Calc'!$Y$12)),0)))</x:f>
      </x:c>
      <x:c r="I57" t="n">
        <x:v>36</x:v>
      </x:c>
      <x:c r="J57" t="e">
        <x:f>IF(Calc!$I$57&gt;'Calc'!$B$8,"",MAX(Calc!$J$56*(1+'财富模型'!$E$6/12)+('Calc'!$B$5-'财富模型'!$E$5-(IF('Calc'!$E$13=1,'财富模型'!$E$9,'财富模型'!$M$5+IF(Calc!$I$57&lt;='财富模型'!$E$11*12,'Calc'!$W$13,'Calc'!$Y$13)-(IF('Calc'!$E$13=1,0,MIN(Calc!$K$56*(1+'财富模型'!$E$20/12)+'Calc'!$B$6,IF(Calc!$I$57&lt;='财富模型'!$E$11*12,'Calc'!$W$13,'Calc'!$Y$13))))))),0))</x:f>
      </x:c>
      <x:c r="K57" t="e">
        <x:f>IF(Calc!$I$57&gt;'Calc'!$B$8,"",MAX(Calc!$K$56*(1+'财富模型'!$E$20/12)+'Calc'!$B$6-(IF('Calc'!$E$13=1,0,MIN(Calc!$K$56*(1+'财富模型'!$E$20/12)+'Calc'!$B$6,IF(Calc!$I$57&lt;='财富模型'!$E$11*12,'Calc'!$W$13,'Calc'!$Y$13)))),0))</x:f>
      </x:c>
      <x:c r="L57" t="e">
        <x:f>IF(Calc!$I$57&gt;'Calc'!$B$8,"",IF('Calc'!$E$13=1,'财富模型'!$E$9,'财富模型'!$M$5+IF(Calc!$I$57&lt;='财富模型'!$E$11*12,'Calc'!$W$13,'Calc'!$Y$13)-(IF('Calc'!$E$13=1,0,MIN(Calc!$K$56*(1+'财富模型'!$E$20/12)+'Calc'!$B$6,IF(Calc!$I$57&lt;='财富模型'!$E$11*12,'Calc'!$W$13,'Calc'!$Y$13))))))</x:f>
      </x:c>
      <x:c r="M57" t="e">
        <x:f>IF(Calc!$I$57&gt;'Calc'!$B$8,"",IF('Calc'!$E$13=1,0,MIN(Calc!$K$56*(1+'财富模型'!$E$20/12)+'Calc'!$B$6,IF(Calc!$I$57&lt;='财富模型'!$E$11*12,'Calc'!$W$13,'Calc'!$Y$13))))</x:f>
      </x:c>
      <x:c r="N57" t="e">
        <x:f>IF(Calc!$I$57&gt;'Calc'!$B$8,"",'Calc'!$B$5-'财富模型'!$E$5-(IF('Calc'!$E$13=1,'财富模型'!$E$9,'财富模型'!$M$5+IF(Calc!$I$57&lt;='财富模型'!$E$11*12,'Calc'!$W$13,'Calc'!$Y$13)-(IF('Calc'!$E$13=1,0,MIN(Calc!$K$56*(1+'财富模型'!$E$20/12)+'Calc'!$B$6,IF(Calc!$I$57&lt;='财富模型'!$E$11*12,'Calc'!$W$13,'Calc'!$Y$13)))))))</x:f>
      </x:c>
      <x:c r="O57" t="e">
        <x:f>IF(Calc!$I$57&gt;'Calc'!$B$8,"",IF('Calc'!$E$13=1,0,MAX(Calc!$O$56*(1+IF(Calc!$I$57&lt;='财富模型'!$E$11*12,'财富模型'!$E$10,'财富模型'!$E$12)/12)-IF('Calc'!$E$13=1,0,IF(Calc!$I$57&lt;='财富模型'!$E$11*12,'Calc'!$W$13,'Calc'!$Y$13)),0)))</x:f>
      </x:c>
      <x:c r="Q57" t="n">
        <x:v>36</x:v>
      </x:c>
      <x:c r="R57" t="e">
        <x:f>IF(Calc!$Q$57&gt;'Calc'!$B$8,"",MAX(Calc!$R$56*(1+'财富模型'!$E$6/12)+('Calc'!$B$5-'财富模型'!$E$5-(IF('Calc'!$E$14=1,'财富模型'!$E$9,'财富模型'!$M$6+IF(Calc!$Q$57&lt;='财富模型'!$E$11*12,'Calc'!$W$14,'Calc'!$Y$14)-(IF('Calc'!$E$14=1,0,MIN(Calc!$S$56*(1+'财富模型'!$E$20/12)+'Calc'!$B$6,IF(Calc!$Q$57&lt;='财富模型'!$E$11*12,'Calc'!$W$14,'Calc'!$Y$14))))))),0))</x:f>
      </x:c>
      <x:c r="S57" t="e">
        <x:f>IF(Calc!$Q$57&gt;'Calc'!$B$8,"",MAX(Calc!$S$56*(1+'财富模型'!$E$20/12)+'Calc'!$B$6-(IF('Calc'!$E$14=1,0,MIN(Calc!$S$56*(1+'财富模型'!$E$20/12)+'Calc'!$B$6,IF(Calc!$Q$57&lt;='财富模型'!$E$11*12,'Calc'!$W$14,'Calc'!$Y$14)))),0))</x:f>
      </x:c>
      <x:c r="T57" t="e">
        <x:f>IF(Calc!$Q$57&gt;'Calc'!$B$8,"",IF('Calc'!$E$14=1,'财富模型'!$E$9,'财富模型'!$M$6+IF(Calc!$Q$57&lt;='财富模型'!$E$11*12,'Calc'!$W$14,'Calc'!$Y$14)-(IF('Calc'!$E$14=1,0,MIN(Calc!$S$56*(1+'财富模型'!$E$20/12)+'Calc'!$B$6,IF(Calc!$Q$57&lt;='财富模型'!$E$11*12,'Calc'!$W$14,'Calc'!$Y$14))))))</x:f>
      </x:c>
      <x:c r="U57" t="e">
        <x:f>IF(Calc!$Q$57&gt;'Calc'!$B$8,"",IF('Calc'!$E$14=1,0,MIN(Calc!$S$56*(1+'财富模型'!$E$20/12)+'Calc'!$B$6,IF(Calc!$Q$57&lt;='财富模型'!$E$11*12,'Calc'!$W$14,'Calc'!$Y$14))))</x:f>
      </x:c>
      <x:c r="V57" t="e">
        <x:f>IF(Calc!$Q$57&gt;'Calc'!$B$8,"",'Calc'!$B$5-'财富模型'!$E$5-(IF('Calc'!$E$14=1,'财富模型'!$E$9,'财富模型'!$M$6+IF(Calc!$Q$57&lt;='财富模型'!$E$11*12,'Calc'!$W$14,'Calc'!$Y$14)-(IF('Calc'!$E$14=1,0,MIN(Calc!$S$56*(1+'财富模型'!$E$20/12)+'Calc'!$B$6,IF(Calc!$Q$57&lt;='财富模型'!$E$11*12,'Calc'!$W$14,'Calc'!$Y$14)))))))</x:f>
      </x:c>
      <x:c r="W57" t="e">
        <x:f>IF(Calc!$Q$57&gt;'Calc'!$B$8,"",IF('Calc'!$E$14=1,0,MAX(Calc!$W$56*(1+IF(Calc!$Q$57&lt;='财富模型'!$E$11*12,'财富模型'!$E$10,'财富模型'!$E$12)/12)-IF('Calc'!$E$14=1,0,IF(Calc!$Q$57&lt;='财富模型'!$E$11*12,'Calc'!$W$14,'Calc'!$Y$14)),0)))</x:f>
      </x:c>
      <x:c r="Y57" t="n">
        <x:v>36</x:v>
      </x:c>
      <x:c r="Z57" t="e">
        <x:f>IF(Calc!$Y$57&gt;'Calc'!$B$8,"",MAX(Calc!$Z$56*(1+'财富模型'!$E$6/12)+('Calc'!$B$5-'财富模型'!$E$5-(IF('Calc'!$E$15=1,'财富模型'!$E$9,'财富模型'!$M$7+IF(Calc!$Y$57&lt;='财富模型'!$E$11*12,'Calc'!$W$15,'Calc'!$Y$15)-(IF('Calc'!$E$15=1,0,MIN(Calc!$AA$56*(1+'财富模型'!$E$20/12)+'Calc'!$B$6,IF(Calc!$Y$57&lt;='财富模型'!$E$11*12,'Calc'!$W$15,'Calc'!$Y$15))))))),0))</x:f>
      </x:c>
      <x:c r="AA57" t="e">
        <x:f>IF(Calc!$Y$57&gt;'Calc'!$B$8,"",MAX(Calc!$AA$56*(1+'财富模型'!$E$20/12)+'Calc'!$B$6-(IF('Calc'!$E$15=1,0,MIN(Calc!$AA$56*(1+'财富模型'!$E$20/12)+'Calc'!$B$6,IF(Calc!$Y$57&lt;='财富模型'!$E$11*12,'Calc'!$W$15,'Calc'!$Y$15)))),0))</x:f>
      </x:c>
      <x:c r="AB57" t="e">
        <x:f>IF(Calc!$Y$57&gt;'Calc'!$B$8,"",IF('Calc'!$E$15=1,'财富模型'!$E$9,'财富模型'!$M$7+IF(Calc!$Y$57&lt;='财富模型'!$E$11*12,'Calc'!$W$15,'Calc'!$Y$15)-(IF('Calc'!$E$15=1,0,MIN(Calc!$AA$56*(1+'财富模型'!$E$20/12)+'Calc'!$B$6,IF(Calc!$Y$57&lt;='财富模型'!$E$11*12,'Calc'!$W$15,'Calc'!$Y$15))))))</x:f>
      </x:c>
      <x:c r="AC57" t="e">
        <x:f>IF(Calc!$Y$57&gt;'Calc'!$B$8,"",IF('Calc'!$E$15=1,0,MIN(Calc!$AA$56*(1+'财富模型'!$E$20/12)+'Calc'!$B$6,IF(Calc!$Y$57&lt;='财富模型'!$E$11*12,'Calc'!$W$15,'Calc'!$Y$15))))</x:f>
      </x:c>
      <x:c r="AD57" t="e">
        <x:f>IF(Calc!$Y$57&gt;'Calc'!$B$8,"",'Calc'!$B$5-'财富模型'!$E$5-(IF('Calc'!$E$15=1,'财富模型'!$E$9,'财富模型'!$M$7+IF(Calc!$Y$57&lt;='财富模型'!$E$11*12,'Calc'!$W$15,'Calc'!$Y$15)-(IF('Calc'!$E$15=1,0,MIN(Calc!$AA$56*(1+'财富模型'!$E$20/12)+'Calc'!$B$6,IF(Calc!$Y$57&lt;='财富模型'!$E$11*12,'Calc'!$W$15,'Calc'!$Y$15)))))))</x:f>
      </x:c>
      <x:c r="AE57" t="e">
        <x:f>IF(Calc!$Y$57&gt;'Calc'!$B$8,"",IF('Calc'!$E$15=1,0,MAX(Calc!$AE$56*(1+IF(Calc!$Y$57&lt;='财富模型'!$E$11*12,'财富模型'!$E$10,'财富模型'!$E$12)/12)-IF('Calc'!$E$15=1,0,IF(Calc!$Y$57&lt;='财富模型'!$E$11*12,'Calc'!$W$15,'Calc'!$Y$15)),0)))</x:f>
      </x:c>
      <x:c r="AG57" t="n">
        <x:v>36</x:v>
      </x:c>
      <x:c r="AH57" t="e">
        <x:f>IF(Calc!$AG$57&gt;'Calc'!$B$8,"",MAX(Calc!$AH$56*(1+'财富模型'!$E$6/12)+('Calc'!$B$5-'财富模型'!$E$5-(IF('Calc'!$E$16=1,'财富模型'!$E$9,'财富模型'!$M$8+IF(Calc!$AG$57&lt;='财富模型'!$E$11*12,'Calc'!$W$16,'Calc'!$Y$16)-(IF('Calc'!$E$16=1,0,MIN(Calc!$AI$56*(1+'财富模型'!$E$20/12)+'Calc'!$B$6,IF(Calc!$AG$57&lt;='财富模型'!$E$11*12,'Calc'!$W$16,'Calc'!$Y$16))))))),0))</x:f>
      </x:c>
      <x:c r="AI57" t="e">
        <x:f>IF(Calc!$AG$57&gt;'Calc'!$B$8,"",MAX(Calc!$AI$56*(1+'财富模型'!$E$20/12)+'Calc'!$B$6-(IF('Calc'!$E$16=1,0,MIN(Calc!$AI$56*(1+'财富模型'!$E$20/12)+'Calc'!$B$6,IF(Calc!$AG$57&lt;='财富模型'!$E$11*12,'Calc'!$W$16,'Calc'!$Y$16)))),0))</x:f>
      </x:c>
      <x:c r="AJ57" t="e">
        <x:f>IF(Calc!$AG$57&gt;'Calc'!$B$8,"",IF('Calc'!$E$16=1,'财富模型'!$E$9,'财富模型'!$M$8+IF(Calc!$AG$57&lt;='财富模型'!$E$11*12,'Calc'!$W$16,'Calc'!$Y$16)-(IF('Calc'!$E$16=1,0,MIN(Calc!$AI$56*(1+'财富模型'!$E$20/12)+'Calc'!$B$6,IF(Calc!$AG$57&lt;='财富模型'!$E$11*12,'Calc'!$W$16,'Calc'!$Y$16))))))</x:f>
      </x:c>
      <x:c r="AK57" t="e">
        <x:f>IF(Calc!$AG$57&gt;'Calc'!$B$8,"",IF('Calc'!$E$16=1,0,MIN(Calc!$AI$56*(1+'财富模型'!$E$20/12)+'Calc'!$B$6,IF(Calc!$AG$57&lt;='财富模型'!$E$11*12,'Calc'!$W$16,'Calc'!$Y$16))))</x:f>
      </x:c>
      <x:c r="AL57" t="e">
        <x:f>IF(Calc!$AG$57&gt;'Calc'!$B$8,"",'Calc'!$B$5-'财富模型'!$E$5-(IF('Calc'!$E$16=1,'财富模型'!$E$9,'财富模型'!$M$8+IF(Calc!$AG$57&lt;='财富模型'!$E$11*12,'Calc'!$W$16,'Calc'!$Y$16)-(IF('Calc'!$E$16=1,0,MIN(Calc!$AI$56*(1+'财富模型'!$E$20/12)+'Calc'!$B$6,IF(Calc!$AG$57&lt;='财富模型'!$E$11*12,'Calc'!$W$16,'Calc'!$Y$16)))))))</x:f>
      </x:c>
      <x:c r="AM57" t="e">
        <x:f>IF(Calc!$AG$57&gt;'Calc'!$B$8,"",IF('Calc'!$E$16=1,0,MAX(Calc!$AM$56*(1+IF(Calc!$AG$57&lt;='财富模型'!$E$11*12,'财富模型'!$E$10,'财富模型'!$E$12)/12)-IF('Calc'!$E$16=1,0,IF(Calc!$AG$57&lt;='财富模型'!$E$11*12,'Calc'!$W$16,'Calc'!$Y$16)),0)))</x:f>
      </x:c>
      <x:c r="AO57" t="n">
        <x:v>36</x:v>
      </x:c>
      <x:c r="AP57" t="n">
        <x:f>IF(Calc!$AO$57&gt;'Calc'!$B$8,"",MAX(Calc!$AP$56*(1+'财富模型'!$E$6/12)+('Calc'!$B$5-'财富模型'!$E$5-(IF('Calc'!$E$17=1,'财富模型'!$E$9,'财富模型'!$M$9+IF(Calc!$AO$57&lt;='财富模型'!$E$11*12,'Calc'!$W$17,'Calc'!$Y$17)-(IF('Calc'!$E$17=1,0,MIN(Calc!$AQ$56*(1+'财富模型'!$E$20/12)+'Calc'!$B$6,IF(Calc!$AO$57&lt;='财富模型'!$E$11*12,'Calc'!$W$17,'Calc'!$Y$17))))))),0))</x:f>
        <x:v>1137234.2381714575</x:v>
      </x:c>
      <x:c r="AQ57" t="n">
        <x:f>IF(Calc!$AO$57&gt;'Calc'!$B$8,"",MAX(Calc!$AQ$56*(1+'财富模型'!$E$20/12)+'Calc'!$B$6-(IF('Calc'!$E$17=1,0,MIN(Calc!$AQ$56*(1+'财富模型'!$E$20/12)+'Calc'!$B$6,IF(Calc!$AO$57&lt;='财富模型'!$E$11*12,'Calc'!$W$17,'Calc'!$Y$17)))),0))</x:f>
        <x:v>106346.45971162441</x:v>
      </x:c>
      <x:c r="AR57" t="n">
        <x:f>IF(Calc!$AO$57&gt;'Calc'!$B$8,"",IF('Calc'!$E$17=1,'财富模型'!$E$9,'财富模型'!$M$9+IF(Calc!$AO$57&lt;='财富模型'!$E$11*12,'Calc'!$W$17,'Calc'!$Y$17)-(IF('Calc'!$E$17=1,0,MIN(Calc!$AQ$56*(1+'财富模型'!$E$20/12)+'Calc'!$B$6,IF(Calc!$AO$57&lt;='财富模型'!$E$11*12,'Calc'!$W$17,'Calc'!$Y$17))))))</x:f>
        <x:v>4000</x:v>
      </x:c>
      <x:c r="AS57" t="n">
        <x:f>IF(Calc!$AO$57&gt;'Calc'!$B$8,"",IF('Calc'!$E$17=1,0,MIN(Calc!$AQ$56*(1+'财富模型'!$E$20/12)+'Calc'!$B$6,IF(Calc!$AO$57&lt;='财富模型'!$E$11*12,'Calc'!$W$17,'Calc'!$Y$17))))</x:f>
        <x:v>0</x:v>
      </x:c>
      <x:c r="AT57" t="n">
        <x:f>IF(Calc!$AO$57&gt;'Calc'!$B$8,"",'Calc'!$B$5-'财富模型'!$E$5-(IF('Calc'!$E$17=1,'财富模型'!$E$9,'财富模型'!$M$9+IF(Calc!$AO$57&lt;='财富模型'!$E$11*12,'Calc'!$W$17,'Calc'!$Y$17)-(IF('Calc'!$E$17=1,0,MIN(Calc!$AQ$56*(1+'财富模型'!$E$20/12)+'Calc'!$B$6,IF(Calc!$AO$57&lt;='财富模型'!$E$11*12,'Calc'!$W$17,'Calc'!$Y$17)))))))</x:f>
        <x:v>3933.333333333332</x:v>
      </x:c>
      <x:c r="AU57" t="n">
        <x:f>IF(Calc!$AO$57&gt;'Calc'!$B$8,"",IF('Calc'!$E$17=1,0,MAX(Calc!$AU$56*(1+IF(Calc!$AO$57&lt;='财富模型'!$E$11*12,'财富模型'!$E$10,'财富模型'!$E$12)/12)-IF('Calc'!$E$17=1,0,IF(Calc!$AO$57&lt;='财富模型'!$E$11*12,'Calc'!$W$17,'Calc'!$Y$17)),0)))</x:f>
        <x:v>0</x:v>
      </x:c>
    </x:row>
    <x:row r="58">
      <x:c r="A58" t="n">
        <x:v>37</x:v>
      </x:c>
      <x:c r="B58" t="e">
        <x:f>IF(Calc!$A$58&gt;'Calc'!$B$8,"",MAX(Calc!$B$57*(1+'财富模型'!$E$6/12)+('Calc'!$B$5-'财富模型'!$E$5-(IF('Calc'!$E$12=1,'财富模型'!$E$9,'财富模型'!$M$4+IF(Calc!$A$58&lt;='财富模型'!$E$11*12,'Calc'!$W$12,'Calc'!$Y$12)-(IF('Calc'!$E$12=1,0,MIN(Calc!$C$57*(1+'财富模型'!$E$20/12)+'Calc'!$B$6,IF(Calc!$A$58&lt;='财富模型'!$E$11*12,'Calc'!$W$12,'Calc'!$Y$12))))))),0))</x:f>
      </x:c>
      <x:c r="C58" t="e">
        <x:f>IF(Calc!$A$58&gt;'Calc'!$B$8,"",MAX(Calc!$C$57*(1+'财富模型'!$E$20/12)+'Calc'!$B$6-(IF('Calc'!$E$12=1,0,MIN(Calc!$C$57*(1+'财富模型'!$E$20/12)+'Calc'!$B$6,IF(Calc!$A$58&lt;='财富模型'!$E$11*12,'Calc'!$W$12,'Calc'!$Y$12)))),0))</x:f>
      </x:c>
      <x:c r="D58" t="e">
        <x:f>IF(Calc!$A$58&gt;'Calc'!$B$8,"",IF('Calc'!$E$12=1,'财富模型'!$E$9,'财富模型'!$M$4+IF(Calc!$A$58&lt;='财富模型'!$E$11*12,'Calc'!$W$12,'Calc'!$Y$12)-(IF('Calc'!$E$12=1,0,MIN(Calc!$C$57*(1+'财富模型'!$E$20/12)+'Calc'!$B$6,IF(Calc!$A$58&lt;='财富模型'!$E$11*12,'Calc'!$W$12,'Calc'!$Y$12))))))</x:f>
      </x:c>
      <x:c r="E58" t="e">
        <x:f>IF(Calc!$A$58&gt;'Calc'!$B$8,"",IF('Calc'!$E$12=1,0,MIN(Calc!$C$57*(1+'财富模型'!$E$20/12)+'Calc'!$B$6,IF(Calc!$A$58&lt;='财富模型'!$E$11*12,'Calc'!$W$12,'Calc'!$Y$12))))</x:f>
      </x:c>
      <x:c r="F58" t="e">
        <x:f>IF(Calc!$A$58&gt;'Calc'!$B$8,"",'Calc'!$B$5-'财富模型'!$E$5-(IF('Calc'!$E$12=1,'财富模型'!$E$9,'财富模型'!$M$4+IF(Calc!$A$58&lt;='财富模型'!$E$11*12,'Calc'!$W$12,'Calc'!$Y$12)-(IF('Calc'!$E$12=1,0,MIN(Calc!$C$57*(1+'财富模型'!$E$20/12)+'Calc'!$B$6,IF(Calc!$A$58&lt;='财富模型'!$E$11*12,'Calc'!$W$12,'Calc'!$Y$12)))))))</x:f>
      </x:c>
      <x:c r="G58" t="e">
        <x:f>IF(Calc!$A$58&gt;'Calc'!$B$8,"",IF('Calc'!$E$12=1,0,MAX(Calc!$G$57*(1+IF(Calc!$A$58&lt;='财富模型'!$E$11*12,'财富模型'!$E$10,'财富模型'!$E$12)/12)-IF('Calc'!$E$12=1,0,IF(Calc!$A$58&lt;='财富模型'!$E$11*12,'Calc'!$W$12,'Calc'!$Y$12)),0)))</x:f>
      </x:c>
      <x:c r="I58" t="n">
        <x:v>37</x:v>
      </x:c>
      <x:c r="J58" t="e">
        <x:f>IF(Calc!$I$58&gt;'Calc'!$B$8,"",MAX(Calc!$J$57*(1+'财富模型'!$E$6/12)+('Calc'!$B$5-'财富模型'!$E$5-(IF('Calc'!$E$13=1,'财富模型'!$E$9,'财富模型'!$M$5+IF(Calc!$I$58&lt;='财富模型'!$E$11*12,'Calc'!$W$13,'Calc'!$Y$13)-(IF('Calc'!$E$13=1,0,MIN(Calc!$K$57*(1+'财富模型'!$E$20/12)+'Calc'!$B$6,IF(Calc!$I$58&lt;='财富模型'!$E$11*12,'Calc'!$W$13,'Calc'!$Y$13))))))),0))</x:f>
      </x:c>
      <x:c r="K58" t="e">
        <x:f>IF(Calc!$I$58&gt;'Calc'!$B$8,"",MAX(Calc!$K$57*(1+'财富模型'!$E$20/12)+'Calc'!$B$6-(IF('Calc'!$E$13=1,0,MIN(Calc!$K$57*(1+'财富模型'!$E$20/12)+'Calc'!$B$6,IF(Calc!$I$58&lt;='财富模型'!$E$11*12,'Calc'!$W$13,'Calc'!$Y$13)))),0))</x:f>
      </x:c>
      <x:c r="L58" t="e">
        <x:f>IF(Calc!$I$58&gt;'Calc'!$B$8,"",IF('Calc'!$E$13=1,'财富模型'!$E$9,'财富模型'!$M$5+IF(Calc!$I$58&lt;='财富模型'!$E$11*12,'Calc'!$W$13,'Calc'!$Y$13)-(IF('Calc'!$E$13=1,0,MIN(Calc!$K$57*(1+'财富模型'!$E$20/12)+'Calc'!$B$6,IF(Calc!$I$58&lt;='财富模型'!$E$11*12,'Calc'!$W$13,'Calc'!$Y$13))))))</x:f>
      </x:c>
      <x:c r="M58" t="e">
        <x:f>IF(Calc!$I$58&gt;'Calc'!$B$8,"",IF('Calc'!$E$13=1,0,MIN(Calc!$K$57*(1+'财富模型'!$E$20/12)+'Calc'!$B$6,IF(Calc!$I$58&lt;='财富模型'!$E$11*12,'Calc'!$W$13,'Calc'!$Y$13))))</x:f>
      </x:c>
      <x:c r="N58" t="e">
        <x:f>IF(Calc!$I$58&gt;'Calc'!$B$8,"",'Calc'!$B$5-'财富模型'!$E$5-(IF('Calc'!$E$13=1,'财富模型'!$E$9,'财富模型'!$M$5+IF(Calc!$I$58&lt;='财富模型'!$E$11*12,'Calc'!$W$13,'Calc'!$Y$13)-(IF('Calc'!$E$13=1,0,MIN(Calc!$K$57*(1+'财富模型'!$E$20/12)+'Calc'!$B$6,IF(Calc!$I$58&lt;='财富模型'!$E$11*12,'Calc'!$W$13,'Calc'!$Y$13)))))))</x:f>
      </x:c>
      <x:c r="O58" t="e">
        <x:f>IF(Calc!$I$58&gt;'Calc'!$B$8,"",IF('Calc'!$E$13=1,0,MAX(Calc!$O$57*(1+IF(Calc!$I$58&lt;='财富模型'!$E$11*12,'财富模型'!$E$10,'财富模型'!$E$12)/12)-IF('Calc'!$E$13=1,0,IF(Calc!$I$58&lt;='财富模型'!$E$11*12,'Calc'!$W$13,'Calc'!$Y$13)),0)))</x:f>
      </x:c>
      <x:c r="Q58" t="n">
        <x:v>37</x:v>
      </x:c>
      <x:c r="R58" t="e">
        <x:f>IF(Calc!$Q$58&gt;'Calc'!$B$8,"",MAX(Calc!$R$57*(1+'财富模型'!$E$6/12)+('Calc'!$B$5-'财富模型'!$E$5-(IF('Calc'!$E$14=1,'财富模型'!$E$9,'财富模型'!$M$6+IF(Calc!$Q$58&lt;='财富模型'!$E$11*12,'Calc'!$W$14,'Calc'!$Y$14)-(IF('Calc'!$E$14=1,0,MIN(Calc!$S$57*(1+'财富模型'!$E$20/12)+'Calc'!$B$6,IF(Calc!$Q$58&lt;='财富模型'!$E$11*12,'Calc'!$W$14,'Calc'!$Y$14))))))),0))</x:f>
      </x:c>
      <x:c r="S58" t="e">
        <x:f>IF(Calc!$Q$58&gt;'Calc'!$B$8,"",MAX(Calc!$S$57*(1+'财富模型'!$E$20/12)+'Calc'!$B$6-(IF('Calc'!$E$14=1,0,MIN(Calc!$S$57*(1+'财富模型'!$E$20/12)+'Calc'!$B$6,IF(Calc!$Q$58&lt;='财富模型'!$E$11*12,'Calc'!$W$14,'Calc'!$Y$14)))),0))</x:f>
      </x:c>
      <x:c r="T58" t="e">
        <x:f>IF(Calc!$Q$58&gt;'Calc'!$B$8,"",IF('Calc'!$E$14=1,'财富模型'!$E$9,'财富模型'!$M$6+IF(Calc!$Q$58&lt;='财富模型'!$E$11*12,'Calc'!$W$14,'Calc'!$Y$14)-(IF('Calc'!$E$14=1,0,MIN(Calc!$S$57*(1+'财富模型'!$E$20/12)+'Calc'!$B$6,IF(Calc!$Q$58&lt;='财富模型'!$E$11*12,'Calc'!$W$14,'Calc'!$Y$14))))))</x:f>
      </x:c>
      <x:c r="U58" t="e">
        <x:f>IF(Calc!$Q$58&gt;'Calc'!$B$8,"",IF('Calc'!$E$14=1,0,MIN(Calc!$S$57*(1+'财富模型'!$E$20/12)+'Calc'!$B$6,IF(Calc!$Q$58&lt;='财富模型'!$E$11*12,'Calc'!$W$14,'Calc'!$Y$14))))</x:f>
      </x:c>
      <x:c r="V58" t="e">
        <x:f>IF(Calc!$Q$58&gt;'Calc'!$B$8,"",'Calc'!$B$5-'财富模型'!$E$5-(IF('Calc'!$E$14=1,'财富模型'!$E$9,'财富模型'!$M$6+IF(Calc!$Q$58&lt;='财富模型'!$E$11*12,'Calc'!$W$14,'Calc'!$Y$14)-(IF('Calc'!$E$14=1,0,MIN(Calc!$S$57*(1+'财富模型'!$E$20/12)+'Calc'!$B$6,IF(Calc!$Q$58&lt;='财富模型'!$E$11*12,'Calc'!$W$14,'Calc'!$Y$14)))))))</x:f>
      </x:c>
      <x:c r="W58" t="e">
        <x:f>IF(Calc!$Q$58&gt;'Calc'!$B$8,"",IF('Calc'!$E$14=1,0,MAX(Calc!$W$57*(1+IF(Calc!$Q$58&lt;='财富模型'!$E$11*12,'财富模型'!$E$10,'财富模型'!$E$12)/12)-IF('Calc'!$E$14=1,0,IF(Calc!$Q$58&lt;='财富模型'!$E$11*12,'Calc'!$W$14,'Calc'!$Y$14)),0)))</x:f>
      </x:c>
      <x:c r="Y58" t="n">
        <x:v>37</x:v>
      </x:c>
      <x:c r="Z58" t="e">
        <x:f>IF(Calc!$Y$58&gt;'Calc'!$B$8,"",MAX(Calc!$Z$57*(1+'财富模型'!$E$6/12)+('Calc'!$B$5-'财富模型'!$E$5-(IF('Calc'!$E$15=1,'财富模型'!$E$9,'财富模型'!$M$7+IF(Calc!$Y$58&lt;='财富模型'!$E$11*12,'Calc'!$W$15,'Calc'!$Y$15)-(IF('Calc'!$E$15=1,0,MIN(Calc!$AA$57*(1+'财富模型'!$E$20/12)+'Calc'!$B$6,IF(Calc!$Y$58&lt;='财富模型'!$E$11*12,'Calc'!$W$15,'Calc'!$Y$15))))))),0))</x:f>
      </x:c>
      <x:c r="AA58" t="e">
        <x:f>IF(Calc!$Y$58&gt;'Calc'!$B$8,"",MAX(Calc!$AA$57*(1+'财富模型'!$E$20/12)+'Calc'!$B$6-(IF('Calc'!$E$15=1,0,MIN(Calc!$AA$57*(1+'财富模型'!$E$20/12)+'Calc'!$B$6,IF(Calc!$Y$58&lt;='财富模型'!$E$11*12,'Calc'!$W$15,'Calc'!$Y$15)))),0))</x:f>
      </x:c>
      <x:c r="AB58" t="e">
        <x:f>IF(Calc!$Y$58&gt;'Calc'!$B$8,"",IF('Calc'!$E$15=1,'财富模型'!$E$9,'财富模型'!$M$7+IF(Calc!$Y$58&lt;='财富模型'!$E$11*12,'Calc'!$W$15,'Calc'!$Y$15)-(IF('Calc'!$E$15=1,0,MIN(Calc!$AA$57*(1+'财富模型'!$E$20/12)+'Calc'!$B$6,IF(Calc!$Y$58&lt;='财富模型'!$E$11*12,'Calc'!$W$15,'Calc'!$Y$15))))))</x:f>
      </x:c>
      <x:c r="AC58" t="e">
        <x:f>IF(Calc!$Y$58&gt;'Calc'!$B$8,"",IF('Calc'!$E$15=1,0,MIN(Calc!$AA$57*(1+'财富模型'!$E$20/12)+'Calc'!$B$6,IF(Calc!$Y$58&lt;='财富模型'!$E$11*12,'Calc'!$W$15,'Calc'!$Y$15))))</x:f>
      </x:c>
      <x:c r="AD58" t="e">
        <x:f>IF(Calc!$Y$58&gt;'Calc'!$B$8,"",'Calc'!$B$5-'财富模型'!$E$5-(IF('Calc'!$E$15=1,'财富模型'!$E$9,'财富模型'!$M$7+IF(Calc!$Y$58&lt;='财富模型'!$E$11*12,'Calc'!$W$15,'Calc'!$Y$15)-(IF('Calc'!$E$15=1,0,MIN(Calc!$AA$57*(1+'财富模型'!$E$20/12)+'Calc'!$B$6,IF(Calc!$Y$58&lt;='财富模型'!$E$11*12,'Calc'!$W$15,'Calc'!$Y$15)))))))</x:f>
      </x:c>
      <x:c r="AE58" t="e">
        <x:f>IF(Calc!$Y$58&gt;'Calc'!$B$8,"",IF('Calc'!$E$15=1,0,MAX(Calc!$AE$57*(1+IF(Calc!$Y$58&lt;='财富模型'!$E$11*12,'财富模型'!$E$10,'财富模型'!$E$12)/12)-IF('Calc'!$E$15=1,0,IF(Calc!$Y$58&lt;='财富模型'!$E$11*12,'Calc'!$W$15,'Calc'!$Y$15)),0)))</x:f>
      </x:c>
      <x:c r="AG58" t="n">
        <x:v>37</x:v>
      </x:c>
      <x:c r="AH58" t="e">
        <x:f>IF(Calc!$AG$58&gt;'Calc'!$B$8,"",MAX(Calc!$AH$57*(1+'财富模型'!$E$6/12)+('Calc'!$B$5-'财富模型'!$E$5-(IF('Calc'!$E$16=1,'财富模型'!$E$9,'财富模型'!$M$8+IF(Calc!$AG$58&lt;='财富模型'!$E$11*12,'Calc'!$W$16,'Calc'!$Y$16)-(IF('Calc'!$E$16=1,0,MIN(Calc!$AI$57*(1+'财富模型'!$E$20/12)+'Calc'!$B$6,IF(Calc!$AG$58&lt;='财富模型'!$E$11*12,'Calc'!$W$16,'Calc'!$Y$16))))))),0))</x:f>
      </x:c>
      <x:c r="AI58" t="e">
        <x:f>IF(Calc!$AG$58&gt;'Calc'!$B$8,"",MAX(Calc!$AI$57*(1+'财富模型'!$E$20/12)+'Calc'!$B$6-(IF('Calc'!$E$16=1,0,MIN(Calc!$AI$57*(1+'财富模型'!$E$20/12)+'Calc'!$B$6,IF(Calc!$AG$58&lt;='财富模型'!$E$11*12,'Calc'!$W$16,'Calc'!$Y$16)))),0))</x:f>
      </x:c>
      <x:c r="AJ58" t="e">
        <x:f>IF(Calc!$AG$58&gt;'Calc'!$B$8,"",IF('Calc'!$E$16=1,'财富模型'!$E$9,'财富模型'!$M$8+IF(Calc!$AG$58&lt;='财富模型'!$E$11*12,'Calc'!$W$16,'Calc'!$Y$16)-(IF('Calc'!$E$16=1,0,MIN(Calc!$AI$57*(1+'财富模型'!$E$20/12)+'Calc'!$B$6,IF(Calc!$AG$58&lt;='财富模型'!$E$11*12,'Calc'!$W$16,'Calc'!$Y$16))))))</x:f>
      </x:c>
      <x:c r="AK58" t="e">
        <x:f>IF(Calc!$AG$58&gt;'Calc'!$B$8,"",IF('Calc'!$E$16=1,0,MIN(Calc!$AI$57*(1+'财富模型'!$E$20/12)+'Calc'!$B$6,IF(Calc!$AG$58&lt;='财富模型'!$E$11*12,'Calc'!$W$16,'Calc'!$Y$16))))</x:f>
      </x:c>
      <x:c r="AL58" t="e">
        <x:f>IF(Calc!$AG$58&gt;'Calc'!$B$8,"",'Calc'!$B$5-'财富模型'!$E$5-(IF('Calc'!$E$16=1,'财富模型'!$E$9,'财富模型'!$M$8+IF(Calc!$AG$58&lt;='财富模型'!$E$11*12,'Calc'!$W$16,'Calc'!$Y$16)-(IF('Calc'!$E$16=1,0,MIN(Calc!$AI$57*(1+'财富模型'!$E$20/12)+'Calc'!$B$6,IF(Calc!$AG$58&lt;='财富模型'!$E$11*12,'Calc'!$W$16,'Calc'!$Y$16)))))))</x:f>
      </x:c>
      <x:c r="AM58" t="e">
        <x:f>IF(Calc!$AG$58&gt;'Calc'!$B$8,"",IF('Calc'!$E$16=1,0,MAX(Calc!$AM$57*(1+IF(Calc!$AG$58&lt;='财富模型'!$E$11*12,'财富模型'!$E$10,'财富模型'!$E$12)/12)-IF('Calc'!$E$16=1,0,IF(Calc!$AG$58&lt;='财富模型'!$E$11*12,'Calc'!$W$16,'Calc'!$Y$16)),0)))</x:f>
      </x:c>
      <x:c r="AO58" t="n">
        <x:v>37</x:v>
      </x:c>
      <x:c r="AP58" t="n">
        <x:f>IF(Calc!$AO$58&gt;'Calc'!$B$8,"",MAX(Calc!$AP$57*(1+'财富模型'!$E$6/12)+('Calc'!$B$5-'财富模型'!$E$5-(IF('Calc'!$E$17=1,'财富模型'!$E$9,'财富模型'!$M$9+IF(Calc!$AO$58&lt;='财富模型'!$E$11*12,'Calc'!$W$17,'Calc'!$Y$17)-(IF('Calc'!$E$17=1,0,MIN(Calc!$AQ$57*(1+'财富模型'!$E$20/12)+'Calc'!$B$6,IF(Calc!$AO$58&lt;='财富模型'!$E$11*12,'Calc'!$W$17,'Calc'!$Y$17))))))),0))</x:f>
        <x:v>1147801.4378941243</x:v>
      </x:c>
      <x:c r="AQ58" t="n">
        <x:f>IF(Calc!$AO$58&gt;'Calc'!$B$8,"",MAX(Calc!$AQ$57*(1+'财富模型'!$E$20/12)+'Calc'!$B$6-(IF('Calc'!$E$17=1,0,MIN(Calc!$AQ$57*(1+'财富模型'!$E$20/12)+'Calc'!$B$6,IF(Calc!$AO$58&lt;='财富模型'!$E$11*12,'Calc'!$W$17,'Calc'!$Y$17)))),0))</x:f>
        <x:v>109415.76483602363</x:v>
      </x:c>
      <x:c r="AR58" t="n">
        <x:f>IF(Calc!$AO$58&gt;'Calc'!$B$8,"",IF('Calc'!$E$17=1,'财富模型'!$E$9,'财富模型'!$M$9+IF(Calc!$AO$58&lt;='财富模型'!$E$11*12,'Calc'!$W$17,'Calc'!$Y$17)-(IF('Calc'!$E$17=1,0,MIN(Calc!$AQ$57*(1+'财富模型'!$E$20/12)+'Calc'!$B$6,IF(Calc!$AO$58&lt;='财富模型'!$E$11*12,'Calc'!$W$17,'Calc'!$Y$17))))))</x:f>
        <x:v>4000</x:v>
      </x:c>
      <x:c r="AS58" t="n">
        <x:f>IF(Calc!$AO$58&gt;'Calc'!$B$8,"",IF('Calc'!$E$17=1,0,MIN(Calc!$AQ$57*(1+'财富模型'!$E$20/12)+'Calc'!$B$6,IF(Calc!$AO$58&lt;='财富模型'!$E$11*12,'Calc'!$W$17,'Calc'!$Y$17))))</x:f>
        <x:v>0</x:v>
      </x:c>
      <x:c r="AT58" t="n">
        <x:f>IF(Calc!$AO$58&gt;'Calc'!$B$8,"",'Calc'!$B$5-'财富模型'!$E$5-(IF('Calc'!$E$17=1,'财富模型'!$E$9,'财富模型'!$M$9+IF(Calc!$AO$58&lt;='财富模型'!$E$11*12,'Calc'!$W$17,'Calc'!$Y$17)-(IF('Calc'!$E$17=1,0,MIN(Calc!$AQ$57*(1+'财富模型'!$E$20/12)+'Calc'!$B$6,IF(Calc!$AO$58&lt;='财富模型'!$E$11*12,'Calc'!$W$17,'Calc'!$Y$17)))))))</x:f>
        <x:v>3933.333333333332</x:v>
      </x:c>
      <x:c r="AU58" t="n">
        <x:f>IF(Calc!$AO$58&gt;'Calc'!$B$8,"",IF('Calc'!$E$17=1,0,MAX(Calc!$AU$57*(1+IF(Calc!$AO$58&lt;='财富模型'!$E$11*12,'财富模型'!$E$10,'财富模型'!$E$12)/12)-IF('Calc'!$E$17=1,0,IF(Calc!$AO$58&lt;='财富模型'!$E$11*12,'Calc'!$W$17,'Calc'!$Y$17)),0)))</x:f>
        <x:v>0</x:v>
      </x:c>
    </x:row>
    <x:row r="59">
      <x:c r="A59" t="n">
        <x:v>38</x:v>
      </x:c>
      <x:c r="B59" t="e">
        <x:f>IF(Calc!$A$59&gt;'Calc'!$B$8,"",MAX(Calc!$B$58*(1+'财富模型'!$E$6/12)+('Calc'!$B$5-'财富模型'!$E$5-(IF('Calc'!$E$12=1,'财富模型'!$E$9,'财富模型'!$M$4+IF(Calc!$A$59&lt;='财富模型'!$E$11*12,'Calc'!$W$12,'Calc'!$Y$12)-(IF('Calc'!$E$12=1,0,MIN(Calc!$C$58*(1+'财富模型'!$E$20/12)+'Calc'!$B$6,IF(Calc!$A$59&lt;='财富模型'!$E$11*12,'Calc'!$W$12,'Calc'!$Y$12))))))),0))</x:f>
      </x:c>
      <x:c r="C59" t="e">
        <x:f>IF(Calc!$A$59&gt;'Calc'!$B$8,"",MAX(Calc!$C$58*(1+'财富模型'!$E$20/12)+'Calc'!$B$6-(IF('Calc'!$E$12=1,0,MIN(Calc!$C$58*(1+'财富模型'!$E$20/12)+'Calc'!$B$6,IF(Calc!$A$59&lt;='财富模型'!$E$11*12,'Calc'!$W$12,'Calc'!$Y$12)))),0))</x:f>
      </x:c>
      <x:c r="D59" t="e">
        <x:f>IF(Calc!$A$59&gt;'Calc'!$B$8,"",IF('Calc'!$E$12=1,'财富模型'!$E$9,'财富模型'!$M$4+IF(Calc!$A$59&lt;='财富模型'!$E$11*12,'Calc'!$W$12,'Calc'!$Y$12)-(IF('Calc'!$E$12=1,0,MIN(Calc!$C$58*(1+'财富模型'!$E$20/12)+'Calc'!$B$6,IF(Calc!$A$59&lt;='财富模型'!$E$11*12,'Calc'!$W$12,'Calc'!$Y$12))))))</x:f>
      </x:c>
      <x:c r="E59" t="e">
        <x:f>IF(Calc!$A$59&gt;'Calc'!$B$8,"",IF('Calc'!$E$12=1,0,MIN(Calc!$C$58*(1+'财富模型'!$E$20/12)+'Calc'!$B$6,IF(Calc!$A$59&lt;='财富模型'!$E$11*12,'Calc'!$W$12,'Calc'!$Y$12))))</x:f>
      </x:c>
      <x:c r="F59" t="e">
        <x:f>IF(Calc!$A$59&gt;'Calc'!$B$8,"",'Calc'!$B$5-'财富模型'!$E$5-(IF('Calc'!$E$12=1,'财富模型'!$E$9,'财富模型'!$M$4+IF(Calc!$A$59&lt;='财富模型'!$E$11*12,'Calc'!$W$12,'Calc'!$Y$12)-(IF('Calc'!$E$12=1,0,MIN(Calc!$C$58*(1+'财富模型'!$E$20/12)+'Calc'!$B$6,IF(Calc!$A$59&lt;='财富模型'!$E$11*12,'Calc'!$W$12,'Calc'!$Y$12)))))))</x:f>
      </x:c>
      <x:c r="G59" t="e">
        <x:f>IF(Calc!$A$59&gt;'Calc'!$B$8,"",IF('Calc'!$E$12=1,0,MAX(Calc!$G$58*(1+IF(Calc!$A$59&lt;='财富模型'!$E$11*12,'财富模型'!$E$10,'财富模型'!$E$12)/12)-IF('Calc'!$E$12=1,0,IF(Calc!$A$59&lt;='财富模型'!$E$11*12,'Calc'!$W$12,'Calc'!$Y$12)),0)))</x:f>
      </x:c>
      <x:c r="I59" t="n">
        <x:v>38</x:v>
      </x:c>
      <x:c r="J59" t="e">
        <x:f>IF(Calc!$I$59&gt;'Calc'!$B$8,"",MAX(Calc!$J$58*(1+'财富模型'!$E$6/12)+('Calc'!$B$5-'财富模型'!$E$5-(IF('Calc'!$E$13=1,'财富模型'!$E$9,'财富模型'!$M$5+IF(Calc!$I$59&lt;='财富模型'!$E$11*12,'Calc'!$W$13,'Calc'!$Y$13)-(IF('Calc'!$E$13=1,0,MIN(Calc!$K$58*(1+'财富模型'!$E$20/12)+'Calc'!$B$6,IF(Calc!$I$59&lt;='财富模型'!$E$11*12,'Calc'!$W$13,'Calc'!$Y$13))))))),0))</x:f>
      </x:c>
      <x:c r="K59" t="e">
        <x:f>IF(Calc!$I$59&gt;'Calc'!$B$8,"",MAX(Calc!$K$58*(1+'财富模型'!$E$20/12)+'Calc'!$B$6-(IF('Calc'!$E$13=1,0,MIN(Calc!$K$58*(1+'财富模型'!$E$20/12)+'Calc'!$B$6,IF(Calc!$I$59&lt;='财富模型'!$E$11*12,'Calc'!$W$13,'Calc'!$Y$13)))),0))</x:f>
      </x:c>
      <x:c r="L59" t="e">
        <x:f>IF(Calc!$I$59&gt;'Calc'!$B$8,"",IF('Calc'!$E$13=1,'财富模型'!$E$9,'财富模型'!$M$5+IF(Calc!$I$59&lt;='财富模型'!$E$11*12,'Calc'!$W$13,'Calc'!$Y$13)-(IF('Calc'!$E$13=1,0,MIN(Calc!$K$58*(1+'财富模型'!$E$20/12)+'Calc'!$B$6,IF(Calc!$I$59&lt;='财富模型'!$E$11*12,'Calc'!$W$13,'Calc'!$Y$13))))))</x:f>
      </x:c>
      <x:c r="M59" t="e">
        <x:f>IF(Calc!$I$59&gt;'Calc'!$B$8,"",IF('Calc'!$E$13=1,0,MIN(Calc!$K$58*(1+'财富模型'!$E$20/12)+'Calc'!$B$6,IF(Calc!$I$59&lt;='财富模型'!$E$11*12,'Calc'!$W$13,'Calc'!$Y$13))))</x:f>
      </x:c>
      <x:c r="N59" t="e">
        <x:f>IF(Calc!$I$59&gt;'Calc'!$B$8,"",'Calc'!$B$5-'财富模型'!$E$5-(IF('Calc'!$E$13=1,'财富模型'!$E$9,'财富模型'!$M$5+IF(Calc!$I$59&lt;='财富模型'!$E$11*12,'Calc'!$W$13,'Calc'!$Y$13)-(IF('Calc'!$E$13=1,0,MIN(Calc!$K$58*(1+'财富模型'!$E$20/12)+'Calc'!$B$6,IF(Calc!$I$59&lt;='财富模型'!$E$11*12,'Calc'!$W$13,'Calc'!$Y$13)))))))</x:f>
      </x:c>
      <x:c r="O59" t="e">
        <x:f>IF(Calc!$I$59&gt;'Calc'!$B$8,"",IF('Calc'!$E$13=1,0,MAX(Calc!$O$58*(1+IF(Calc!$I$59&lt;='财富模型'!$E$11*12,'财富模型'!$E$10,'财富模型'!$E$12)/12)-IF('Calc'!$E$13=1,0,IF(Calc!$I$59&lt;='财富模型'!$E$11*12,'Calc'!$W$13,'Calc'!$Y$13)),0)))</x:f>
      </x:c>
      <x:c r="Q59" t="n">
        <x:v>38</x:v>
      </x:c>
      <x:c r="R59" t="e">
        <x:f>IF(Calc!$Q$59&gt;'Calc'!$B$8,"",MAX(Calc!$R$58*(1+'财富模型'!$E$6/12)+('Calc'!$B$5-'财富模型'!$E$5-(IF('Calc'!$E$14=1,'财富模型'!$E$9,'财富模型'!$M$6+IF(Calc!$Q$59&lt;='财富模型'!$E$11*12,'Calc'!$W$14,'Calc'!$Y$14)-(IF('Calc'!$E$14=1,0,MIN(Calc!$S$58*(1+'财富模型'!$E$20/12)+'Calc'!$B$6,IF(Calc!$Q$59&lt;='财富模型'!$E$11*12,'Calc'!$W$14,'Calc'!$Y$14))))))),0))</x:f>
      </x:c>
      <x:c r="S59" t="e">
        <x:f>IF(Calc!$Q$59&gt;'Calc'!$B$8,"",MAX(Calc!$S$58*(1+'财富模型'!$E$20/12)+'Calc'!$B$6-(IF('Calc'!$E$14=1,0,MIN(Calc!$S$58*(1+'财富模型'!$E$20/12)+'Calc'!$B$6,IF(Calc!$Q$59&lt;='财富模型'!$E$11*12,'Calc'!$W$14,'Calc'!$Y$14)))),0))</x:f>
      </x:c>
      <x:c r="T59" t="e">
        <x:f>IF(Calc!$Q$59&gt;'Calc'!$B$8,"",IF('Calc'!$E$14=1,'财富模型'!$E$9,'财富模型'!$M$6+IF(Calc!$Q$59&lt;='财富模型'!$E$11*12,'Calc'!$W$14,'Calc'!$Y$14)-(IF('Calc'!$E$14=1,0,MIN(Calc!$S$58*(1+'财富模型'!$E$20/12)+'Calc'!$B$6,IF(Calc!$Q$59&lt;='财富模型'!$E$11*12,'Calc'!$W$14,'Calc'!$Y$14))))))</x:f>
      </x:c>
      <x:c r="U59" t="e">
        <x:f>IF(Calc!$Q$59&gt;'Calc'!$B$8,"",IF('Calc'!$E$14=1,0,MIN(Calc!$S$58*(1+'财富模型'!$E$20/12)+'Calc'!$B$6,IF(Calc!$Q$59&lt;='财富模型'!$E$11*12,'Calc'!$W$14,'Calc'!$Y$14))))</x:f>
      </x:c>
      <x:c r="V59" t="e">
        <x:f>IF(Calc!$Q$59&gt;'Calc'!$B$8,"",'Calc'!$B$5-'财富模型'!$E$5-(IF('Calc'!$E$14=1,'财富模型'!$E$9,'财富模型'!$M$6+IF(Calc!$Q$59&lt;='财富模型'!$E$11*12,'Calc'!$W$14,'Calc'!$Y$14)-(IF('Calc'!$E$14=1,0,MIN(Calc!$S$58*(1+'财富模型'!$E$20/12)+'Calc'!$B$6,IF(Calc!$Q$59&lt;='财富模型'!$E$11*12,'Calc'!$W$14,'Calc'!$Y$14)))))))</x:f>
      </x:c>
      <x:c r="W59" t="e">
        <x:f>IF(Calc!$Q$59&gt;'Calc'!$B$8,"",IF('Calc'!$E$14=1,0,MAX(Calc!$W$58*(1+IF(Calc!$Q$59&lt;='财富模型'!$E$11*12,'财富模型'!$E$10,'财富模型'!$E$12)/12)-IF('Calc'!$E$14=1,0,IF(Calc!$Q$59&lt;='财富模型'!$E$11*12,'Calc'!$W$14,'Calc'!$Y$14)),0)))</x:f>
      </x:c>
      <x:c r="Y59" t="n">
        <x:v>38</x:v>
      </x:c>
      <x:c r="Z59" t="e">
        <x:f>IF(Calc!$Y$59&gt;'Calc'!$B$8,"",MAX(Calc!$Z$58*(1+'财富模型'!$E$6/12)+('Calc'!$B$5-'财富模型'!$E$5-(IF('Calc'!$E$15=1,'财富模型'!$E$9,'财富模型'!$M$7+IF(Calc!$Y$59&lt;='财富模型'!$E$11*12,'Calc'!$W$15,'Calc'!$Y$15)-(IF('Calc'!$E$15=1,0,MIN(Calc!$AA$58*(1+'财富模型'!$E$20/12)+'Calc'!$B$6,IF(Calc!$Y$59&lt;='财富模型'!$E$11*12,'Calc'!$W$15,'Calc'!$Y$15))))))),0))</x:f>
      </x:c>
      <x:c r="AA59" t="e">
        <x:f>IF(Calc!$Y$59&gt;'Calc'!$B$8,"",MAX(Calc!$AA$58*(1+'财富模型'!$E$20/12)+'Calc'!$B$6-(IF('Calc'!$E$15=1,0,MIN(Calc!$AA$58*(1+'财富模型'!$E$20/12)+'Calc'!$B$6,IF(Calc!$Y$59&lt;='财富模型'!$E$11*12,'Calc'!$W$15,'Calc'!$Y$15)))),0))</x:f>
      </x:c>
      <x:c r="AB59" t="e">
        <x:f>IF(Calc!$Y$59&gt;'Calc'!$B$8,"",IF('Calc'!$E$15=1,'财富模型'!$E$9,'财富模型'!$M$7+IF(Calc!$Y$59&lt;='财富模型'!$E$11*12,'Calc'!$W$15,'Calc'!$Y$15)-(IF('Calc'!$E$15=1,0,MIN(Calc!$AA$58*(1+'财富模型'!$E$20/12)+'Calc'!$B$6,IF(Calc!$Y$59&lt;='财富模型'!$E$11*12,'Calc'!$W$15,'Calc'!$Y$15))))))</x:f>
      </x:c>
      <x:c r="AC59" t="e">
        <x:f>IF(Calc!$Y$59&gt;'Calc'!$B$8,"",IF('Calc'!$E$15=1,0,MIN(Calc!$AA$58*(1+'财富模型'!$E$20/12)+'Calc'!$B$6,IF(Calc!$Y$59&lt;='财富模型'!$E$11*12,'Calc'!$W$15,'Calc'!$Y$15))))</x:f>
      </x:c>
      <x:c r="AD59" t="e">
        <x:f>IF(Calc!$Y$59&gt;'Calc'!$B$8,"",'Calc'!$B$5-'财富模型'!$E$5-(IF('Calc'!$E$15=1,'财富模型'!$E$9,'财富模型'!$M$7+IF(Calc!$Y$59&lt;='财富模型'!$E$11*12,'Calc'!$W$15,'Calc'!$Y$15)-(IF('Calc'!$E$15=1,0,MIN(Calc!$AA$58*(1+'财富模型'!$E$20/12)+'Calc'!$B$6,IF(Calc!$Y$59&lt;='财富模型'!$E$11*12,'Calc'!$W$15,'Calc'!$Y$15)))))))</x:f>
      </x:c>
      <x:c r="AE59" t="e">
        <x:f>IF(Calc!$Y$59&gt;'Calc'!$B$8,"",IF('Calc'!$E$15=1,0,MAX(Calc!$AE$58*(1+IF(Calc!$Y$59&lt;='财富模型'!$E$11*12,'财富模型'!$E$10,'财富模型'!$E$12)/12)-IF('Calc'!$E$15=1,0,IF(Calc!$Y$59&lt;='财富模型'!$E$11*12,'Calc'!$W$15,'Calc'!$Y$15)),0)))</x:f>
      </x:c>
      <x:c r="AG59" t="n">
        <x:v>38</x:v>
      </x:c>
      <x:c r="AH59" t="e">
        <x:f>IF(Calc!$AG$59&gt;'Calc'!$B$8,"",MAX(Calc!$AH$58*(1+'财富模型'!$E$6/12)+('Calc'!$B$5-'财富模型'!$E$5-(IF('Calc'!$E$16=1,'财富模型'!$E$9,'财富模型'!$M$8+IF(Calc!$AG$59&lt;='财富模型'!$E$11*12,'Calc'!$W$16,'Calc'!$Y$16)-(IF('Calc'!$E$16=1,0,MIN(Calc!$AI$58*(1+'财富模型'!$E$20/12)+'Calc'!$B$6,IF(Calc!$AG$59&lt;='财富模型'!$E$11*12,'Calc'!$W$16,'Calc'!$Y$16))))))),0))</x:f>
      </x:c>
      <x:c r="AI59" t="e">
        <x:f>IF(Calc!$AG$59&gt;'Calc'!$B$8,"",MAX(Calc!$AI$58*(1+'财富模型'!$E$20/12)+'Calc'!$B$6-(IF('Calc'!$E$16=1,0,MIN(Calc!$AI$58*(1+'财富模型'!$E$20/12)+'Calc'!$B$6,IF(Calc!$AG$59&lt;='财富模型'!$E$11*12,'Calc'!$W$16,'Calc'!$Y$16)))),0))</x:f>
      </x:c>
      <x:c r="AJ59" t="e">
        <x:f>IF(Calc!$AG$59&gt;'Calc'!$B$8,"",IF('Calc'!$E$16=1,'财富模型'!$E$9,'财富模型'!$M$8+IF(Calc!$AG$59&lt;='财富模型'!$E$11*12,'Calc'!$W$16,'Calc'!$Y$16)-(IF('Calc'!$E$16=1,0,MIN(Calc!$AI$58*(1+'财富模型'!$E$20/12)+'Calc'!$B$6,IF(Calc!$AG$59&lt;='财富模型'!$E$11*12,'Calc'!$W$16,'Calc'!$Y$16))))))</x:f>
      </x:c>
      <x:c r="AK59" t="e">
        <x:f>IF(Calc!$AG$59&gt;'Calc'!$B$8,"",IF('Calc'!$E$16=1,0,MIN(Calc!$AI$58*(1+'财富模型'!$E$20/12)+'Calc'!$B$6,IF(Calc!$AG$59&lt;='财富模型'!$E$11*12,'Calc'!$W$16,'Calc'!$Y$16))))</x:f>
      </x:c>
      <x:c r="AL59" t="e">
        <x:f>IF(Calc!$AG$59&gt;'Calc'!$B$8,"",'Calc'!$B$5-'财富模型'!$E$5-(IF('Calc'!$E$16=1,'财富模型'!$E$9,'财富模型'!$M$8+IF(Calc!$AG$59&lt;='财富模型'!$E$11*12,'Calc'!$W$16,'Calc'!$Y$16)-(IF('Calc'!$E$16=1,0,MIN(Calc!$AI$58*(1+'财富模型'!$E$20/12)+'Calc'!$B$6,IF(Calc!$AG$59&lt;='财富模型'!$E$11*12,'Calc'!$W$16,'Calc'!$Y$16)))))))</x:f>
      </x:c>
      <x:c r="AM59" t="e">
        <x:f>IF(Calc!$AG$59&gt;'Calc'!$B$8,"",IF('Calc'!$E$16=1,0,MAX(Calc!$AM$58*(1+IF(Calc!$AG$59&lt;='财富模型'!$E$11*12,'财富模型'!$E$10,'财富模型'!$E$12)/12)-IF('Calc'!$E$16=1,0,IF(Calc!$AG$59&lt;='财富模型'!$E$11*12,'Calc'!$W$16,'Calc'!$Y$16)),0)))</x:f>
      </x:c>
      <x:c r="AO59" t="n">
        <x:v>38</x:v>
      </x:c>
      <x:c r="AP59" t="n">
        <x:f>IF(Calc!$AO$59&gt;'Calc'!$B$8,"",MAX(Calc!$AP$58*(1+'财富模型'!$E$6/12)+('Calc'!$B$5-'财富模型'!$E$5-(IF('Calc'!$E$17=1,'财富模型'!$E$9,'财富模型'!$M$9+IF(Calc!$AO$59&lt;='财富模型'!$E$11*12,'Calc'!$W$17,'Calc'!$Y$17)-(IF('Calc'!$E$17=1,0,MIN(Calc!$AQ$58*(1+'财富模型'!$E$20/12)+'Calc'!$B$6,IF(Calc!$AO$59&lt;='财富模型'!$E$11*12,'Calc'!$W$17,'Calc'!$Y$17))))))),0))</x:f>
        <x:v>1158430.2796151733</x:v>
      </x:c>
      <x:c r="AQ59" t="n">
        <x:f>IF(Calc!$AO$59&gt;'Calc'!$B$8,"",MAX(Calc!$AQ$58*(1+'财富模型'!$E$20/12)+'Calc'!$B$6-(IF('Calc'!$E$17=1,0,MIN(Calc!$AQ$58*(1+'财富模型'!$E$20/12)+'Calc'!$B$6,IF(Calc!$AO$59&lt;='财富模型'!$E$11*12,'Calc'!$W$17,'Calc'!$Y$17)))),0))</x:f>
        <x:v>112491.4643460987</x:v>
      </x:c>
      <x:c r="AR59" t="n">
        <x:f>IF(Calc!$AO$59&gt;'Calc'!$B$8,"",IF('Calc'!$E$17=1,'财富模型'!$E$9,'财富模型'!$M$9+IF(Calc!$AO$59&lt;='财富模型'!$E$11*12,'Calc'!$W$17,'Calc'!$Y$17)-(IF('Calc'!$E$17=1,0,MIN(Calc!$AQ$58*(1+'财富模型'!$E$20/12)+'Calc'!$B$6,IF(Calc!$AO$59&lt;='财富模型'!$E$11*12,'Calc'!$W$17,'Calc'!$Y$17))))))</x:f>
        <x:v>4000</x:v>
      </x:c>
      <x:c r="AS59" t="n">
        <x:f>IF(Calc!$AO$59&gt;'Calc'!$B$8,"",IF('Calc'!$E$17=1,0,MIN(Calc!$AQ$58*(1+'财富模型'!$E$20/12)+'Calc'!$B$6,IF(Calc!$AO$59&lt;='财富模型'!$E$11*12,'Calc'!$W$17,'Calc'!$Y$17))))</x:f>
        <x:v>0</x:v>
      </x:c>
      <x:c r="AT59" t="n">
        <x:f>IF(Calc!$AO$59&gt;'Calc'!$B$8,"",'Calc'!$B$5-'财富模型'!$E$5-(IF('Calc'!$E$17=1,'财富模型'!$E$9,'财富模型'!$M$9+IF(Calc!$AO$59&lt;='财富模型'!$E$11*12,'Calc'!$W$17,'Calc'!$Y$17)-(IF('Calc'!$E$17=1,0,MIN(Calc!$AQ$58*(1+'财富模型'!$E$20/12)+'Calc'!$B$6,IF(Calc!$AO$59&lt;='财富模型'!$E$11*12,'Calc'!$W$17,'Calc'!$Y$17)))))))</x:f>
        <x:v>3933.333333333332</x:v>
      </x:c>
      <x:c r="AU59" t="n">
        <x:f>IF(Calc!$AO$59&gt;'Calc'!$B$8,"",IF('Calc'!$E$17=1,0,MAX(Calc!$AU$58*(1+IF(Calc!$AO$59&lt;='财富模型'!$E$11*12,'财富模型'!$E$10,'财富模型'!$E$12)/12)-IF('Calc'!$E$17=1,0,IF(Calc!$AO$59&lt;='财富模型'!$E$11*12,'Calc'!$W$17,'Calc'!$Y$17)),0)))</x:f>
        <x:v>0</x:v>
      </x:c>
    </x:row>
    <x:row r="60">
      <x:c r="A60" t="n">
        <x:v>39</x:v>
      </x:c>
      <x:c r="B60" t="e">
        <x:f>IF(Calc!$A$60&gt;'Calc'!$B$8,"",MAX(Calc!$B$59*(1+'财富模型'!$E$6/12)+('Calc'!$B$5-'财富模型'!$E$5-(IF('Calc'!$E$12=1,'财富模型'!$E$9,'财富模型'!$M$4+IF(Calc!$A$60&lt;='财富模型'!$E$11*12,'Calc'!$W$12,'Calc'!$Y$12)-(IF('Calc'!$E$12=1,0,MIN(Calc!$C$59*(1+'财富模型'!$E$20/12)+'Calc'!$B$6,IF(Calc!$A$60&lt;='财富模型'!$E$11*12,'Calc'!$W$12,'Calc'!$Y$12))))))),0))</x:f>
      </x:c>
      <x:c r="C60" t="e">
        <x:f>IF(Calc!$A$60&gt;'Calc'!$B$8,"",MAX(Calc!$C$59*(1+'财富模型'!$E$20/12)+'Calc'!$B$6-(IF('Calc'!$E$12=1,0,MIN(Calc!$C$59*(1+'财富模型'!$E$20/12)+'Calc'!$B$6,IF(Calc!$A$60&lt;='财富模型'!$E$11*12,'Calc'!$W$12,'Calc'!$Y$12)))),0))</x:f>
      </x:c>
      <x:c r="D60" t="e">
        <x:f>IF(Calc!$A$60&gt;'Calc'!$B$8,"",IF('Calc'!$E$12=1,'财富模型'!$E$9,'财富模型'!$M$4+IF(Calc!$A$60&lt;='财富模型'!$E$11*12,'Calc'!$W$12,'Calc'!$Y$12)-(IF('Calc'!$E$12=1,0,MIN(Calc!$C$59*(1+'财富模型'!$E$20/12)+'Calc'!$B$6,IF(Calc!$A$60&lt;='财富模型'!$E$11*12,'Calc'!$W$12,'Calc'!$Y$12))))))</x:f>
      </x:c>
      <x:c r="E60" t="e">
        <x:f>IF(Calc!$A$60&gt;'Calc'!$B$8,"",IF('Calc'!$E$12=1,0,MIN(Calc!$C$59*(1+'财富模型'!$E$20/12)+'Calc'!$B$6,IF(Calc!$A$60&lt;='财富模型'!$E$11*12,'Calc'!$W$12,'Calc'!$Y$12))))</x:f>
      </x:c>
      <x:c r="F60" t="e">
        <x:f>IF(Calc!$A$60&gt;'Calc'!$B$8,"",'Calc'!$B$5-'财富模型'!$E$5-(IF('Calc'!$E$12=1,'财富模型'!$E$9,'财富模型'!$M$4+IF(Calc!$A$60&lt;='财富模型'!$E$11*12,'Calc'!$W$12,'Calc'!$Y$12)-(IF('Calc'!$E$12=1,0,MIN(Calc!$C$59*(1+'财富模型'!$E$20/12)+'Calc'!$B$6,IF(Calc!$A$60&lt;='财富模型'!$E$11*12,'Calc'!$W$12,'Calc'!$Y$12)))))))</x:f>
      </x:c>
      <x:c r="G60" t="e">
        <x:f>IF(Calc!$A$60&gt;'Calc'!$B$8,"",IF('Calc'!$E$12=1,0,MAX(Calc!$G$59*(1+IF(Calc!$A$60&lt;='财富模型'!$E$11*12,'财富模型'!$E$10,'财富模型'!$E$12)/12)-IF('Calc'!$E$12=1,0,IF(Calc!$A$60&lt;='财富模型'!$E$11*12,'Calc'!$W$12,'Calc'!$Y$12)),0)))</x:f>
      </x:c>
      <x:c r="I60" t="n">
        <x:v>39</x:v>
      </x:c>
      <x:c r="J60" t="e">
        <x:f>IF(Calc!$I$60&gt;'Calc'!$B$8,"",MAX(Calc!$J$59*(1+'财富模型'!$E$6/12)+('Calc'!$B$5-'财富模型'!$E$5-(IF('Calc'!$E$13=1,'财富模型'!$E$9,'财富模型'!$M$5+IF(Calc!$I$60&lt;='财富模型'!$E$11*12,'Calc'!$W$13,'Calc'!$Y$13)-(IF('Calc'!$E$13=1,0,MIN(Calc!$K$59*(1+'财富模型'!$E$20/12)+'Calc'!$B$6,IF(Calc!$I$60&lt;='财富模型'!$E$11*12,'Calc'!$W$13,'Calc'!$Y$13))))))),0))</x:f>
      </x:c>
      <x:c r="K60" t="e">
        <x:f>IF(Calc!$I$60&gt;'Calc'!$B$8,"",MAX(Calc!$K$59*(1+'财富模型'!$E$20/12)+'Calc'!$B$6-(IF('Calc'!$E$13=1,0,MIN(Calc!$K$59*(1+'财富模型'!$E$20/12)+'Calc'!$B$6,IF(Calc!$I$60&lt;='财富模型'!$E$11*12,'Calc'!$W$13,'Calc'!$Y$13)))),0))</x:f>
      </x:c>
      <x:c r="L60" t="e">
        <x:f>IF(Calc!$I$60&gt;'Calc'!$B$8,"",IF('Calc'!$E$13=1,'财富模型'!$E$9,'财富模型'!$M$5+IF(Calc!$I$60&lt;='财富模型'!$E$11*12,'Calc'!$W$13,'Calc'!$Y$13)-(IF('Calc'!$E$13=1,0,MIN(Calc!$K$59*(1+'财富模型'!$E$20/12)+'Calc'!$B$6,IF(Calc!$I$60&lt;='财富模型'!$E$11*12,'Calc'!$W$13,'Calc'!$Y$13))))))</x:f>
      </x:c>
      <x:c r="M60" t="e">
        <x:f>IF(Calc!$I$60&gt;'Calc'!$B$8,"",IF('Calc'!$E$13=1,0,MIN(Calc!$K$59*(1+'财富模型'!$E$20/12)+'Calc'!$B$6,IF(Calc!$I$60&lt;='财富模型'!$E$11*12,'Calc'!$W$13,'Calc'!$Y$13))))</x:f>
      </x:c>
      <x:c r="N60" t="e">
        <x:f>IF(Calc!$I$60&gt;'Calc'!$B$8,"",'Calc'!$B$5-'财富模型'!$E$5-(IF('Calc'!$E$13=1,'财富模型'!$E$9,'财富模型'!$M$5+IF(Calc!$I$60&lt;='财富模型'!$E$11*12,'Calc'!$W$13,'Calc'!$Y$13)-(IF('Calc'!$E$13=1,0,MIN(Calc!$K$59*(1+'财富模型'!$E$20/12)+'Calc'!$B$6,IF(Calc!$I$60&lt;='财富模型'!$E$11*12,'Calc'!$W$13,'Calc'!$Y$13)))))))</x:f>
      </x:c>
      <x:c r="O60" t="e">
        <x:f>IF(Calc!$I$60&gt;'Calc'!$B$8,"",IF('Calc'!$E$13=1,0,MAX(Calc!$O$59*(1+IF(Calc!$I$60&lt;='财富模型'!$E$11*12,'财富模型'!$E$10,'财富模型'!$E$12)/12)-IF('Calc'!$E$13=1,0,IF(Calc!$I$60&lt;='财富模型'!$E$11*12,'Calc'!$W$13,'Calc'!$Y$13)),0)))</x:f>
      </x:c>
      <x:c r="Q60" t="n">
        <x:v>39</x:v>
      </x:c>
      <x:c r="R60" t="e">
        <x:f>IF(Calc!$Q$60&gt;'Calc'!$B$8,"",MAX(Calc!$R$59*(1+'财富模型'!$E$6/12)+('Calc'!$B$5-'财富模型'!$E$5-(IF('Calc'!$E$14=1,'财富模型'!$E$9,'财富模型'!$M$6+IF(Calc!$Q$60&lt;='财富模型'!$E$11*12,'Calc'!$W$14,'Calc'!$Y$14)-(IF('Calc'!$E$14=1,0,MIN(Calc!$S$59*(1+'财富模型'!$E$20/12)+'Calc'!$B$6,IF(Calc!$Q$60&lt;='财富模型'!$E$11*12,'Calc'!$W$14,'Calc'!$Y$14))))))),0))</x:f>
      </x:c>
      <x:c r="S60" t="e">
        <x:f>IF(Calc!$Q$60&gt;'Calc'!$B$8,"",MAX(Calc!$S$59*(1+'财富模型'!$E$20/12)+'Calc'!$B$6-(IF('Calc'!$E$14=1,0,MIN(Calc!$S$59*(1+'财富模型'!$E$20/12)+'Calc'!$B$6,IF(Calc!$Q$60&lt;='财富模型'!$E$11*12,'Calc'!$W$14,'Calc'!$Y$14)))),0))</x:f>
      </x:c>
      <x:c r="T60" t="e">
        <x:f>IF(Calc!$Q$60&gt;'Calc'!$B$8,"",IF('Calc'!$E$14=1,'财富模型'!$E$9,'财富模型'!$M$6+IF(Calc!$Q$60&lt;='财富模型'!$E$11*12,'Calc'!$W$14,'Calc'!$Y$14)-(IF('Calc'!$E$14=1,0,MIN(Calc!$S$59*(1+'财富模型'!$E$20/12)+'Calc'!$B$6,IF(Calc!$Q$60&lt;='财富模型'!$E$11*12,'Calc'!$W$14,'Calc'!$Y$14))))))</x:f>
      </x:c>
      <x:c r="U60" t="e">
        <x:f>IF(Calc!$Q$60&gt;'Calc'!$B$8,"",IF('Calc'!$E$14=1,0,MIN(Calc!$S$59*(1+'财富模型'!$E$20/12)+'Calc'!$B$6,IF(Calc!$Q$60&lt;='财富模型'!$E$11*12,'Calc'!$W$14,'Calc'!$Y$14))))</x:f>
      </x:c>
      <x:c r="V60" t="e">
        <x:f>IF(Calc!$Q$60&gt;'Calc'!$B$8,"",'Calc'!$B$5-'财富模型'!$E$5-(IF('Calc'!$E$14=1,'财富模型'!$E$9,'财富模型'!$M$6+IF(Calc!$Q$60&lt;='财富模型'!$E$11*12,'Calc'!$W$14,'Calc'!$Y$14)-(IF('Calc'!$E$14=1,0,MIN(Calc!$S$59*(1+'财富模型'!$E$20/12)+'Calc'!$B$6,IF(Calc!$Q$60&lt;='财富模型'!$E$11*12,'Calc'!$W$14,'Calc'!$Y$14)))))))</x:f>
      </x:c>
      <x:c r="W60" t="e">
        <x:f>IF(Calc!$Q$60&gt;'Calc'!$B$8,"",IF('Calc'!$E$14=1,0,MAX(Calc!$W$59*(1+IF(Calc!$Q$60&lt;='财富模型'!$E$11*12,'财富模型'!$E$10,'财富模型'!$E$12)/12)-IF('Calc'!$E$14=1,0,IF(Calc!$Q$60&lt;='财富模型'!$E$11*12,'Calc'!$W$14,'Calc'!$Y$14)),0)))</x:f>
      </x:c>
      <x:c r="Y60" t="n">
        <x:v>39</x:v>
      </x:c>
      <x:c r="Z60" t="e">
        <x:f>IF(Calc!$Y$60&gt;'Calc'!$B$8,"",MAX(Calc!$Z$59*(1+'财富模型'!$E$6/12)+('Calc'!$B$5-'财富模型'!$E$5-(IF('Calc'!$E$15=1,'财富模型'!$E$9,'财富模型'!$M$7+IF(Calc!$Y$60&lt;='财富模型'!$E$11*12,'Calc'!$W$15,'Calc'!$Y$15)-(IF('Calc'!$E$15=1,0,MIN(Calc!$AA$59*(1+'财富模型'!$E$20/12)+'Calc'!$B$6,IF(Calc!$Y$60&lt;='财富模型'!$E$11*12,'Calc'!$W$15,'Calc'!$Y$15))))))),0))</x:f>
      </x:c>
      <x:c r="AA60" t="e">
        <x:f>IF(Calc!$Y$60&gt;'Calc'!$B$8,"",MAX(Calc!$AA$59*(1+'财富模型'!$E$20/12)+'Calc'!$B$6-(IF('Calc'!$E$15=1,0,MIN(Calc!$AA$59*(1+'财富模型'!$E$20/12)+'Calc'!$B$6,IF(Calc!$Y$60&lt;='财富模型'!$E$11*12,'Calc'!$W$15,'Calc'!$Y$15)))),0))</x:f>
      </x:c>
      <x:c r="AB60" t="e">
        <x:f>IF(Calc!$Y$60&gt;'Calc'!$B$8,"",IF('Calc'!$E$15=1,'财富模型'!$E$9,'财富模型'!$M$7+IF(Calc!$Y$60&lt;='财富模型'!$E$11*12,'Calc'!$W$15,'Calc'!$Y$15)-(IF('Calc'!$E$15=1,0,MIN(Calc!$AA$59*(1+'财富模型'!$E$20/12)+'Calc'!$B$6,IF(Calc!$Y$60&lt;='财富模型'!$E$11*12,'Calc'!$W$15,'Calc'!$Y$15))))))</x:f>
      </x:c>
      <x:c r="AC60" t="e">
        <x:f>IF(Calc!$Y$60&gt;'Calc'!$B$8,"",IF('Calc'!$E$15=1,0,MIN(Calc!$AA$59*(1+'财富模型'!$E$20/12)+'Calc'!$B$6,IF(Calc!$Y$60&lt;='财富模型'!$E$11*12,'Calc'!$W$15,'Calc'!$Y$15))))</x:f>
      </x:c>
      <x:c r="AD60" t="e">
        <x:f>IF(Calc!$Y$60&gt;'Calc'!$B$8,"",'Calc'!$B$5-'财富模型'!$E$5-(IF('Calc'!$E$15=1,'财富模型'!$E$9,'财富模型'!$M$7+IF(Calc!$Y$60&lt;='财富模型'!$E$11*12,'Calc'!$W$15,'Calc'!$Y$15)-(IF('Calc'!$E$15=1,0,MIN(Calc!$AA$59*(1+'财富模型'!$E$20/12)+'Calc'!$B$6,IF(Calc!$Y$60&lt;='财富模型'!$E$11*12,'Calc'!$W$15,'Calc'!$Y$15)))))))</x:f>
      </x:c>
      <x:c r="AE60" t="e">
        <x:f>IF(Calc!$Y$60&gt;'Calc'!$B$8,"",IF('Calc'!$E$15=1,0,MAX(Calc!$AE$59*(1+IF(Calc!$Y$60&lt;='财富模型'!$E$11*12,'财富模型'!$E$10,'财富模型'!$E$12)/12)-IF('Calc'!$E$15=1,0,IF(Calc!$Y$60&lt;='财富模型'!$E$11*12,'Calc'!$W$15,'Calc'!$Y$15)),0)))</x:f>
      </x:c>
      <x:c r="AG60" t="n">
        <x:v>39</x:v>
      </x:c>
      <x:c r="AH60" t="e">
        <x:f>IF(Calc!$AG$60&gt;'Calc'!$B$8,"",MAX(Calc!$AH$59*(1+'财富模型'!$E$6/12)+('Calc'!$B$5-'财富模型'!$E$5-(IF('Calc'!$E$16=1,'财富模型'!$E$9,'财富模型'!$M$8+IF(Calc!$AG$60&lt;='财富模型'!$E$11*12,'Calc'!$W$16,'Calc'!$Y$16)-(IF('Calc'!$E$16=1,0,MIN(Calc!$AI$59*(1+'财富模型'!$E$20/12)+'Calc'!$B$6,IF(Calc!$AG$60&lt;='财富模型'!$E$11*12,'Calc'!$W$16,'Calc'!$Y$16))))))),0))</x:f>
      </x:c>
      <x:c r="AI60" t="e">
        <x:f>IF(Calc!$AG$60&gt;'Calc'!$B$8,"",MAX(Calc!$AI$59*(1+'财富模型'!$E$20/12)+'Calc'!$B$6-(IF('Calc'!$E$16=1,0,MIN(Calc!$AI$59*(1+'财富模型'!$E$20/12)+'Calc'!$B$6,IF(Calc!$AG$60&lt;='财富模型'!$E$11*12,'Calc'!$W$16,'Calc'!$Y$16)))),0))</x:f>
      </x:c>
      <x:c r="AJ60" t="e">
        <x:f>IF(Calc!$AG$60&gt;'Calc'!$B$8,"",IF('Calc'!$E$16=1,'财富模型'!$E$9,'财富模型'!$M$8+IF(Calc!$AG$60&lt;='财富模型'!$E$11*12,'Calc'!$W$16,'Calc'!$Y$16)-(IF('Calc'!$E$16=1,0,MIN(Calc!$AI$59*(1+'财富模型'!$E$20/12)+'Calc'!$B$6,IF(Calc!$AG$60&lt;='财富模型'!$E$11*12,'Calc'!$W$16,'Calc'!$Y$16))))))</x:f>
      </x:c>
      <x:c r="AK60" t="e">
        <x:f>IF(Calc!$AG$60&gt;'Calc'!$B$8,"",IF('Calc'!$E$16=1,0,MIN(Calc!$AI$59*(1+'财富模型'!$E$20/12)+'Calc'!$B$6,IF(Calc!$AG$60&lt;='财富模型'!$E$11*12,'Calc'!$W$16,'Calc'!$Y$16))))</x:f>
      </x:c>
      <x:c r="AL60" t="e">
        <x:f>IF(Calc!$AG$60&gt;'Calc'!$B$8,"",'Calc'!$B$5-'财富模型'!$E$5-(IF('Calc'!$E$16=1,'财富模型'!$E$9,'财富模型'!$M$8+IF(Calc!$AG$60&lt;='财富模型'!$E$11*12,'Calc'!$W$16,'Calc'!$Y$16)-(IF('Calc'!$E$16=1,0,MIN(Calc!$AI$59*(1+'财富模型'!$E$20/12)+'Calc'!$B$6,IF(Calc!$AG$60&lt;='财富模型'!$E$11*12,'Calc'!$W$16,'Calc'!$Y$16)))))))</x:f>
      </x:c>
      <x:c r="AM60" t="e">
        <x:f>IF(Calc!$AG$60&gt;'Calc'!$B$8,"",IF('Calc'!$E$16=1,0,MAX(Calc!$AM$59*(1+IF(Calc!$AG$60&lt;='财富模型'!$E$11*12,'财富模型'!$E$10,'财富模型'!$E$12)/12)-IF('Calc'!$E$16=1,0,IF(Calc!$AG$60&lt;='财富模型'!$E$11*12,'Calc'!$W$16,'Calc'!$Y$16)),0)))</x:f>
      </x:c>
      <x:c r="AO60" t="n">
        <x:v>39</x:v>
      </x:c>
      <x:c r="AP60" t="n">
        <x:f>IF(Calc!$AO$60&gt;'Calc'!$B$8,"",MAX(Calc!$AP$59*(1+'财富模型'!$E$6/12)+('Calc'!$B$5-'财富模型'!$E$5-(IF('Calc'!$E$17=1,'财富模型'!$E$9,'财富模型'!$M$9+IF(Calc!$AO$60&lt;='财富模型'!$E$11*12,'Calc'!$W$17,'Calc'!$Y$17)-(IF('Calc'!$E$17=1,0,MIN(Calc!$AQ$59*(1+'财富模型'!$E$20/12)+'Calc'!$B$6,IF(Calc!$AO$60&lt;='财富模型'!$E$11*12,'Calc'!$W$17,'Calc'!$Y$17))))))),0))</x:f>
        <x:v>1169121.1229129285</x:v>
      </x:c>
      <x:c r="AQ60" t="n">
        <x:f>IF(Calc!$AO$60&gt;'Calc'!$B$8,"",MAX(Calc!$AQ$59*(1+'财富模型'!$E$20/12)+'Calc'!$B$6-(IF('Calc'!$E$17=1,0,MIN(Calc!$AQ$59*(1+'财富模型'!$E$20/12)+'Calc'!$B$6,IF(Calc!$AO$60&lt;='财富模型'!$E$11*12,'Calc'!$W$17,'Calc'!$Y$17)))),0))</x:f>
        <x:v>115573.57156348642</x:v>
      </x:c>
      <x:c r="AR60" t="n">
        <x:f>IF(Calc!$AO$60&gt;'Calc'!$B$8,"",IF('Calc'!$E$17=1,'财富模型'!$E$9,'财富模型'!$M$9+IF(Calc!$AO$60&lt;='财富模型'!$E$11*12,'Calc'!$W$17,'Calc'!$Y$17)-(IF('Calc'!$E$17=1,0,MIN(Calc!$AQ$59*(1+'财富模型'!$E$20/12)+'Calc'!$B$6,IF(Calc!$AO$60&lt;='财富模型'!$E$11*12,'Calc'!$W$17,'Calc'!$Y$17))))))</x:f>
        <x:v>4000</x:v>
      </x:c>
      <x:c r="AS60" t="n">
        <x:f>IF(Calc!$AO$60&gt;'Calc'!$B$8,"",IF('Calc'!$E$17=1,0,MIN(Calc!$AQ$59*(1+'财富模型'!$E$20/12)+'Calc'!$B$6,IF(Calc!$AO$60&lt;='财富模型'!$E$11*12,'Calc'!$W$17,'Calc'!$Y$17))))</x:f>
        <x:v>0</x:v>
      </x:c>
      <x:c r="AT60" t="n">
        <x:f>IF(Calc!$AO$60&gt;'Calc'!$B$8,"",'Calc'!$B$5-'财富模型'!$E$5-(IF('Calc'!$E$17=1,'财富模型'!$E$9,'财富模型'!$M$9+IF(Calc!$AO$60&lt;='财富模型'!$E$11*12,'Calc'!$W$17,'Calc'!$Y$17)-(IF('Calc'!$E$17=1,0,MIN(Calc!$AQ$59*(1+'财富模型'!$E$20/12)+'Calc'!$B$6,IF(Calc!$AO$60&lt;='财富模型'!$E$11*12,'Calc'!$W$17,'Calc'!$Y$17)))))))</x:f>
        <x:v>3933.333333333332</x:v>
      </x:c>
      <x:c r="AU60" t="n">
        <x:f>IF(Calc!$AO$60&gt;'Calc'!$B$8,"",IF('Calc'!$E$17=1,0,MAX(Calc!$AU$59*(1+IF(Calc!$AO$60&lt;='财富模型'!$E$11*12,'财富模型'!$E$10,'财富模型'!$E$12)/12)-IF('Calc'!$E$17=1,0,IF(Calc!$AO$60&lt;='财富模型'!$E$11*12,'Calc'!$W$17,'Calc'!$Y$17)),0)))</x:f>
        <x:v>0</x:v>
      </x:c>
    </x:row>
    <x:row r="61">
      <x:c r="A61" t="n">
        <x:v>40</x:v>
      </x:c>
      <x:c r="B61" t="e">
        <x:f>IF(Calc!$A$61&gt;'Calc'!$B$8,"",MAX(Calc!$B$60*(1+'财富模型'!$E$6/12)+('Calc'!$B$5-'财富模型'!$E$5-(IF('Calc'!$E$12=1,'财富模型'!$E$9,'财富模型'!$M$4+IF(Calc!$A$61&lt;='财富模型'!$E$11*12,'Calc'!$W$12,'Calc'!$Y$12)-(IF('Calc'!$E$12=1,0,MIN(Calc!$C$60*(1+'财富模型'!$E$20/12)+'Calc'!$B$6,IF(Calc!$A$61&lt;='财富模型'!$E$11*12,'Calc'!$W$12,'Calc'!$Y$12))))))),0))</x:f>
      </x:c>
      <x:c r="C61" t="e">
        <x:f>IF(Calc!$A$61&gt;'Calc'!$B$8,"",MAX(Calc!$C$60*(1+'财富模型'!$E$20/12)+'Calc'!$B$6-(IF('Calc'!$E$12=1,0,MIN(Calc!$C$60*(1+'财富模型'!$E$20/12)+'Calc'!$B$6,IF(Calc!$A$61&lt;='财富模型'!$E$11*12,'Calc'!$W$12,'Calc'!$Y$12)))),0))</x:f>
      </x:c>
      <x:c r="D61" t="e">
        <x:f>IF(Calc!$A$61&gt;'Calc'!$B$8,"",IF('Calc'!$E$12=1,'财富模型'!$E$9,'财富模型'!$M$4+IF(Calc!$A$61&lt;='财富模型'!$E$11*12,'Calc'!$W$12,'Calc'!$Y$12)-(IF('Calc'!$E$12=1,0,MIN(Calc!$C$60*(1+'财富模型'!$E$20/12)+'Calc'!$B$6,IF(Calc!$A$61&lt;='财富模型'!$E$11*12,'Calc'!$W$12,'Calc'!$Y$12))))))</x:f>
      </x:c>
      <x:c r="E61" t="e">
        <x:f>IF(Calc!$A$61&gt;'Calc'!$B$8,"",IF('Calc'!$E$12=1,0,MIN(Calc!$C$60*(1+'财富模型'!$E$20/12)+'Calc'!$B$6,IF(Calc!$A$61&lt;='财富模型'!$E$11*12,'Calc'!$W$12,'Calc'!$Y$12))))</x:f>
      </x:c>
      <x:c r="F61" t="e">
        <x:f>IF(Calc!$A$61&gt;'Calc'!$B$8,"",'Calc'!$B$5-'财富模型'!$E$5-(IF('Calc'!$E$12=1,'财富模型'!$E$9,'财富模型'!$M$4+IF(Calc!$A$61&lt;='财富模型'!$E$11*12,'Calc'!$W$12,'Calc'!$Y$12)-(IF('Calc'!$E$12=1,0,MIN(Calc!$C$60*(1+'财富模型'!$E$20/12)+'Calc'!$B$6,IF(Calc!$A$61&lt;='财富模型'!$E$11*12,'Calc'!$W$12,'Calc'!$Y$12)))))))</x:f>
      </x:c>
      <x:c r="G61" t="e">
        <x:f>IF(Calc!$A$61&gt;'Calc'!$B$8,"",IF('Calc'!$E$12=1,0,MAX(Calc!$G$60*(1+IF(Calc!$A$61&lt;='财富模型'!$E$11*12,'财富模型'!$E$10,'财富模型'!$E$12)/12)-IF('Calc'!$E$12=1,0,IF(Calc!$A$61&lt;='财富模型'!$E$11*12,'Calc'!$W$12,'Calc'!$Y$12)),0)))</x:f>
      </x:c>
      <x:c r="I61" t="n">
        <x:v>40</x:v>
      </x:c>
      <x:c r="J61" t="e">
        <x:f>IF(Calc!$I$61&gt;'Calc'!$B$8,"",MAX(Calc!$J$60*(1+'财富模型'!$E$6/12)+('Calc'!$B$5-'财富模型'!$E$5-(IF('Calc'!$E$13=1,'财富模型'!$E$9,'财富模型'!$M$5+IF(Calc!$I$61&lt;='财富模型'!$E$11*12,'Calc'!$W$13,'Calc'!$Y$13)-(IF('Calc'!$E$13=1,0,MIN(Calc!$K$60*(1+'财富模型'!$E$20/12)+'Calc'!$B$6,IF(Calc!$I$61&lt;='财富模型'!$E$11*12,'Calc'!$W$13,'Calc'!$Y$13))))))),0))</x:f>
      </x:c>
      <x:c r="K61" t="e">
        <x:f>IF(Calc!$I$61&gt;'Calc'!$B$8,"",MAX(Calc!$K$60*(1+'财富模型'!$E$20/12)+'Calc'!$B$6-(IF('Calc'!$E$13=1,0,MIN(Calc!$K$60*(1+'财富模型'!$E$20/12)+'Calc'!$B$6,IF(Calc!$I$61&lt;='财富模型'!$E$11*12,'Calc'!$W$13,'Calc'!$Y$13)))),0))</x:f>
      </x:c>
      <x:c r="L61" t="e">
        <x:f>IF(Calc!$I$61&gt;'Calc'!$B$8,"",IF('Calc'!$E$13=1,'财富模型'!$E$9,'财富模型'!$M$5+IF(Calc!$I$61&lt;='财富模型'!$E$11*12,'Calc'!$W$13,'Calc'!$Y$13)-(IF('Calc'!$E$13=1,0,MIN(Calc!$K$60*(1+'财富模型'!$E$20/12)+'Calc'!$B$6,IF(Calc!$I$61&lt;='财富模型'!$E$11*12,'Calc'!$W$13,'Calc'!$Y$13))))))</x:f>
      </x:c>
      <x:c r="M61" t="e">
        <x:f>IF(Calc!$I$61&gt;'Calc'!$B$8,"",IF('Calc'!$E$13=1,0,MIN(Calc!$K$60*(1+'财富模型'!$E$20/12)+'Calc'!$B$6,IF(Calc!$I$61&lt;='财富模型'!$E$11*12,'Calc'!$W$13,'Calc'!$Y$13))))</x:f>
      </x:c>
      <x:c r="N61" t="e">
        <x:f>IF(Calc!$I$61&gt;'Calc'!$B$8,"",'Calc'!$B$5-'财富模型'!$E$5-(IF('Calc'!$E$13=1,'财富模型'!$E$9,'财富模型'!$M$5+IF(Calc!$I$61&lt;='财富模型'!$E$11*12,'Calc'!$W$13,'Calc'!$Y$13)-(IF('Calc'!$E$13=1,0,MIN(Calc!$K$60*(1+'财富模型'!$E$20/12)+'Calc'!$B$6,IF(Calc!$I$61&lt;='财富模型'!$E$11*12,'Calc'!$W$13,'Calc'!$Y$13)))))))</x:f>
      </x:c>
      <x:c r="O61" t="e">
        <x:f>IF(Calc!$I$61&gt;'Calc'!$B$8,"",IF('Calc'!$E$13=1,0,MAX(Calc!$O$60*(1+IF(Calc!$I$61&lt;='财富模型'!$E$11*12,'财富模型'!$E$10,'财富模型'!$E$12)/12)-IF('Calc'!$E$13=1,0,IF(Calc!$I$61&lt;='财富模型'!$E$11*12,'Calc'!$W$13,'Calc'!$Y$13)),0)))</x:f>
      </x:c>
      <x:c r="Q61" t="n">
        <x:v>40</x:v>
      </x:c>
      <x:c r="R61" t="e">
        <x:f>IF(Calc!$Q$61&gt;'Calc'!$B$8,"",MAX(Calc!$R$60*(1+'财富模型'!$E$6/12)+('Calc'!$B$5-'财富模型'!$E$5-(IF('Calc'!$E$14=1,'财富模型'!$E$9,'财富模型'!$M$6+IF(Calc!$Q$61&lt;='财富模型'!$E$11*12,'Calc'!$W$14,'Calc'!$Y$14)-(IF('Calc'!$E$14=1,0,MIN(Calc!$S$60*(1+'财富模型'!$E$20/12)+'Calc'!$B$6,IF(Calc!$Q$61&lt;='财富模型'!$E$11*12,'Calc'!$W$14,'Calc'!$Y$14))))))),0))</x:f>
      </x:c>
      <x:c r="S61" t="e">
        <x:f>IF(Calc!$Q$61&gt;'Calc'!$B$8,"",MAX(Calc!$S$60*(1+'财富模型'!$E$20/12)+'Calc'!$B$6-(IF('Calc'!$E$14=1,0,MIN(Calc!$S$60*(1+'财富模型'!$E$20/12)+'Calc'!$B$6,IF(Calc!$Q$61&lt;='财富模型'!$E$11*12,'Calc'!$W$14,'Calc'!$Y$14)))),0))</x:f>
      </x:c>
      <x:c r="T61" t="e">
        <x:f>IF(Calc!$Q$61&gt;'Calc'!$B$8,"",IF('Calc'!$E$14=1,'财富模型'!$E$9,'财富模型'!$M$6+IF(Calc!$Q$61&lt;='财富模型'!$E$11*12,'Calc'!$W$14,'Calc'!$Y$14)-(IF('Calc'!$E$14=1,0,MIN(Calc!$S$60*(1+'财富模型'!$E$20/12)+'Calc'!$B$6,IF(Calc!$Q$61&lt;='财富模型'!$E$11*12,'Calc'!$W$14,'Calc'!$Y$14))))))</x:f>
      </x:c>
      <x:c r="U61" t="e">
        <x:f>IF(Calc!$Q$61&gt;'Calc'!$B$8,"",IF('Calc'!$E$14=1,0,MIN(Calc!$S$60*(1+'财富模型'!$E$20/12)+'Calc'!$B$6,IF(Calc!$Q$61&lt;='财富模型'!$E$11*12,'Calc'!$W$14,'Calc'!$Y$14))))</x:f>
      </x:c>
      <x:c r="V61" t="e">
        <x:f>IF(Calc!$Q$61&gt;'Calc'!$B$8,"",'Calc'!$B$5-'财富模型'!$E$5-(IF('Calc'!$E$14=1,'财富模型'!$E$9,'财富模型'!$M$6+IF(Calc!$Q$61&lt;='财富模型'!$E$11*12,'Calc'!$W$14,'Calc'!$Y$14)-(IF('Calc'!$E$14=1,0,MIN(Calc!$S$60*(1+'财富模型'!$E$20/12)+'Calc'!$B$6,IF(Calc!$Q$61&lt;='财富模型'!$E$11*12,'Calc'!$W$14,'Calc'!$Y$14)))))))</x:f>
      </x:c>
      <x:c r="W61" t="e">
        <x:f>IF(Calc!$Q$61&gt;'Calc'!$B$8,"",IF('Calc'!$E$14=1,0,MAX(Calc!$W$60*(1+IF(Calc!$Q$61&lt;='财富模型'!$E$11*12,'财富模型'!$E$10,'财富模型'!$E$12)/12)-IF('Calc'!$E$14=1,0,IF(Calc!$Q$61&lt;='财富模型'!$E$11*12,'Calc'!$W$14,'Calc'!$Y$14)),0)))</x:f>
      </x:c>
      <x:c r="Y61" t="n">
        <x:v>40</x:v>
      </x:c>
      <x:c r="Z61" t="e">
        <x:f>IF(Calc!$Y$61&gt;'Calc'!$B$8,"",MAX(Calc!$Z$60*(1+'财富模型'!$E$6/12)+('Calc'!$B$5-'财富模型'!$E$5-(IF('Calc'!$E$15=1,'财富模型'!$E$9,'财富模型'!$M$7+IF(Calc!$Y$61&lt;='财富模型'!$E$11*12,'Calc'!$W$15,'Calc'!$Y$15)-(IF('Calc'!$E$15=1,0,MIN(Calc!$AA$60*(1+'财富模型'!$E$20/12)+'Calc'!$B$6,IF(Calc!$Y$61&lt;='财富模型'!$E$11*12,'Calc'!$W$15,'Calc'!$Y$15))))))),0))</x:f>
      </x:c>
      <x:c r="AA61" t="e">
        <x:f>IF(Calc!$Y$61&gt;'Calc'!$B$8,"",MAX(Calc!$AA$60*(1+'财富模型'!$E$20/12)+'Calc'!$B$6-(IF('Calc'!$E$15=1,0,MIN(Calc!$AA$60*(1+'财富模型'!$E$20/12)+'Calc'!$B$6,IF(Calc!$Y$61&lt;='财富模型'!$E$11*12,'Calc'!$W$15,'Calc'!$Y$15)))),0))</x:f>
      </x:c>
      <x:c r="AB61" t="e">
        <x:f>IF(Calc!$Y$61&gt;'Calc'!$B$8,"",IF('Calc'!$E$15=1,'财富模型'!$E$9,'财富模型'!$M$7+IF(Calc!$Y$61&lt;='财富模型'!$E$11*12,'Calc'!$W$15,'Calc'!$Y$15)-(IF('Calc'!$E$15=1,0,MIN(Calc!$AA$60*(1+'财富模型'!$E$20/12)+'Calc'!$B$6,IF(Calc!$Y$61&lt;='财富模型'!$E$11*12,'Calc'!$W$15,'Calc'!$Y$15))))))</x:f>
      </x:c>
      <x:c r="AC61" t="e">
        <x:f>IF(Calc!$Y$61&gt;'Calc'!$B$8,"",IF('Calc'!$E$15=1,0,MIN(Calc!$AA$60*(1+'财富模型'!$E$20/12)+'Calc'!$B$6,IF(Calc!$Y$61&lt;='财富模型'!$E$11*12,'Calc'!$W$15,'Calc'!$Y$15))))</x:f>
      </x:c>
      <x:c r="AD61" t="e">
        <x:f>IF(Calc!$Y$61&gt;'Calc'!$B$8,"",'Calc'!$B$5-'财富模型'!$E$5-(IF('Calc'!$E$15=1,'财富模型'!$E$9,'财富模型'!$M$7+IF(Calc!$Y$61&lt;='财富模型'!$E$11*12,'Calc'!$W$15,'Calc'!$Y$15)-(IF('Calc'!$E$15=1,0,MIN(Calc!$AA$60*(1+'财富模型'!$E$20/12)+'Calc'!$B$6,IF(Calc!$Y$61&lt;='财富模型'!$E$11*12,'Calc'!$W$15,'Calc'!$Y$15)))))))</x:f>
      </x:c>
      <x:c r="AE61" t="e">
        <x:f>IF(Calc!$Y$61&gt;'Calc'!$B$8,"",IF('Calc'!$E$15=1,0,MAX(Calc!$AE$60*(1+IF(Calc!$Y$61&lt;='财富模型'!$E$11*12,'财富模型'!$E$10,'财富模型'!$E$12)/12)-IF('Calc'!$E$15=1,0,IF(Calc!$Y$61&lt;='财富模型'!$E$11*12,'Calc'!$W$15,'Calc'!$Y$15)),0)))</x:f>
      </x:c>
      <x:c r="AG61" t="n">
        <x:v>40</x:v>
      </x:c>
      <x:c r="AH61" t="e">
        <x:f>IF(Calc!$AG$61&gt;'Calc'!$B$8,"",MAX(Calc!$AH$60*(1+'财富模型'!$E$6/12)+('Calc'!$B$5-'财富模型'!$E$5-(IF('Calc'!$E$16=1,'财富模型'!$E$9,'财富模型'!$M$8+IF(Calc!$AG$61&lt;='财富模型'!$E$11*12,'Calc'!$W$16,'Calc'!$Y$16)-(IF('Calc'!$E$16=1,0,MIN(Calc!$AI$60*(1+'财富模型'!$E$20/12)+'Calc'!$B$6,IF(Calc!$AG$61&lt;='财富模型'!$E$11*12,'Calc'!$W$16,'Calc'!$Y$16))))))),0))</x:f>
      </x:c>
      <x:c r="AI61" t="e">
        <x:f>IF(Calc!$AG$61&gt;'Calc'!$B$8,"",MAX(Calc!$AI$60*(1+'财富模型'!$E$20/12)+'Calc'!$B$6-(IF('Calc'!$E$16=1,0,MIN(Calc!$AI$60*(1+'财富模型'!$E$20/12)+'Calc'!$B$6,IF(Calc!$AG$61&lt;='财富模型'!$E$11*12,'Calc'!$W$16,'Calc'!$Y$16)))),0))</x:f>
      </x:c>
      <x:c r="AJ61" t="e">
        <x:f>IF(Calc!$AG$61&gt;'Calc'!$B$8,"",IF('Calc'!$E$16=1,'财富模型'!$E$9,'财富模型'!$M$8+IF(Calc!$AG$61&lt;='财富模型'!$E$11*12,'Calc'!$W$16,'Calc'!$Y$16)-(IF('Calc'!$E$16=1,0,MIN(Calc!$AI$60*(1+'财富模型'!$E$20/12)+'Calc'!$B$6,IF(Calc!$AG$61&lt;='财富模型'!$E$11*12,'Calc'!$W$16,'Calc'!$Y$16))))))</x:f>
      </x:c>
      <x:c r="AK61" t="e">
        <x:f>IF(Calc!$AG$61&gt;'Calc'!$B$8,"",IF('Calc'!$E$16=1,0,MIN(Calc!$AI$60*(1+'财富模型'!$E$20/12)+'Calc'!$B$6,IF(Calc!$AG$61&lt;='财富模型'!$E$11*12,'Calc'!$W$16,'Calc'!$Y$16))))</x:f>
      </x:c>
      <x:c r="AL61" t="e">
        <x:f>IF(Calc!$AG$61&gt;'Calc'!$B$8,"",'Calc'!$B$5-'财富模型'!$E$5-(IF('Calc'!$E$16=1,'财富模型'!$E$9,'财富模型'!$M$8+IF(Calc!$AG$61&lt;='财富模型'!$E$11*12,'Calc'!$W$16,'Calc'!$Y$16)-(IF('Calc'!$E$16=1,0,MIN(Calc!$AI$60*(1+'财富模型'!$E$20/12)+'Calc'!$B$6,IF(Calc!$AG$61&lt;='财富模型'!$E$11*12,'Calc'!$W$16,'Calc'!$Y$16)))))))</x:f>
      </x:c>
      <x:c r="AM61" t="e">
        <x:f>IF(Calc!$AG$61&gt;'Calc'!$B$8,"",IF('Calc'!$E$16=1,0,MAX(Calc!$AM$60*(1+IF(Calc!$AG$61&lt;='财富模型'!$E$11*12,'财富模型'!$E$10,'财富模型'!$E$12)/12)-IF('Calc'!$E$16=1,0,IF(Calc!$AG$61&lt;='财富模型'!$E$11*12,'Calc'!$W$16,'Calc'!$Y$16)),0)))</x:f>
      </x:c>
      <x:c r="AO61" t="n">
        <x:v>40</x:v>
      </x:c>
      <x:c r="AP61" t="n">
        <x:f>IF(Calc!$AO$61&gt;'Calc'!$B$8,"",MAX(Calc!$AP$60*(1+'财富模型'!$E$6/12)+('Calc'!$B$5-'财富模型'!$E$5-(IF('Calc'!$E$17=1,'财富模型'!$E$9,'财富模型'!$M$9+IF(Calc!$AO$61&lt;='财富模型'!$E$11*12,'Calc'!$W$17,'Calc'!$Y$17)-(IF('Calc'!$E$17=1,0,MIN(Calc!$AQ$60*(1+'财富模型'!$E$20/12)+'Calc'!$B$6,IF(Calc!$AO$61&lt;='财富模型'!$E$11*12,'Calc'!$W$17,'Calc'!$Y$17))))))),0))</x:f>
        <x:v>1179874.3294632537</x:v>
      </x:c>
      <x:c r="AQ61" t="n">
        <x:f>IF(Calc!$AO$61&gt;'Calc'!$B$8,"",MAX(Calc!$AQ$60*(1+'财富模型'!$E$20/12)+'Calc'!$B$6-(IF('Calc'!$E$17=1,0,MIN(Calc!$AQ$60*(1+'财富模型'!$E$20/12)+'Calc'!$B$6,IF(Calc!$AO$61&lt;='财富模型'!$E$11*12,'Calc'!$W$17,'Calc'!$Y$17)))),0))</x:f>
        <x:v>118662.09983757703</x:v>
      </x:c>
      <x:c r="AR61" t="n">
        <x:f>IF(Calc!$AO$61&gt;'Calc'!$B$8,"",IF('Calc'!$E$17=1,'财富模型'!$E$9,'财富模型'!$M$9+IF(Calc!$AO$61&lt;='财富模型'!$E$11*12,'Calc'!$W$17,'Calc'!$Y$17)-(IF('Calc'!$E$17=1,0,MIN(Calc!$AQ$60*(1+'财富模型'!$E$20/12)+'Calc'!$B$6,IF(Calc!$AO$61&lt;='财富模型'!$E$11*12,'Calc'!$W$17,'Calc'!$Y$17))))))</x:f>
        <x:v>4000</x:v>
      </x:c>
      <x:c r="AS61" t="n">
        <x:f>IF(Calc!$AO$61&gt;'Calc'!$B$8,"",IF('Calc'!$E$17=1,0,MIN(Calc!$AQ$60*(1+'财富模型'!$E$20/12)+'Calc'!$B$6,IF(Calc!$AO$61&lt;='财富模型'!$E$11*12,'Calc'!$W$17,'Calc'!$Y$17))))</x:f>
        <x:v>0</x:v>
      </x:c>
      <x:c r="AT61" t="n">
        <x:f>IF(Calc!$AO$61&gt;'Calc'!$B$8,"",'Calc'!$B$5-'财富模型'!$E$5-(IF('Calc'!$E$17=1,'财富模型'!$E$9,'财富模型'!$M$9+IF(Calc!$AO$61&lt;='财富模型'!$E$11*12,'Calc'!$W$17,'Calc'!$Y$17)-(IF('Calc'!$E$17=1,0,MIN(Calc!$AQ$60*(1+'财富模型'!$E$20/12)+'Calc'!$B$6,IF(Calc!$AO$61&lt;='财富模型'!$E$11*12,'Calc'!$W$17,'Calc'!$Y$17)))))))</x:f>
        <x:v>3933.333333333332</x:v>
      </x:c>
      <x:c r="AU61" t="n">
        <x:f>IF(Calc!$AO$61&gt;'Calc'!$B$8,"",IF('Calc'!$E$17=1,0,MAX(Calc!$AU$60*(1+IF(Calc!$AO$61&lt;='财富模型'!$E$11*12,'财富模型'!$E$10,'财富模型'!$E$12)/12)-IF('Calc'!$E$17=1,0,IF(Calc!$AO$61&lt;='财富模型'!$E$11*12,'Calc'!$W$17,'Calc'!$Y$17)),0)))</x:f>
        <x:v>0</x:v>
      </x:c>
    </x:row>
    <x:row r="62">
      <x:c r="A62" t="n">
        <x:v>41</x:v>
      </x:c>
      <x:c r="B62" t="e">
        <x:f>IF(Calc!$A$62&gt;'Calc'!$B$8,"",MAX(Calc!$B$61*(1+'财富模型'!$E$6/12)+('Calc'!$B$5-'财富模型'!$E$5-(IF('Calc'!$E$12=1,'财富模型'!$E$9,'财富模型'!$M$4+IF(Calc!$A$62&lt;='财富模型'!$E$11*12,'Calc'!$W$12,'Calc'!$Y$12)-(IF('Calc'!$E$12=1,0,MIN(Calc!$C$61*(1+'财富模型'!$E$20/12)+'Calc'!$B$6,IF(Calc!$A$62&lt;='财富模型'!$E$11*12,'Calc'!$W$12,'Calc'!$Y$12))))))),0))</x:f>
      </x:c>
      <x:c r="C62" t="e">
        <x:f>IF(Calc!$A$62&gt;'Calc'!$B$8,"",MAX(Calc!$C$61*(1+'财富模型'!$E$20/12)+'Calc'!$B$6-(IF('Calc'!$E$12=1,0,MIN(Calc!$C$61*(1+'财富模型'!$E$20/12)+'Calc'!$B$6,IF(Calc!$A$62&lt;='财富模型'!$E$11*12,'Calc'!$W$12,'Calc'!$Y$12)))),0))</x:f>
      </x:c>
      <x:c r="D62" t="e">
        <x:f>IF(Calc!$A$62&gt;'Calc'!$B$8,"",IF('Calc'!$E$12=1,'财富模型'!$E$9,'财富模型'!$M$4+IF(Calc!$A$62&lt;='财富模型'!$E$11*12,'Calc'!$W$12,'Calc'!$Y$12)-(IF('Calc'!$E$12=1,0,MIN(Calc!$C$61*(1+'财富模型'!$E$20/12)+'Calc'!$B$6,IF(Calc!$A$62&lt;='财富模型'!$E$11*12,'Calc'!$W$12,'Calc'!$Y$12))))))</x:f>
      </x:c>
      <x:c r="E62" t="e">
        <x:f>IF(Calc!$A$62&gt;'Calc'!$B$8,"",IF('Calc'!$E$12=1,0,MIN(Calc!$C$61*(1+'财富模型'!$E$20/12)+'Calc'!$B$6,IF(Calc!$A$62&lt;='财富模型'!$E$11*12,'Calc'!$W$12,'Calc'!$Y$12))))</x:f>
      </x:c>
      <x:c r="F62" t="e">
        <x:f>IF(Calc!$A$62&gt;'Calc'!$B$8,"",'Calc'!$B$5-'财富模型'!$E$5-(IF('Calc'!$E$12=1,'财富模型'!$E$9,'财富模型'!$M$4+IF(Calc!$A$62&lt;='财富模型'!$E$11*12,'Calc'!$W$12,'Calc'!$Y$12)-(IF('Calc'!$E$12=1,0,MIN(Calc!$C$61*(1+'财富模型'!$E$20/12)+'Calc'!$B$6,IF(Calc!$A$62&lt;='财富模型'!$E$11*12,'Calc'!$W$12,'Calc'!$Y$12)))))))</x:f>
      </x:c>
      <x:c r="G62" t="e">
        <x:f>IF(Calc!$A$62&gt;'Calc'!$B$8,"",IF('Calc'!$E$12=1,0,MAX(Calc!$G$61*(1+IF(Calc!$A$62&lt;='财富模型'!$E$11*12,'财富模型'!$E$10,'财富模型'!$E$12)/12)-IF('Calc'!$E$12=1,0,IF(Calc!$A$62&lt;='财富模型'!$E$11*12,'Calc'!$W$12,'Calc'!$Y$12)),0)))</x:f>
      </x:c>
      <x:c r="I62" t="n">
        <x:v>41</x:v>
      </x:c>
      <x:c r="J62" t="e">
        <x:f>IF(Calc!$I$62&gt;'Calc'!$B$8,"",MAX(Calc!$J$61*(1+'财富模型'!$E$6/12)+('Calc'!$B$5-'财富模型'!$E$5-(IF('Calc'!$E$13=1,'财富模型'!$E$9,'财富模型'!$M$5+IF(Calc!$I$62&lt;='财富模型'!$E$11*12,'Calc'!$W$13,'Calc'!$Y$13)-(IF('Calc'!$E$13=1,0,MIN(Calc!$K$61*(1+'财富模型'!$E$20/12)+'Calc'!$B$6,IF(Calc!$I$62&lt;='财富模型'!$E$11*12,'Calc'!$W$13,'Calc'!$Y$13))))))),0))</x:f>
      </x:c>
      <x:c r="K62" t="e">
        <x:f>IF(Calc!$I$62&gt;'Calc'!$B$8,"",MAX(Calc!$K$61*(1+'财富模型'!$E$20/12)+'Calc'!$B$6-(IF('Calc'!$E$13=1,0,MIN(Calc!$K$61*(1+'财富模型'!$E$20/12)+'Calc'!$B$6,IF(Calc!$I$62&lt;='财富模型'!$E$11*12,'Calc'!$W$13,'Calc'!$Y$13)))),0))</x:f>
      </x:c>
      <x:c r="L62" t="e">
        <x:f>IF(Calc!$I$62&gt;'Calc'!$B$8,"",IF('Calc'!$E$13=1,'财富模型'!$E$9,'财富模型'!$M$5+IF(Calc!$I$62&lt;='财富模型'!$E$11*12,'Calc'!$W$13,'Calc'!$Y$13)-(IF('Calc'!$E$13=1,0,MIN(Calc!$K$61*(1+'财富模型'!$E$20/12)+'Calc'!$B$6,IF(Calc!$I$62&lt;='财富模型'!$E$11*12,'Calc'!$W$13,'Calc'!$Y$13))))))</x:f>
      </x:c>
      <x:c r="M62" t="e">
        <x:f>IF(Calc!$I$62&gt;'Calc'!$B$8,"",IF('Calc'!$E$13=1,0,MIN(Calc!$K$61*(1+'财富模型'!$E$20/12)+'Calc'!$B$6,IF(Calc!$I$62&lt;='财富模型'!$E$11*12,'Calc'!$W$13,'Calc'!$Y$13))))</x:f>
      </x:c>
      <x:c r="N62" t="e">
        <x:f>IF(Calc!$I$62&gt;'Calc'!$B$8,"",'Calc'!$B$5-'财富模型'!$E$5-(IF('Calc'!$E$13=1,'财富模型'!$E$9,'财富模型'!$M$5+IF(Calc!$I$62&lt;='财富模型'!$E$11*12,'Calc'!$W$13,'Calc'!$Y$13)-(IF('Calc'!$E$13=1,0,MIN(Calc!$K$61*(1+'财富模型'!$E$20/12)+'Calc'!$B$6,IF(Calc!$I$62&lt;='财富模型'!$E$11*12,'Calc'!$W$13,'Calc'!$Y$13)))))))</x:f>
      </x:c>
      <x:c r="O62" t="e">
        <x:f>IF(Calc!$I$62&gt;'Calc'!$B$8,"",IF('Calc'!$E$13=1,0,MAX(Calc!$O$61*(1+IF(Calc!$I$62&lt;='财富模型'!$E$11*12,'财富模型'!$E$10,'财富模型'!$E$12)/12)-IF('Calc'!$E$13=1,0,IF(Calc!$I$62&lt;='财富模型'!$E$11*12,'Calc'!$W$13,'Calc'!$Y$13)),0)))</x:f>
      </x:c>
      <x:c r="Q62" t="n">
        <x:v>41</x:v>
      </x:c>
      <x:c r="R62" t="e">
        <x:f>IF(Calc!$Q$62&gt;'Calc'!$B$8,"",MAX(Calc!$R$61*(1+'财富模型'!$E$6/12)+('Calc'!$B$5-'财富模型'!$E$5-(IF('Calc'!$E$14=1,'财富模型'!$E$9,'财富模型'!$M$6+IF(Calc!$Q$62&lt;='财富模型'!$E$11*12,'Calc'!$W$14,'Calc'!$Y$14)-(IF('Calc'!$E$14=1,0,MIN(Calc!$S$61*(1+'财富模型'!$E$20/12)+'Calc'!$B$6,IF(Calc!$Q$62&lt;='财富模型'!$E$11*12,'Calc'!$W$14,'Calc'!$Y$14))))))),0))</x:f>
      </x:c>
      <x:c r="S62" t="e">
        <x:f>IF(Calc!$Q$62&gt;'Calc'!$B$8,"",MAX(Calc!$S$61*(1+'财富模型'!$E$20/12)+'Calc'!$B$6-(IF('Calc'!$E$14=1,0,MIN(Calc!$S$61*(1+'财富模型'!$E$20/12)+'Calc'!$B$6,IF(Calc!$Q$62&lt;='财富模型'!$E$11*12,'Calc'!$W$14,'Calc'!$Y$14)))),0))</x:f>
      </x:c>
      <x:c r="T62" t="e">
        <x:f>IF(Calc!$Q$62&gt;'Calc'!$B$8,"",IF('Calc'!$E$14=1,'财富模型'!$E$9,'财富模型'!$M$6+IF(Calc!$Q$62&lt;='财富模型'!$E$11*12,'Calc'!$W$14,'Calc'!$Y$14)-(IF('Calc'!$E$14=1,0,MIN(Calc!$S$61*(1+'财富模型'!$E$20/12)+'Calc'!$B$6,IF(Calc!$Q$62&lt;='财富模型'!$E$11*12,'Calc'!$W$14,'Calc'!$Y$14))))))</x:f>
      </x:c>
      <x:c r="U62" t="e">
        <x:f>IF(Calc!$Q$62&gt;'Calc'!$B$8,"",IF('Calc'!$E$14=1,0,MIN(Calc!$S$61*(1+'财富模型'!$E$20/12)+'Calc'!$B$6,IF(Calc!$Q$62&lt;='财富模型'!$E$11*12,'Calc'!$W$14,'Calc'!$Y$14))))</x:f>
      </x:c>
      <x:c r="V62" t="e">
        <x:f>IF(Calc!$Q$62&gt;'Calc'!$B$8,"",'Calc'!$B$5-'财富模型'!$E$5-(IF('Calc'!$E$14=1,'财富模型'!$E$9,'财富模型'!$M$6+IF(Calc!$Q$62&lt;='财富模型'!$E$11*12,'Calc'!$W$14,'Calc'!$Y$14)-(IF('Calc'!$E$14=1,0,MIN(Calc!$S$61*(1+'财富模型'!$E$20/12)+'Calc'!$B$6,IF(Calc!$Q$62&lt;='财富模型'!$E$11*12,'Calc'!$W$14,'Calc'!$Y$14)))))))</x:f>
      </x:c>
      <x:c r="W62" t="e">
        <x:f>IF(Calc!$Q$62&gt;'Calc'!$B$8,"",IF('Calc'!$E$14=1,0,MAX(Calc!$W$61*(1+IF(Calc!$Q$62&lt;='财富模型'!$E$11*12,'财富模型'!$E$10,'财富模型'!$E$12)/12)-IF('Calc'!$E$14=1,0,IF(Calc!$Q$62&lt;='财富模型'!$E$11*12,'Calc'!$W$14,'Calc'!$Y$14)),0)))</x:f>
      </x:c>
      <x:c r="Y62" t="n">
        <x:v>41</x:v>
      </x:c>
      <x:c r="Z62" t="e">
        <x:f>IF(Calc!$Y$62&gt;'Calc'!$B$8,"",MAX(Calc!$Z$61*(1+'财富模型'!$E$6/12)+('Calc'!$B$5-'财富模型'!$E$5-(IF('Calc'!$E$15=1,'财富模型'!$E$9,'财富模型'!$M$7+IF(Calc!$Y$62&lt;='财富模型'!$E$11*12,'Calc'!$W$15,'Calc'!$Y$15)-(IF('Calc'!$E$15=1,0,MIN(Calc!$AA$61*(1+'财富模型'!$E$20/12)+'Calc'!$B$6,IF(Calc!$Y$62&lt;='财富模型'!$E$11*12,'Calc'!$W$15,'Calc'!$Y$15))))))),0))</x:f>
      </x:c>
      <x:c r="AA62" t="e">
        <x:f>IF(Calc!$Y$62&gt;'Calc'!$B$8,"",MAX(Calc!$AA$61*(1+'财富模型'!$E$20/12)+'Calc'!$B$6-(IF('Calc'!$E$15=1,0,MIN(Calc!$AA$61*(1+'财富模型'!$E$20/12)+'Calc'!$B$6,IF(Calc!$Y$62&lt;='财富模型'!$E$11*12,'Calc'!$W$15,'Calc'!$Y$15)))),0))</x:f>
      </x:c>
      <x:c r="AB62" t="e">
        <x:f>IF(Calc!$Y$62&gt;'Calc'!$B$8,"",IF('Calc'!$E$15=1,'财富模型'!$E$9,'财富模型'!$M$7+IF(Calc!$Y$62&lt;='财富模型'!$E$11*12,'Calc'!$W$15,'Calc'!$Y$15)-(IF('Calc'!$E$15=1,0,MIN(Calc!$AA$61*(1+'财富模型'!$E$20/12)+'Calc'!$B$6,IF(Calc!$Y$62&lt;='财富模型'!$E$11*12,'Calc'!$W$15,'Calc'!$Y$15))))))</x:f>
      </x:c>
      <x:c r="AC62" t="e">
        <x:f>IF(Calc!$Y$62&gt;'Calc'!$B$8,"",IF('Calc'!$E$15=1,0,MIN(Calc!$AA$61*(1+'财富模型'!$E$20/12)+'Calc'!$B$6,IF(Calc!$Y$62&lt;='财富模型'!$E$11*12,'Calc'!$W$15,'Calc'!$Y$15))))</x:f>
      </x:c>
      <x:c r="AD62" t="e">
        <x:f>IF(Calc!$Y$62&gt;'Calc'!$B$8,"",'Calc'!$B$5-'财富模型'!$E$5-(IF('Calc'!$E$15=1,'财富模型'!$E$9,'财富模型'!$M$7+IF(Calc!$Y$62&lt;='财富模型'!$E$11*12,'Calc'!$W$15,'Calc'!$Y$15)-(IF('Calc'!$E$15=1,0,MIN(Calc!$AA$61*(1+'财富模型'!$E$20/12)+'Calc'!$B$6,IF(Calc!$Y$62&lt;='财富模型'!$E$11*12,'Calc'!$W$15,'Calc'!$Y$15)))))))</x:f>
      </x:c>
      <x:c r="AE62" t="e">
        <x:f>IF(Calc!$Y$62&gt;'Calc'!$B$8,"",IF('Calc'!$E$15=1,0,MAX(Calc!$AE$61*(1+IF(Calc!$Y$62&lt;='财富模型'!$E$11*12,'财富模型'!$E$10,'财富模型'!$E$12)/12)-IF('Calc'!$E$15=1,0,IF(Calc!$Y$62&lt;='财富模型'!$E$11*12,'Calc'!$W$15,'Calc'!$Y$15)),0)))</x:f>
      </x:c>
      <x:c r="AG62" t="n">
        <x:v>41</x:v>
      </x:c>
      <x:c r="AH62" t="e">
        <x:f>IF(Calc!$AG$62&gt;'Calc'!$B$8,"",MAX(Calc!$AH$61*(1+'财富模型'!$E$6/12)+('Calc'!$B$5-'财富模型'!$E$5-(IF('Calc'!$E$16=1,'财富模型'!$E$9,'财富模型'!$M$8+IF(Calc!$AG$62&lt;='财富模型'!$E$11*12,'Calc'!$W$16,'Calc'!$Y$16)-(IF('Calc'!$E$16=1,0,MIN(Calc!$AI$61*(1+'财富模型'!$E$20/12)+'Calc'!$B$6,IF(Calc!$AG$62&lt;='财富模型'!$E$11*12,'Calc'!$W$16,'Calc'!$Y$16))))))),0))</x:f>
      </x:c>
      <x:c r="AI62" t="e">
        <x:f>IF(Calc!$AG$62&gt;'Calc'!$B$8,"",MAX(Calc!$AI$61*(1+'财富模型'!$E$20/12)+'Calc'!$B$6-(IF('Calc'!$E$16=1,0,MIN(Calc!$AI$61*(1+'财富模型'!$E$20/12)+'Calc'!$B$6,IF(Calc!$AG$62&lt;='财富模型'!$E$11*12,'Calc'!$W$16,'Calc'!$Y$16)))),0))</x:f>
      </x:c>
      <x:c r="AJ62" t="e">
        <x:f>IF(Calc!$AG$62&gt;'Calc'!$B$8,"",IF('Calc'!$E$16=1,'财富模型'!$E$9,'财富模型'!$M$8+IF(Calc!$AG$62&lt;='财富模型'!$E$11*12,'Calc'!$W$16,'Calc'!$Y$16)-(IF('Calc'!$E$16=1,0,MIN(Calc!$AI$61*(1+'财富模型'!$E$20/12)+'Calc'!$B$6,IF(Calc!$AG$62&lt;='财富模型'!$E$11*12,'Calc'!$W$16,'Calc'!$Y$16))))))</x:f>
      </x:c>
      <x:c r="AK62" t="e">
        <x:f>IF(Calc!$AG$62&gt;'Calc'!$B$8,"",IF('Calc'!$E$16=1,0,MIN(Calc!$AI$61*(1+'财富模型'!$E$20/12)+'Calc'!$B$6,IF(Calc!$AG$62&lt;='财富模型'!$E$11*12,'Calc'!$W$16,'Calc'!$Y$16))))</x:f>
      </x:c>
      <x:c r="AL62" t="e">
        <x:f>IF(Calc!$AG$62&gt;'Calc'!$B$8,"",'Calc'!$B$5-'财富模型'!$E$5-(IF('Calc'!$E$16=1,'财富模型'!$E$9,'财富模型'!$M$8+IF(Calc!$AG$62&lt;='财富模型'!$E$11*12,'Calc'!$W$16,'Calc'!$Y$16)-(IF('Calc'!$E$16=1,0,MIN(Calc!$AI$61*(1+'财富模型'!$E$20/12)+'Calc'!$B$6,IF(Calc!$AG$62&lt;='财富模型'!$E$11*12,'Calc'!$W$16,'Calc'!$Y$16)))))))</x:f>
      </x:c>
      <x:c r="AM62" t="e">
        <x:f>IF(Calc!$AG$62&gt;'Calc'!$B$8,"",IF('Calc'!$E$16=1,0,MAX(Calc!$AM$61*(1+IF(Calc!$AG$62&lt;='财富模型'!$E$11*12,'财富模型'!$E$10,'财富模型'!$E$12)/12)-IF('Calc'!$E$16=1,0,IF(Calc!$AG$62&lt;='财富模型'!$E$11*12,'Calc'!$W$16,'Calc'!$Y$16)),0)))</x:f>
      </x:c>
      <x:c r="AO62" t="n">
        <x:v>41</x:v>
      </x:c>
      <x:c r="AP62" t="n">
        <x:f>IF(Calc!$AO$62&gt;'Calc'!$B$8,"",MAX(Calc!$AP$61*(1+'财富模型'!$E$6/12)+('Calc'!$B$5-'财富模型'!$E$5-(IF('Calc'!$E$17=1,'财富模型'!$E$9,'财富模型'!$M$9+IF(Calc!$AO$62&lt;='财富模型'!$E$11*12,'Calc'!$W$17,'Calc'!$Y$17)-(IF('Calc'!$E$17=1,0,MIN(Calc!$AQ$61*(1+'财富模型'!$E$20/12)+'Calc'!$B$6,IF(Calc!$AO$62&lt;='财富模型'!$E$11*12,'Calc'!$W$17,'Calc'!$Y$17))))))),0))</x:f>
        <x:v>1190690.2630517893</x:v>
      </x:c>
      <x:c r="AQ62" t="n">
        <x:f>IF(Calc!$AO$62&gt;'Calc'!$B$8,"",MAX(Calc!$AQ$61*(1+'财富模型'!$E$20/12)+'Calc'!$B$6-(IF('Calc'!$E$17=1,0,MIN(Calc!$AQ$61*(1+'财富模型'!$E$20/12)+'Calc'!$B$6,IF(Calc!$AO$62&lt;='财富模型'!$E$11*12,'Calc'!$W$17,'Calc'!$Y$17)))),0))</x:f>
        <x:v>121757.062545572</x:v>
      </x:c>
      <x:c r="AR62" t="n">
        <x:f>IF(Calc!$AO$62&gt;'Calc'!$B$8,"",IF('Calc'!$E$17=1,'财富模型'!$E$9,'财富模型'!$M$9+IF(Calc!$AO$62&lt;='财富模型'!$E$11*12,'Calc'!$W$17,'Calc'!$Y$17)-(IF('Calc'!$E$17=1,0,MIN(Calc!$AQ$61*(1+'财富模型'!$E$20/12)+'Calc'!$B$6,IF(Calc!$AO$62&lt;='财富模型'!$E$11*12,'Calc'!$W$17,'Calc'!$Y$17))))))</x:f>
        <x:v>4000</x:v>
      </x:c>
      <x:c r="AS62" t="n">
        <x:f>IF(Calc!$AO$62&gt;'Calc'!$B$8,"",IF('Calc'!$E$17=1,0,MIN(Calc!$AQ$61*(1+'财富模型'!$E$20/12)+'Calc'!$B$6,IF(Calc!$AO$62&lt;='财富模型'!$E$11*12,'Calc'!$W$17,'Calc'!$Y$17))))</x:f>
        <x:v>0</x:v>
      </x:c>
      <x:c r="AT62" t="n">
        <x:f>IF(Calc!$AO$62&gt;'Calc'!$B$8,"",'Calc'!$B$5-'财富模型'!$E$5-(IF('Calc'!$E$17=1,'财富模型'!$E$9,'财富模型'!$M$9+IF(Calc!$AO$62&lt;='财富模型'!$E$11*12,'Calc'!$W$17,'Calc'!$Y$17)-(IF('Calc'!$E$17=1,0,MIN(Calc!$AQ$61*(1+'财富模型'!$E$20/12)+'Calc'!$B$6,IF(Calc!$AO$62&lt;='财富模型'!$E$11*12,'Calc'!$W$17,'Calc'!$Y$17)))))))</x:f>
        <x:v>3933.333333333332</x:v>
      </x:c>
      <x:c r="AU62" t="n">
        <x:f>IF(Calc!$AO$62&gt;'Calc'!$B$8,"",IF('Calc'!$E$17=1,0,MAX(Calc!$AU$61*(1+IF(Calc!$AO$62&lt;='财富模型'!$E$11*12,'财富模型'!$E$10,'财富模型'!$E$12)/12)-IF('Calc'!$E$17=1,0,IF(Calc!$AO$62&lt;='财富模型'!$E$11*12,'Calc'!$W$17,'Calc'!$Y$17)),0)))</x:f>
        <x:v>0</x:v>
      </x:c>
    </x:row>
    <x:row r="63">
      <x:c r="A63" t="n">
        <x:v>42</x:v>
      </x:c>
      <x:c r="B63" t="e">
        <x:f>IF(Calc!$A$63&gt;'Calc'!$B$8,"",MAX(Calc!$B$62*(1+'财富模型'!$E$6/12)+('Calc'!$B$5-'财富模型'!$E$5-(IF('Calc'!$E$12=1,'财富模型'!$E$9,'财富模型'!$M$4+IF(Calc!$A$63&lt;='财富模型'!$E$11*12,'Calc'!$W$12,'Calc'!$Y$12)-(IF('Calc'!$E$12=1,0,MIN(Calc!$C$62*(1+'财富模型'!$E$20/12)+'Calc'!$B$6,IF(Calc!$A$63&lt;='财富模型'!$E$11*12,'Calc'!$W$12,'Calc'!$Y$12))))))),0))</x:f>
      </x:c>
      <x:c r="C63" t="e">
        <x:f>IF(Calc!$A$63&gt;'Calc'!$B$8,"",MAX(Calc!$C$62*(1+'财富模型'!$E$20/12)+'Calc'!$B$6-(IF('Calc'!$E$12=1,0,MIN(Calc!$C$62*(1+'财富模型'!$E$20/12)+'Calc'!$B$6,IF(Calc!$A$63&lt;='财富模型'!$E$11*12,'Calc'!$W$12,'Calc'!$Y$12)))),0))</x:f>
      </x:c>
      <x:c r="D63" t="e">
        <x:f>IF(Calc!$A$63&gt;'Calc'!$B$8,"",IF('Calc'!$E$12=1,'财富模型'!$E$9,'财富模型'!$M$4+IF(Calc!$A$63&lt;='财富模型'!$E$11*12,'Calc'!$W$12,'Calc'!$Y$12)-(IF('Calc'!$E$12=1,0,MIN(Calc!$C$62*(1+'财富模型'!$E$20/12)+'Calc'!$B$6,IF(Calc!$A$63&lt;='财富模型'!$E$11*12,'Calc'!$W$12,'Calc'!$Y$12))))))</x:f>
      </x:c>
      <x:c r="E63" t="e">
        <x:f>IF(Calc!$A$63&gt;'Calc'!$B$8,"",IF('Calc'!$E$12=1,0,MIN(Calc!$C$62*(1+'财富模型'!$E$20/12)+'Calc'!$B$6,IF(Calc!$A$63&lt;='财富模型'!$E$11*12,'Calc'!$W$12,'Calc'!$Y$12))))</x:f>
      </x:c>
      <x:c r="F63" t="e">
        <x:f>IF(Calc!$A$63&gt;'Calc'!$B$8,"",'Calc'!$B$5-'财富模型'!$E$5-(IF('Calc'!$E$12=1,'财富模型'!$E$9,'财富模型'!$M$4+IF(Calc!$A$63&lt;='财富模型'!$E$11*12,'Calc'!$W$12,'Calc'!$Y$12)-(IF('Calc'!$E$12=1,0,MIN(Calc!$C$62*(1+'财富模型'!$E$20/12)+'Calc'!$B$6,IF(Calc!$A$63&lt;='财富模型'!$E$11*12,'Calc'!$W$12,'Calc'!$Y$12)))))))</x:f>
      </x:c>
      <x:c r="G63" t="e">
        <x:f>IF(Calc!$A$63&gt;'Calc'!$B$8,"",IF('Calc'!$E$12=1,0,MAX(Calc!$G$62*(1+IF(Calc!$A$63&lt;='财富模型'!$E$11*12,'财富模型'!$E$10,'财富模型'!$E$12)/12)-IF('Calc'!$E$12=1,0,IF(Calc!$A$63&lt;='财富模型'!$E$11*12,'Calc'!$W$12,'Calc'!$Y$12)),0)))</x:f>
      </x:c>
      <x:c r="I63" t="n">
        <x:v>42</x:v>
      </x:c>
      <x:c r="J63" t="e">
        <x:f>IF(Calc!$I$63&gt;'Calc'!$B$8,"",MAX(Calc!$J$62*(1+'财富模型'!$E$6/12)+('Calc'!$B$5-'财富模型'!$E$5-(IF('Calc'!$E$13=1,'财富模型'!$E$9,'财富模型'!$M$5+IF(Calc!$I$63&lt;='财富模型'!$E$11*12,'Calc'!$W$13,'Calc'!$Y$13)-(IF('Calc'!$E$13=1,0,MIN(Calc!$K$62*(1+'财富模型'!$E$20/12)+'Calc'!$B$6,IF(Calc!$I$63&lt;='财富模型'!$E$11*12,'Calc'!$W$13,'Calc'!$Y$13))))))),0))</x:f>
      </x:c>
      <x:c r="K63" t="e">
        <x:f>IF(Calc!$I$63&gt;'Calc'!$B$8,"",MAX(Calc!$K$62*(1+'财富模型'!$E$20/12)+'Calc'!$B$6-(IF('Calc'!$E$13=1,0,MIN(Calc!$K$62*(1+'财富模型'!$E$20/12)+'Calc'!$B$6,IF(Calc!$I$63&lt;='财富模型'!$E$11*12,'Calc'!$W$13,'Calc'!$Y$13)))),0))</x:f>
      </x:c>
      <x:c r="L63" t="e">
        <x:f>IF(Calc!$I$63&gt;'Calc'!$B$8,"",IF('Calc'!$E$13=1,'财富模型'!$E$9,'财富模型'!$M$5+IF(Calc!$I$63&lt;='财富模型'!$E$11*12,'Calc'!$W$13,'Calc'!$Y$13)-(IF('Calc'!$E$13=1,0,MIN(Calc!$K$62*(1+'财富模型'!$E$20/12)+'Calc'!$B$6,IF(Calc!$I$63&lt;='财富模型'!$E$11*12,'Calc'!$W$13,'Calc'!$Y$13))))))</x:f>
      </x:c>
      <x:c r="M63" t="e">
        <x:f>IF(Calc!$I$63&gt;'Calc'!$B$8,"",IF('Calc'!$E$13=1,0,MIN(Calc!$K$62*(1+'财富模型'!$E$20/12)+'Calc'!$B$6,IF(Calc!$I$63&lt;='财富模型'!$E$11*12,'Calc'!$W$13,'Calc'!$Y$13))))</x:f>
      </x:c>
      <x:c r="N63" t="e">
        <x:f>IF(Calc!$I$63&gt;'Calc'!$B$8,"",'Calc'!$B$5-'财富模型'!$E$5-(IF('Calc'!$E$13=1,'财富模型'!$E$9,'财富模型'!$M$5+IF(Calc!$I$63&lt;='财富模型'!$E$11*12,'Calc'!$W$13,'Calc'!$Y$13)-(IF('Calc'!$E$13=1,0,MIN(Calc!$K$62*(1+'财富模型'!$E$20/12)+'Calc'!$B$6,IF(Calc!$I$63&lt;='财富模型'!$E$11*12,'Calc'!$W$13,'Calc'!$Y$13)))))))</x:f>
      </x:c>
      <x:c r="O63" t="e">
        <x:f>IF(Calc!$I$63&gt;'Calc'!$B$8,"",IF('Calc'!$E$13=1,0,MAX(Calc!$O$62*(1+IF(Calc!$I$63&lt;='财富模型'!$E$11*12,'财富模型'!$E$10,'财富模型'!$E$12)/12)-IF('Calc'!$E$13=1,0,IF(Calc!$I$63&lt;='财富模型'!$E$11*12,'Calc'!$W$13,'Calc'!$Y$13)),0)))</x:f>
      </x:c>
      <x:c r="Q63" t="n">
        <x:v>42</x:v>
      </x:c>
      <x:c r="R63" t="e">
        <x:f>IF(Calc!$Q$63&gt;'Calc'!$B$8,"",MAX(Calc!$R$62*(1+'财富模型'!$E$6/12)+('Calc'!$B$5-'财富模型'!$E$5-(IF('Calc'!$E$14=1,'财富模型'!$E$9,'财富模型'!$M$6+IF(Calc!$Q$63&lt;='财富模型'!$E$11*12,'Calc'!$W$14,'Calc'!$Y$14)-(IF('Calc'!$E$14=1,0,MIN(Calc!$S$62*(1+'财富模型'!$E$20/12)+'Calc'!$B$6,IF(Calc!$Q$63&lt;='财富模型'!$E$11*12,'Calc'!$W$14,'Calc'!$Y$14))))))),0))</x:f>
      </x:c>
      <x:c r="S63" t="e">
        <x:f>IF(Calc!$Q$63&gt;'Calc'!$B$8,"",MAX(Calc!$S$62*(1+'财富模型'!$E$20/12)+'Calc'!$B$6-(IF('Calc'!$E$14=1,0,MIN(Calc!$S$62*(1+'财富模型'!$E$20/12)+'Calc'!$B$6,IF(Calc!$Q$63&lt;='财富模型'!$E$11*12,'Calc'!$W$14,'Calc'!$Y$14)))),0))</x:f>
      </x:c>
      <x:c r="T63" t="e">
        <x:f>IF(Calc!$Q$63&gt;'Calc'!$B$8,"",IF('Calc'!$E$14=1,'财富模型'!$E$9,'财富模型'!$M$6+IF(Calc!$Q$63&lt;='财富模型'!$E$11*12,'Calc'!$W$14,'Calc'!$Y$14)-(IF('Calc'!$E$14=1,0,MIN(Calc!$S$62*(1+'财富模型'!$E$20/12)+'Calc'!$B$6,IF(Calc!$Q$63&lt;='财富模型'!$E$11*12,'Calc'!$W$14,'Calc'!$Y$14))))))</x:f>
      </x:c>
      <x:c r="U63" t="e">
        <x:f>IF(Calc!$Q$63&gt;'Calc'!$B$8,"",IF('Calc'!$E$14=1,0,MIN(Calc!$S$62*(1+'财富模型'!$E$20/12)+'Calc'!$B$6,IF(Calc!$Q$63&lt;='财富模型'!$E$11*12,'Calc'!$W$14,'Calc'!$Y$14))))</x:f>
      </x:c>
      <x:c r="V63" t="e">
        <x:f>IF(Calc!$Q$63&gt;'Calc'!$B$8,"",'Calc'!$B$5-'财富模型'!$E$5-(IF('Calc'!$E$14=1,'财富模型'!$E$9,'财富模型'!$M$6+IF(Calc!$Q$63&lt;='财富模型'!$E$11*12,'Calc'!$W$14,'Calc'!$Y$14)-(IF('Calc'!$E$14=1,0,MIN(Calc!$S$62*(1+'财富模型'!$E$20/12)+'Calc'!$B$6,IF(Calc!$Q$63&lt;='财富模型'!$E$11*12,'Calc'!$W$14,'Calc'!$Y$14)))))))</x:f>
      </x:c>
      <x:c r="W63" t="e">
        <x:f>IF(Calc!$Q$63&gt;'Calc'!$B$8,"",IF('Calc'!$E$14=1,0,MAX(Calc!$W$62*(1+IF(Calc!$Q$63&lt;='财富模型'!$E$11*12,'财富模型'!$E$10,'财富模型'!$E$12)/12)-IF('Calc'!$E$14=1,0,IF(Calc!$Q$63&lt;='财富模型'!$E$11*12,'Calc'!$W$14,'Calc'!$Y$14)),0)))</x:f>
      </x:c>
      <x:c r="Y63" t="n">
        <x:v>42</x:v>
      </x:c>
      <x:c r="Z63" t="e">
        <x:f>IF(Calc!$Y$63&gt;'Calc'!$B$8,"",MAX(Calc!$Z$62*(1+'财富模型'!$E$6/12)+('Calc'!$B$5-'财富模型'!$E$5-(IF('Calc'!$E$15=1,'财富模型'!$E$9,'财富模型'!$M$7+IF(Calc!$Y$63&lt;='财富模型'!$E$11*12,'Calc'!$W$15,'Calc'!$Y$15)-(IF('Calc'!$E$15=1,0,MIN(Calc!$AA$62*(1+'财富模型'!$E$20/12)+'Calc'!$B$6,IF(Calc!$Y$63&lt;='财富模型'!$E$11*12,'Calc'!$W$15,'Calc'!$Y$15))))))),0))</x:f>
      </x:c>
      <x:c r="AA63" t="e">
        <x:f>IF(Calc!$Y$63&gt;'Calc'!$B$8,"",MAX(Calc!$AA$62*(1+'财富模型'!$E$20/12)+'Calc'!$B$6-(IF('Calc'!$E$15=1,0,MIN(Calc!$AA$62*(1+'财富模型'!$E$20/12)+'Calc'!$B$6,IF(Calc!$Y$63&lt;='财富模型'!$E$11*12,'Calc'!$W$15,'Calc'!$Y$15)))),0))</x:f>
      </x:c>
      <x:c r="AB63" t="e">
        <x:f>IF(Calc!$Y$63&gt;'Calc'!$B$8,"",IF('Calc'!$E$15=1,'财富模型'!$E$9,'财富模型'!$M$7+IF(Calc!$Y$63&lt;='财富模型'!$E$11*12,'Calc'!$W$15,'Calc'!$Y$15)-(IF('Calc'!$E$15=1,0,MIN(Calc!$AA$62*(1+'财富模型'!$E$20/12)+'Calc'!$B$6,IF(Calc!$Y$63&lt;='财富模型'!$E$11*12,'Calc'!$W$15,'Calc'!$Y$15))))))</x:f>
      </x:c>
      <x:c r="AC63" t="e">
        <x:f>IF(Calc!$Y$63&gt;'Calc'!$B$8,"",IF('Calc'!$E$15=1,0,MIN(Calc!$AA$62*(1+'财富模型'!$E$20/12)+'Calc'!$B$6,IF(Calc!$Y$63&lt;='财富模型'!$E$11*12,'Calc'!$W$15,'Calc'!$Y$15))))</x:f>
      </x:c>
      <x:c r="AD63" t="e">
        <x:f>IF(Calc!$Y$63&gt;'Calc'!$B$8,"",'Calc'!$B$5-'财富模型'!$E$5-(IF('Calc'!$E$15=1,'财富模型'!$E$9,'财富模型'!$M$7+IF(Calc!$Y$63&lt;='财富模型'!$E$11*12,'Calc'!$W$15,'Calc'!$Y$15)-(IF('Calc'!$E$15=1,0,MIN(Calc!$AA$62*(1+'财富模型'!$E$20/12)+'Calc'!$B$6,IF(Calc!$Y$63&lt;='财富模型'!$E$11*12,'Calc'!$W$15,'Calc'!$Y$15)))))))</x:f>
      </x:c>
      <x:c r="AE63" t="e">
        <x:f>IF(Calc!$Y$63&gt;'Calc'!$B$8,"",IF('Calc'!$E$15=1,0,MAX(Calc!$AE$62*(1+IF(Calc!$Y$63&lt;='财富模型'!$E$11*12,'财富模型'!$E$10,'财富模型'!$E$12)/12)-IF('Calc'!$E$15=1,0,IF(Calc!$Y$63&lt;='财富模型'!$E$11*12,'Calc'!$W$15,'Calc'!$Y$15)),0)))</x:f>
      </x:c>
      <x:c r="AG63" t="n">
        <x:v>42</x:v>
      </x:c>
      <x:c r="AH63" t="e">
        <x:f>IF(Calc!$AG$63&gt;'Calc'!$B$8,"",MAX(Calc!$AH$62*(1+'财富模型'!$E$6/12)+('Calc'!$B$5-'财富模型'!$E$5-(IF('Calc'!$E$16=1,'财富模型'!$E$9,'财富模型'!$M$8+IF(Calc!$AG$63&lt;='财富模型'!$E$11*12,'Calc'!$W$16,'Calc'!$Y$16)-(IF('Calc'!$E$16=1,0,MIN(Calc!$AI$62*(1+'财富模型'!$E$20/12)+'Calc'!$B$6,IF(Calc!$AG$63&lt;='财富模型'!$E$11*12,'Calc'!$W$16,'Calc'!$Y$16))))))),0))</x:f>
      </x:c>
      <x:c r="AI63" t="e">
        <x:f>IF(Calc!$AG$63&gt;'Calc'!$B$8,"",MAX(Calc!$AI$62*(1+'财富模型'!$E$20/12)+'Calc'!$B$6-(IF('Calc'!$E$16=1,0,MIN(Calc!$AI$62*(1+'财富模型'!$E$20/12)+'Calc'!$B$6,IF(Calc!$AG$63&lt;='财富模型'!$E$11*12,'Calc'!$W$16,'Calc'!$Y$16)))),0))</x:f>
      </x:c>
      <x:c r="AJ63" t="e">
        <x:f>IF(Calc!$AG$63&gt;'Calc'!$B$8,"",IF('Calc'!$E$16=1,'财富模型'!$E$9,'财富模型'!$M$8+IF(Calc!$AG$63&lt;='财富模型'!$E$11*12,'Calc'!$W$16,'Calc'!$Y$16)-(IF('Calc'!$E$16=1,0,MIN(Calc!$AI$62*(1+'财富模型'!$E$20/12)+'Calc'!$B$6,IF(Calc!$AG$63&lt;='财富模型'!$E$11*12,'Calc'!$W$16,'Calc'!$Y$16))))))</x:f>
      </x:c>
      <x:c r="AK63" t="e">
        <x:f>IF(Calc!$AG$63&gt;'Calc'!$B$8,"",IF('Calc'!$E$16=1,0,MIN(Calc!$AI$62*(1+'财富模型'!$E$20/12)+'Calc'!$B$6,IF(Calc!$AG$63&lt;='财富模型'!$E$11*12,'Calc'!$W$16,'Calc'!$Y$16))))</x:f>
      </x:c>
      <x:c r="AL63" t="e">
        <x:f>IF(Calc!$AG$63&gt;'Calc'!$B$8,"",'Calc'!$B$5-'财富模型'!$E$5-(IF('Calc'!$E$16=1,'财富模型'!$E$9,'财富模型'!$M$8+IF(Calc!$AG$63&lt;='财富模型'!$E$11*12,'Calc'!$W$16,'Calc'!$Y$16)-(IF('Calc'!$E$16=1,0,MIN(Calc!$AI$62*(1+'财富模型'!$E$20/12)+'Calc'!$B$6,IF(Calc!$AG$63&lt;='财富模型'!$E$11*12,'Calc'!$W$16,'Calc'!$Y$16)))))))</x:f>
      </x:c>
      <x:c r="AM63" t="e">
        <x:f>IF(Calc!$AG$63&gt;'Calc'!$B$8,"",IF('Calc'!$E$16=1,0,MAX(Calc!$AM$62*(1+IF(Calc!$AG$63&lt;='财富模型'!$E$11*12,'财富模型'!$E$10,'财富模型'!$E$12)/12)-IF('Calc'!$E$16=1,0,IF(Calc!$AG$63&lt;='财富模型'!$E$11*12,'Calc'!$W$16,'Calc'!$Y$16)),0)))</x:f>
      </x:c>
      <x:c r="AO63" t="n">
        <x:v>42</x:v>
      </x:c>
      <x:c r="AP63" t="n">
        <x:f>IF(Calc!$AO$63&gt;'Calc'!$B$8,"",MAX(Calc!$AP$62*(1+'财富模型'!$E$6/12)+('Calc'!$B$5-'财富模型'!$E$5-(IF('Calc'!$E$17=1,'财富模型'!$E$9,'财富模型'!$M$9+IF(Calc!$AO$63&lt;='财富模型'!$E$11*12,'Calc'!$W$17,'Calc'!$Y$17)-(IF('Calc'!$E$17=1,0,MIN(Calc!$AQ$62*(1+'财富模型'!$E$20/12)+'Calc'!$B$6,IF(Calc!$AO$63&lt;='财富模型'!$E$11*12,'Calc'!$W$17,'Calc'!$Y$17))))))),0))</x:f>
        <x:v>1201569.289586258</x:v>
      </x:c>
      <x:c r="AQ63" t="n">
        <x:f>IF(Calc!$AO$63&gt;'Calc'!$B$8,"",MAX(Calc!$AQ$62*(1+'财富模型'!$E$20/12)+'Calc'!$B$6-(IF('Calc'!$E$17=1,0,MIN(Calc!$AQ$62*(1+'财富模型'!$E$20/12)+'Calc'!$B$6,IF(Calc!$AO$63&lt;='财富模型'!$E$11*12,'Calc'!$W$17,'Calc'!$Y$17)))),0))</x:f>
        <x:v>124858.47309254196</x:v>
      </x:c>
      <x:c r="AR63" t="n">
        <x:f>IF(Calc!$AO$63&gt;'Calc'!$B$8,"",IF('Calc'!$E$17=1,'财富模型'!$E$9,'财富模型'!$M$9+IF(Calc!$AO$63&lt;='财富模型'!$E$11*12,'Calc'!$W$17,'Calc'!$Y$17)-(IF('Calc'!$E$17=1,0,MIN(Calc!$AQ$62*(1+'财富模型'!$E$20/12)+'Calc'!$B$6,IF(Calc!$AO$63&lt;='财富模型'!$E$11*12,'Calc'!$W$17,'Calc'!$Y$17))))))</x:f>
        <x:v>4000</x:v>
      </x:c>
      <x:c r="AS63" t="n">
        <x:f>IF(Calc!$AO$63&gt;'Calc'!$B$8,"",IF('Calc'!$E$17=1,0,MIN(Calc!$AQ$62*(1+'财富模型'!$E$20/12)+'Calc'!$B$6,IF(Calc!$AO$63&lt;='财富模型'!$E$11*12,'Calc'!$W$17,'Calc'!$Y$17))))</x:f>
        <x:v>0</x:v>
      </x:c>
      <x:c r="AT63" t="n">
        <x:f>IF(Calc!$AO$63&gt;'Calc'!$B$8,"",'Calc'!$B$5-'财富模型'!$E$5-(IF('Calc'!$E$17=1,'财富模型'!$E$9,'财富模型'!$M$9+IF(Calc!$AO$63&lt;='财富模型'!$E$11*12,'Calc'!$W$17,'Calc'!$Y$17)-(IF('Calc'!$E$17=1,0,MIN(Calc!$AQ$62*(1+'财富模型'!$E$20/12)+'Calc'!$B$6,IF(Calc!$AO$63&lt;='财富模型'!$E$11*12,'Calc'!$W$17,'Calc'!$Y$17)))))))</x:f>
        <x:v>3933.333333333332</x:v>
      </x:c>
      <x:c r="AU63" t="n">
        <x:f>IF(Calc!$AO$63&gt;'Calc'!$B$8,"",IF('Calc'!$E$17=1,0,MAX(Calc!$AU$62*(1+IF(Calc!$AO$63&lt;='财富模型'!$E$11*12,'财富模型'!$E$10,'财富模型'!$E$12)/12)-IF('Calc'!$E$17=1,0,IF(Calc!$AO$63&lt;='财富模型'!$E$11*12,'Calc'!$W$17,'Calc'!$Y$17)),0)))</x:f>
        <x:v>0</x:v>
      </x:c>
    </x:row>
    <x:row r="64">
      <x:c r="A64" t="n">
        <x:v>43</x:v>
      </x:c>
      <x:c r="B64" t="e">
        <x:f>IF(Calc!$A$64&gt;'Calc'!$B$8,"",MAX(Calc!$B$63*(1+'财富模型'!$E$6/12)+('Calc'!$B$5-'财富模型'!$E$5-(IF('Calc'!$E$12=1,'财富模型'!$E$9,'财富模型'!$M$4+IF(Calc!$A$64&lt;='财富模型'!$E$11*12,'Calc'!$W$12,'Calc'!$Y$12)-(IF('Calc'!$E$12=1,0,MIN(Calc!$C$63*(1+'财富模型'!$E$20/12)+'Calc'!$B$6,IF(Calc!$A$64&lt;='财富模型'!$E$11*12,'Calc'!$W$12,'Calc'!$Y$12))))))),0))</x:f>
      </x:c>
      <x:c r="C64" t="e">
        <x:f>IF(Calc!$A$64&gt;'Calc'!$B$8,"",MAX(Calc!$C$63*(1+'财富模型'!$E$20/12)+'Calc'!$B$6-(IF('Calc'!$E$12=1,0,MIN(Calc!$C$63*(1+'财富模型'!$E$20/12)+'Calc'!$B$6,IF(Calc!$A$64&lt;='财富模型'!$E$11*12,'Calc'!$W$12,'Calc'!$Y$12)))),0))</x:f>
      </x:c>
      <x:c r="D64" t="e">
        <x:f>IF(Calc!$A$64&gt;'Calc'!$B$8,"",IF('Calc'!$E$12=1,'财富模型'!$E$9,'财富模型'!$M$4+IF(Calc!$A$64&lt;='财富模型'!$E$11*12,'Calc'!$W$12,'Calc'!$Y$12)-(IF('Calc'!$E$12=1,0,MIN(Calc!$C$63*(1+'财富模型'!$E$20/12)+'Calc'!$B$6,IF(Calc!$A$64&lt;='财富模型'!$E$11*12,'Calc'!$W$12,'Calc'!$Y$12))))))</x:f>
      </x:c>
      <x:c r="E64" t="e">
        <x:f>IF(Calc!$A$64&gt;'Calc'!$B$8,"",IF('Calc'!$E$12=1,0,MIN(Calc!$C$63*(1+'财富模型'!$E$20/12)+'Calc'!$B$6,IF(Calc!$A$64&lt;='财富模型'!$E$11*12,'Calc'!$W$12,'Calc'!$Y$12))))</x:f>
      </x:c>
      <x:c r="F64" t="e">
        <x:f>IF(Calc!$A$64&gt;'Calc'!$B$8,"",'Calc'!$B$5-'财富模型'!$E$5-(IF('Calc'!$E$12=1,'财富模型'!$E$9,'财富模型'!$M$4+IF(Calc!$A$64&lt;='财富模型'!$E$11*12,'Calc'!$W$12,'Calc'!$Y$12)-(IF('Calc'!$E$12=1,0,MIN(Calc!$C$63*(1+'财富模型'!$E$20/12)+'Calc'!$B$6,IF(Calc!$A$64&lt;='财富模型'!$E$11*12,'Calc'!$W$12,'Calc'!$Y$12)))))))</x:f>
      </x:c>
      <x:c r="G64" t="e">
        <x:f>IF(Calc!$A$64&gt;'Calc'!$B$8,"",IF('Calc'!$E$12=1,0,MAX(Calc!$G$63*(1+IF(Calc!$A$64&lt;='财富模型'!$E$11*12,'财富模型'!$E$10,'财富模型'!$E$12)/12)-IF('Calc'!$E$12=1,0,IF(Calc!$A$64&lt;='财富模型'!$E$11*12,'Calc'!$W$12,'Calc'!$Y$12)),0)))</x:f>
      </x:c>
      <x:c r="I64" t="n">
        <x:v>43</x:v>
      </x:c>
      <x:c r="J64" t="e">
        <x:f>IF(Calc!$I$64&gt;'Calc'!$B$8,"",MAX(Calc!$J$63*(1+'财富模型'!$E$6/12)+('Calc'!$B$5-'财富模型'!$E$5-(IF('Calc'!$E$13=1,'财富模型'!$E$9,'财富模型'!$M$5+IF(Calc!$I$64&lt;='财富模型'!$E$11*12,'Calc'!$W$13,'Calc'!$Y$13)-(IF('Calc'!$E$13=1,0,MIN(Calc!$K$63*(1+'财富模型'!$E$20/12)+'Calc'!$B$6,IF(Calc!$I$64&lt;='财富模型'!$E$11*12,'Calc'!$W$13,'Calc'!$Y$13))))))),0))</x:f>
      </x:c>
      <x:c r="K64" t="e">
        <x:f>IF(Calc!$I$64&gt;'Calc'!$B$8,"",MAX(Calc!$K$63*(1+'财富模型'!$E$20/12)+'Calc'!$B$6-(IF('Calc'!$E$13=1,0,MIN(Calc!$K$63*(1+'财富模型'!$E$20/12)+'Calc'!$B$6,IF(Calc!$I$64&lt;='财富模型'!$E$11*12,'Calc'!$W$13,'Calc'!$Y$13)))),0))</x:f>
      </x:c>
      <x:c r="L64" t="e">
        <x:f>IF(Calc!$I$64&gt;'Calc'!$B$8,"",IF('Calc'!$E$13=1,'财富模型'!$E$9,'财富模型'!$M$5+IF(Calc!$I$64&lt;='财富模型'!$E$11*12,'Calc'!$W$13,'Calc'!$Y$13)-(IF('Calc'!$E$13=1,0,MIN(Calc!$K$63*(1+'财富模型'!$E$20/12)+'Calc'!$B$6,IF(Calc!$I$64&lt;='财富模型'!$E$11*12,'Calc'!$W$13,'Calc'!$Y$13))))))</x:f>
      </x:c>
      <x:c r="M64" t="e">
        <x:f>IF(Calc!$I$64&gt;'Calc'!$B$8,"",IF('Calc'!$E$13=1,0,MIN(Calc!$K$63*(1+'财富模型'!$E$20/12)+'Calc'!$B$6,IF(Calc!$I$64&lt;='财富模型'!$E$11*12,'Calc'!$W$13,'Calc'!$Y$13))))</x:f>
      </x:c>
      <x:c r="N64" t="e">
        <x:f>IF(Calc!$I$64&gt;'Calc'!$B$8,"",'Calc'!$B$5-'财富模型'!$E$5-(IF('Calc'!$E$13=1,'财富模型'!$E$9,'财富模型'!$M$5+IF(Calc!$I$64&lt;='财富模型'!$E$11*12,'Calc'!$W$13,'Calc'!$Y$13)-(IF('Calc'!$E$13=1,0,MIN(Calc!$K$63*(1+'财富模型'!$E$20/12)+'Calc'!$B$6,IF(Calc!$I$64&lt;='财富模型'!$E$11*12,'Calc'!$W$13,'Calc'!$Y$13)))))))</x:f>
      </x:c>
      <x:c r="O64" t="e">
        <x:f>IF(Calc!$I$64&gt;'Calc'!$B$8,"",IF('Calc'!$E$13=1,0,MAX(Calc!$O$63*(1+IF(Calc!$I$64&lt;='财富模型'!$E$11*12,'财富模型'!$E$10,'财富模型'!$E$12)/12)-IF('Calc'!$E$13=1,0,IF(Calc!$I$64&lt;='财富模型'!$E$11*12,'Calc'!$W$13,'Calc'!$Y$13)),0)))</x:f>
      </x:c>
      <x:c r="Q64" t="n">
        <x:v>43</x:v>
      </x:c>
      <x:c r="R64" t="e">
        <x:f>IF(Calc!$Q$64&gt;'Calc'!$B$8,"",MAX(Calc!$R$63*(1+'财富模型'!$E$6/12)+('Calc'!$B$5-'财富模型'!$E$5-(IF('Calc'!$E$14=1,'财富模型'!$E$9,'财富模型'!$M$6+IF(Calc!$Q$64&lt;='财富模型'!$E$11*12,'Calc'!$W$14,'Calc'!$Y$14)-(IF('Calc'!$E$14=1,0,MIN(Calc!$S$63*(1+'财富模型'!$E$20/12)+'Calc'!$B$6,IF(Calc!$Q$64&lt;='财富模型'!$E$11*12,'Calc'!$W$14,'Calc'!$Y$14))))))),0))</x:f>
      </x:c>
      <x:c r="S64" t="e">
        <x:f>IF(Calc!$Q$64&gt;'Calc'!$B$8,"",MAX(Calc!$S$63*(1+'财富模型'!$E$20/12)+'Calc'!$B$6-(IF('Calc'!$E$14=1,0,MIN(Calc!$S$63*(1+'财富模型'!$E$20/12)+'Calc'!$B$6,IF(Calc!$Q$64&lt;='财富模型'!$E$11*12,'Calc'!$W$14,'Calc'!$Y$14)))),0))</x:f>
      </x:c>
      <x:c r="T64" t="e">
        <x:f>IF(Calc!$Q$64&gt;'Calc'!$B$8,"",IF('Calc'!$E$14=1,'财富模型'!$E$9,'财富模型'!$M$6+IF(Calc!$Q$64&lt;='财富模型'!$E$11*12,'Calc'!$W$14,'Calc'!$Y$14)-(IF('Calc'!$E$14=1,0,MIN(Calc!$S$63*(1+'财富模型'!$E$20/12)+'Calc'!$B$6,IF(Calc!$Q$64&lt;='财富模型'!$E$11*12,'Calc'!$W$14,'Calc'!$Y$14))))))</x:f>
      </x:c>
      <x:c r="U64" t="e">
        <x:f>IF(Calc!$Q$64&gt;'Calc'!$B$8,"",IF('Calc'!$E$14=1,0,MIN(Calc!$S$63*(1+'财富模型'!$E$20/12)+'Calc'!$B$6,IF(Calc!$Q$64&lt;='财富模型'!$E$11*12,'Calc'!$W$14,'Calc'!$Y$14))))</x:f>
      </x:c>
      <x:c r="V64" t="e">
        <x:f>IF(Calc!$Q$64&gt;'Calc'!$B$8,"",'Calc'!$B$5-'财富模型'!$E$5-(IF('Calc'!$E$14=1,'财富模型'!$E$9,'财富模型'!$M$6+IF(Calc!$Q$64&lt;='财富模型'!$E$11*12,'Calc'!$W$14,'Calc'!$Y$14)-(IF('Calc'!$E$14=1,0,MIN(Calc!$S$63*(1+'财富模型'!$E$20/12)+'Calc'!$B$6,IF(Calc!$Q$64&lt;='财富模型'!$E$11*12,'Calc'!$W$14,'Calc'!$Y$14)))))))</x:f>
      </x:c>
      <x:c r="W64" t="e">
        <x:f>IF(Calc!$Q$64&gt;'Calc'!$B$8,"",IF('Calc'!$E$14=1,0,MAX(Calc!$W$63*(1+IF(Calc!$Q$64&lt;='财富模型'!$E$11*12,'财富模型'!$E$10,'财富模型'!$E$12)/12)-IF('Calc'!$E$14=1,0,IF(Calc!$Q$64&lt;='财富模型'!$E$11*12,'Calc'!$W$14,'Calc'!$Y$14)),0)))</x:f>
      </x:c>
      <x:c r="Y64" t="n">
        <x:v>43</x:v>
      </x:c>
      <x:c r="Z64" t="e">
        <x:f>IF(Calc!$Y$64&gt;'Calc'!$B$8,"",MAX(Calc!$Z$63*(1+'财富模型'!$E$6/12)+('Calc'!$B$5-'财富模型'!$E$5-(IF('Calc'!$E$15=1,'财富模型'!$E$9,'财富模型'!$M$7+IF(Calc!$Y$64&lt;='财富模型'!$E$11*12,'Calc'!$W$15,'Calc'!$Y$15)-(IF('Calc'!$E$15=1,0,MIN(Calc!$AA$63*(1+'财富模型'!$E$20/12)+'Calc'!$B$6,IF(Calc!$Y$64&lt;='财富模型'!$E$11*12,'Calc'!$W$15,'Calc'!$Y$15))))))),0))</x:f>
      </x:c>
      <x:c r="AA64" t="e">
        <x:f>IF(Calc!$Y$64&gt;'Calc'!$B$8,"",MAX(Calc!$AA$63*(1+'财富模型'!$E$20/12)+'Calc'!$B$6-(IF('Calc'!$E$15=1,0,MIN(Calc!$AA$63*(1+'财富模型'!$E$20/12)+'Calc'!$B$6,IF(Calc!$Y$64&lt;='财富模型'!$E$11*12,'Calc'!$W$15,'Calc'!$Y$15)))),0))</x:f>
      </x:c>
      <x:c r="AB64" t="e">
        <x:f>IF(Calc!$Y$64&gt;'Calc'!$B$8,"",IF('Calc'!$E$15=1,'财富模型'!$E$9,'财富模型'!$M$7+IF(Calc!$Y$64&lt;='财富模型'!$E$11*12,'Calc'!$W$15,'Calc'!$Y$15)-(IF('Calc'!$E$15=1,0,MIN(Calc!$AA$63*(1+'财富模型'!$E$20/12)+'Calc'!$B$6,IF(Calc!$Y$64&lt;='财富模型'!$E$11*12,'Calc'!$W$15,'Calc'!$Y$15))))))</x:f>
      </x:c>
      <x:c r="AC64" t="e">
        <x:f>IF(Calc!$Y$64&gt;'Calc'!$B$8,"",IF('Calc'!$E$15=1,0,MIN(Calc!$AA$63*(1+'财富模型'!$E$20/12)+'Calc'!$B$6,IF(Calc!$Y$64&lt;='财富模型'!$E$11*12,'Calc'!$W$15,'Calc'!$Y$15))))</x:f>
      </x:c>
      <x:c r="AD64" t="e">
        <x:f>IF(Calc!$Y$64&gt;'Calc'!$B$8,"",'Calc'!$B$5-'财富模型'!$E$5-(IF('Calc'!$E$15=1,'财富模型'!$E$9,'财富模型'!$M$7+IF(Calc!$Y$64&lt;='财富模型'!$E$11*12,'Calc'!$W$15,'Calc'!$Y$15)-(IF('Calc'!$E$15=1,0,MIN(Calc!$AA$63*(1+'财富模型'!$E$20/12)+'Calc'!$B$6,IF(Calc!$Y$64&lt;='财富模型'!$E$11*12,'Calc'!$W$15,'Calc'!$Y$15)))))))</x:f>
      </x:c>
      <x:c r="AE64" t="e">
        <x:f>IF(Calc!$Y$64&gt;'Calc'!$B$8,"",IF('Calc'!$E$15=1,0,MAX(Calc!$AE$63*(1+IF(Calc!$Y$64&lt;='财富模型'!$E$11*12,'财富模型'!$E$10,'财富模型'!$E$12)/12)-IF('Calc'!$E$15=1,0,IF(Calc!$Y$64&lt;='财富模型'!$E$11*12,'Calc'!$W$15,'Calc'!$Y$15)),0)))</x:f>
      </x:c>
      <x:c r="AG64" t="n">
        <x:v>43</x:v>
      </x:c>
      <x:c r="AH64" t="e">
        <x:f>IF(Calc!$AG$64&gt;'Calc'!$B$8,"",MAX(Calc!$AH$63*(1+'财富模型'!$E$6/12)+('Calc'!$B$5-'财富模型'!$E$5-(IF('Calc'!$E$16=1,'财富模型'!$E$9,'财富模型'!$M$8+IF(Calc!$AG$64&lt;='财富模型'!$E$11*12,'Calc'!$W$16,'Calc'!$Y$16)-(IF('Calc'!$E$16=1,0,MIN(Calc!$AI$63*(1+'财富模型'!$E$20/12)+'Calc'!$B$6,IF(Calc!$AG$64&lt;='财富模型'!$E$11*12,'Calc'!$W$16,'Calc'!$Y$16))))))),0))</x:f>
      </x:c>
      <x:c r="AI64" t="e">
        <x:f>IF(Calc!$AG$64&gt;'Calc'!$B$8,"",MAX(Calc!$AI$63*(1+'财富模型'!$E$20/12)+'Calc'!$B$6-(IF('Calc'!$E$16=1,0,MIN(Calc!$AI$63*(1+'财富模型'!$E$20/12)+'Calc'!$B$6,IF(Calc!$AG$64&lt;='财富模型'!$E$11*12,'Calc'!$W$16,'Calc'!$Y$16)))),0))</x:f>
      </x:c>
      <x:c r="AJ64" t="e">
        <x:f>IF(Calc!$AG$64&gt;'Calc'!$B$8,"",IF('Calc'!$E$16=1,'财富模型'!$E$9,'财富模型'!$M$8+IF(Calc!$AG$64&lt;='财富模型'!$E$11*12,'Calc'!$W$16,'Calc'!$Y$16)-(IF('Calc'!$E$16=1,0,MIN(Calc!$AI$63*(1+'财富模型'!$E$20/12)+'Calc'!$B$6,IF(Calc!$AG$64&lt;='财富模型'!$E$11*12,'Calc'!$W$16,'Calc'!$Y$16))))))</x:f>
      </x:c>
      <x:c r="AK64" t="e">
        <x:f>IF(Calc!$AG$64&gt;'Calc'!$B$8,"",IF('Calc'!$E$16=1,0,MIN(Calc!$AI$63*(1+'财富模型'!$E$20/12)+'Calc'!$B$6,IF(Calc!$AG$64&lt;='财富模型'!$E$11*12,'Calc'!$W$16,'Calc'!$Y$16))))</x:f>
      </x:c>
      <x:c r="AL64" t="e">
        <x:f>IF(Calc!$AG$64&gt;'Calc'!$B$8,"",'Calc'!$B$5-'财富模型'!$E$5-(IF('Calc'!$E$16=1,'财富模型'!$E$9,'财富模型'!$M$8+IF(Calc!$AG$64&lt;='财富模型'!$E$11*12,'Calc'!$W$16,'Calc'!$Y$16)-(IF('Calc'!$E$16=1,0,MIN(Calc!$AI$63*(1+'财富模型'!$E$20/12)+'Calc'!$B$6,IF(Calc!$AG$64&lt;='财富模型'!$E$11*12,'Calc'!$W$16,'Calc'!$Y$16)))))))</x:f>
      </x:c>
      <x:c r="AM64" t="e">
        <x:f>IF(Calc!$AG$64&gt;'Calc'!$B$8,"",IF('Calc'!$E$16=1,0,MAX(Calc!$AM$63*(1+IF(Calc!$AG$64&lt;='财富模型'!$E$11*12,'财富模型'!$E$10,'财富模型'!$E$12)/12)-IF('Calc'!$E$16=1,0,IF(Calc!$AG$64&lt;='财富模型'!$E$11*12,'Calc'!$W$16,'Calc'!$Y$16)),0)))</x:f>
      </x:c>
      <x:c r="AO64" t="n">
        <x:v>43</x:v>
      </x:c>
      <x:c r="AP64" t="n">
        <x:f>IF(Calc!$AO$64&gt;'Calc'!$B$8,"",MAX(Calc!$AP$63*(1+'财富模型'!$E$6/12)+('Calc'!$B$5-'财富模型'!$E$5-(IF('Calc'!$E$17=1,'财富模型'!$E$9,'财富模型'!$M$9+IF(Calc!$AO$64&lt;='财富模型'!$E$11*12,'Calc'!$W$17,'Calc'!$Y$17)-(IF('Calc'!$E$17=1,0,MIN(Calc!$AQ$63*(1+'财富模型'!$E$20/12)+'Calc'!$B$6,IF(Calc!$AO$64&lt;='财富模型'!$E$11*12,'Calc'!$W$17,'Calc'!$Y$17))))))),0))</x:f>
        <x:v>1212511.7771088444</x:v>
      </x:c>
      <x:c r="AQ64" t="n">
        <x:f>IF(Calc!$AO$64&gt;'Calc'!$B$8,"",MAX(Calc!$AQ$63*(1+'财富模型'!$E$20/12)+'Calc'!$B$6-(IF('Calc'!$E$17=1,0,MIN(Calc!$AQ$63*(1+'财富模型'!$E$20/12)+'Calc'!$B$6,IF(Calc!$AO$64&lt;='财富模型'!$E$11*12,'Calc'!$W$17,'Calc'!$Y$17)))),0))</x:f>
        <x:v>127966.34491148476</x:v>
      </x:c>
      <x:c r="AR64" t="n">
        <x:f>IF(Calc!$AO$64&gt;'Calc'!$B$8,"",IF('Calc'!$E$17=1,'财富模型'!$E$9,'财富模型'!$M$9+IF(Calc!$AO$64&lt;='财富模型'!$E$11*12,'Calc'!$W$17,'Calc'!$Y$17)-(IF('Calc'!$E$17=1,0,MIN(Calc!$AQ$63*(1+'财富模型'!$E$20/12)+'Calc'!$B$6,IF(Calc!$AO$64&lt;='财富模型'!$E$11*12,'Calc'!$W$17,'Calc'!$Y$17))))))</x:f>
        <x:v>4000</x:v>
      </x:c>
      <x:c r="AS64" t="n">
        <x:f>IF(Calc!$AO$64&gt;'Calc'!$B$8,"",IF('Calc'!$E$17=1,0,MIN(Calc!$AQ$63*(1+'财富模型'!$E$20/12)+'Calc'!$B$6,IF(Calc!$AO$64&lt;='财富模型'!$E$11*12,'Calc'!$W$17,'Calc'!$Y$17))))</x:f>
        <x:v>0</x:v>
      </x:c>
      <x:c r="AT64" t="n">
        <x:f>IF(Calc!$AO$64&gt;'Calc'!$B$8,"",'Calc'!$B$5-'财富模型'!$E$5-(IF('Calc'!$E$17=1,'财富模型'!$E$9,'财富模型'!$M$9+IF(Calc!$AO$64&lt;='财富模型'!$E$11*12,'Calc'!$W$17,'Calc'!$Y$17)-(IF('Calc'!$E$17=1,0,MIN(Calc!$AQ$63*(1+'财富模型'!$E$20/12)+'Calc'!$B$6,IF(Calc!$AO$64&lt;='财富模型'!$E$11*12,'Calc'!$W$17,'Calc'!$Y$17)))))))</x:f>
        <x:v>3933.333333333332</x:v>
      </x:c>
      <x:c r="AU64" t="n">
        <x:f>IF(Calc!$AO$64&gt;'Calc'!$B$8,"",IF('Calc'!$E$17=1,0,MAX(Calc!$AU$63*(1+IF(Calc!$AO$64&lt;='财富模型'!$E$11*12,'财富模型'!$E$10,'财富模型'!$E$12)/12)-IF('Calc'!$E$17=1,0,IF(Calc!$AO$64&lt;='财富模型'!$E$11*12,'Calc'!$W$17,'Calc'!$Y$17)),0)))</x:f>
        <x:v>0</x:v>
      </x:c>
    </x:row>
    <x:row r="65">
      <x:c r="A65" t="n">
        <x:v>44</x:v>
      </x:c>
      <x:c r="B65" t="e">
        <x:f>IF(Calc!$A$65&gt;'Calc'!$B$8,"",MAX(Calc!$B$64*(1+'财富模型'!$E$6/12)+('Calc'!$B$5-'财富模型'!$E$5-(IF('Calc'!$E$12=1,'财富模型'!$E$9,'财富模型'!$M$4+IF(Calc!$A$65&lt;='财富模型'!$E$11*12,'Calc'!$W$12,'Calc'!$Y$12)-(IF('Calc'!$E$12=1,0,MIN(Calc!$C$64*(1+'财富模型'!$E$20/12)+'Calc'!$B$6,IF(Calc!$A$65&lt;='财富模型'!$E$11*12,'Calc'!$W$12,'Calc'!$Y$12))))))),0))</x:f>
      </x:c>
      <x:c r="C65" t="e">
        <x:f>IF(Calc!$A$65&gt;'Calc'!$B$8,"",MAX(Calc!$C$64*(1+'财富模型'!$E$20/12)+'Calc'!$B$6-(IF('Calc'!$E$12=1,0,MIN(Calc!$C$64*(1+'财富模型'!$E$20/12)+'Calc'!$B$6,IF(Calc!$A$65&lt;='财富模型'!$E$11*12,'Calc'!$W$12,'Calc'!$Y$12)))),0))</x:f>
      </x:c>
      <x:c r="D65" t="e">
        <x:f>IF(Calc!$A$65&gt;'Calc'!$B$8,"",IF('Calc'!$E$12=1,'财富模型'!$E$9,'财富模型'!$M$4+IF(Calc!$A$65&lt;='财富模型'!$E$11*12,'Calc'!$W$12,'Calc'!$Y$12)-(IF('Calc'!$E$12=1,0,MIN(Calc!$C$64*(1+'财富模型'!$E$20/12)+'Calc'!$B$6,IF(Calc!$A$65&lt;='财富模型'!$E$11*12,'Calc'!$W$12,'Calc'!$Y$12))))))</x:f>
      </x:c>
      <x:c r="E65" t="e">
        <x:f>IF(Calc!$A$65&gt;'Calc'!$B$8,"",IF('Calc'!$E$12=1,0,MIN(Calc!$C$64*(1+'财富模型'!$E$20/12)+'Calc'!$B$6,IF(Calc!$A$65&lt;='财富模型'!$E$11*12,'Calc'!$W$12,'Calc'!$Y$12))))</x:f>
      </x:c>
      <x:c r="F65" t="e">
        <x:f>IF(Calc!$A$65&gt;'Calc'!$B$8,"",'Calc'!$B$5-'财富模型'!$E$5-(IF('Calc'!$E$12=1,'财富模型'!$E$9,'财富模型'!$M$4+IF(Calc!$A$65&lt;='财富模型'!$E$11*12,'Calc'!$W$12,'Calc'!$Y$12)-(IF('Calc'!$E$12=1,0,MIN(Calc!$C$64*(1+'财富模型'!$E$20/12)+'Calc'!$B$6,IF(Calc!$A$65&lt;='财富模型'!$E$11*12,'Calc'!$W$12,'Calc'!$Y$12)))))))</x:f>
      </x:c>
      <x:c r="G65" t="e">
        <x:f>IF(Calc!$A$65&gt;'Calc'!$B$8,"",IF('Calc'!$E$12=1,0,MAX(Calc!$G$64*(1+IF(Calc!$A$65&lt;='财富模型'!$E$11*12,'财富模型'!$E$10,'财富模型'!$E$12)/12)-IF('Calc'!$E$12=1,0,IF(Calc!$A$65&lt;='财富模型'!$E$11*12,'Calc'!$W$12,'Calc'!$Y$12)),0)))</x:f>
      </x:c>
      <x:c r="I65" t="n">
        <x:v>44</x:v>
      </x:c>
      <x:c r="J65" t="e">
        <x:f>IF(Calc!$I$65&gt;'Calc'!$B$8,"",MAX(Calc!$J$64*(1+'财富模型'!$E$6/12)+('Calc'!$B$5-'财富模型'!$E$5-(IF('Calc'!$E$13=1,'财富模型'!$E$9,'财富模型'!$M$5+IF(Calc!$I$65&lt;='财富模型'!$E$11*12,'Calc'!$W$13,'Calc'!$Y$13)-(IF('Calc'!$E$13=1,0,MIN(Calc!$K$64*(1+'财富模型'!$E$20/12)+'Calc'!$B$6,IF(Calc!$I$65&lt;='财富模型'!$E$11*12,'Calc'!$W$13,'Calc'!$Y$13))))))),0))</x:f>
      </x:c>
      <x:c r="K65" t="e">
        <x:f>IF(Calc!$I$65&gt;'Calc'!$B$8,"",MAX(Calc!$K$64*(1+'财富模型'!$E$20/12)+'Calc'!$B$6-(IF('Calc'!$E$13=1,0,MIN(Calc!$K$64*(1+'财富模型'!$E$20/12)+'Calc'!$B$6,IF(Calc!$I$65&lt;='财富模型'!$E$11*12,'Calc'!$W$13,'Calc'!$Y$13)))),0))</x:f>
      </x:c>
      <x:c r="L65" t="e">
        <x:f>IF(Calc!$I$65&gt;'Calc'!$B$8,"",IF('Calc'!$E$13=1,'财富模型'!$E$9,'财富模型'!$M$5+IF(Calc!$I$65&lt;='财富模型'!$E$11*12,'Calc'!$W$13,'Calc'!$Y$13)-(IF('Calc'!$E$13=1,0,MIN(Calc!$K$64*(1+'财富模型'!$E$20/12)+'Calc'!$B$6,IF(Calc!$I$65&lt;='财富模型'!$E$11*12,'Calc'!$W$13,'Calc'!$Y$13))))))</x:f>
      </x:c>
      <x:c r="M65" t="e">
        <x:f>IF(Calc!$I$65&gt;'Calc'!$B$8,"",IF('Calc'!$E$13=1,0,MIN(Calc!$K$64*(1+'财富模型'!$E$20/12)+'Calc'!$B$6,IF(Calc!$I$65&lt;='财富模型'!$E$11*12,'Calc'!$W$13,'Calc'!$Y$13))))</x:f>
      </x:c>
      <x:c r="N65" t="e">
        <x:f>IF(Calc!$I$65&gt;'Calc'!$B$8,"",'Calc'!$B$5-'财富模型'!$E$5-(IF('Calc'!$E$13=1,'财富模型'!$E$9,'财富模型'!$M$5+IF(Calc!$I$65&lt;='财富模型'!$E$11*12,'Calc'!$W$13,'Calc'!$Y$13)-(IF('Calc'!$E$13=1,0,MIN(Calc!$K$64*(1+'财富模型'!$E$20/12)+'Calc'!$B$6,IF(Calc!$I$65&lt;='财富模型'!$E$11*12,'Calc'!$W$13,'Calc'!$Y$13)))))))</x:f>
      </x:c>
      <x:c r="O65" t="e">
        <x:f>IF(Calc!$I$65&gt;'Calc'!$B$8,"",IF('Calc'!$E$13=1,0,MAX(Calc!$O$64*(1+IF(Calc!$I$65&lt;='财富模型'!$E$11*12,'财富模型'!$E$10,'财富模型'!$E$12)/12)-IF('Calc'!$E$13=1,0,IF(Calc!$I$65&lt;='财富模型'!$E$11*12,'Calc'!$W$13,'Calc'!$Y$13)),0)))</x:f>
      </x:c>
      <x:c r="Q65" t="n">
        <x:v>44</x:v>
      </x:c>
      <x:c r="R65" t="e">
        <x:f>IF(Calc!$Q$65&gt;'Calc'!$B$8,"",MAX(Calc!$R$64*(1+'财富模型'!$E$6/12)+('Calc'!$B$5-'财富模型'!$E$5-(IF('Calc'!$E$14=1,'财富模型'!$E$9,'财富模型'!$M$6+IF(Calc!$Q$65&lt;='财富模型'!$E$11*12,'Calc'!$W$14,'Calc'!$Y$14)-(IF('Calc'!$E$14=1,0,MIN(Calc!$S$64*(1+'财富模型'!$E$20/12)+'Calc'!$B$6,IF(Calc!$Q$65&lt;='财富模型'!$E$11*12,'Calc'!$W$14,'Calc'!$Y$14))))))),0))</x:f>
      </x:c>
      <x:c r="S65" t="e">
        <x:f>IF(Calc!$Q$65&gt;'Calc'!$B$8,"",MAX(Calc!$S$64*(1+'财富模型'!$E$20/12)+'Calc'!$B$6-(IF('Calc'!$E$14=1,0,MIN(Calc!$S$64*(1+'财富模型'!$E$20/12)+'Calc'!$B$6,IF(Calc!$Q$65&lt;='财富模型'!$E$11*12,'Calc'!$W$14,'Calc'!$Y$14)))),0))</x:f>
      </x:c>
      <x:c r="T65" t="e">
        <x:f>IF(Calc!$Q$65&gt;'Calc'!$B$8,"",IF('Calc'!$E$14=1,'财富模型'!$E$9,'财富模型'!$M$6+IF(Calc!$Q$65&lt;='财富模型'!$E$11*12,'Calc'!$W$14,'Calc'!$Y$14)-(IF('Calc'!$E$14=1,0,MIN(Calc!$S$64*(1+'财富模型'!$E$20/12)+'Calc'!$B$6,IF(Calc!$Q$65&lt;='财富模型'!$E$11*12,'Calc'!$W$14,'Calc'!$Y$14))))))</x:f>
      </x:c>
      <x:c r="U65" t="e">
        <x:f>IF(Calc!$Q$65&gt;'Calc'!$B$8,"",IF('Calc'!$E$14=1,0,MIN(Calc!$S$64*(1+'财富模型'!$E$20/12)+'Calc'!$B$6,IF(Calc!$Q$65&lt;='财富模型'!$E$11*12,'Calc'!$W$14,'Calc'!$Y$14))))</x:f>
      </x:c>
      <x:c r="V65" t="e">
        <x:f>IF(Calc!$Q$65&gt;'Calc'!$B$8,"",'Calc'!$B$5-'财富模型'!$E$5-(IF('Calc'!$E$14=1,'财富模型'!$E$9,'财富模型'!$M$6+IF(Calc!$Q$65&lt;='财富模型'!$E$11*12,'Calc'!$W$14,'Calc'!$Y$14)-(IF('Calc'!$E$14=1,0,MIN(Calc!$S$64*(1+'财富模型'!$E$20/12)+'Calc'!$B$6,IF(Calc!$Q$65&lt;='财富模型'!$E$11*12,'Calc'!$W$14,'Calc'!$Y$14)))))))</x:f>
      </x:c>
      <x:c r="W65" t="e">
        <x:f>IF(Calc!$Q$65&gt;'Calc'!$B$8,"",IF('Calc'!$E$14=1,0,MAX(Calc!$W$64*(1+IF(Calc!$Q$65&lt;='财富模型'!$E$11*12,'财富模型'!$E$10,'财富模型'!$E$12)/12)-IF('Calc'!$E$14=1,0,IF(Calc!$Q$65&lt;='财富模型'!$E$11*12,'Calc'!$W$14,'Calc'!$Y$14)),0)))</x:f>
      </x:c>
      <x:c r="Y65" t="n">
        <x:v>44</x:v>
      </x:c>
      <x:c r="Z65" t="e">
        <x:f>IF(Calc!$Y$65&gt;'Calc'!$B$8,"",MAX(Calc!$Z$64*(1+'财富模型'!$E$6/12)+('Calc'!$B$5-'财富模型'!$E$5-(IF('Calc'!$E$15=1,'财富模型'!$E$9,'财富模型'!$M$7+IF(Calc!$Y$65&lt;='财富模型'!$E$11*12,'Calc'!$W$15,'Calc'!$Y$15)-(IF('Calc'!$E$15=1,0,MIN(Calc!$AA$64*(1+'财富模型'!$E$20/12)+'Calc'!$B$6,IF(Calc!$Y$65&lt;='财富模型'!$E$11*12,'Calc'!$W$15,'Calc'!$Y$15))))))),0))</x:f>
      </x:c>
      <x:c r="AA65" t="e">
        <x:f>IF(Calc!$Y$65&gt;'Calc'!$B$8,"",MAX(Calc!$AA$64*(1+'财富模型'!$E$20/12)+'Calc'!$B$6-(IF('Calc'!$E$15=1,0,MIN(Calc!$AA$64*(1+'财富模型'!$E$20/12)+'Calc'!$B$6,IF(Calc!$Y$65&lt;='财富模型'!$E$11*12,'Calc'!$W$15,'Calc'!$Y$15)))),0))</x:f>
      </x:c>
      <x:c r="AB65" t="e">
        <x:f>IF(Calc!$Y$65&gt;'Calc'!$B$8,"",IF('Calc'!$E$15=1,'财富模型'!$E$9,'财富模型'!$M$7+IF(Calc!$Y$65&lt;='财富模型'!$E$11*12,'Calc'!$W$15,'Calc'!$Y$15)-(IF('Calc'!$E$15=1,0,MIN(Calc!$AA$64*(1+'财富模型'!$E$20/12)+'Calc'!$B$6,IF(Calc!$Y$65&lt;='财富模型'!$E$11*12,'Calc'!$W$15,'Calc'!$Y$15))))))</x:f>
      </x:c>
      <x:c r="AC65" t="e">
        <x:f>IF(Calc!$Y$65&gt;'Calc'!$B$8,"",IF('Calc'!$E$15=1,0,MIN(Calc!$AA$64*(1+'财富模型'!$E$20/12)+'Calc'!$B$6,IF(Calc!$Y$65&lt;='财富模型'!$E$11*12,'Calc'!$W$15,'Calc'!$Y$15))))</x:f>
      </x:c>
      <x:c r="AD65" t="e">
        <x:f>IF(Calc!$Y$65&gt;'Calc'!$B$8,"",'Calc'!$B$5-'财富模型'!$E$5-(IF('Calc'!$E$15=1,'财富模型'!$E$9,'财富模型'!$M$7+IF(Calc!$Y$65&lt;='财富模型'!$E$11*12,'Calc'!$W$15,'Calc'!$Y$15)-(IF('Calc'!$E$15=1,0,MIN(Calc!$AA$64*(1+'财富模型'!$E$20/12)+'Calc'!$B$6,IF(Calc!$Y$65&lt;='财富模型'!$E$11*12,'Calc'!$W$15,'Calc'!$Y$15)))))))</x:f>
      </x:c>
      <x:c r="AE65" t="e">
        <x:f>IF(Calc!$Y$65&gt;'Calc'!$B$8,"",IF('Calc'!$E$15=1,0,MAX(Calc!$AE$64*(1+IF(Calc!$Y$65&lt;='财富模型'!$E$11*12,'财富模型'!$E$10,'财富模型'!$E$12)/12)-IF('Calc'!$E$15=1,0,IF(Calc!$Y$65&lt;='财富模型'!$E$11*12,'Calc'!$W$15,'Calc'!$Y$15)),0)))</x:f>
      </x:c>
      <x:c r="AG65" t="n">
        <x:v>44</x:v>
      </x:c>
      <x:c r="AH65" t="e">
        <x:f>IF(Calc!$AG$65&gt;'Calc'!$B$8,"",MAX(Calc!$AH$64*(1+'财富模型'!$E$6/12)+('Calc'!$B$5-'财富模型'!$E$5-(IF('Calc'!$E$16=1,'财富模型'!$E$9,'财富模型'!$M$8+IF(Calc!$AG$65&lt;='财富模型'!$E$11*12,'Calc'!$W$16,'Calc'!$Y$16)-(IF('Calc'!$E$16=1,0,MIN(Calc!$AI$64*(1+'财富模型'!$E$20/12)+'Calc'!$B$6,IF(Calc!$AG$65&lt;='财富模型'!$E$11*12,'Calc'!$W$16,'Calc'!$Y$16))))))),0))</x:f>
      </x:c>
      <x:c r="AI65" t="e">
        <x:f>IF(Calc!$AG$65&gt;'Calc'!$B$8,"",MAX(Calc!$AI$64*(1+'财富模型'!$E$20/12)+'Calc'!$B$6-(IF('Calc'!$E$16=1,0,MIN(Calc!$AI$64*(1+'财富模型'!$E$20/12)+'Calc'!$B$6,IF(Calc!$AG$65&lt;='财富模型'!$E$11*12,'Calc'!$W$16,'Calc'!$Y$16)))),0))</x:f>
      </x:c>
      <x:c r="AJ65" t="e">
        <x:f>IF(Calc!$AG$65&gt;'Calc'!$B$8,"",IF('Calc'!$E$16=1,'财富模型'!$E$9,'财富模型'!$M$8+IF(Calc!$AG$65&lt;='财富模型'!$E$11*12,'Calc'!$W$16,'Calc'!$Y$16)-(IF('Calc'!$E$16=1,0,MIN(Calc!$AI$64*(1+'财富模型'!$E$20/12)+'Calc'!$B$6,IF(Calc!$AG$65&lt;='财富模型'!$E$11*12,'Calc'!$W$16,'Calc'!$Y$16))))))</x:f>
      </x:c>
      <x:c r="AK65" t="e">
        <x:f>IF(Calc!$AG$65&gt;'Calc'!$B$8,"",IF('Calc'!$E$16=1,0,MIN(Calc!$AI$64*(1+'财富模型'!$E$20/12)+'Calc'!$B$6,IF(Calc!$AG$65&lt;='财富模型'!$E$11*12,'Calc'!$W$16,'Calc'!$Y$16))))</x:f>
      </x:c>
      <x:c r="AL65" t="e">
        <x:f>IF(Calc!$AG$65&gt;'Calc'!$B$8,"",'Calc'!$B$5-'财富模型'!$E$5-(IF('Calc'!$E$16=1,'财富模型'!$E$9,'财富模型'!$M$8+IF(Calc!$AG$65&lt;='财富模型'!$E$11*12,'Calc'!$W$16,'Calc'!$Y$16)-(IF('Calc'!$E$16=1,0,MIN(Calc!$AI$64*(1+'财富模型'!$E$20/12)+'Calc'!$B$6,IF(Calc!$AG$65&lt;='财富模型'!$E$11*12,'Calc'!$W$16,'Calc'!$Y$16)))))))</x:f>
      </x:c>
      <x:c r="AM65" t="e">
        <x:f>IF(Calc!$AG$65&gt;'Calc'!$B$8,"",IF('Calc'!$E$16=1,0,MAX(Calc!$AM$64*(1+IF(Calc!$AG$65&lt;='财富模型'!$E$11*12,'财富模型'!$E$10,'财富模型'!$E$12)/12)-IF('Calc'!$E$16=1,0,IF(Calc!$AG$65&lt;='财富模型'!$E$11*12,'Calc'!$W$16,'Calc'!$Y$16)),0)))</x:f>
      </x:c>
      <x:c r="AO65" t="n">
        <x:v>44</x:v>
      </x:c>
      <x:c r="AP65" t="n">
        <x:f>IF(Calc!$AO$65&gt;'Calc'!$B$8,"",MAX(Calc!$AP$64*(1+'财富模型'!$E$6/12)+('Calc'!$B$5-'财富模型'!$E$5-(IF('Calc'!$E$17=1,'财富模型'!$E$9,'财富模型'!$M$9+IF(Calc!$AO$65&lt;='财富模型'!$E$11*12,'Calc'!$W$17,'Calc'!$Y$17)-(IF('Calc'!$E$17=1,0,MIN(Calc!$AQ$64*(1+'财富模型'!$E$20/12)+'Calc'!$B$6,IF(Calc!$AO$65&lt;='财富模型'!$E$11*12,'Calc'!$W$17,'Calc'!$Y$17))))))),0))</x:f>
        <x:v>1223518.095808646</x:v>
      </x:c>
      <x:c r="AQ65" t="n">
        <x:f>IF(Calc!$AO$65&gt;'Calc'!$B$8,"",MAX(Calc!$AQ$64*(1+'财富模型'!$E$20/12)+'Calc'!$B$6-(IF('Calc'!$E$17=1,0,MIN(Calc!$AQ$64*(1+'财富模型'!$E$20/12)+'Calc'!$B$6,IF(Calc!$AO$65&lt;='财富模型'!$E$11*12,'Calc'!$W$17,'Calc'!$Y$17)))),0))</x:f>
        <x:v>131080.6914633837</x:v>
      </x:c>
      <x:c r="AR65" t="n">
        <x:f>IF(Calc!$AO$65&gt;'Calc'!$B$8,"",IF('Calc'!$E$17=1,'财富模型'!$E$9,'财富模型'!$M$9+IF(Calc!$AO$65&lt;='财富模型'!$E$11*12,'Calc'!$W$17,'Calc'!$Y$17)-(IF('Calc'!$E$17=1,0,MIN(Calc!$AQ$64*(1+'财富模型'!$E$20/12)+'Calc'!$B$6,IF(Calc!$AO$65&lt;='财富模型'!$E$11*12,'Calc'!$W$17,'Calc'!$Y$17))))))</x:f>
        <x:v>4000</x:v>
      </x:c>
      <x:c r="AS65" t="n">
        <x:f>IF(Calc!$AO$65&gt;'Calc'!$B$8,"",IF('Calc'!$E$17=1,0,MIN(Calc!$AQ$64*(1+'财富模型'!$E$20/12)+'Calc'!$B$6,IF(Calc!$AO$65&lt;='财富模型'!$E$11*12,'Calc'!$W$17,'Calc'!$Y$17))))</x:f>
        <x:v>0</x:v>
      </x:c>
      <x:c r="AT65" t="n">
        <x:f>IF(Calc!$AO$65&gt;'Calc'!$B$8,"",'Calc'!$B$5-'财富模型'!$E$5-(IF('Calc'!$E$17=1,'财富模型'!$E$9,'财富模型'!$M$9+IF(Calc!$AO$65&lt;='财富模型'!$E$11*12,'Calc'!$W$17,'Calc'!$Y$17)-(IF('Calc'!$E$17=1,0,MIN(Calc!$AQ$64*(1+'财富模型'!$E$20/12)+'Calc'!$B$6,IF(Calc!$AO$65&lt;='财富模型'!$E$11*12,'Calc'!$W$17,'Calc'!$Y$17)))))))</x:f>
        <x:v>3933.333333333332</x:v>
      </x:c>
      <x:c r="AU65" t="n">
        <x:f>IF(Calc!$AO$65&gt;'Calc'!$B$8,"",IF('Calc'!$E$17=1,0,MAX(Calc!$AU$64*(1+IF(Calc!$AO$65&lt;='财富模型'!$E$11*12,'财富模型'!$E$10,'财富模型'!$E$12)/12)-IF('Calc'!$E$17=1,0,IF(Calc!$AO$65&lt;='财富模型'!$E$11*12,'Calc'!$W$17,'Calc'!$Y$17)),0)))</x:f>
        <x:v>0</x:v>
      </x:c>
    </x:row>
    <x:row r="66">
      <x:c r="A66" t="n">
        <x:v>45</x:v>
      </x:c>
      <x:c r="B66" t="e">
        <x:f>IF(Calc!$A$66&gt;'Calc'!$B$8,"",MAX(Calc!$B$65*(1+'财富模型'!$E$6/12)+('Calc'!$B$5-'财富模型'!$E$5-(IF('Calc'!$E$12=1,'财富模型'!$E$9,'财富模型'!$M$4+IF(Calc!$A$66&lt;='财富模型'!$E$11*12,'Calc'!$W$12,'Calc'!$Y$12)-(IF('Calc'!$E$12=1,0,MIN(Calc!$C$65*(1+'财富模型'!$E$20/12)+'Calc'!$B$6,IF(Calc!$A$66&lt;='财富模型'!$E$11*12,'Calc'!$W$12,'Calc'!$Y$12))))))),0))</x:f>
      </x:c>
      <x:c r="C66" t="e">
        <x:f>IF(Calc!$A$66&gt;'Calc'!$B$8,"",MAX(Calc!$C$65*(1+'财富模型'!$E$20/12)+'Calc'!$B$6-(IF('Calc'!$E$12=1,0,MIN(Calc!$C$65*(1+'财富模型'!$E$20/12)+'Calc'!$B$6,IF(Calc!$A$66&lt;='财富模型'!$E$11*12,'Calc'!$W$12,'Calc'!$Y$12)))),0))</x:f>
      </x:c>
      <x:c r="D66" t="e">
        <x:f>IF(Calc!$A$66&gt;'Calc'!$B$8,"",IF('Calc'!$E$12=1,'财富模型'!$E$9,'财富模型'!$M$4+IF(Calc!$A$66&lt;='财富模型'!$E$11*12,'Calc'!$W$12,'Calc'!$Y$12)-(IF('Calc'!$E$12=1,0,MIN(Calc!$C$65*(1+'财富模型'!$E$20/12)+'Calc'!$B$6,IF(Calc!$A$66&lt;='财富模型'!$E$11*12,'Calc'!$W$12,'Calc'!$Y$12))))))</x:f>
      </x:c>
      <x:c r="E66" t="e">
        <x:f>IF(Calc!$A$66&gt;'Calc'!$B$8,"",IF('Calc'!$E$12=1,0,MIN(Calc!$C$65*(1+'财富模型'!$E$20/12)+'Calc'!$B$6,IF(Calc!$A$66&lt;='财富模型'!$E$11*12,'Calc'!$W$12,'Calc'!$Y$12))))</x:f>
      </x:c>
      <x:c r="F66" t="e">
        <x:f>IF(Calc!$A$66&gt;'Calc'!$B$8,"",'Calc'!$B$5-'财富模型'!$E$5-(IF('Calc'!$E$12=1,'财富模型'!$E$9,'财富模型'!$M$4+IF(Calc!$A$66&lt;='财富模型'!$E$11*12,'Calc'!$W$12,'Calc'!$Y$12)-(IF('Calc'!$E$12=1,0,MIN(Calc!$C$65*(1+'财富模型'!$E$20/12)+'Calc'!$B$6,IF(Calc!$A$66&lt;='财富模型'!$E$11*12,'Calc'!$W$12,'Calc'!$Y$12)))))))</x:f>
      </x:c>
      <x:c r="G66" t="e">
        <x:f>IF(Calc!$A$66&gt;'Calc'!$B$8,"",IF('Calc'!$E$12=1,0,MAX(Calc!$G$65*(1+IF(Calc!$A$66&lt;='财富模型'!$E$11*12,'财富模型'!$E$10,'财富模型'!$E$12)/12)-IF('Calc'!$E$12=1,0,IF(Calc!$A$66&lt;='财富模型'!$E$11*12,'Calc'!$W$12,'Calc'!$Y$12)),0)))</x:f>
      </x:c>
      <x:c r="I66" t="n">
        <x:v>45</x:v>
      </x:c>
      <x:c r="J66" t="e">
        <x:f>IF(Calc!$I$66&gt;'Calc'!$B$8,"",MAX(Calc!$J$65*(1+'财富模型'!$E$6/12)+('Calc'!$B$5-'财富模型'!$E$5-(IF('Calc'!$E$13=1,'财富模型'!$E$9,'财富模型'!$M$5+IF(Calc!$I$66&lt;='财富模型'!$E$11*12,'Calc'!$W$13,'Calc'!$Y$13)-(IF('Calc'!$E$13=1,0,MIN(Calc!$K$65*(1+'财富模型'!$E$20/12)+'Calc'!$B$6,IF(Calc!$I$66&lt;='财富模型'!$E$11*12,'Calc'!$W$13,'Calc'!$Y$13))))))),0))</x:f>
      </x:c>
      <x:c r="K66" t="e">
        <x:f>IF(Calc!$I$66&gt;'Calc'!$B$8,"",MAX(Calc!$K$65*(1+'财富模型'!$E$20/12)+'Calc'!$B$6-(IF('Calc'!$E$13=1,0,MIN(Calc!$K$65*(1+'财富模型'!$E$20/12)+'Calc'!$B$6,IF(Calc!$I$66&lt;='财富模型'!$E$11*12,'Calc'!$W$13,'Calc'!$Y$13)))),0))</x:f>
      </x:c>
      <x:c r="L66" t="e">
        <x:f>IF(Calc!$I$66&gt;'Calc'!$B$8,"",IF('Calc'!$E$13=1,'财富模型'!$E$9,'财富模型'!$M$5+IF(Calc!$I$66&lt;='财富模型'!$E$11*12,'Calc'!$W$13,'Calc'!$Y$13)-(IF('Calc'!$E$13=1,0,MIN(Calc!$K$65*(1+'财富模型'!$E$20/12)+'Calc'!$B$6,IF(Calc!$I$66&lt;='财富模型'!$E$11*12,'Calc'!$W$13,'Calc'!$Y$13))))))</x:f>
      </x:c>
      <x:c r="M66" t="e">
        <x:f>IF(Calc!$I$66&gt;'Calc'!$B$8,"",IF('Calc'!$E$13=1,0,MIN(Calc!$K$65*(1+'财富模型'!$E$20/12)+'Calc'!$B$6,IF(Calc!$I$66&lt;='财富模型'!$E$11*12,'Calc'!$W$13,'Calc'!$Y$13))))</x:f>
      </x:c>
      <x:c r="N66" t="e">
        <x:f>IF(Calc!$I$66&gt;'Calc'!$B$8,"",'Calc'!$B$5-'财富模型'!$E$5-(IF('Calc'!$E$13=1,'财富模型'!$E$9,'财富模型'!$M$5+IF(Calc!$I$66&lt;='财富模型'!$E$11*12,'Calc'!$W$13,'Calc'!$Y$13)-(IF('Calc'!$E$13=1,0,MIN(Calc!$K$65*(1+'财富模型'!$E$20/12)+'Calc'!$B$6,IF(Calc!$I$66&lt;='财富模型'!$E$11*12,'Calc'!$W$13,'Calc'!$Y$13)))))))</x:f>
      </x:c>
      <x:c r="O66" t="e">
        <x:f>IF(Calc!$I$66&gt;'Calc'!$B$8,"",IF('Calc'!$E$13=1,0,MAX(Calc!$O$65*(1+IF(Calc!$I$66&lt;='财富模型'!$E$11*12,'财富模型'!$E$10,'财富模型'!$E$12)/12)-IF('Calc'!$E$13=1,0,IF(Calc!$I$66&lt;='财富模型'!$E$11*12,'Calc'!$W$13,'Calc'!$Y$13)),0)))</x:f>
      </x:c>
      <x:c r="Q66" t="n">
        <x:v>45</x:v>
      </x:c>
      <x:c r="R66" t="e">
        <x:f>IF(Calc!$Q$66&gt;'Calc'!$B$8,"",MAX(Calc!$R$65*(1+'财富模型'!$E$6/12)+('Calc'!$B$5-'财富模型'!$E$5-(IF('Calc'!$E$14=1,'财富模型'!$E$9,'财富模型'!$M$6+IF(Calc!$Q$66&lt;='财富模型'!$E$11*12,'Calc'!$W$14,'Calc'!$Y$14)-(IF('Calc'!$E$14=1,0,MIN(Calc!$S$65*(1+'财富模型'!$E$20/12)+'Calc'!$B$6,IF(Calc!$Q$66&lt;='财富模型'!$E$11*12,'Calc'!$W$14,'Calc'!$Y$14))))))),0))</x:f>
      </x:c>
      <x:c r="S66" t="e">
        <x:f>IF(Calc!$Q$66&gt;'Calc'!$B$8,"",MAX(Calc!$S$65*(1+'财富模型'!$E$20/12)+'Calc'!$B$6-(IF('Calc'!$E$14=1,0,MIN(Calc!$S$65*(1+'财富模型'!$E$20/12)+'Calc'!$B$6,IF(Calc!$Q$66&lt;='财富模型'!$E$11*12,'Calc'!$W$14,'Calc'!$Y$14)))),0))</x:f>
      </x:c>
      <x:c r="T66" t="e">
        <x:f>IF(Calc!$Q$66&gt;'Calc'!$B$8,"",IF('Calc'!$E$14=1,'财富模型'!$E$9,'财富模型'!$M$6+IF(Calc!$Q$66&lt;='财富模型'!$E$11*12,'Calc'!$W$14,'Calc'!$Y$14)-(IF('Calc'!$E$14=1,0,MIN(Calc!$S$65*(1+'财富模型'!$E$20/12)+'Calc'!$B$6,IF(Calc!$Q$66&lt;='财富模型'!$E$11*12,'Calc'!$W$14,'Calc'!$Y$14))))))</x:f>
      </x:c>
      <x:c r="U66" t="e">
        <x:f>IF(Calc!$Q$66&gt;'Calc'!$B$8,"",IF('Calc'!$E$14=1,0,MIN(Calc!$S$65*(1+'财富模型'!$E$20/12)+'Calc'!$B$6,IF(Calc!$Q$66&lt;='财富模型'!$E$11*12,'Calc'!$W$14,'Calc'!$Y$14))))</x:f>
      </x:c>
      <x:c r="V66" t="e">
        <x:f>IF(Calc!$Q$66&gt;'Calc'!$B$8,"",'Calc'!$B$5-'财富模型'!$E$5-(IF('Calc'!$E$14=1,'财富模型'!$E$9,'财富模型'!$M$6+IF(Calc!$Q$66&lt;='财富模型'!$E$11*12,'Calc'!$W$14,'Calc'!$Y$14)-(IF('Calc'!$E$14=1,0,MIN(Calc!$S$65*(1+'财富模型'!$E$20/12)+'Calc'!$B$6,IF(Calc!$Q$66&lt;='财富模型'!$E$11*12,'Calc'!$W$14,'Calc'!$Y$14)))))))</x:f>
      </x:c>
      <x:c r="W66" t="e">
        <x:f>IF(Calc!$Q$66&gt;'Calc'!$B$8,"",IF('Calc'!$E$14=1,0,MAX(Calc!$W$65*(1+IF(Calc!$Q$66&lt;='财富模型'!$E$11*12,'财富模型'!$E$10,'财富模型'!$E$12)/12)-IF('Calc'!$E$14=1,0,IF(Calc!$Q$66&lt;='财富模型'!$E$11*12,'Calc'!$W$14,'Calc'!$Y$14)),0)))</x:f>
      </x:c>
      <x:c r="Y66" t="n">
        <x:v>45</x:v>
      </x:c>
      <x:c r="Z66" t="e">
        <x:f>IF(Calc!$Y$66&gt;'Calc'!$B$8,"",MAX(Calc!$Z$65*(1+'财富模型'!$E$6/12)+('Calc'!$B$5-'财富模型'!$E$5-(IF('Calc'!$E$15=1,'财富模型'!$E$9,'财富模型'!$M$7+IF(Calc!$Y$66&lt;='财富模型'!$E$11*12,'Calc'!$W$15,'Calc'!$Y$15)-(IF('Calc'!$E$15=1,0,MIN(Calc!$AA$65*(1+'财富模型'!$E$20/12)+'Calc'!$B$6,IF(Calc!$Y$66&lt;='财富模型'!$E$11*12,'Calc'!$W$15,'Calc'!$Y$15))))))),0))</x:f>
      </x:c>
      <x:c r="AA66" t="e">
        <x:f>IF(Calc!$Y$66&gt;'Calc'!$B$8,"",MAX(Calc!$AA$65*(1+'财富模型'!$E$20/12)+'Calc'!$B$6-(IF('Calc'!$E$15=1,0,MIN(Calc!$AA$65*(1+'财富模型'!$E$20/12)+'Calc'!$B$6,IF(Calc!$Y$66&lt;='财富模型'!$E$11*12,'Calc'!$W$15,'Calc'!$Y$15)))),0))</x:f>
      </x:c>
      <x:c r="AB66" t="e">
        <x:f>IF(Calc!$Y$66&gt;'Calc'!$B$8,"",IF('Calc'!$E$15=1,'财富模型'!$E$9,'财富模型'!$M$7+IF(Calc!$Y$66&lt;='财富模型'!$E$11*12,'Calc'!$W$15,'Calc'!$Y$15)-(IF('Calc'!$E$15=1,0,MIN(Calc!$AA$65*(1+'财富模型'!$E$20/12)+'Calc'!$B$6,IF(Calc!$Y$66&lt;='财富模型'!$E$11*12,'Calc'!$W$15,'Calc'!$Y$15))))))</x:f>
      </x:c>
      <x:c r="AC66" t="e">
        <x:f>IF(Calc!$Y$66&gt;'Calc'!$B$8,"",IF('Calc'!$E$15=1,0,MIN(Calc!$AA$65*(1+'财富模型'!$E$20/12)+'Calc'!$B$6,IF(Calc!$Y$66&lt;='财富模型'!$E$11*12,'Calc'!$W$15,'Calc'!$Y$15))))</x:f>
      </x:c>
      <x:c r="AD66" t="e">
        <x:f>IF(Calc!$Y$66&gt;'Calc'!$B$8,"",'Calc'!$B$5-'财富模型'!$E$5-(IF('Calc'!$E$15=1,'财富模型'!$E$9,'财富模型'!$M$7+IF(Calc!$Y$66&lt;='财富模型'!$E$11*12,'Calc'!$W$15,'Calc'!$Y$15)-(IF('Calc'!$E$15=1,0,MIN(Calc!$AA$65*(1+'财富模型'!$E$20/12)+'Calc'!$B$6,IF(Calc!$Y$66&lt;='财富模型'!$E$11*12,'Calc'!$W$15,'Calc'!$Y$15)))))))</x:f>
      </x:c>
      <x:c r="AE66" t="e">
        <x:f>IF(Calc!$Y$66&gt;'Calc'!$B$8,"",IF('Calc'!$E$15=1,0,MAX(Calc!$AE$65*(1+IF(Calc!$Y$66&lt;='财富模型'!$E$11*12,'财富模型'!$E$10,'财富模型'!$E$12)/12)-IF('Calc'!$E$15=1,0,IF(Calc!$Y$66&lt;='财富模型'!$E$11*12,'Calc'!$W$15,'Calc'!$Y$15)),0)))</x:f>
      </x:c>
      <x:c r="AG66" t="n">
        <x:v>45</x:v>
      </x:c>
      <x:c r="AH66" t="e">
        <x:f>IF(Calc!$AG$66&gt;'Calc'!$B$8,"",MAX(Calc!$AH$65*(1+'财富模型'!$E$6/12)+('Calc'!$B$5-'财富模型'!$E$5-(IF('Calc'!$E$16=1,'财富模型'!$E$9,'财富模型'!$M$8+IF(Calc!$AG$66&lt;='财富模型'!$E$11*12,'Calc'!$W$16,'Calc'!$Y$16)-(IF('Calc'!$E$16=1,0,MIN(Calc!$AI$65*(1+'财富模型'!$E$20/12)+'Calc'!$B$6,IF(Calc!$AG$66&lt;='财富模型'!$E$11*12,'Calc'!$W$16,'Calc'!$Y$16))))))),0))</x:f>
      </x:c>
      <x:c r="AI66" t="e">
        <x:f>IF(Calc!$AG$66&gt;'Calc'!$B$8,"",MAX(Calc!$AI$65*(1+'财富模型'!$E$20/12)+'Calc'!$B$6-(IF('Calc'!$E$16=1,0,MIN(Calc!$AI$65*(1+'财富模型'!$E$20/12)+'Calc'!$B$6,IF(Calc!$AG$66&lt;='财富模型'!$E$11*12,'Calc'!$W$16,'Calc'!$Y$16)))),0))</x:f>
      </x:c>
      <x:c r="AJ66" t="e">
        <x:f>IF(Calc!$AG$66&gt;'Calc'!$B$8,"",IF('Calc'!$E$16=1,'财富模型'!$E$9,'财富模型'!$M$8+IF(Calc!$AG$66&lt;='财富模型'!$E$11*12,'Calc'!$W$16,'Calc'!$Y$16)-(IF('Calc'!$E$16=1,0,MIN(Calc!$AI$65*(1+'财富模型'!$E$20/12)+'Calc'!$B$6,IF(Calc!$AG$66&lt;='财富模型'!$E$11*12,'Calc'!$W$16,'Calc'!$Y$16))))))</x:f>
      </x:c>
      <x:c r="AK66" t="e">
        <x:f>IF(Calc!$AG$66&gt;'Calc'!$B$8,"",IF('Calc'!$E$16=1,0,MIN(Calc!$AI$65*(1+'财富模型'!$E$20/12)+'Calc'!$B$6,IF(Calc!$AG$66&lt;='财富模型'!$E$11*12,'Calc'!$W$16,'Calc'!$Y$16))))</x:f>
      </x:c>
      <x:c r="AL66" t="e">
        <x:f>IF(Calc!$AG$66&gt;'Calc'!$B$8,"",'Calc'!$B$5-'财富模型'!$E$5-(IF('Calc'!$E$16=1,'财富模型'!$E$9,'财富模型'!$M$8+IF(Calc!$AG$66&lt;='财富模型'!$E$11*12,'Calc'!$W$16,'Calc'!$Y$16)-(IF('Calc'!$E$16=1,0,MIN(Calc!$AI$65*(1+'财富模型'!$E$20/12)+'Calc'!$B$6,IF(Calc!$AG$66&lt;='财富模型'!$E$11*12,'Calc'!$W$16,'Calc'!$Y$16)))))))</x:f>
      </x:c>
      <x:c r="AM66" t="e">
        <x:f>IF(Calc!$AG$66&gt;'Calc'!$B$8,"",IF('Calc'!$E$16=1,0,MAX(Calc!$AM$65*(1+IF(Calc!$AG$66&lt;='财富模型'!$E$11*12,'财富模型'!$E$10,'财富模型'!$E$12)/12)-IF('Calc'!$E$16=1,0,IF(Calc!$AG$66&lt;='财富模型'!$E$11*12,'Calc'!$W$16,'Calc'!$Y$16)),0)))</x:f>
      </x:c>
      <x:c r="AO66" t="n">
        <x:v>45</x:v>
      </x:c>
      <x:c r="AP66" t="n">
        <x:f>IF(Calc!$AO$66&gt;'Calc'!$B$8,"",MAX(Calc!$AP$65*(1+'财富模型'!$E$6/12)+('Calc'!$B$5-'财富模型'!$E$5-(IF('Calc'!$E$17=1,'财富模型'!$E$9,'财富模型'!$M$9+IF(Calc!$AO$66&lt;='财富模型'!$E$11*12,'Calc'!$W$17,'Calc'!$Y$17)-(IF('Calc'!$E$17=1,0,MIN(Calc!$AQ$65*(1+'财富模型'!$E$20/12)+'Calc'!$B$6,IF(Calc!$AO$66&lt;='财富模型'!$E$11*12,'Calc'!$W$17,'Calc'!$Y$17))))))),0))</x:f>
        <x:v>1234588.6180341963</x:v>
      </x:c>
      <x:c r="AQ66" t="n">
        <x:f>IF(Calc!$AO$66&gt;'Calc'!$B$8,"",MAX(Calc!$AQ$65*(1+'财富模型'!$E$20/12)+'Calc'!$B$6-(IF('Calc'!$E$17=1,0,MIN(Calc!$AQ$65*(1+'财富模型'!$E$20/12)+'Calc'!$B$6,IF(Calc!$AO$66&lt;='财富模型'!$E$11*12,'Calc'!$W$17,'Calc'!$Y$17)))),0))</x:f>
        <x:v>134201.52623726576</x:v>
      </x:c>
      <x:c r="AR66" t="n">
        <x:f>IF(Calc!$AO$66&gt;'Calc'!$B$8,"",IF('Calc'!$E$17=1,'财富模型'!$E$9,'财富模型'!$M$9+IF(Calc!$AO$66&lt;='财富模型'!$E$11*12,'Calc'!$W$17,'Calc'!$Y$17)-(IF('Calc'!$E$17=1,0,MIN(Calc!$AQ$65*(1+'财富模型'!$E$20/12)+'Calc'!$B$6,IF(Calc!$AO$66&lt;='财富模型'!$E$11*12,'Calc'!$W$17,'Calc'!$Y$17))))))</x:f>
        <x:v>4000</x:v>
      </x:c>
      <x:c r="AS66" t="n">
        <x:f>IF(Calc!$AO$66&gt;'Calc'!$B$8,"",IF('Calc'!$E$17=1,0,MIN(Calc!$AQ$65*(1+'财富模型'!$E$20/12)+'Calc'!$B$6,IF(Calc!$AO$66&lt;='财富模型'!$E$11*12,'Calc'!$W$17,'Calc'!$Y$17))))</x:f>
        <x:v>0</x:v>
      </x:c>
      <x:c r="AT66" t="n">
        <x:f>IF(Calc!$AO$66&gt;'Calc'!$B$8,"",'Calc'!$B$5-'财富模型'!$E$5-(IF('Calc'!$E$17=1,'财富模型'!$E$9,'财富模型'!$M$9+IF(Calc!$AO$66&lt;='财富模型'!$E$11*12,'Calc'!$W$17,'Calc'!$Y$17)-(IF('Calc'!$E$17=1,0,MIN(Calc!$AQ$65*(1+'财富模型'!$E$20/12)+'Calc'!$B$6,IF(Calc!$AO$66&lt;='财富模型'!$E$11*12,'Calc'!$W$17,'Calc'!$Y$17)))))))</x:f>
        <x:v>3933.333333333332</x:v>
      </x:c>
      <x:c r="AU66" t="n">
        <x:f>IF(Calc!$AO$66&gt;'Calc'!$B$8,"",IF('Calc'!$E$17=1,0,MAX(Calc!$AU$65*(1+IF(Calc!$AO$66&lt;='财富模型'!$E$11*12,'财富模型'!$E$10,'财富模型'!$E$12)/12)-IF('Calc'!$E$17=1,0,IF(Calc!$AO$66&lt;='财富模型'!$E$11*12,'Calc'!$W$17,'Calc'!$Y$17)),0)))</x:f>
        <x:v>0</x:v>
      </x:c>
    </x:row>
    <x:row r="67">
      <x:c r="A67" t="n">
        <x:v>46</x:v>
      </x:c>
      <x:c r="B67" t="e">
        <x:f>IF(Calc!$A$67&gt;'Calc'!$B$8,"",MAX(Calc!$B$66*(1+'财富模型'!$E$6/12)+('Calc'!$B$5-'财富模型'!$E$5-(IF('Calc'!$E$12=1,'财富模型'!$E$9,'财富模型'!$M$4+IF(Calc!$A$67&lt;='财富模型'!$E$11*12,'Calc'!$W$12,'Calc'!$Y$12)-(IF('Calc'!$E$12=1,0,MIN(Calc!$C$66*(1+'财富模型'!$E$20/12)+'Calc'!$B$6,IF(Calc!$A$67&lt;='财富模型'!$E$11*12,'Calc'!$W$12,'Calc'!$Y$12))))))),0))</x:f>
      </x:c>
      <x:c r="C67" t="e">
        <x:f>IF(Calc!$A$67&gt;'Calc'!$B$8,"",MAX(Calc!$C$66*(1+'财富模型'!$E$20/12)+'Calc'!$B$6-(IF('Calc'!$E$12=1,0,MIN(Calc!$C$66*(1+'财富模型'!$E$20/12)+'Calc'!$B$6,IF(Calc!$A$67&lt;='财富模型'!$E$11*12,'Calc'!$W$12,'Calc'!$Y$12)))),0))</x:f>
      </x:c>
      <x:c r="D67" t="e">
        <x:f>IF(Calc!$A$67&gt;'Calc'!$B$8,"",IF('Calc'!$E$12=1,'财富模型'!$E$9,'财富模型'!$M$4+IF(Calc!$A$67&lt;='财富模型'!$E$11*12,'Calc'!$W$12,'Calc'!$Y$12)-(IF('Calc'!$E$12=1,0,MIN(Calc!$C$66*(1+'财富模型'!$E$20/12)+'Calc'!$B$6,IF(Calc!$A$67&lt;='财富模型'!$E$11*12,'Calc'!$W$12,'Calc'!$Y$12))))))</x:f>
      </x:c>
      <x:c r="E67" t="e">
        <x:f>IF(Calc!$A$67&gt;'Calc'!$B$8,"",IF('Calc'!$E$12=1,0,MIN(Calc!$C$66*(1+'财富模型'!$E$20/12)+'Calc'!$B$6,IF(Calc!$A$67&lt;='财富模型'!$E$11*12,'Calc'!$W$12,'Calc'!$Y$12))))</x:f>
      </x:c>
      <x:c r="F67" t="e">
        <x:f>IF(Calc!$A$67&gt;'Calc'!$B$8,"",'Calc'!$B$5-'财富模型'!$E$5-(IF('Calc'!$E$12=1,'财富模型'!$E$9,'财富模型'!$M$4+IF(Calc!$A$67&lt;='财富模型'!$E$11*12,'Calc'!$W$12,'Calc'!$Y$12)-(IF('Calc'!$E$12=1,0,MIN(Calc!$C$66*(1+'财富模型'!$E$20/12)+'Calc'!$B$6,IF(Calc!$A$67&lt;='财富模型'!$E$11*12,'Calc'!$W$12,'Calc'!$Y$12)))))))</x:f>
      </x:c>
      <x:c r="G67" t="e">
        <x:f>IF(Calc!$A$67&gt;'Calc'!$B$8,"",IF('Calc'!$E$12=1,0,MAX(Calc!$G$66*(1+IF(Calc!$A$67&lt;='财富模型'!$E$11*12,'财富模型'!$E$10,'财富模型'!$E$12)/12)-IF('Calc'!$E$12=1,0,IF(Calc!$A$67&lt;='财富模型'!$E$11*12,'Calc'!$W$12,'Calc'!$Y$12)),0)))</x:f>
      </x:c>
      <x:c r="I67" t="n">
        <x:v>46</x:v>
      </x:c>
      <x:c r="J67" t="e">
        <x:f>IF(Calc!$I$67&gt;'Calc'!$B$8,"",MAX(Calc!$J$66*(1+'财富模型'!$E$6/12)+('Calc'!$B$5-'财富模型'!$E$5-(IF('Calc'!$E$13=1,'财富模型'!$E$9,'财富模型'!$M$5+IF(Calc!$I$67&lt;='财富模型'!$E$11*12,'Calc'!$W$13,'Calc'!$Y$13)-(IF('Calc'!$E$13=1,0,MIN(Calc!$K$66*(1+'财富模型'!$E$20/12)+'Calc'!$B$6,IF(Calc!$I$67&lt;='财富模型'!$E$11*12,'Calc'!$W$13,'Calc'!$Y$13))))))),0))</x:f>
      </x:c>
      <x:c r="K67" t="e">
        <x:f>IF(Calc!$I$67&gt;'Calc'!$B$8,"",MAX(Calc!$K$66*(1+'财富模型'!$E$20/12)+'Calc'!$B$6-(IF('Calc'!$E$13=1,0,MIN(Calc!$K$66*(1+'财富模型'!$E$20/12)+'Calc'!$B$6,IF(Calc!$I$67&lt;='财富模型'!$E$11*12,'Calc'!$W$13,'Calc'!$Y$13)))),0))</x:f>
      </x:c>
      <x:c r="L67" t="e">
        <x:f>IF(Calc!$I$67&gt;'Calc'!$B$8,"",IF('Calc'!$E$13=1,'财富模型'!$E$9,'财富模型'!$M$5+IF(Calc!$I$67&lt;='财富模型'!$E$11*12,'Calc'!$W$13,'Calc'!$Y$13)-(IF('Calc'!$E$13=1,0,MIN(Calc!$K$66*(1+'财富模型'!$E$20/12)+'Calc'!$B$6,IF(Calc!$I$67&lt;='财富模型'!$E$11*12,'Calc'!$W$13,'Calc'!$Y$13))))))</x:f>
      </x:c>
      <x:c r="M67" t="e">
        <x:f>IF(Calc!$I$67&gt;'Calc'!$B$8,"",IF('Calc'!$E$13=1,0,MIN(Calc!$K$66*(1+'财富模型'!$E$20/12)+'Calc'!$B$6,IF(Calc!$I$67&lt;='财富模型'!$E$11*12,'Calc'!$W$13,'Calc'!$Y$13))))</x:f>
      </x:c>
      <x:c r="N67" t="e">
        <x:f>IF(Calc!$I$67&gt;'Calc'!$B$8,"",'Calc'!$B$5-'财富模型'!$E$5-(IF('Calc'!$E$13=1,'财富模型'!$E$9,'财富模型'!$M$5+IF(Calc!$I$67&lt;='财富模型'!$E$11*12,'Calc'!$W$13,'Calc'!$Y$13)-(IF('Calc'!$E$13=1,0,MIN(Calc!$K$66*(1+'财富模型'!$E$20/12)+'Calc'!$B$6,IF(Calc!$I$67&lt;='财富模型'!$E$11*12,'Calc'!$W$13,'Calc'!$Y$13)))))))</x:f>
      </x:c>
      <x:c r="O67" t="e">
        <x:f>IF(Calc!$I$67&gt;'Calc'!$B$8,"",IF('Calc'!$E$13=1,0,MAX(Calc!$O$66*(1+IF(Calc!$I$67&lt;='财富模型'!$E$11*12,'财富模型'!$E$10,'财富模型'!$E$12)/12)-IF('Calc'!$E$13=1,0,IF(Calc!$I$67&lt;='财富模型'!$E$11*12,'Calc'!$W$13,'Calc'!$Y$13)),0)))</x:f>
      </x:c>
      <x:c r="Q67" t="n">
        <x:v>46</x:v>
      </x:c>
      <x:c r="R67" t="e">
        <x:f>IF(Calc!$Q$67&gt;'Calc'!$B$8,"",MAX(Calc!$R$66*(1+'财富模型'!$E$6/12)+('Calc'!$B$5-'财富模型'!$E$5-(IF('Calc'!$E$14=1,'财富模型'!$E$9,'财富模型'!$M$6+IF(Calc!$Q$67&lt;='财富模型'!$E$11*12,'Calc'!$W$14,'Calc'!$Y$14)-(IF('Calc'!$E$14=1,0,MIN(Calc!$S$66*(1+'财富模型'!$E$20/12)+'Calc'!$B$6,IF(Calc!$Q$67&lt;='财富模型'!$E$11*12,'Calc'!$W$14,'Calc'!$Y$14))))))),0))</x:f>
      </x:c>
      <x:c r="S67" t="e">
        <x:f>IF(Calc!$Q$67&gt;'Calc'!$B$8,"",MAX(Calc!$S$66*(1+'财富模型'!$E$20/12)+'Calc'!$B$6-(IF('Calc'!$E$14=1,0,MIN(Calc!$S$66*(1+'财富模型'!$E$20/12)+'Calc'!$B$6,IF(Calc!$Q$67&lt;='财富模型'!$E$11*12,'Calc'!$W$14,'Calc'!$Y$14)))),0))</x:f>
      </x:c>
      <x:c r="T67" t="e">
        <x:f>IF(Calc!$Q$67&gt;'Calc'!$B$8,"",IF('Calc'!$E$14=1,'财富模型'!$E$9,'财富模型'!$M$6+IF(Calc!$Q$67&lt;='财富模型'!$E$11*12,'Calc'!$W$14,'Calc'!$Y$14)-(IF('Calc'!$E$14=1,0,MIN(Calc!$S$66*(1+'财富模型'!$E$20/12)+'Calc'!$B$6,IF(Calc!$Q$67&lt;='财富模型'!$E$11*12,'Calc'!$W$14,'Calc'!$Y$14))))))</x:f>
      </x:c>
      <x:c r="U67" t="e">
        <x:f>IF(Calc!$Q$67&gt;'Calc'!$B$8,"",IF('Calc'!$E$14=1,0,MIN(Calc!$S$66*(1+'财富模型'!$E$20/12)+'Calc'!$B$6,IF(Calc!$Q$67&lt;='财富模型'!$E$11*12,'Calc'!$W$14,'Calc'!$Y$14))))</x:f>
      </x:c>
      <x:c r="V67" t="e">
        <x:f>IF(Calc!$Q$67&gt;'Calc'!$B$8,"",'Calc'!$B$5-'财富模型'!$E$5-(IF('Calc'!$E$14=1,'财富模型'!$E$9,'财富模型'!$M$6+IF(Calc!$Q$67&lt;='财富模型'!$E$11*12,'Calc'!$W$14,'Calc'!$Y$14)-(IF('Calc'!$E$14=1,0,MIN(Calc!$S$66*(1+'财富模型'!$E$20/12)+'Calc'!$B$6,IF(Calc!$Q$67&lt;='财富模型'!$E$11*12,'Calc'!$W$14,'Calc'!$Y$14)))))))</x:f>
      </x:c>
      <x:c r="W67" t="e">
        <x:f>IF(Calc!$Q$67&gt;'Calc'!$B$8,"",IF('Calc'!$E$14=1,0,MAX(Calc!$W$66*(1+IF(Calc!$Q$67&lt;='财富模型'!$E$11*12,'财富模型'!$E$10,'财富模型'!$E$12)/12)-IF('Calc'!$E$14=1,0,IF(Calc!$Q$67&lt;='财富模型'!$E$11*12,'Calc'!$W$14,'Calc'!$Y$14)),0)))</x:f>
      </x:c>
      <x:c r="Y67" t="n">
        <x:v>46</x:v>
      </x:c>
      <x:c r="Z67" t="e">
        <x:f>IF(Calc!$Y$67&gt;'Calc'!$B$8,"",MAX(Calc!$Z$66*(1+'财富模型'!$E$6/12)+('Calc'!$B$5-'财富模型'!$E$5-(IF('Calc'!$E$15=1,'财富模型'!$E$9,'财富模型'!$M$7+IF(Calc!$Y$67&lt;='财富模型'!$E$11*12,'Calc'!$W$15,'Calc'!$Y$15)-(IF('Calc'!$E$15=1,0,MIN(Calc!$AA$66*(1+'财富模型'!$E$20/12)+'Calc'!$B$6,IF(Calc!$Y$67&lt;='财富模型'!$E$11*12,'Calc'!$W$15,'Calc'!$Y$15))))))),0))</x:f>
      </x:c>
      <x:c r="AA67" t="e">
        <x:f>IF(Calc!$Y$67&gt;'Calc'!$B$8,"",MAX(Calc!$AA$66*(1+'财富模型'!$E$20/12)+'Calc'!$B$6-(IF('Calc'!$E$15=1,0,MIN(Calc!$AA$66*(1+'财富模型'!$E$20/12)+'Calc'!$B$6,IF(Calc!$Y$67&lt;='财富模型'!$E$11*12,'Calc'!$W$15,'Calc'!$Y$15)))),0))</x:f>
      </x:c>
      <x:c r="AB67" t="e">
        <x:f>IF(Calc!$Y$67&gt;'Calc'!$B$8,"",IF('Calc'!$E$15=1,'财富模型'!$E$9,'财富模型'!$M$7+IF(Calc!$Y$67&lt;='财富模型'!$E$11*12,'Calc'!$W$15,'Calc'!$Y$15)-(IF('Calc'!$E$15=1,0,MIN(Calc!$AA$66*(1+'财富模型'!$E$20/12)+'Calc'!$B$6,IF(Calc!$Y$67&lt;='财富模型'!$E$11*12,'Calc'!$W$15,'Calc'!$Y$15))))))</x:f>
      </x:c>
      <x:c r="AC67" t="e">
        <x:f>IF(Calc!$Y$67&gt;'Calc'!$B$8,"",IF('Calc'!$E$15=1,0,MIN(Calc!$AA$66*(1+'财富模型'!$E$20/12)+'Calc'!$B$6,IF(Calc!$Y$67&lt;='财富模型'!$E$11*12,'Calc'!$W$15,'Calc'!$Y$15))))</x:f>
      </x:c>
      <x:c r="AD67" t="e">
        <x:f>IF(Calc!$Y$67&gt;'Calc'!$B$8,"",'Calc'!$B$5-'财富模型'!$E$5-(IF('Calc'!$E$15=1,'财富模型'!$E$9,'财富模型'!$M$7+IF(Calc!$Y$67&lt;='财富模型'!$E$11*12,'Calc'!$W$15,'Calc'!$Y$15)-(IF('Calc'!$E$15=1,0,MIN(Calc!$AA$66*(1+'财富模型'!$E$20/12)+'Calc'!$B$6,IF(Calc!$Y$67&lt;='财富模型'!$E$11*12,'Calc'!$W$15,'Calc'!$Y$15)))))))</x:f>
      </x:c>
      <x:c r="AE67" t="e">
        <x:f>IF(Calc!$Y$67&gt;'Calc'!$B$8,"",IF('Calc'!$E$15=1,0,MAX(Calc!$AE$66*(1+IF(Calc!$Y$67&lt;='财富模型'!$E$11*12,'财富模型'!$E$10,'财富模型'!$E$12)/12)-IF('Calc'!$E$15=1,0,IF(Calc!$Y$67&lt;='财富模型'!$E$11*12,'Calc'!$W$15,'Calc'!$Y$15)),0)))</x:f>
      </x:c>
      <x:c r="AG67" t="n">
        <x:v>46</x:v>
      </x:c>
      <x:c r="AH67" t="e">
        <x:f>IF(Calc!$AG$67&gt;'Calc'!$B$8,"",MAX(Calc!$AH$66*(1+'财富模型'!$E$6/12)+('Calc'!$B$5-'财富模型'!$E$5-(IF('Calc'!$E$16=1,'财富模型'!$E$9,'财富模型'!$M$8+IF(Calc!$AG$67&lt;='财富模型'!$E$11*12,'Calc'!$W$16,'Calc'!$Y$16)-(IF('Calc'!$E$16=1,0,MIN(Calc!$AI$66*(1+'财富模型'!$E$20/12)+'Calc'!$B$6,IF(Calc!$AG$67&lt;='财富模型'!$E$11*12,'Calc'!$W$16,'Calc'!$Y$16))))))),0))</x:f>
      </x:c>
      <x:c r="AI67" t="e">
        <x:f>IF(Calc!$AG$67&gt;'Calc'!$B$8,"",MAX(Calc!$AI$66*(1+'财富模型'!$E$20/12)+'Calc'!$B$6-(IF('Calc'!$E$16=1,0,MIN(Calc!$AI$66*(1+'财富模型'!$E$20/12)+'Calc'!$B$6,IF(Calc!$AG$67&lt;='财富模型'!$E$11*12,'Calc'!$W$16,'Calc'!$Y$16)))),0))</x:f>
      </x:c>
      <x:c r="AJ67" t="e">
        <x:f>IF(Calc!$AG$67&gt;'Calc'!$B$8,"",IF('Calc'!$E$16=1,'财富模型'!$E$9,'财富模型'!$M$8+IF(Calc!$AG$67&lt;='财富模型'!$E$11*12,'Calc'!$W$16,'Calc'!$Y$16)-(IF('Calc'!$E$16=1,0,MIN(Calc!$AI$66*(1+'财富模型'!$E$20/12)+'Calc'!$B$6,IF(Calc!$AG$67&lt;='财富模型'!$E$11*12,'Calc'!$W$16,'Calc'!$Y$16))))))</x:f>
      </x:c>
      <x:c r="AK67" t="e">
        <x:f>IF(Calc!$AG$67&gt;'Calc'!$B$8,"",IF('Calc'!$E$16=1,0,MIN(Calc!$AI$66*(1+'财富模型'!$E$20/12)+'Calc'!$B$6,IF(Calc!$AG$67&lt;='财富模型'!$E$11*12,'Calc'!$W$16,'Calc'!$Y$16))))</x:f>
      </x:c>
      <x:c r="AL67" t="e">
        <x:f>IF(Calc!$AG$67&gt;'Calc'!$B$8,"",'Calc'!$B$5-'财富模型'!$E$5-(IF('Calc'!$E$16=1,'财富模型'!$E$9,'财富模型'!$M$8+IF(Calc!$AG$67&lt;='财富模型'!$E$11*12,'Calc'!$W$16,'Calc'!$Y$16)-(IF('Calc'!$E$16=1,0,MIN(Calc!$AI$66*(1+'财富模型'!$E$20/12)+'Calc'!$B$6,IF(Calc!$AG$67&lt;='财富模型'!$E$11*12,'Calc'!$W$16,'Calc'!$Y$16)))))))</x:f>
      </x:c>
      <x:c r="AM67" t="e">
        <x:f>IF(Calc!$AG$67&gt;'Calc'!$B$8,"",IF('Calc'!$E$16=1,0,MAX(Calc!$AM$66*(1+IF(Calc!$AG$67&lt;='财富模型'!$E$11*12,'财富模型'!$E$10,'财富模型'!$E$12)/12)-IF('Calc'!$E$16=1,0,IF(Calc!$AG$67&lt;='财富模型'!$E$11*12,'Calc'!$W$16,'Calc'!$Y$16)),0)))</x:f>
      </x:c>
      <x:c r="AO67" t="n">
        <x:v>46</x:v>
      </x:c>
      <x:c r="AP67" t="n">
        <x:f>IF(Calc!$AO$67&gt;'Calc'!$B$8,"",MAX(Calc!$AP$66*(1+'财富模型'!$E$6/12)+('Calc'!$B$5-'财富模型'!$E$5-(IF('Calc'!$E$17=1,'财富模型'!$E$9,'财富模型'!$M$9+IF(Calc!$AO$67&lt;='财富模型'!$E$11*12,'Calc'!$W$17,'Calc'!$Y$17)-(IF('Calc'!$E$17=1,0,MIN(Calc!$AQ$66*(1+'财富模型'!$E$20/12)+'Calc'!$B$6,IF(Calc!$AO$67&lt;='财富模型'!$E$11*12,'Calc'!$W$17,'Calc'!$Y$17))))))),0))</x:f>
        <x:v>1245723.7183060625</x:v>
      </x:c>
      <x:c r="AQ67" t="n">
        <x:f>IF(Calc!$AO$67&gt;'Calc'!$B$8,"",MAX(Calc!$AQ$66*(1+'财富模型'!$E$20/12)+'Calc'!$B$6-(IF('Calc'!$E$17=1,0,MIN(Calc!$AQ$66*(1+'财富模型'!$E$20/12)+'Calc'!$B$6,IF(Calc!$AO$67&lt;='财富模型'!$E$11*12,'Calc'!$W$17,'Calc'!$Y$17)))),0))</x:f>
        <x:v>137328.86275026007</x:v>
      </x:c>
      <x:c r="AR67" t="n">
        <x:f>IF(Calc!$AO$67&gt;'Calc'!$B$8,"",IF('Calc'!$E$17=1,'财富模型'!$E$9,'财富模型'!$M$9+IF(Calc!$AO$67&lt;='财富模型'!$E$11*12,'Calc'!$W$17,'Calc'!$Y$17)-(IF('Calc'!$E$17=1,0,MIN(Calc!$AQ$66*(1+'财富模型'!$E$20/12)+'Calc'!$B$6,IF(Calc!$AO$67&lt;='财富模型'!$E$11*12,'Calc'!$W$17,'Calc'!$Y$17))))))</x:f>
        <x:v>4000</x:v>
      </x:c>
      <x:c r="AS67" t="n">
        <x:f>IF(Calc!$AO$67&gt;'Calc'!$B$8,"",IF('Calc'!$E$17=1,0,MIN(Calc!$AQ$66*(1+'财富模型'!$E$20/12)+'Calc'!$B$6,IF(Calc!$AO$67&lt;='财富模型'!$E$11*12,'Calc'!$W$17,'Calc'!$Y$17))))</x:f>
        <x:v>0</x:v>
      </x:c>
      <x:c r="AT67" t="n">
        <x:f>IF(Calc!$AO$67&gt;'Calc'!$B$8,"",'Calc'!$B$5-'财富模型'!$E$5-(IF('Calc'!$E$17=1,'财富模型'!$E$9,'财富模型'!$M$9+IF(Calc!$AO$67&lt;='财富模型'!$E$11*12,'Calc'!$W$17,'Calc'!$Y$17)-(IF('Calc'!$E$17=1,0,MIN(Calc!$AQ$66*(1+'财富模型'!$E$20/12)+'Calc'!$B$6,IF(Calc!$AO$67&lt;='财富模型'!$E$11*12,'Calc'!$W$17,'Calc'!$Y$17)))))))</x:f>
        <x:v>3933.333333333332</x:v>
      </x:c>
      <x:c r="AU67" t="n">
        <x:f>IF(Calc!$AO$67&gt;'Calc'!$B$8,"",IF('Calc'!$E$17=1,0,MAX(Calc!$AU$66*(1+IF(Calc!$AO$67&lt;='财富模型'!$E$11*12,'财富模型'!$E$10,'财富模型'!$E$12)/12)-IF('Calc'!$E$17=1,0,IF(Calc!$AO$67&lt;='财富模型'!$E$11*12,'Calc'!$W$17,'Calc'!$Y$17)),0)))</x:f>
        <x:v>0</x:v>
      </x:c>
    </x:row>
    <x:row r="68">
      <x:c r="A68" t="n">
        <x:v>47</x:v>
      </x:c>
      <x:c r="B68" t="e">
        <x:f>IF(Calc!$A$68&gt;'Calc'!$B$8,"",MAX(Calc!$B$67*(1+'财富模型'!$E$6/12)+('Calc'!$B$5-'财富模型'!$E$5-(IF('Calc'!$E$12=1,'财富模型'!$E$9,'财富模型'!$M$4+IF(Calc!$A$68&lt;='财富模型'!$E$11*12,'Calc'!$W$12,'Calc'!$Y$12)-(IF('Calc'!$E$12=1,0,MIN(Calc!$C$67*(1+'财富模型'!$E$20/12)+'Calc'!$B$6,IF(Calc!$A$68&lt;='财富模型'!$E$11*12,'Calc'!$W$12,'Calc'!$Y$12))))))),0))</x:f>
      </x:c>
      <x:c r="C68" t="e">
        <x:f>IF(Calc!$A$68&gt;'Calc'!$B$8,"",MAX(Calc!$C$67*(1+'财富模型'!$E$20/12)+'Calc'!$B$6-(IF('Calc'!$E$12=1,0,MIN(Calc!$C$67*(1+'财富模型'!$E$20/12)+'Calc'!$B$6,IF(Calc!$A$68&lt;='财富模型'!$E$11*12,'Calc'!$W$12,'Calc'!$Y$12)))),0))</x:f>
      </x:c>
      <x:c r="D68" t="e">
        <x:f>IF(Calc!$A$68&gt;'Calc'!$B$8,"",IF('Calc'!$E$12=1,'财富模型'!$E$9,'财富模型'!$M$4+IF(Calc!$A$68&lt;='财富模型'!$E$11*12,'Calc'!$W$12,'Calc'!$Y$12)-(IF('Calc'!$E$12=1,0,MIN(Calc!$C$67*(1+'财富模型'!$E$20/12)+'Calc'!$B$6,IF(Calc!$A$68&lt;='财富模型'!$E$11*12,'Calc'!$W$12,'Calc'!$Y$12))))))</x:f>
      </x:c>
      <x:c r="E68" t="e">
        <x:f>IF(Calc!$A$68&gt;'Calc'!$B$8,"",IF('Calc'!$E$12=1,0,MIN(Calc!$C$67*(1+'财富模型'!$E$20/12)+'Calc'!$B$6,IF(Calc!$A$68&lt;='财富模型'!$E$11*12,'Calc'!$W$12,'Calc'!$Y$12))))</x:f>
      </x:c>
      <x:c r="F68" t="e">
        <x:f>IF(Calc!$A$68&gt;'Calc'!$B$8,"",'Calc'!$B$5-'财富模型'!$E$5-(IF('Calc'!$E$12=1,'财富模型'!$E$9,'财富模型'!$M$4+IF(Calc!$A$68&lt;='财富模型'!$E$11*12,'Calc'!$W$12,'Calc'!$Y$12)-(IF('Calc'!$E$12=1,0,MIN(Calc!$C$67*(1+'财富模型'!$E$20/12)+'Calc'!$B$6,IF(Calc!$A$68&lt;='财富模型'!$E$11*12,'Calc'!$W$12,'Calc'!$Y$12)))))))</x:f>
      </x:c>
      <x:c r="G68" t="e">
        <x:f>IF(Calc!$A$68&gt;'Calc'!$B$8,"",IF('Calc'!$E$12=1,0,MAX(Calc!$G$67*(1+IF(Calc!$A$68&lt;='财富模型'!$E$11*12,'财富模型'!$E$10,'财富模型'!$E$12)/12)-IF('Calc'!$E$12=1,0,IF(Calc!$A$68&lt;='财富模型'!$E$11*12,'Calc'!$W$12,'Calc'!$Y$12)),0)))</x:f>
      </x:c>
      <x:c r="I68" t="n">
        <x:v>47</x:v>
      </x:c>
      <x:c r="J68" t="e">
        <x:f>IF(Calc!$I$68&gt;'Calc'!$B$8,"",MAX(Calc!$J$67*(1+'财富模型'!$E$6/12)+('Calc'!$B$5-'财富模型'!$E$5-(IF('Calc'!$E$13=1,'财富模型'!$E$9,'财富模型'!$M$5+IF(Calc!$I$68&lt;='财富模型'!$E$11*12,'Calc'!$W$13,'Calc'!$Y$13)-(IF('Calc'!$E$13=1,0,MIN(Calc!$K$67*(1+'财富模型'!$E$20/12)+'Calc'!$B$6,IF(Calc!$I$68&lt;='财富模型'!$E$11*12,'Calc'!$W$13,'Calc'!$Y$13))))))),0))</x:f>
      </x:c>
      <x:c r="K68" t="e">
        <x:f>IF(Calc!$I$68&gt;'Calc'!$B$8,"",MAX(Calc!$K$67*(1+'财富模型'!$E$20/12)+'Calc'!$B$6-(IF('Calc'!$E$13=1,0,MIN(Calc!$K$67*(1+'财富模型'!$E$20/12)+'Calc'!$B$6,IF(Calc!$I$68&lt;='财富模型'!$E$11*12,'Calc'!$W$13,'Calc'!$Y$13)))),0))</x:f>
      </x:c>
      <x:c r="L68" t="e">
        <x:f>IF(Calc!$I$68&gt;'Calc'!$B$8,"",IF('Calc'!$E$13=1,'财富模型'!$E$9,'财富模型'!$M$5+IF(Calc!$I$68&lt;='财富模型'!$E$11*12,'Calc'!$W$13,'Calc'!$Y$13)-(IF('Calc'!$E$13=1,0,MIN(Calc!$K$67*(1+'财富模型'!$E$20/12)+'Calc'!$B$6,IF(Calc!$I$68&lt;='财富模型'!$E$11*12,'Calc'!$W$13,'Calc'!$Y$13))))))</x:f>
      </x:c>
      <x:c r="M68" t="e">
        <x:f>IF(Calc!$I$68&gt;'Calc'!$B$8,"",IF('Calc'!$E$13=1,0,MIN(Calc!$K$67*(1+'财富模型'!$E$20/12)+'Calc'!$B$6,IF(Calc!$I$68&lt;='财富模型'!$E$11*12,'Calc'!$W$13,'Calc'!$Y$13))))</x:f>
      </x:c>
      <x:c r="N68" t="e">
        <x:f>IF(Calc!$I$68&gt;'Calc'!$B$8,"",'Calc'!$B$5-'财富模型'!$E$5-(IF('Calc'!$E$13=1,'财富模型'!$E$9,'财富模型'!$M$5+IF(Calc!$I$68&lt;='财富模型'!$E$11*12,'Calc'!$W$13,'Calc'!$Y$13)-(IF('Calc'!$E$13=1,0,MIN(Calc!$K$67*(1+'财富模型'!$E$20/12)+'Calc'!$B$6,IF(Calc!$I$68&lt;='财富模型'!$E$11*12,'Calc'!$W$13,'Calc'!$Y$13)))))))</x:f>
      </x:c>
      <x:c r="O68" t="e">
        <x:f>IF(Calc!$I$68&gt;'Calc'!$B$8,"",IF('Calc'!$E$13=1,0,MAX(Calc!$O$67*(1+IF(Calc!$I$68&lt;='财富模型'!$E$11*12,'财富模型'!$E$10,'财富模型'!$E$12)/12)-IF('Calc'!$E$13=1,0,IF(Calc!$I$68&lt;='财富模型'!$E$11*12,'Calc'!$W$13,'Calc'!$Y$13)),0)))</x:f>
      </x:c>
      <x:c r="Q68" t="n">
        <x:v>47</x:v>
      </x:c>
      <x:c r="R68" t="e">
        <x:f>IF(Calc!$Q$68&gt;'Calc'!$B$8,"",MAX(Calc!$R$67*(1+'财富模型'!$E$6/12)+('Calc'!$B$5-'财富模型'!$E$5-(IF('Calc'!$E$14=1,'财富模型'!$E$9,'财富模型'!$M$6+IF(Calc!$Q$68&lt;='财富模型'!$E$11*12,'Calc'!$W$14,'Calc'!$Y$14)-(IF('Calc'!$E$14=1,0,MIN(Calc!$S$67*(1+'财富模型'!$E$20/12)+'Calc'!$B$6,IF(Calc!$Q$68&lt;='财富模型'!$E$11*12,'Calc'!$W$14,'Calc'!$Y$14))))))),0))</x:f>
      </x:c>
      <x:c r="S68" t="e">
        <x:f>IF(Calc!$Q$68&gt;'Calc'!$B$8,"",MAX(Calc!$S$67*(1+'财富模型'!$E$20/12)+'Calc'!$B$6-(IF('Calc'!$E$14=1,0,MIN(Calc!$S$67*(1+'财富模型'!$E$20/12)+'Calc'!$B$6,IF(Calc!$Q$68&lt;='财富模型'!$E$11*12,'Calc'!$W$14,'Calc'!$Y$14)))),0))</x:f>
      </x:c>
      <x:c r="T68" t="e">
        <x:f>IF(Calc!$Q$68&gt;'Calc'!$B$8,"",IF('Calc'!$E$14=1,'财富模型'!$E$9,'财富模型'!$M$6+IF(Calc!$Q$68&lt;='财富模型'!$E$11*12,'Calc'!$W$14,'Calc'!$Y$14)-(IF('Calc'!$E$14=1,0,MIN(Calc!$S$67*(1+'财富模型'!$E$20/12)+'Calc'!$B$6,IF(Calc!$Q$68&lt;='财富模型'!$E$11*12,'Calc'!$W$14,'Calc'!$Y$14))))))</x:f>
      </x:c>
      <x:c r="U68" t="e">
        <x:f>IF(Calc!$Q$68&gt;'Calc'!$B$8,"",IF('Calc'!$E$14=1,0,MIN(Calc!$S$67*(1+'财富模型'!$E$20/12)+'Calc'!$B$6,IF(Calc!$Q$68&lt;='财富模型'!$E$11*12,'Calc'!$W$14,'Calc'!$Y$14))))</x:f>
      </x:c>
      <x:c r="V68" t="e">
        <x:f>IF(Calc!$Q$68&gt;'Calc'!$B$8,"",'Calc'!$B$5-'财富模型'!$E$5-(IF('Calc'!$E$14=1,'财富模型'!$E$9,'财富模型'!$M$6+IF(Calc!$Q$68&lt;='财富模型'!$E$11*12,'Calc'!$W$14,'Calc'!$Y$14)-(IF('Calc'!$E$14=1,0,MIN(Calc!$S$67*(1+'财富模型'!$E$20/12)+'Calc'!$B$6,IF(Calc!$Q$68&lt;='财富模型'!$E$11*12,'Calc'!$W$14,'Calc'!$Y$14)))))))</x:f>
      </x:c>
      <x:c r="W68" t="e">
        <x:f>IF(Calc!$Q$68&gt;'Calc'!$B$8,"",IF('Calc'!$E$14=1,0,MAX(Calc!$W$67*(1+IF(Calc!$Q$68&lt;='财富模型'!$E$11*12,'财富模型'!$E$10,'财富模型'!$E$12)/12)-IF('Calc'!$E$14=1,0,IF(Calc!$Q$68&lt;='财富模型'!$E$11*12,'Calc'!$W$14,'Calc'!$Y$14)),0)))</x:f>
      </x:c>
      <x:c r="Y68" t="n">
        <x:v>47</x:v>
      </x:c>
      <x:c r="Z68" t="e">
        <x:f>IF(Calc!$Y$68&gt;'Calc'!$B$8,"",MAX(Calc!$Z$67*(1+'财富模型'!$E$6/12)+('Calc'!$B$5-'财富模型'!$E$5-(IF('Calc'!$E$15=1,'财富模型'!$E$9,'财富模型'!$M$7+IF(Calc!$Y$68&lt;='财富模型'!$E$11*12,'Calc'!$W$15,'Calc'!$Y$15)-(IF('Calc'!$E$15=1,0,MIN(Calc!$AA$67*(1+'财富模型'!$E$20/12)+'Calc'!$B$6,IF(Calc!$Y$68&lt;='财富模型'!$E$11*12,'Calc'!$W$15,'Calc'!$Y$15))))))),0))</x:f>
      </x:c>
      <x:c r="AA68" t="e">
        <x:f>IF(Calc!$Y$68&gt;'Calc'!$B$8,"",MAX(Calc!$AA$67*(1+'财富模型'!$E$20/12)+'Calc'!$B$6-(IF('Calc'!$E$15=1,0,MIN(Calc!$AA$67*(1+'财富模型'!$E$20/12)+'Calc'!$B$6,IF(Calc!$Y$68&lt;='财富模型'!$E$11*12,'Calc'!$W$15,'Calc'!$Y$15)))),0))</x:f>
      </x:c>
      <x:c r="AB68" t="e">
        <x:f>IF(Calc!$Y$68&gt;'Calc'!$B$8,"",IF('Calc'!$E$15=1,'财富模型'!$E$9,'财富模型'!$M$7+IF(Calc!$Y$68&lt;='财富模型'!$E$11*12,'Calc'!$W$15,'Calc'!$Y$15)-(IF('Calc'!$E$15=1,0,MIN(Calc!$AA$67*(1+'财富模型'!$E$20/12)+'Calc'!$B$6,IF(Calc!$Y$68&lt;='财富模型'!$E$11*12,'Calc'!$W$15,'Calc'!$Y$15))))))</x:f>
      </x:c>
      <x:c r="AC68" t="e">
        <x:f>IF(Calc!$Y$68&gt;'Calc'!$B$8,"",IF('Calc'!$E$15=1,0,MIN(Calc!$AA$67*(1+'财富模型'!$E$20/12)+'Calc'!$B$6,IF(Calc!$Y$68&lt;='财富模型'!$E$11*12,'Calc'!$W$15,'Calc'!$Y$15))))</x:f>
      </x:c>
      <x:c r="AD68" t="e">
        <x:f>IF(Calc!$Y$68&gt;'Calc'!$B$8,"",'Calc'!$B$5-'财富模型'!$E$5-(IF('Calc'!$E$15=1,'财富模型'!$E$9,'财富模型'!$M$7+IF(Calc!$Y$68&lt;='财富模型'!$E$11*12,'Calc'!$W$15,'Calc'!$Y$15)-(IF('Calc'!$E$15=1,0,MIN(Calc!$AA$67*(1+'财富模型'!$E$20/12)+'Calc'!$B$6,IF(Calc!$Y$68&lt;='财富模型'!$E$11*12,'Calc'!$W$15,'Calc'!$Y$15)))))))</x:f>
      </x:c>
      <x:c r="AE68" t="e">
        <x:f>IF(Calc!$Y$68&gt;'Calc'!$B$8,"",IF('Calc'!$E$15=1,0,MAX(Calc!$AE$67*(1+IF(Calc!$Y$68&lt;='财富模型'!$E$11*12,'财富模型'!$E$10,'财富模型'!$E$12)/12)-IF('Calc'!$E$15=1,0,IF(Calc!$Y$68&lt;='财富模型'!$E$11*12,'Calc'!$W$15,'Calc'!$Y$15)),0)))</x:f>
      </x:c>
      <x:c r="AG68" t="n">
        <x:v>47</x:v>
      </x:c>
      <x:c r="AH68" t="e">
        <x:f>IF(Calc!$AG$68&gt;'Calc'!$B$8,"",MAX(Calc!$AH$67*(1+'财富模型'!$E$6/12)+('Calc'!$B$5-'财富模型'!$E$5-(IF('Calc'!$E$16=1,'财富模型'!$E$9,'财富模型'!$M$8+IF(Calc!$AG$68&lt;='财富模型'!$E$11*12,'Calc'!$W$16,'Calc'!$Y$16)-(IF('Calc'!$E$16=1,0,MIN(Calc!$AI$67*(1+'财富模型'!$E$20/12)+'Calc'!$B$6,IF(Calc!$AG$68&lt;='财富模型'!$E$11*12,'Calc'!$W$16,'Calc'!$Y$16))))))),0))</x:f>
      </x:c>
      <x:c r="AI68" t="e">
        <x:f>IF(Calc!$AG$68&gt;'Calc'!$B$8,"",MAX(Calc!$AI$67*(1+'财富模型'!$E$20/12)+'Calc'!$B$6-(IF('Calc'!$E$16=1,0,MIN(Calc!$AI$67*(1+'财富模型'!$E$20/12)+'Calc'!$B$6,IF(Calc!$AG$68&lt;='财富模型'!$E$11*12,'Calc'!$W$16,'Calc'!$Y$16)))),0))</x:f>
      </x:c>
      <x:c r="AJ68" t="e">
        <x:f>IF(Calc!$AG$68&gt;'Calc'!$B$8,"",IF('Calc'!$E$16=1,'财富模型'!$E$9,'财富模型'!$M$8+IF(Calc!$AG$68&lt;='财富模型'!$E$11*12,'Calc'!$W$16,'Calc'!$Y$16)-(IF('Calc'!$E$16=1,0,MIN(Calc!$AI$67*(1+'财富模型'!$E$20/12)+'Calc'!$B$6,IF(Calc!$AG$68&lt;='财富模型'!$E$11*12,'Calc'!$W$16,'Calc'!$Y$16))))))</x:f>
      </x:c>
      <x:c r="AK68" t="e">
        <x:f>IF(Calc!$AG$68&gt;'Calc'!$B$8,"",IF('Calc'!$E$16=1,0,MIN(Calc!$AI$67*(1+'财富模型'!$E$20/12)+'Calc'!$B$6,IF(Calc!$AG$68&lt;='财富模型'!$E$11*12,'Calc'!$W$16,'Calc'!$Y$16))))</x:f>
      </x:c>
      <x:c r="AL68" t="e">
        <x:f>IF(Calc!$AG$68&gt;'Calc'!$B$8,"",'Calc'!$B$5-'财富模型'!$E$5-(IF('Calc'!$E$16=1,'财富模型'!$E$9,'财富模型'!$M$8+IF(Calc!$AG$68&lt;='财富模型'!$E$11*12,'Calc'!$W$16,'Calc'!$Y$16)-(IF('Calc'!$E$16=1,0,MIN(Calc!$AI$67*(1+'财富模型'!$E$20/12)+'Calc'!$B$6,IF(Calc!$AG$68&lt;='财富模型'!$E$11*12,'Calc'!$W$16,'Calc'!$Y$16)))))))</x:f>
      </x:c>
      <x:c r="AM68" t="e">
        <x:f>IF(Calc!$AG$68&gt;'Calc'!$B$8,"",IF('Calc'!$E$16=1,0,MAX(Calc!$AM$67*(1+IF(Calc!$AG$68&lt;='财富模型'!$E$11*12,'财富模型'!$E$10,'财富模型'!$E$12)/12)-IF('Calc'!$E$16=1,0,IF(Calc!$AG$68&lt;='财富模型'!$E$11*12,'Calc'!$W$16,'Calc'!$Y$16)),0)))</x:f>
      </x:c>
      <x:c r="AO68" t="n">
        <x:v>47</x:v>
      </x:c>
      <x:c r="AP68" t="n">
        <x:f>IF(Calc!$AO$68&gt;'Calc'!$B$8,"",MAX(Calc!$AP$67*(1+'财富模型'!$E$6/12)+('Calc'!$B$5-'财富模型'!$E$5-(IF('Calc'!$E$17=1,'财富模型'!$E$9,'财富模型'!$M$9+IF(Calc!$AO$68&lt;='财富模型'!$E$11*12,'Calc'!$W$17,'Calc'!$Y$17)-(IF('Calc'!$E$17=1,0,MIN(Calc!$AQ$67*(1+'财富模型'!$E$20/12)+'Calc'!$B$6,IF(Calc!$AO$68&lt;='财富模型'!$E$11*12,'Calc'!$W$17,'Calc'!$Y$17))))))),0))</x:f>
        <x:v>1256923.7733295145</x:v>
      </x:c>
      <x:c r="AQ68" t="n">
        <x:f>IF(Calc!$AO$68&gt;'Calc'!$B$8,"",MAX(Calc!$AQ$67*(1+'财富模型'!$E$20/12)+'Calc'!$B$6-(IF('Calc'!$E$17=1,0,MIN(Calc!$AQ$67*(1+'财富模型'!$E$20/12)+'Calc'!$B$6,IF(Calc!$AO$68&lt;='财富模型'!$E$11*12,'Calc'!$W$17,'Calc'!$Y$17)))),0))</x:f>
        <x:v>140462.71454765645</x:v>
      </x:c>
      <x:c r="AR68" t="n">
        <x:f>IF(Calc!$AO$68&gt;'Calc'!$B$8,"",IF('Calc'!$E$17=1,'财富模型'!$E$9,'财富模型'!$M$9+IF(Calc!$AO$68&lt;='财富模型'!$E$11*12,'Calc'!$W$17,'Calc'!$Y$17)-(IF('Calc'!$E$17=1,0,MIN(Calc!$AQ$67*(1+'财富模型'!$E$20/12)+'Calc'!$B$6,IF(Calc!$AO$68&lt;='财富模型'!$E$11*12,'Calc'!$W$17,'Calc'!$Y$17))))))</x:f>
        <x:v>4000</x:v>
      </x:c>
      <x:c r="AS68" t="n">
        <x:f>IF(Calc!$AO$68&gt;'Calc'!$B$8,"",IF('Calc'!$E$17=1,0,MIN(Calc!$AQ$67*(1+'财富模型'!$E$20/12)+'Calc'!$B$6,IF(Calc!$AO$68&lt;='财富模型'!$E$11*12,'Calc'!$W$17,'Calc'!$Y$17))))</x:f>
        <x:v>0</x:v>
      </x:c>
      <x:c r="AT68" t="n">
        <x:f>IF(Calc!$AO$68&gt;'Calc'!$B$8,"",'Calc'!$B$5-'财富模型'!$E$5-(IF('Calc'!$E$17=1,'财富模型'!$E$9,'财富模型'!$M$9+IF(Calc!$AO$68&lt;='财富模型'!$E$11*12,'Calc'!$W$17,'Calc'!$Y$17)-(IF('Calc'!$E$17=1,0,MIN(Calc!$AQ$67*(1+'财富模型'!$E$20/12)+'Calc'!$B$6,IF(Calc!$AO$68&lt;='财富模型'!$E$11*12,'Calc'!$W$17,'Calc'!$Y$17)))))))</x:f>
        <x:v>3933.333333333332</x:v>
      </x:c>
      <x:c r="AU68" t="n">
        <x:f>IF(Calc!$AO$68&gt;'Calc'!$B$8,"",IF('Calc'!$E$17=1,0,MAX(Calc!$AU$67*(1+IF(Calc!$AO$68&lt;='财富模型'!$E$11*12,'财富模型'!$E$10,'财富模型'!$E$12)/12)-IF('Calc'!$E$17=1,0,IF(Calc!$AO$68&lt;='财富模型'!$E$11*12,'Calc'!$W$17,'Calc'!$Y$17)),0)))</x:f>
        <x:v>0</x:v>
      </x:c>
    </x:row>
    <x:row r="69">
      <x:c r="A69" t="n">
        <x:v>48</x:v>
      </x:c>
      <x:c r="B69" t="e">
        <x:f>IF(Calc!$A$69&gt;'Calc'!$B$8,"",MAX(Calc!$B$68*(1+'财富模型'!$E$6/12)+('Calc'!$B$5-'财富模型'!$E$5-(IF('Calc'!$E$12=1,'财富模型'!$E$9,'财富模型'!$M$4+IF(Calc!$A$69&lt;='财富模型'!$E$11*12,'Calc'!$W$12,'Calc'!$Y$12)-(IF('Calc'!$E$12=1,0,MIN(Calc!$C$68*(1+'财富模型'!$E$20/12)+'Calc'!$B$6,IF(Calc!$A$69&lt;='财富模型'!$E$11*12,'Calc'!$W$12,'Calc'!$Y$12))))))),0))</x:f>
      </x:c>
      <x:c r="C69" t="e">
        <x:f>IF(Calc!$A$69&gt;'Calc'!$B$8,"",MAX(Calc!$C$68*(1+'财富模型'!$E$20/12)+'Calc'!$B$6-(IF('Calc'!$E$12=1,0,MIN(Calc!$C$68*(1+'财富模型'!$E$20/12)+'Calc'!$B$6,IF(Calc!$A$69&lt;='财富模型'!$E$11*12,'Calc'!$W$12,'Calc'!$Y$12)))),0))</x:f>
      </x:c>
      <x:c r="D69" t="e">
        <x:f>IF(Calc!$A$69&gt;'Calc'!$B$8,"",IF('Calc'!$E$12=1,'财富模型'!$E$9,'财富模型'!$M$4+IF(Calc!$A$69&lt;='财富模型'!$E$11*12,'Calc'!$W$12,'Calc'!$Y$12)-(IF('Calc'!$E$12=1,0,MIN(Calc!$C$68*(1+'财富模型'!$E$20/12)+'Calc'!$B$6,IF(Calc!$A$69&lt;='财富模型'!$E$11*12,'Calc'!$W$12,'Calc'!$Y$12))))))</x:f>
      </x:c>
      <x:c r="E69" t="e">
        <x:f>IF(Calc!$A$69&gt;'Calc'!$B$8,"",IF('Calc'!$E$12=1,0,MIN(Calc!$C$68*(1+'财富模型'!$E$20/12)+'Calc'!$B$6,IF(Calc!$A$69&lt;='财富模型'!$E$11*12,'Calc'!$W$12,'Calc'!$Y$12))))</x:f>
      </x:c>
      <x:c r="F69" t="e">
        <x:f>IF(Calc!$A$69&gt;'Calc'!$B$8,"",'Calc'!$B$5-'财富模型'!$E$5-(IF('Calc'!$E$12=1,'财富模型'!$E$9,'财富模型'!$M$4+IF(Calc!$A$69&lt;='财富模型'!$E$11*12,'Calc'!$W$12,'Calc'!$Y$12)-(IF('Calc'!$E$12=1,0,MIN(Calc!$C$68*(1+'财富模型'!$E$20/12)+'Calc'!$B$6,IF(Calc!$A$69&lt;='财富模型'!$E$11*12,'Calc'!$W$12,'Calc'!$Y$12)))))))</x:f>
      </x:c>
      <x:c r="G69" t="e">
        <x:f>IF(Calc!$A$69&gt;'Calc'!$B$8,"",IF('Calc'!$E$12=1,0,MAX(Calc!$G$68*(1+IF(Calc!$A$69&lt;='财富模型'!$E$11*12,'财富模型'!$E$10,'财富模型'!$E$12)/12)-IF('Calc'!$E$12=1,0,IF(Calc!$A$69&lt;='财富模型'!$E$11*12,'Calc'!$W$12,'Calc'!$Y$12)),0)))</x:f>
      </x:c>
      <x:c r="I69" t="n">
        <x:v>48</x:v>
      </x:c>
      <x:c r="J69" t="e">
        <x:f>IF(Calc!$I$69&gt;'Calc'!$B$8,"",MAX(Calc!$J$68*(1+'财富模型'!$E$6/12)+('Calc'!$B$5-'财富模型'!$E$5-(IF('Calc'!$E$13=1,'财富模型'!$E$9,'财富模型'!$M$5+IF(Calc!$I$69&lt;='财富模型'!$E$11*12,'Calc'!$W$13,'Calc'!$Y$13)-(IF('Calc'!$E$13=1,0,MIN(Calc!$K$68*(1+'财富模型'!$E$20/12)+'Calc'!$B$6,IF(Calc!$I$69&lt;='财富模型'!$E$11*12,'Calc'!$W$13,'Calc'!$Y$13))))))),0))</x:f>
      </x:c>
      <x:c r="K69" t="e">
        <x:f>IF(Calc!$I$69&gt;'Calc'!$B$8,"",MAX(Calc!$K$68*(1+'财富模型'!$E$20/12)+'Calc'!$B$6-(IF('Calc'!$E$13=1,0,MIN(Calc!$K$68*(1+'财富模型'!$E$20/12)+'Calc'!$B$6,IF(Calc!$I$69&lt;='财富模型'!$E$11*12,'Calc'!$W$13,'Calc'!$Y$13)))),0))</x:f>
      </x:c>
      <x:c r="L69" t="e">
        <x:f>IF(Calc!$I$69&gt;'Calc'!$B$8,"",IF('Calc'!$E$13=1,'财富模型'!$E$9,'财富模型'!$M$5+IF(Calc!$I$69&lt;='财富模型'!$E$11*12,'Calc'!$W$13,'Calc'!$Y$13)-(IF('Calc'!$E$13=1,0,MIN(Calc!$K$68*(1+'财富模型'!$E$20/12)+'Calc'!$B$6,IF(Calc!$I$69&lt;='财富模型'!$E$11*12,'Calc'!$W$13,'Calc'!$Y$13))))))</x:f>
      </x:c>
      <x:c r="M69" t="e">
        <x:f>IF(Calc!$I$69&gt;'Calc'!$B$8,"",IF('Calc'!$E$13=1,0,MIN(Calc!$K$68*(1+'财富模型'!$E$20/12)+'Calc'!$B$6,IF(Calc!$I$69&lt;='财富模型'!$E$11*12,'Calc'!$W$13,'Calc'!$Y$13))))</x:f>
      </x:c>
      <x:c r="N69" t="e">
        <x:f>IF(Calc!$I$69&gt;'Calc'!$B$8,"",'Calc'!$B$5-'财富模型'!$E$5-(IF('Calc'!$E$13=1,'财富模型'!$E$9,'财富模型'!$M$5+IF(Calc!$I$69&lt;='财富模型'!$E$11*12,'Calc'!$W$13,'Calc'!$Y$13)-(IF('Calc'!$E$13=1,0,MIN(Calc!$K$68*(1+'财富模型'!$E$20/12)+'Calc'!$B$6,IF(Calc!$I$69&lt;='财富模型'!$E$11*12,'Calc'!$W$13,'Calc'!$Y$13)))))))</x:f>
      </x:c>
      <x:c r="O69" t="e">
        <x:f>IF(Calc!$I$69&gt;'Calc'!$B$8,"",IF('Calc'!$E$13=1,0,MAX(Calc!$O$68*(1+IF(Calc!$I$69&lt;='财富模型'!$E$11*12,'财富模型'!$E$10,'财富模型'!$E$12)/12)-IF('Calc'!$E$13=1,0,IF(Calc!$I$69&lt;='财富模型'!$E$11*12,'Calc'!$W$13,'Calc'!$Y$13)),0)))</x:f>
      </x:c>
      <x:c r="Q69" t="n">
        <x:v>48</x:v>
      </x:c>
      <x:c r="R69" t="e">
        <x:f>IF(Calc!$Q$69&gt;'Calc'!$B$8,"",MAX(Calc!$R$68*(1+'财富模型'!$E$6/12)+('Calc'!$B$5-'财富模型'!$E$5-(IF('Calc'!$E$14=1,'财富模型'!$E$9,'财富模型'!$M$6+IF(Calc!$Q$69&lt;='财富模型'!$E$11*12,'Calc'!$W$14,'Calc'!$Y$14)-(IF('Calc'!$E$14=1,0,MIN(Calc!$S$68*(1+'财富模型'!$E$20/12)+'Calc'!$B$6,IF(Calc!$Q$69&lt;='财富模型'!$E$11*12,'Calc'!$W$14,'Calc'!$Y$14))))))),0))</x:f>
      </x:c>
      <x:c r="S69" t="e">
        <x:f>IF(Calc!$Q$69&gt;'Calc'!$B$8,"",MAX(Calc!$S$68*(1+'财富模型'!$E$20/12)+'Calc'!$B$6-(IF('Calc'!$E$14=1,0,MIN(Calc!$S$68*(1+'财富模型'!$E$20/12)+'Calc'!$B$6,IF(Calc!$Q$69&lt;='财富模型'!$E$11*12,'Calc'!$W$14,'Calc'!$Y$14)))),0))</x:f>
      </x:c>
      <x:c r="T69" t="e">
        <x:f>IF(Calc!$Q$69&gt;'Calc'!$B$8,"",IF('Calc'!$E$14=1,'财富模型'!$E$9,'财富模型'!$M$6+IF(Calc!$Q$69&lt;='财富模型'!$E$11*12,'Calc'!$W$14,'Calc'!$Y$14)-(IF('Calc'!$E$14=1,0,MIN(Calc!$S$68*(1+'财富模型'!$E$20/12)+'Calc'!$B$6,IF(Calc!$Q$69&lt;='财富模型'!$E$11*12,'Calc'!$W$14,'Calc'!$Y$14))))))</x:f>
      </x:c>
      <x:c r="U69" t="e">
        <x:f>IF(Calc!$Q$69&gt;'Calc'!$B$8,"",IF('Calc'!$E$14=1,0,MIN(Calc!$S$68*(1+'财富模型'!$E$20/12)+'Calc'!$B$6,IF(Calc!$Q$69&lt;='财富模型'!$E$11*12,'Calc'!$W$14,'Calc'!$Y$14))))</x:f>
      </x:c>
      <x:c r="V69" t="e">
        <x:f>IF(Calc!$Q$69&gt;'Calc'!$B$8,"",'Calc'!$B$5-'财富模型'!$E$5-(IF('Calc'!$E$14=1,'财富模型'!$E$9,'财富模型'!$M$6+IF(Calc!$Q$69&lt;='财富模型'!$E$11*12,'Calc'!$W$14,'Calc'!$Y$14)-(IF('Calc'!$E$14=1,0,MIN(Calc!$S$68*(1+'财富模型'!$E$20/12)+'Calc'!$B$6,IF(Calc!$Q$69&lt;='财富模型'!$E$11*12,'Calc'!$W$14,'Calc'!$Y$14)))))))</x:f>
      </x:c>
      <x:c r="W69" t="e">
        <x:f>IF(Calc!$Q$69&gt;'Calc'!$B$8,"",IF('Calc'!$E$14=1,0,MAX(Calc!$W$68*(1+IF(Calc!$Q$69&lt;='财富模型'!$E$11*12,'财富模型'!$E$10,'财富模型'!$E$12)/12)-IF('Calc'!$E$14=1,0,IF(Calc!$Q$69&lt;='财富模型'!$E$11*12,'Calc'!$W$14,'Calc'!$Y$14)),0)))</x:f>
      </x:c>
      <x:c r="Y69" t="n">
        <x:v>48</x:v>
      </x:c>
      <x:c r="Z69" t="e">
        <x:f>IF(Calc!$Y$69&gt;'Calc'!$B$8,"",MAX(Calc!$Z$68*(1+'财富模型'!$E$6/12)+('Calc'!$B$5-'财富模型'!$E$5-(IF('Calc'!$E$15=1,'财富模型'!$E$9,'财富模型'!$M$7+IF(Calc!$Y$69&lt;='财富模型'!$E$11*12,'Calc'!$W$15,'Calc'!$Y$15)-(IF('Calc'!$E$15=1,0,MIN(Calc!$AA$68*(1+'财富模型'!$E$20/12)+'Calc'!$B$6,IF(Calc!$Y$69&lt;='财富模型'!$E$11*12,'Calc'!$W$15,'Calc'!$Y$15))))))),0))</x:f>
      </x:c>
      <x:c r="AA69" t="e">
        <x:f>IF(Calc!$Y$69&gt;'Calc'!$B$8,"",MAX(Calc!$AA$68*(1+'财富模型'!$E$20/12)+'Calc'!$B$6-(IF('Calc'!$E$15=1,0,MIN(Calc!$AA$68*(1+'财富模型'!$E$20/12)+'Calc'!$B$6,IF(Calc!$Y$69&lt;='财富模型'!$E$11*12,'Calc'!$W$15,'Calc'!$Y$15)))),0))</x:f>
      </x:c>
      <x:c r="AB69" t="e">
        <x:f>IF(Calc!$Y$69&gt;'Calc'!$B$8,"",IF('Calc'!$E$15=1,'财富模型'!$E$9,'财富模型'!$M$7+IF(Calc!$Y$69&lt;='财富模型'!$E$11*12,'Calc'!$W$15,'Calc'!$Y$15)-(IF('Calc'!$E$15=1,0,MIN(Calc!$AA$68*(1+'财富模型'!$E$20/12)+'Calc'!$B$6,IF(Calc!$Y$69&lt;='财富模型'!$E$11*12,'Calc'!$W$15,'Calc'!$Y$15))))))</x:f>
      </x:c>
      <x:c r="AC69" t="e">
        <x:f>IF(Calc!$Y$69&gt;'Calc'!$B$8,"",IF('Calc'!$E$15=1,0,MIN(Calc!$AA$68*(1+'财富模型'!$E$20/12)+'Calc'!$B$6,IF(Calc!$Y$69&lt;='财富模型'!$E$11*12,'Calc'!$W$15,'Calc'!$Y$15))))</x:f>
      </x:c>
      <x:c r="AD69" t="e">
        <x:f>IF(Calc!$Y$69&gt;'Calc'!$B$8,"",'Calc'!$B$5-'财富模型'!$E$5-(IF('Calc'!$E$15=1,'财富模型'!$E$9,'财富模型'!$M$7+IF(Calc!$Y$69&lt;='财富模型'!$E$11*12,'Calc'!$W$15,'Calc'!$Y$15)-(IF('Calc'!$E$15=1,0,MIN(Calc!$AA$68*(1+'财富模型'!$E$20/12)+'Calc'!$B$6,IF(Calc!$Y$69&lt;='财富模型'!$E$11*12,'Calc'!$W$15,'Calc'!$Y$15)))))))</x:f>
      </x:c>
      <x:c r="AE69" t="e">
        <x:f>IF(Calc!$Y$69&gt;'Calc'!$B$8,"",IF('Calc'!$E$15=1,0,MAX(Calc!$AE$68*(1+IF(Calc!$Y$69&lt;='财富模型'!$E$11*12,'财富模型'!$E$10,'财富模型'!$E$12)/12)-IF('Calc'!$E$15=1,0,IF(Calc!$Y$69&lt;='财富模型'!$E$11*12,'Calc'!$W$15,'Calc'!$Y$15)),0)))</x:f>
      </x:c>
      <x:c r="AG69" t="n">
        <x:v>48</x:v>
      </x:c>
      <x:c r="AH69" t="e">
        <x:f>IF(Calc!$AG$69&gt;'Calc'!$B$8,"",MAX(Calc!$AH$68*(1+'财富模型'!$E$6/12)+('Calc'!$B$5-'财富模型'!$E$5-(IF('Calc'!$E$16=1,'财富模型'!$E$9,'财富模型'!$M$8+IF(Calc!$AG$69&lt;='财富模型'!$E$11*12,'Calc'!$W$16,'Calc'!$Y$16)-(IF('Calc'!$E$16=1,0,MIN(Calc!$AI$68*(1+'财富模型'!$E$20/12)+'Calc'!$B$6,IF(Calc!$AG$69&lt;='财富模型'!$E$11*12,'Calc'!$W$16,'Calc'!$Y$16))))))),0))</x:f>
      </x:c>
      <x:c r="AI69" t="e">
        <x:f>IF(Calc!$AG$69&gt;'Calc'!$B$8,"",MAX(Calc!$AI$68*(1+'财富模型'!$E$20/12)+'Calc'!$B$6-(IF('Calc'!$E$16=1,0,MIN(Calc!$AI$68*(1+'财富模型'!$E$20/12)+'Calc'!$B$6,IF(Calc!$AG$69&lt;='财富模型'!$E$11*12,'Calc'!$W$16,'Calc'!$Y$16)))),0))</x:f>
      </x:c>
      <x:c r="AJ69" t="e">
        <x:f>IF(Calc!$AG$69&gt;'Calc'!$B$8,"",IF('Calc'!$E$16=1,'财富模型'!$E$9,'财富模型'!$M$8+IF(Calc!$AG$69&lt;='财富模型'!$E$11*12,'Calc'!$W$16,'Calc'!$Y$16)-(IF('Calc'!$E$16=1,0,MIN(Calc!$AI$68*(1+'财富模型'!$E$20/12)+'Calc'!$B$6,IF(Calc!$AG$69&lt;='财富模型'!$E$11*12,'Calc'!$W$16,'Calc'!$Y$16))))))</x:f>
      </x:c>
      <x:c r="AK69" t="e">
        <x:f>IF(Calc!$AG$69&gt;'Calc'!$B$8,"",IF('Calc'!$E$16=1,0,MIN(Calc!$AI$68*(1+'财富模型'!$E$20/12)+'Calc'!$B$6,IF(Calc!$AG$69&lt;='财富模型'!$E$11*12,'Calc'!$W$16,'Calc'!$Y$16))))</x:f>
      </x:c>
      <x:c r="AL69" t="e">
        <x:f>IF(Calc!$AG$69&gt;'Calc'!$B$8,"",'Calc'!$B$5-'财富模型'!$E$5-(IF('Calc'!$E$16=1,'财富模型'!$E$9,'财富模型'!$M$8+IF(Calc!$AG$69&lt;='财富模型'!$E$11*12,'Calc'!$W$16,'Calc'!$Y$16)-(IF('Calc'!$E$16=1,0,MIN(Calc!$AI$68*(1+'财富模型'!$E$20/12)+'Calc'!$B$6,IF(Calc!$AG$69&lt;='财富模型'!$E$11*12,'Calc'!$W$16,'Calc'!$Y$16)))))))</x:f>
      </x:c>
      <x:c r="AM69" t="e">
        <x:f>IF(Calc!$AG$69&gt;'Calc'!$B$8,"",IF('Calc'!$E$16=1,0,MAX(Calc!$AM$68*(1+IF(Calc!$AG$69&lt;='财富模型'!$E$11*12,'财富模型'!$E$10,'财富模型'!$E$12)/12)-IF('Calc'!$E$16=1,0,IF(Calc!$AG$69&lt;='财富模型'!$E$11*12,'Calc'!$W$16,'Calc'!$Y$16)),0)))</x:f>
      </x:c>
      <x:c r="AO69" t="n">
        <x:v>48</x:v>
      </x:c>
      <x:c r="AP69" t="n">
        <x:f>IF(Calc!$AO$69&gt;'Calc'!$B$8,"",MAX(Calc!$AP$68*(1+'财富模型'!$E$6/12)+('Calc'!$B$5-'财富模型'!$E$5-(IF('Calc'!$E$17=1,'财富模型'!$E$9,'财富模型'!$M$9+IF(Calc!$AO$69&lt;='财富模型'!$E$11*12,'Calc'!$W$17,'Calc'!$Y$17)-(IF('Calc'!$E$17=1,0,MIN(Calc!$AQ$68*(1+'财富模型'!$E$20/12)+'Calc'!$B$6,IF(Calc!$AO$69&lt;='财富模型'!$E$11*12,'Calc'!$W$17,'Calc'!$Y$17))))))),0))</x:f>
        <x:v>1268189.16200727</x:v>
      </x:c>
      <x:c r="AQ69" t="n">
        <x:f>IF(Calc!$AO$69&gt;'Calc'!$B$8,"",MAX(Calc!$AQ$68*(1+'财富模型'!$E$20/12)+'Calc'!$B$6-(IF('Calc'!$E$17=1,0,MIN(Calc!$AQ$68*(1+'财富模型'!$E$20/12)+'Calc'!$B$6,IF(Calc!$AO$69&lt;='财富模型'!$E$11*12,'Calc'!$W$17,'Calc'!$Y$17)))),0))</x:f>
        <x:v>143603.0952029641</x:v>
      </x:c>
      <x:c r="AR69" t="n">
        <x:f>IF(Calc!$AO$69&gt;'Calc'!$B$8,"",IF('Calc'!$E$17=1,'财富模型'!$E$9,'财富模型'!$M$9+IF(Calc!$AO$69&lt;='财富模型'!$E$11*12,'Calc'!$W$17,'Calc'!$Y$17)-(IF('Calc'!$E$17=1,0,MIN(Calc!$AQ$68*(1+'财富模型'!$E$20/12)+'Calc'!$B$6,IF(Calc!$AO$69&lt;='财富模型'!$E$11*12,'Calc'!$W$17,'Calc'!$Y$17))))))</x:f>
        <x:v>4000</x:v>
      </x:c>
      <x:c r="AS69" t="n">
        <x:f>IF(Calc!$AO$69&gt;'Calc'!$B$8,"",IF('Calc'!$E$17=1,0,MIN(Calc!$AQ$68*(1+'财富模型'!$E$20/12)+'Calc'!$B$6,IF(Calc!$AO$69&lt;='财富模型'!$E$11*12,'Calc'!$W$17,'Calc'!$Y$17))))</x:f>
        <x:v>0</x:v>
      </x:c>
      <x:c r="AT69" t="n">
        <x:f>IF(Calc!$AO$69&gt;'Calc'!$B$8,"",'Calc'!$B$5-'财富模型'!$E$5-(IF('Calc'!$E$17=1,'财富模型'!$E$9,'财富模型'!$M$9+IF(Calc!$AO$69&lt;='财富模型'!$E$11*12,'Calc'!$W$17,'Calc'!$Y$17)-(IF('Calc'!$E$17=1,0,MIN(Calc!$AQ$68*(1+'财富模型'!$E$20/12)+'Calc'!$B$6,IF(Calc!$AO$69&lt;='财富模型'!$E$11*12,'Calc'!$W$17,'Calc'!$Y$17)))))))</x:f>
        <x:v>3933.333333333332</x:v>
      </x:c>
      <x:c r="AU69" t="n">
        <x:f>IF(Calc!$AO$69&gt;'Calc'!$B$8,"",IF('Calc'!$E$17=1,0,MAX(Calc!$AU$68*(1+IF(Calc!$AO$69&lt;='财富模型'!$E$11*12,'财富模型'!$E$10,'财富模型'!$E$12)/12)-IF('Calc'!$E$17=1,0,IF(Calc!$AO$69&lt;='财富模型'!$E$11*12,'Calc'!$W$17,'Calc'!$Y$17)),0)))</x:f>
        <x:v>0</x:v>
      </x:c>
    </x:row>
    <x:row r="70">
      <x:c r="A70" t="n">
        <x:v>49</x:v>
      </x:c>
      <x:c r="B70" t="str">
        <x:f>IF(Calc!$A$70&gt;'Calc'!$B$8,"",MAX(Calc!$B$69*(1+'财富模型'!$E$6/12)+('Calc'!$B$5-'财富模型'!$E$5-(IF('Calc'!$E$12=1,'财富模型'!$E$9,'财富模型'!$M$4+IF(Calc!$A$70&lt;='财富模型'!$E$11*12,'Calc'!$W$12,'Calc'!$Y$12)-(IF('Calc'!$E$12=1,0,MIN(Calc!$C$69*(1+'财富模型'!$E$20/12)+'Calc'!$B$6,IF(Calc!$A$70&lt;='财富模型'!$E$11*12,'Calc'!$W$12,'Calc'!$Y$12))))))),0))</x:f>
      </x:c>
      <x:c r="C70" t="str">
        <x:f>IF(Calc!$A$70&gt;'Calc'!$B$8,"",MAX(Calc!$C$69*(1+'财富模型'!$E$20/12)+'Calc'!$B$6-(IF('Calc'!$E$12=1,0,MIN(Calc!$C$69*(1+'财富模型'!$E$20/12)+'Calc'!$B$6,IF(Calc!$A$70&lt;='财富模型'!$E$11*12,'Calc'!$W$12,'Calc'!$Y$12)))),0))</x:f>
      </x:c>
      <x:c r="D70" t="str">
        <x:f>IF(Calc!$A$70&gt;'Calc'!$B$8,"",IF('Calc'!$E$12=1,'财富模型'!$E$9,'财富模型'!$M$4+IF(Calc!$A$70&lt;='财富模型'!$E$11*12,'Calc'!$W$12,'Calc'!$Y$12)-(IF('Calc'!$E$12=1,0,MIN(Calc!$C$69*(1+'财富模型'!$E$20/12)+'Calc'!$B$6,IF(Calc!$A$70&lt;='财富模型'!$E$11*12,'Calc'!$W$12,'Calc'!$Y$12))))))</x:f>
      </x:c>
      <x:c r="E70" t="str">
        <x:f>IF(Calc!$A$70&gt;'Calc'!$B$8,"",IF('Calc'!$E$12=1,0,MIN(Calc!$C$69*(1+'财富模型'!$E$20/12)+'Calc'!$B$6,IF(Calc!$A$70&lt;='财富模型'!$E$11*12,'Calc'!$W$12,'Calc'!$Y$12))))</x:f>
      </x:c>
      <x:c r="F70" t="str">
        <x:f>IF(Calc!$A$70&gt;'Calc'!$B$8,"",'Calc'!$B$5-'财富模型'!$E$5-(IF('Calc'!$E$12=1,'财富模型'!$E$9,'财富模型'!$M$4+IF(Calc!$A$70&lt;='财富模型'!$E$11*12,'Calc'!$W$12,'Calc'!$Y$12)-(IF('Calc'!$E$12=1,0,MIN(Calc!$C$69*(1+'财富模型'!$E$20/12)+'Calc'!$B$6,IF(Calc!$A$70&lt;='财富模型'!$E$11*12,'Calc'!$W$12,'Calc'!$Y$12)))))))</x:f>
      </x:c>
      <x:c r="G70" t="str">
        <x:f>IF(Calc!$A$70&gt;'Calc'!$B$8,"",IF('Calc'!$E$12=1,0,MAX(Calc!$G$69*(1+IF(Calc!$A$70&lt;='财富模型'!$E$11*12,'财富模型'!$E$10,'财富模型'!$E$12)/12)-IF('Calc'!$E$12=1,0,IF(Calc!$A$70&lt;='财富模型'!$E$11*12,'Calc'!$W$12,'Calc'!$Y$12)),0)))</x:f>
      </x:c>
      <x:c r="I70" t="n">
        <x:v>49</x:v>
      </x:c>
      <x:c r="J70" t="str">
        <x:f>IF(Calc!$I$70&gt;'Calc'!$B$8,"",MAX(Calc!$J$69*(1+'财富模型'!$E$6/12)+('Calc'!$B$5-'财富模型'!$E$5-(IF('Calc'!$E$13=1,'财富模型'!$E$9,'财富模型'!$M$5+IF(Calc!$I$70&lt;='财富模型'!$E$11*12,'Calc'!$W$13,'Calc'!$Y$13)-(IF('Calc'!$E$13=1,0,MIN(Calc!$K$69*(1+'财富模型'!$E$20/12)+'Calc'!$B$6,IF(Calc!$I$70&lt;='财富模型'!$E$11*12,'Calc'!$W$13,'Calc'!$Y$13))))))),0))</x:f>
      </x:c>
      <x:c r="K70" t="str">
        <x:f>IF(Calc!$I$70&gt;'Calc'!$B$8,"",MAX(Calc!$K$69*(1+'财富模型'!$E$20/12)+'Calc'!$B$6-(IF('Calc'!$E$13=1,0,MIN(Calc!$K$69*(1+'财富模型'!$E$20/12)+'Calc'!$B$6,IF(Calc!$I$70&lt;='财富模型'!$E$11*12,'Calc'!$W$13,'Calc'!$Y$13)))),0))</x:f>
      </x:c>
      <x:c r="L70" t="str">
        <x:f>IF(Calc!$I$70&gt;'Calc'!$B$8,"",IF('Calc'!$E$13=1,'财富模型'!$E$9,'财富模型'!$M$5+IF(Calc!$I$70&lt;='财富模型'!$E$11*12,'Calc'!$W$13,'Calc'!$Y$13)-(IF('Calc'!$E$13=1,0,MIN(Calc!$K$69*(1+'财富模型'!$E$20/12)+'Calc'!$B$6,IF(Calc!$I$70&lt;='财富模型'!$E$11*12,'Calc'!$W$13,'Calc'!$Y$13))))))</x:f>
      </x:c>
      <x:c r="M70" t="str">
        <x:f>IF(Calc!$I$70&gt;'Calc'!$B$8,"",IF('Calc'!$E$13=1,0,MIN(Calc!$K$69*(1+'财富模型'!$E$20/12)+'Calc'!$B$6,IF(Calc!$I$70&lt;='财富模型'!$E$11*12,'Calc'!$W$13,'Calc'!$Y$13))))</x:f>
      </x:c>
      <x:c r="N70" t="str">
        <x:f>IF(Calc!$I$70&gt;'Calc'!$B$8,"",'Calc'!$B$5-'财富模型'!$E$5-(IF('Calc'!$E$13=1,'财富模型'!$E$9,'财富模型'!$M$5+IF(Calc!$I$70&lt;='财富模型'!$E$11*12,'Calc'!$W$13,'Calc'!$Y$13)-(IF('Calc'!$E$13=1,0,MIN(Calc!$K$69*(1+'财富模型'!$E$20/12)+'Calc'!$B$6,IF(Calc!$I$70&lt;='财富模型'!$E$11*12,'Calc'!$W$13,'Calc'!$Y$13)))))))</x:f>
      </x:c>
      <x:c r="O70" t="str">
        <x:f>IF(Calc!$I$70&gt;'Calc'!$B$8,"",IF('Calc'!$E$13=1,0,MAX(Calc!$O$69*(1+IF(Calc!$I$70&lt;='财富模型'!$E$11*12,'财富模型'!$E$10,'财富模型'!$E$12)/12)-IF('Calc'!$E$13=1,0,IF(Calc!$I$70&lt;='财富模型'!$E$11*12,'Calc'!$W$13,'Calc'!$Y$13)),0)))</x:f>
      </x:c>
      <x:c r="Q70" t="n">
        <x:v>49</x:v>
      </x:c>
      <x:c r="R70" t="str">
        <x:f>IF(Calc!$Q$70&gt;'Calc'!$B$8,"",MAX(Calc!$R$69*(1+'财富模型'!$E$6/12)+('Calc'!$B$5-'财富模型'!$E$5-(IF('Calc'!$E$14=1,'财富模型'!$E$9,'财富模型'!$M$6+IF(Calc!$Q$70&lt;='财富模型'!$E$11*12,'Calc'!$W$14,'Calc'!$Y$14)-(IF('Calc'!$E$14=1,0,MIN(Calc!$S$69*(1+'财富模型'!$E$20/12)+'Calc'!$B$6,IF(Calc!$Q$70&lt;='财富模型'!$E$11*12,'Calc'!$W$14,'Calc'!$Y$14))))))),0))</x:f>
      </x:c>
      <x:c r="S70" t="str">
        <x:f>IF(Calc!$Q$70&gt;'Calc'!$B$8,"",MAX(Calc!$S$69*(1+'财富模型'!$E$20/12)+'Calc'!$B$6-(IF('Calc'!$E$14=1,0,MIN(Calc!$S$69*(1+'财富模型'!$E$20/12)+'Calc'!$B$6,IF(Calc!$Q$70&lt;='财富模型'!$E$11*12,'Calc'!$W$14,'Calc'!$Y$14)))),0))</x:f>
      </x:c>
      <x:c r="T70" t="str">
        <x:f>IF(Calc!$Q$70&gt;'Calc'!$B$8,"",IF('Calc'!$E$14=1,'财富模型'!$E$9,'财富模型'!$M$6+IF(Calc!$Q$70&lt;='财富模型'!$E$11*12,'Calc'!$W$14,'Calc'!$Y$14)-(IF('Calc'!$E$14=1,0,MIN(Calc!$S$69*(1+'财富模型'!$E$20/12)+'Calc'!$B$6,IF(Calc!$Q$70&lt;='财富模型'!$E$11*12,'Calc'!$W$14,'Calc'!$Y$14))))))</x:f>
      </x:c>
      <x:c r="U70" t="str">
        <x:f>IF(Calc!$Q$70&gt;'Calc'!$B$8,"",IF('Calc'!$E$14=1,0,MIN(Calc!$S$69*(1+'财富模型'!$E$20/12)+'Calc'!$B$6,IF(Calc!$Q$70&lt;='财富模型'!$E$11*12,'Calc'!$W$14,'Calc'!$Y$14))))</x:f>
      </x:c>
      <x:c r="V70" t="str">
        <x:f>IF(Calc!$Q$70&gt;'Calc'!$B$8,"",'Calc'!$B$5-'财富模型'!$E$5-(IF('Calc'!$E$14=1,'财富模型'!$E$9,'财富模型'!$M$6+IF(Calc!$Q$70&lt;='财富模型'!$E$11*12,'Calc'!$W$14,'Calc'!$Y$14)-(IF('Calc'!$E$14=1,0,MIN(Calc!$S$69*(1+'财富模型'!$E$20/12)+'Calc'!$B$6,IF(Calc!$Q$70&lt;='财富模型'!$E$11*12,'Calc'!$W$14,'Calc'!$Y$14)))))))</x:f>
      </x:c>
      <x:c r="W70" t="str">
        <x:f>IF(Calc!$Q$70&gt;'Calc'!$B$8,"",IF('Calc'!$E$14=1,0,MAX(Calc!$W$69*(1+IF(Calc!$Q$70&lt;='财富模型'!$E$11*12,'财富模型'!$E$10,'财富模型'!$E$12)/12)-IF('Calc'!$E$14=1,0,IF(Calc!$Q$70&lt;='财富模型'!$E$11*12,'Calc'!$W$14,'Calc'!$Y$14)),0)))</x:f>
      </x:c>
      <x:c r="Y70" t="n">
        <x:v>49</x:v>
      </x:c>
      <x:c r="Z70" t="str">
        <x:f>IF(Calc!$Y$70&gt;'Calc'!$B$8,"",MAX(Calc!$Z$69*(1+'财富模型'!$E$6/12)+('Calc'!$B$5-'财富模型'!$E$5-(IF('Calc'!$E$15=1,'财富模型'!$E$9,'财富模型'!$M$7+IF(Calc!$Y$70&lt;='财富模型'!$E$11*12,'Calc'!$W$15,'Calc'!$Y$15)-(IF('Calc'!$E$15=1,0,MIN(Calc!$AA$69*(1+'财富模型'!$E$20/12)+'Calc'!$B$6,IF(Calc!$Y$70&lt;='财富模型'!$E$11*12,'Calc'!$W$15,'Calc'!$Y$15))))))),0))</x:f>
      </x:c>
      <x:c r="AA70" t="str">
        <x:f>IF(Calc!$Y$70&gt;'Calc'!$B$8,"",MAX(Calc!$AA$69*(1+'财富模型'!$E$20/12)+'Calc'!$B$6-(IF('Calc'!$E$15=1,0,MIN(Calc!$AA$69*(1+'财富模型'!$E$20/12)+'Calc'!$B$6,IF(Calc!$Y$70&lt;='财富模型'!$E$11*12,'Calc'!$W$15,'Calc'!$Y$15)))),0))</x:f>
      </x:c>
      <x:c r="AB70" t="str">
        <x:f>IF(Calc!$Y$70&gt;'Calc'!$B$8,"",IF('Calc'!$E$15=1,'财富模型'!$E$9,'财富模型'!$M$7+IF(Calc!$Y$70&lt;='财富模型'!$E$11*12,'Calc'!$W$15,'Calc'!$Y$15)-(IF('Calc'!$E$15=1,0,MIN(Calc!$AA$69*(1+'财富模型'!$E$20/12)+'Calc'!$B$6,IF(Calc!$Y$70&lt;='财富模型'!$E$11*12,'Calc'!$W$15,'Calc'!$Y$15))))))</x:f>
      </x:c>
      <x:c r="AC70" t="str">
        <x:f>IF(Calc!$Y$70&gt;'Calc'!$B$8,"",IF('Calc'!$E$15=1,0,MIN(Calc!$AA$69*(1+'财富模型'!$E$20/12)+'Calc'!$B$6,IF(Calc!$Y$70&lt;='财富模型'!$E$11*12,'Calc'!$W$15,'Calc'!$Y$15))))</x:f>
      </x:c>
      <x:c r="AD70" t="str">
        <x:f>IF(Calc!$Y$70&gt;'Calc'!$B$8,"",'Calc'!$B$5-'财富模型'!$E$5-(IF('Calc'!$E$15=1,'财富模型'!$E$9,'财富模型'!$M$7+IF(Calc!$Y$70&lt;='财富模型'!$E$11*12,'Calc'!$W$15,'Calc'!$Y$15)-(IF('Calc'!$E$15=1,0,MIN(Calc!$AA$69*(1+'财富模型'!$E$20/12)+'Calc'!$B$6,IF(Calc!$Y$70&lt;='财富模型'!$E$11*12,'Calc'!$W$15,'Calc'!$Y$15)))))))</x:f>
      </x:c>
      <x:c r="AE70" t="str">
        <x:f>IF(Calc!$Y$70&gt;'Calc'!$B$8,"",IF('Calc'!$E$15=1,0,MAX(Calc!$AE$69*(1+IF(Calc!$Y$70&lt;='财富模型'!$E$11*12,'财富模型'!$E$10,'财富模型'!$E$12)/12)-IF('Calc'!$E$15=1,0,IF(Calc!$Y$70&lt;='财富模型'!$E$11*12,'Calc'!$W$15,'Calc'!$Y$15)),0)))</x:f>
      </x:c>
      <x:c r="AG70" t="n">
        <x:v>49</x:v>
      </x:c>
      <x:c r="AH70" t="str">
        <x:f>IF(Calc!$AG$70&gt;'Calc'!$B$8,"",MAX(Calc!$AH$69*(1+'财富模型'!$E$6/12)+('Calc'!$B$5-'财富模型'!$E$5-(IF('Calc'!$E$16=1,'财富模型'!$E$9,'财富模型'!$M$8+IF(Calc!$AG$70&lt;='财富模型'!$E$11*12,'Calc'!$W$16,'Calc'!$Y$16)-(IF('Calc'!$E$16=1,0,MIN(Calc!$AI$69*(1+'财富模型'!$E$20/12)+'Calc'!$B$6,IF(Calc!$AG$70&lt;='财富模型'!$E$11*12,'Calc'!$W$16,'Calc'!$Y$16))))))),0))</x:f>
      </x:c>
      <x:c r="AI70" t="str">
        <x:f>IF(Calc!$AG$70&gt;'Calc'!$B$8,"",MAX(Calc!$AI$69*(1+'财富模型'!$E$20/12)+'Calc'!$B$6-(IF('Calc'!$E$16=1,0,MIN(Calc!$AI$69*(1+'财富模型'!$E$20/12)+'Calc'!$B$6,IF(Calc!$AG$70&lt;='财富模型'!$E$11*12,'Calc'!$W$16,'Calc'!$Y$16)))),0))</x:f>
      </x:c>
      <x:c r="AJ70" t="str">
        <x:f>IF(Calc!$AG$70&gt;'Calc'!$B$8,"",IF('Calc'!$E$16=1,'财富模型'!$E$9,'财富模型'!$M$8+IF(Calc!$AG$70&lt;='财富模型'!$E$11*12,'Calc'!$W$16,'Calc'!$Y$16)-(IF('Calc'!$E$16=1,0,MIN(Calc!$AI$69*(1+'财富模型'!$E$20/12)+'Calc'!$B$6,IF(Calc!$AG$70&lt;='财富模型'!$E$11*12,'Calc'!$W$16,'Calc'!$Y$16))))))</x:f>
      </x:c>
      <x:c r="AK70" t="str">
        <x:f>IF(Calc!$AG$70&gt;'Calc'!$B$8,"",IF('Calc'!$E$16=1,0,MIN(Calc!$AI$69*(1+'财富模型'!$E$20/12)+'Calc'!$B$6,IF(Calc!$AG$70&lt;='财富模型'!$E$11*12,'Calc'!$W$16,'Calc'!$Y$16))))</x:f>
      </x:c>
      <x:c r="AL70" t="str">
        <x:f>IF(Calc!$AG$70&gt;'Calc'!$B$8,"",'Calc'!$B$5-'财富模型'!$E$5-(IF('Calc'!$E$16=1,'财富模型'!$E$9,'财富模型'!$M$8+IF(Calc!$AG$70&lt;='财富模型'!$E$11*12,'Calc'!$W$16,'Calc'!$Y$16)-(IF('Calc'!$E$16=1,0,MIN(Calc!$AI$69*(1+'财富模型'!$E$20/12)+'Calc'!$B$6,IF(Calc!$AG$70&lt;='财富模型'!$E$11*12,'Calc'!$W$16,'Calc'!$Y$16)))))))</x:f>
      </x:c>
      <x:c r="AM70" t="str">
        <x:f>IF(Calc!$AG$70&gt;'Calc'!$B$8,"",IF('Calc'!$E$16=1,0,MAX(Calc!$AM$69*(1+IF(Calc!$AG$70&lt;='财富模型'!$E$11*12,'财富模型'!$E$10,'财富模型'!$E$12)/12)-IF('Calc'!$E$16=1,0,IF(Calc!$AG$70&lt;='财富模型'!$E$11*12,'Calc'!$W$16,'Calc'!$Y$16)),0)))</x:f>
      </x:c>
      <x:c r="AO70" t="n">
        <x:v>49</x:v>
      </x:c>
      <x:c r="AP70" t="str">
        <x:f>IF(Calc!$AO$70&gt;'Calc'!$B$8,"",MAX(Calc!$AP$69*(1+'财富模型'!$E$6/12)+('Calc'!$B$5-'财富模型'!$E$5-(IF('Calc'!$E$17=1,'财富模型'!$E$9,'财富模型'!$M$9+IF(Calc!$AO$70&lt;='财富模型'!$E$11*12,'Calc'!$W$17,'Calc'!$Y$17)-(IF('Calc'!$E$17=1,0,MIN(Calc!$AQ$69*(1+'财富模型'!$E$20/12)+'Calc'!$B$6,IF(Calc!$AO$70&lt;='财富模型'!$E$11*12,'Calc'!$W$17,'Calc'!$Y$17))))))),0))</x:f>
      </x:c>
      <x:c r="AQ70" t="str">
        <x:f>IF(Calc!$AO$70&gt;'Calc'!$B$8,"",MAX(Calc!$AQ$69*(1+'财富模型'!$E$20/12)+'Calc'!$B$6-(IF('Calc'!$E$17=1,0,MIN(Calc!$AQ$69*(1+'财富模型'!$E$20/12)+'Calc'!$B$6,IF(Calc!$AO$70&lt;='财富模型'!$E$11*12,'Calc'!$W$17,'Calc'!$Y$17)))),0))</x:f>
      </x:c>
      <x:c r="AR70" t="str">
        <x:f>IF(Calc!$AO$70&gt;'Calc'!$B$8,"",IF('Calc'!$E$17=1,'财富模型'!$E$9,'财富模型'!$M$9+IF(Calc!$AO$70&lt;='财富模型'!$E$11*12,'Calc'!$W$17,'Calc'!$Y$17)-(IF('Calc'!$E$17=1,0,MIN(Calc!$AQ$69*(1+'财富模型'!$E$20/12)+'Calc'!$B$6,IF(Calc!$AO$70&lt;='财富模型'!$E$11*12,'Calc'!$W$17,'Calc'!$Y$17))))))</x:f>
      </x:c>
      <x:c r="AS70" t="str">
        <x:f>IF(Calc!$AO$70&gt;'Calc'!$B$8,"",IF('Calc'!$E$17=1,0,MIN(Calc!$AQ$69*(1+'财富模型'!$E$20/12)+'Calc'!$B$6,IF(Calc!$AO$70&lt;='财富模型'!$E$11*12,'Calc'!$W$17,'Calc'!$Y$17))))</x:f>
      </x:c>
      <x:c r="AT70" t="str">
        <x:f>IF(Calc!$AO$70&gt;'Calc'!$B$8,"",'Calc'!$B$5-'财富模型'!$E$5-(IF('Calc'!$E$17=1,'财富模型'!$E$9,'财富模型'!$M$9+IF(Calc!$AO$70&lt;='财富模型'!$E$11*12,'Calc'!$W$17,'Calc'!$Y$17)-(IF('Calc'!$E$17=1,0,MIN(Calc!$AQ$69*(1+'财富模型'!$E$20/12)+'Calc'!$B$6,IF(Calc!$AO$70&lt;='财富模型'!$E$11*12,'Calc'!$W$17,'Calc'!$Y$17)))))))</x:f>
      </x:c>
      <x:c r="AU70" t="str">
        <x:f>IF(Calc!$AO$70&gt;'Calc'!$B$8,"",IF('Calc'!$E$17=1,0,MAX(Calc!$AU$69*(1+IF(Calc!$AO$70&lt;='财富模型'!$E$11*12,'财富模型'!$E$10,'财富模型'!$E$12)/12)-IF('Calc'!$E$17=1,0,IF(Calc!$AO$70&lt;='财富模型'!$E$11*12,'Calc'!$W$17,'Calc'!$Y$17)),0)))</x:f>
      </x:c>
    </x:row>
    <x:row r="71">
      <x:c r="A71" t="n">
        <x:v>50</x:v>
      </x:c>
      <x:c r="B71" t="str">
        <x:f>IF(Calc!$A$71&gt;'Calc'!$B$8,"",MAX(Calc!$B$70*(1+'财富模型'!$E$6/12)+('Calc'!$B$5-'财富模型'!$E$5-(IF('Calc'!$E$12=1,'财富模型'!$E$9,'财富模型'!$M$4+IF(Calc!$A$71&lt;='财富模型'!$E$11*12,'Calc'!$W$12,'Calc'!$Y$12)-(IF('Calc'!$E$12=1,0,MIN(Calc!$C$70*(1+'财富模型'!$E$20/12)+'Calc'!$B$6,IF(Calc!$A$71&lt;='财富模型'!$E$11*12,'Calc'!$W$12,'Calc'!$Y$12))))))),0))</x:f>
      </x:c>
      <x:c r="C71" t="str">
        <x:f>IF(Calc!$A$71&gt;'Calc'!$B$8,"",MAX(Calc!$C$70*(1+'财富模型'!$E$20/12)+'Calc'!$B$6-(IF('Calc'!$E$12=1,0,MIN(Calc!$C$70*(1+'财富模型'!$E$20/12)+'Calc'!$B$6,IF(Calc!$A$71&lt;='财富模型'!$E$11*12,'Calc'!$W$12,'Calc'!$Y$12)))),0))</x:f>
      </x:c>
      <x:c r="D71" t="str">
        <x:f>IF(Calc!$A$71&gt;'Calc'!$B$8,"",IF('Calc'!$E$12=1,'财富模型'!$E$9,'财富模型'!$M$4+IF(Calc!$A$71&lt;='财富模型'!$E$11*12,'Calc'!$W$12,'Calc'!$Y$12)-(IF('Calc'!$E$12=1,0,MIN(Calc!$C$70*(1+'财富模型'!$E$20/12)+'Calc'!$B$6,IF(Calc!$A$71&lt;='财富模型'!$E$11*12,'Calc'!$W$12,'Calc'!$Y$12))))))</x:f>
      </x:c>
      <x:c r="E71" t="str">
        <x:f>IF(Calc!$A$71&gt;'Calc'!$B$8,"",IF('Calc'!$E$12=1,0,MIN(Calc!$C$70*(1+'财富模型'!$E$20/12)+'Calc'!$B$6,IF(Calc!$A$71&lt;='财富模型'!$E$11*12,'Calc'!$W$12,'Calc'!$Y$12))))</x:f>
      </x:c>
      <x:c r="F71" t="str">
        <x:f>IF(Calc!$A$71&gt;'Calc'!$B$8,"",'Calc'!$B$5-'财富模型'!$E$5-(IF('Calc'!$E$12=1,'财富模型'!$E$9,'财富模型'!$M$4+IF(Calc!$A$71&lt;='财富模型'!$E$11*12,'Calc'!$W$12,'Calc'!$Y$12)-(IF('Calc'!$E$12=1,0,MIN(Calc!$C$70*(1+'财富模型'!$E$20/12)+'Calc'!$B$6,IF(Calc!$A$71&lt;='财富模型'!$E$11*12,'Calc'!$W$12,'Calc'!$Y$12)))))))</x:f>
      </x:c>
      <x:c r="G71" t="str">
        <x:f>IF(Calc!$A$71&gt;'Calc'!$B$8,"",IF('Calc'!$E$12=1,0,MAX(Calc!$G$70*(1+IF(Calc!$A$71&lt;='财富模型'!$E$11*12,'财富模型'!$E$10,'财富模型'!$E$12)/12)-IF('Calc'!$E$12=1,0,IF(Calc!$A$71&lt;='财富模型'!$E$11*12,'Calc'!$W$12,'Calc'!$Y$12)),0)))</x:f>
      </x:c>
      <x:c r="I71" t="n">
        <x:v>50</x:v>
      </x:c>
      <x:c r="J71" t="str">
        <x:f>IF(Calc!$I$71&gt;'Calc'!$B$8,"",MAX(Calc!$J$70*(1+'财富模型'!$E$6/12)+('Calc'!$B$5-'财富模型'!$E$5-(IF('Calc'!$E$13=1,'财富模型'!$E$9,'财富模型'!$M$5+IF(Calc!$I$71&lt;='财富模型'!$E$11*12,'Calc'!$W$13,'Calc'!$Y$13)-(IF('Calc'!$E$13=1,0,MIN(Calc!$K$70*(1+'财富模型'!$E$20/12)+'Calc'!$B$6,IF(Calc!$I$71&lt;='财富模型'!$E$11*12,'Calc'!$W$13,'Calc'!$Y$13))))))),0))</x:f>
      </x:c>
      <x:c r="K71" t="str">
        <x:f>IF(Calc!$I$71&gt;'Calc'!$B$8,"",MAX(Calc!$K$70*(1+'财富模型'!$E$20/12)+'Calc'!$B$6-(IF('Calc'!$E$13=1,0,MIN(Calc!$K$70*(1+'财富模型'!$E$20/12)+'Calc'!$B$6,IF(Calc!$I$71&lt;='财富模型'!$E$11*12,'Calc'!$W$13,'Calc'!$Y$13)))),0))</x:f>
      </x:c>
      <x:c r="L71" t="str">
        <x:f>IF(Calc!$I$71&gt;'Calc'!$B$8,"",IF('Calc'!$E$13=1,'财富模型'!$E$9,'财富模型'!$M$5+IF(Calc!$I$71&lt;='财富模型'!$E$11*12,'Calc'!$W$13,'Calc'!$Y$13)-(IF('Calc'!$E$13=1,0,MIN(Calc!$K$70*(1+'财富模型'!$E$20/12)+'Calc'!$B$6,IF(Calc!$I$71&lt;='财富模型'!$E$11*12,'Calc'!$W$13,'Calc'!$Y$13))))))</x:f>
      </x:c>
      <x:c r="M71" t="str">
        <x:f>IF(Calc!$I$71&gt;'Calc'!$B$8,"",IF('Calc'!$E$13=1,0,MIN(Calc!$K$70*(1+'财富模型'!$E$20/12)+'Calc'!$B$6,IF(Calc!$I$71&lt;='财富模型'!$E$11*12,'Calc'!$W$13,'Calc'!$Y$13))))</x:f>
      </x:c>
      <x:c r="N71" t="str">
        <x:f>IF(Calc!$I$71&gt;'Calc'!$B$8,"",'Calc'!$B$5-'财富模型'!$E$5-(IF('Calc'!$E$13=1,'财富模型'!$E$9,'财富模型'!$M$5+IF(Calc!$I$71&lt;='财富模型'!$E$11*12,'Calc'!$W$13,'Calc'!$Y$13)-(IF('Calc'!$E$13=1,0,MIN(Calc!$K$70*(1+'财富模型'!$E$20/12)+'Calc'!$B$6,IF(Calc!$I$71&lt;='财富模型'!$E$11*12,'Calc'!$W$13,'Calc'!$Y$13)))))))</x:f>
      </x:c>
      <x:c r="O71" t="str">
        <x:f>IF(Calc!$I$71&gt;'Calc'!$B$8,"",IF('Calc'!$E$13=1,0,MAX(Calc!$O$70*(1+IF(Calc!$I$71&lt;='财富模型'!$E$11*12,'财富模型'!$E$10,'财富模型'!$E$12)/12)-IF('Calc'!$E$13=1,0,IF(Calc!$I$71&lt;='财富模型'!$E$11*12,'Calc'!$W$13,'Calc'!$Y$13)),0)))</x:f>
      </x:c>
      <x:c r="Q71" t="n">
        <x:v>50</x:v>
      </x:c>
      <x:c r="R71" t="str">
        <x:f>IF(Calc!$Q$71&gt;'Calc'!$B$8,"",MAX(Calc!$R$70*(1+'财富模型'!$E$6/12)+('Calc'!$B$5-'财富模型'!$E$5-(IF('Calc'!$E$14=1,'财富模型'!$E$9,'财富模型'!$M$6+IF(Calc!$Q$71&lt;='财富模型'!$E$11*12,'Calc'!$W$14,'Calc'!$Y$14)-(IF('Calc'!$E$14=1,0,MIN(Calc!$S$70*(1+'财富模型'!$E$20/12)+'Calc'!$B$6,IF(Calc!$Q$71&lt;='财富模型'!$E$11*12,'Calc'!$W$14,'Calc'!$Y$14))))))),0))</x:f>
      </x:c>
      <x:c r="S71" t="str">
        <x:f>IF(Calc!$Q$71&gt;'Calc'!$B$8,"",MAX(Calc!$S$70*(1+'财富模型'!$E$20/12)+'Calc'!$B$6-(IF('Calc'!$E$14=1,0,MIN(Calc!$S$70*(1+'财富模型'!$E$20/12)+'Calc'!$B$6,IF(Calc!$Q$71&lt;='财富模型'!$E$11*12,'Calc'!$W$14,'Calc'!$Y$14)))),0))</x:f>
      </x:c>
      <x:c r="T71" t="str">
        <x:f>IF(Calc!$Q$71&gt;'Calc'!$B$8,"",IF('Calc'!$E$14=1,'财富模型'!$E$9,'财富模型'!$M$6+IF(Calc!$Q$71&lt;='财富模型'!$E$11*12,'Calc'!$W$14,'Calc'!$Y$14)-(IF('Calc'!$E$14=1,0,MIN(Calc!$S$70*(1+'财富模型'!$E$20/12)+'Calc'!$B$6,IF(Calc!$Q$71&lt;='财富模型'!$E$11*12,'Calc'!$W$14,'Calc'!$Y$14))))))</x:f>
      </x:c>
      <x:c r="U71" t="str">
        <x:f>IF(Calc!$Q$71&gt;'Calc'!$B$8,"",IF('Calc'!$E$14=1,0,MIN(Calc!$S$70*(1+'财富模型'!$E$20/12)+'Calc'!$B$6,IF(Calc!$Q$71&lt;='财富模型'!$E$11*12,'Calc'!$W$14,'Calc'!$Y$14))))</x:f>
      </x:c>
      <x:c r="V71" t="str">
        <x:f>IF(Calc!$Q$71&gt;'Calc'!$B$8,"",'Calc'!$B$5-'财富模型'!$E$5-(IF('Calc'!$E$14=1,'财富模型'!$E$9,'财富模型'!$M$6+IF(Calc!$Q$71&lt;='财富模型'!$E$11*12,'Calc'!$W$14,'Calc'!$Y$14)-(IF('Calc'!$E$14=1,0,MIN(Calc!$S$70*(1+'财富模型'!$E$20/12)+'Calc'!$B$6,IF(Calc!$Q$71&lt;='财富模型'!$E$11*12,'Calc'!$W$14,'Calc'!$Y$14)))))))</x:f>
      </x:c>
      <x:c r="W71" t="str">
        <x:f>IF(Calc!$Q$71&gt;'Calc'!$B$8,"",IF('Calc'!$E$14=1,0,MAX(Calc!$W$70*(1+IF(Calc!$Q$71&lt;='财富模型'!$E$11*12,'财富模型'!$E$10,'财富模型'!$E$12)/12)-IF('Calc'!$E$14=1,0,IF(Calc!$Q$71&lt;='财富模型'!$E$11*12,'Calc'!$W$14,'Calc'!$Y$14)),0)))</x:f>
      </x:c>
      <x:c r="Y71" t="n">
        <x:v>50</x:v>
      </x:c>
      <x:c r="Z71" t="str">
        <x:f>IF(Calc!$Y$71&gt;'Calc'!$B$8,"",MAX(Calc!$Z$70*(1+'财富模型'!$E$6/12)+('Calc'!$B$5-'财富模型'!$E$5-(IF('Calc'!$E$15=1,'财富模型'!$E$9,'财富模型'!$M$7+IF(Calc!$Y$71&lt;='财富模型'!$E$11*12,'Calc'!$W$15,'Calc'!$Y$15)-(IF('Calc'!$E$15=1,0,MIN(Calc!$AA$70*(1+'财富模型'!$E$20/12)+'Calc'!$B$6,IF(Calc!$Y$71&lt;='财富模型'!$E$11*12,'Calc'!$W$15,'Calc'!$Y$15))))))),0))</x:f>
      </x:c>
      <x:c r="AA71" t="str">
        <x:f>IF(Calc!$Y$71&gt;'Calc'!$B$8,"",MAX(Calc!$AA$70*(1+'财富模型'!$E$20/12)+'Calc'!$B$6-(IF('Calc'!$E$15=1,0,MIN(Calc!$AA$70*(1+'财富模型'!$E$20/12)+'Calc'!$B$6,IF(Calc!$Y$71&lt;='财富模型'!$E$11*12,'Calc'!$W$15,'Calc'!$Y$15)))),0))</x:f>
      </x:c>
      <x:c r="AB71" t="str">
        <x:f>IF(Calc!$Y$71&gt;'Calc'!$B$8,"",IF('Calc'!$E$15=1,'财富模型'!$E$9,'财富模型'!$M$7+IF(Calc!$Y$71&lt;='财富模型'!$E$11*12,'Calc'!$W$15,'Calc'!$Y$15)-(IF('Calc'!$E$15=1,0,MIN(Calc!$AA$70*(1+'财富模型'!$E$20/12)+'Calc'!$B$6,IF(Calc!$Y$71&lt;='财富模型'!$E$11*12,'Calc'!$W$15,'Calc'!$Y$15))))))</x:f>
      </x:c>
      <x:c r="AC71" t="str">
        <x:f>IF(Calc!$Y$71&gt;'Calc'!$B$8,"",IF('Calc'!$E$15=1,0,MIN(Calc!$AA$70*(1+'财富模型'!$E$20/12)+'Calc'!$B$6,IF(Calc!$Y$71&lt;='财富模型'!$E$11*12,'Calc'!$W$15,'Calc'!$Y$15))))</x:f>
      </x:c>
      <x:c r="AD71" t="str">
        <x:f>IF(Calc!$Y$71&gt;'Calc'!$B$8,"",'Calc'!$B$5-'财富模型'!$E$5-(IF('Calc'!$E$15=1,'财富模型'!$E$9,'财富模型'!$M$7+IF(Calc!$Y$71&lt;='财富模型'!$E$11*12,'Calc'!$W$15,'Calc'!$Y$15)-(IF('Calc'!$E$15=1,0,MIN(Calc!$AA$70*(1+'财富模型'!$E$20/12)+'Calc'!$B$6,IF(Calc!$Y$71&lt;='财富模型'!$E$11*12,'Calc'!$W$15,'Calc'!$Y$15)))))))</x:f>
      </x:c>
      <x:c r="AE71" t="str">
        <x:f>IF(Calc!$Y$71&gt;'Calc'!$B$8,"",IF('Calc'!$E$15=1,0,MAX(Calc!$AE$70*(1+IF(Calc!$Y$71&lt;='财富模型'!$E$11*12,'财富模型'!$E$10,'财富模型'!$E$12)/12)-IF('Calc'!$E$15=1,0,IF(Calc!$Y$71&lt;='财富模型'!$E$11*12,'Calc'!$W$15,'Calc'!$Y$15)),0)))</x:f>
      </x:c>
      <x:c r="AG71" t="n">
        <x:v>50</x:v>
      </x:c>
      <x:c r="AH71" t="str">
        <x:f>IF(Calc!$AG$71&gt;'Calc'!$B$8,"",MAX(Calc!$AH$70*(1+'财富模型'!$E$6/12)+('Calc'!$B$5-'财富模型'!$E$5-(IF('Calc'!$E$16=1,'财富模型'!$E$9,'财富模型'!$M$8+IF(Calc!$AG$71&lt;='财富模型'!$E$11*12,'Calc'!$W$16,'Calc'!$Y$16)-(IF('Calc'!$E$16=1,0,MIN(Calc!$AI$70*(1+'财富模型'!$E$20/12)+'Calc'!$B$6,IF(Calc!$AG$71&lt;='财富模型'!$E$11*12,'Calc'!$W$16,'Calc'!$Y$16))))))),0))</x:f>
      </x:c>
      <x:c r="AI71" t="str">
        <x:f>IF(Calc!$AG$71&gt;'Calc'!$B$8,"",MAX(Calc!$AI$70*(1+'财富模型'!$E$20/12)+'Calc'!$B$6-(IF('Calc'!$E$16=1,0,MIN(Calc!$AI$70*(1+'财富模型'!$E$20/12)+'Calc'!$B$6,IF(Calc!$AG$71&lt;='财富模型'!$E$11*12,'Calc'!$W$16,'Calc'!$Y$16)))),0))</x:f>
      </x:c>
      <x:c r="AJ71" t="str">
        <x:f>IF(Calc!$AG$71&gt;'Calc'!$B$8,"",IF('Calc'!$E$16=1,'财富模型'!$E$9,'财富模型'!$M$8+IF(Calc!$AG$71&lt;='财富模型'!$E$11*12,'Calc'!$W$16,'Calc'!$Y$16)-(IF('Calc'!$E$16=1,0,MIN(Calc!$AI$70*(1+'财富模型'!$E$20/12)+'Calc'!$B$6,IF(Calc!$AG$71&lt;='财富模型'!$E$11*12,'Calc'!$W$16,'Calc'!$Y$16))))))</x:f>
      </x:c>
      <x:c r="AK71" t="str">
        <x:f>IF(Calc!$AG$71&gt;'Calc'!$B$8,"",IF('Calc'!$E$16=1,0,MIN(Calc!$AI$70*(1+'财富模型'!$E$20/12)+'Calc'!$B$6,IF(Calc!$AG$71&lt;='财富模型'!$E$11*12,'Calc'!$W$16,'Calc'!$Y$16))))</x:f>
      </x:c>
      <x:c r="AL71" t="str">
        <x:f>IF(Calc!$AG$71&gt;'Calc'!$B$8,"",'Calc'!$B$5-'财富模型'!$E$5-(IF('Calc'!$E$16=1,'财富模型'!$E$9,'财富模型'!$M$8+IF(Calc!$AG$71&lt;='财富模型'!$E$11*12,'Calc'!$W$16,'Calc'!$Y$16)-(IF('Calc'!$E$16=1,0,MIN(Calc!$AI$70*(1+'财富模型'!$E$20/12)+'Calc'!$B$6,IF(Calc!$AG$71&lt;='财富模型'!$E$11*12,'Calc'!$W$16,'Calc'!$Y$16)))))))</x:f>
      </x:c>
      <x:c r="AM71" t="str">
        <x:f>IF(Calc!$AG$71&gt;'Calc'!$B$8,"",IF('Calc'!$E$16=1,0,MAX(Calc!$AM$70*(1+IF(Calc!$AG$71&lt;='财富模型'!$E$11*12,'财富模型'!$E$10,'财富模型'!$E$12)/12)-IF('Calc'!$E$16=1,0,IF(Calc!$AG$71&lt;='财富模型'!$E$11*12,'Calc'!$W$16,'Calc'!$Y$16)),0)))</x:f>
      </x:c>
      <x:c r="AO71" t="n">
        <x:v>50</x:v>
      </x:c>
      <x:c r="AP71" t="str">
        <x:f>IF(Calc!$AO$71&gt;'Calc'!$B$8,"",MAX(Calc!$AP$70*(1+'财富模型'!$E$6/12)+('Calc'!$B$5-'财富模型'!$E$5-(IF('Calc'!$E$17=1,'财富模型'!$E$9,'财富模型'!$M$9+IF(Calc!$AO$71&lt;='财富模型'!$E$11*12,'Calc'!$W$17,'Calc'!$Y$17)-(IF('Calc'!$E$17=1,0,MIN(Calc!$AQ$70*(1+'财富模型'!$E$20/12)+'Calc'!$B$6,IF(Calc!$AO$71&lt;='财富模型'!$E$11*12,'Calc'!$W$17,'Calc'!$Y$17))))))),0))</x:f>
      </x:c>
      <x:c r="AQ71" t="str">
        <x:f>IF(Calc!$AO$71&gt;'Calc'!$B$8,"",MAX(Calc!$AQ$70*(1+'财富模型'!$E$20/12)+'Calc'!$B$6-(IF('Calc'!$E$17=1,0,MIN(Calc!$AQ$70*(1+'财富模型'!$E$20/12)+'Calc'!$B$6,IF(Calc!$AO$71&lt;='财富模型'!$E$11*12,'Calc'!$W$17,'Calc'!$Y$17)))),0))</x:f>
      </x:c>
      <x:c r="AR71" t="str">
        <x:f>IF(Calc!$AO$71&gt;'Calc'!$B$8,"",IF('Calc'!$E$17=1,'财富模型'!$E$9,'财富模型'!$M$9+IF(Calc!$AO$71&lt;='财富模型'!$E$11*12,'Calc'!$W$17,'Calc'!$Y$17)-(IF('Calc'!$E$17=1,0,MIN(Calc!$AQ$70*(1+'财富模型'!$E$20/12)+'Calc'!$B$6,IF(Calc!$AO$71&lt;='财富模型'!$E$11*12,'Calc'!$W$17,'Calc'!$Y$17))))))</x:f>
      </x:c>
      <x:c r="AS71" t="str">
        <x:f>IF(Calc!$AO$71&gt;'Calc'!$B$8,"",IF('Calc'!$E$17=1,0,MIN(Calc!$AQ$70*(1+'财富模型'!$E$20/12)+'Calc'!$B$6,IF(Calc!$AO$71&lt;='财富模型'!$E$11*12,'Calc'!$W$17,'Calc'!$Y$17))))</x:f>
      </x:c>
      <x:c r="AT71" t="str">
        <x:f>IF(Calc!$AO$71&gt;'Calc'!$B$8,"",'Calc'!$B$5-'财富模型'!$E$5-(IF('Calc'!$E$17=1,'财富模型'!$E$9,'财富模型'!$M$9+IF(Calc!$AO$71&lt;='财富模型'!$E$11*12,'Calc'!$W$17,'Calc'!$Y$17)-(IF('Calc'!$E$17=1,0,MIN(Calc!$AQ$70*(1+'财富模型'!$E$20/12)+'Calc'!$B$6,IF(Calc!$AO$71&lt;='财富模型'!$E$11*12,'Calc'!$W$17,'Calc'!$Y$17)))))))</x:f>
      </x:c>
      <x:c r="AU71" t="str">
        <x:f>IF(Calc!$AO$71&gt;'Calc'!$B$8,"",IF('Calc'!$E$17=1,0,MAX(Calc!$AU$70*(1+IF(Calc!$AO$71&lt;='财富模型'!$E$11*12,'财富模型'!$E$10,'财富模型'!$E$12)/12)-IF('Calc'!$E$17=1,0,IF(Calc!$AO$71&lt;='财富模型'!$E$11*12,'Calc'!$W$17,'Calc'!$Y$17)),0)))</x:f>
      </x:c>
    </x:row>
    <x:row r="72">
      <x:c r="A72" t="n">
        <x:v>51</x:v>
      </x:c>
      <x:c r="B72" t="str">
        <x:f>IF(Calc!$A$72&gt;'Calc'!$B$8,"",MAX(Calc!$B$71*(1+'财富模型'!$E$6/12)+('Calc'!$B$5-'财富模型'!$E$5-(IF('Calc'!$E$12=1,'财富模型'!$E$9,'财富模型'!$M$4+IF(Calc!$A$72&lt;='财富模型'!$E$11*12,'Calc'!$W$12,'Calc'!$Y$12)-(IF('Calc'!$E$12=1,0,MIN(Calc!$C$71*(1+'财富模型'!$E$20/12)+'Calc'!$B$6,IF(Calc!$A$72&lt;='财富模型'!$E$11*12,'Calc'!$W$12,'Calc'!$Y$12))))))),0))</x:f>
      </x:c>
      <x:c r="C72" t="str">
        <x:f>IF(Calc!$A$72&gt;'Calc'!$B$8,"",MAX(Calc!$C$71*(1+'财富模型'!$E$20/12)+'Calc'!$B$6-(IF('Calc'!$E$12=1,0,MIN(Calc!$C$71*(1+'财富模型'!$E$20/12)+'Calc'!$B$6,IF(Calc!$A$72&lt;='财富模型'!$E$11*12,'Calc'!$W$12,'Calc'!$Y$12)))),0))</x:f>
      </x:c>
      <x:c r="D72" t="str">
        <x:f>IF(Calc!$A$72&gt;'Calc'!$B$8,"",IF('Calc'!$E$12=1,'财富模型'!$E$9,'财富模型'!$M$4+IF(Calc!$A$72&lt;='财富模型'!$E$11*12,'Calc'!$W$12,'Calc'!$Y$12)-(IF('Calc'!$E$12=1,0,MIN(Calc!$C$71*(1+'财富模型'!$E$20/12)+'Calc'!$B$6,IF(Calc!$A$72&lt;='财富模型'!$E$11*12,'Calc'!$W$12,'Calc'!$Y$12))))))</x:f>
      </x:c>
      <x:c r="E72" t="str">
        <x:f>IF(Calc!$A$72&gt;'Calc'!$B$8,"",IF('Calc'!$E$12=1,0,MIN(Calc!$C$71*(1+'财富模型'!$E$20/12)+'Calc'!$B$6,IF(Calc!$A$72&lt;='财富模型'!$E$11*12,'Calc'!$W$12,'Calc'!$Y$12))))</x:f>
      </x:c>
      <x:c r="F72" t="str">
        <x:f>IF(Calc!$A$72&gt;'Calc'!$B$8,"",'Calc'!$B$5-'财富模型'!$E$5-(IF('Calc'!$E$12=1,'财富模型'!$E$9,'财富模型'!$M$4+IF(Calc!$A$72&lt;='财富模型'!$E$11*12,'Calc'!$W$12,'Calc'!$Y$12)-(IF('Calc'!$E$12=1,0,MIN(Calc!$C$71*(1+'财富模型'!$E$20/12)+'Calc'!$B$6,IF(Calc!$A$72&lt;='财富模型'!$E$11*12,'Calc'!$W$12,'Calc'!$Y$12)))))))</x:f>
      </x:c>
      <x:c r="G72" t="str">
        <x:f>IF(Calc!$A$72&gt;'Calc'!$B$8,"",IF('Calc'!$E$12=1,0,MAX(Calc!$G$71*(1+IF(Calc!$A$72&lt;='财富模型'!$E$11*12,'财富模型'!$E$10,'财富模型'!$E$12)/12)-IF('Calc'!$E$12=1,0,IF(Calc!$A$72&lt;='财富模型'!$E$11*12,'Calc'!$W$12,'Calc'!$Y$12)),0)))</x:f>
      </x:c>
      <x:c r="I72" t="n">
        <x:v>51</x:v>
      </x:c>
      <x:c r="J72" t="str">
        <x:f>IF(Calc!$I$72&gt;'Calc'!$B$8,"",MAX(Calc!$J$71*(1+'财富模型'!$E$6/12)+('Calc'!$B$5-'财富模型'!$E$5-(IF('Calc'!$E$13=1,'财富模型'!$E$9,'财富模型'!$M$5+IF(Calc!$I$72&lt;='财富模型'!$E$11*12,'Calc'!$W$13,'Calc'!$Y$13)-(IF('Calc'!$E$13=1,0,MIN(Calc!$K$71*(1+'财富模型'!$E$20/12)+'Calc'!$B$6,IF(Calc!$I$72&lt;='财富模型'!$E$11*12,'Calc'!$W$13,'Calc'!$Y$13))))))),0))</x:f>
      </x:c>
      <x:c r="K72" t="str">
        <x:f>IF(Calc!$I$72&gt;'Calc'!$B$8,"",MAX(Calc!$K$71*(1+'财富模型'!$E$20/12)+'Calc'!$B$6-(IF('Calc'!$E$13=1,0,MIN(Calc!$K$71*(1+'财富模型'!$E$20/12)+'Calc'!$B$6,IF(Calc!$I$72&lt;='财富模型'!$E$11*12,'Calc'!$W$13,'Calc'!$Y$13)))),0))</x:f>
      </x:c>
      <x:c r="L72" t="str">
        <x:f>IF(Calc!$I$72&gt;'Calc'!$B$8,"",IF('Calc'!$E$13=1,'财富模型'!$E$9,'财富模型'!$M$5+IF(Calc!$I$72&lt;='财富模型'!$E$11*12,'Calc'!$W$13,'Calc'!$Y$13)-(IF('Calc'!$E$13=1,0,MIN(Calc!$K$71*(1+'财富模型'!$E$20/12)+'Calc'!$B$6,IF(Calc!$I$72&lt;='财富模型'!$E$11*12,'Calc'!$W$13,'Calc'!$Y$13))))))</x:f>
      </x:c>
      <x:c r="M72" t="str">
        <x:f>IF(Calc!$I$72&gt;'Calc'!$B$8,"",IF('Calc'!$E$13=1,0,MIN(Calc!$K$71*(1+'财富模型'!$E$20/12)+'Calc'!$B$6,IF(Calc!$I$72&lt;='财富模型'!$E$11*12,'Calc'!$W$13,'Calc'!$Y$13))))</x:f>
      </x:c>
      <x:c r="N72" t="str">
        <x:f>IF(Calc!$I$72&gt;'Calc'!$B$8,"",'Calc'!$B$5-'财富模型'!$E$5-(IF('Calc'!$E$13=1,'财富模型'!$E$9,'财富模型'!$M$5+IF(Calc!$I$72&lt;='财富模型'!$E$11*12,'Calc'!$W$13,'Calc'!$Y$13)-(IF('Calc'!$E$13=1,0,MIN(Calc!$K$71*(1+'财富模型'!$E$20/12)+'Calc'!$B$6,IF(Calc!$I$72&lt;='财富模型'!$E$11*12,'Calc'!$W$13,'Calc'!$Y$13)))))))</x:f>
      </x:c>
      <x:c r="O72" t="str">
        <x:f>IF(Calc!$I$72&gt;'Calc'!$B$8,"",IF('Calc'!$E$13=1,0,MAX(Calc!$O$71*(1+IF(Calc!$I$72&lt;='财富模型'!$E$11*12,'财富模型'!$E$10,'财富模型'!$E$12)/12)-IF('Calc'!$E$13=1,0,IF(Calc!$I$72&lt;='财富模型'!$E$11*12,'Calc'!$W$13,'Calc'!$Y$13)),0)))</x:f>
      </x:c>
      <x:c r="Q72" t="n">
        <x:v>51</x:v>
      </x:c>
      <x:c r="R72" t="str">
        <x:f>IF(Calc!$Q$72&gt;'Calc'!$B$8,"",MAX(Calc!$R$71*(1+'财富模型'!$E$6/12)+('Calc'!$B$5-'财富模型'!$E$5-(IF('Calc'!$E$14=1,'财富模型'!$E$9,'财富模型'!$M$6+IF(Calc!$Q$72&lt;='财富模型'!$E$11*12,'Calc'!$W$14,'Calc'!$Y$14)-(IF('Calc'!$E$14=1,0,MIN(Calc!$S$71*(1+'财富模型'!$E$20/12)+'Calc'!$B$6,IF(Calc!$Q$72&lt;='财富模型'!$E$11*12,'Calc'!$W$14,'Calc'!$Y$14))))))),0))</x:f>
      </x:c>
      <x:c r="S72" t="str">
        <x:f>IF(Calc!$Q$72&gt;'Calc'!$B$8,"",MAX(Calc!$S$71*(1+'财富模型'!$E$20/12)+'Calc'!$B$6-(IF('Calc'!$E$14=1,0,MIN(Calc!$S$71*(1+'财富模型'!$E$20/12)+'Calc'!$B$6,IF(Calc!$Q$72&lt;='财富模型'!$E$11*12,'Calc'!$W$14,'Calc'!$Y$14)))),0))</x:f>
      </x:c>
      <x:c r="T72" t="str">
        <x:f>IF(Calc!$Q$72&gt;'Calc'!$B$8,"",IF('Calc'!$E$14=1,'财富模型'!$E$9,'财富模型'!$M$6+IF(Calc!$Q$72&lt;='财富模型'!$E$11*12,'Calc'!$W$14,'Calc'!$Y$14)-(IF('Calc'!$E$14=1,0,MIN(Calc!$S$71*(1+'财富模型'!$E$20/12)+'Calc'!$B$6,IF(Calc!$Q$72&lt;='财富模型'!$E$11*12,'Calc'!$W$14,'Calc'!$Y$14))))))</x:f>
      </x:c>
      <x:c r="U72" t="str">
        <x:f>IF(Calc!$Q$72&gt;'Calc'!$B$8,"",IF('Calc'!$E$14=1,0,MIN(Calc!$S$71*(1+'财富模型'!$E$20/12)+'Calc'!$B$6,IF(Calc!$Q$72&lt;='财富模型'!$E$11*12,'Calc'!$W$14,'Calc'!$Y$14))))</x:f>
      </x:c>
      <x:c r="V72" t="str">
        <x:f>IF(Calc!$Q$72&gt;'Calc'!$B$8,"",'Calc'!$B$5-'财富模型'!$E$5-(IF('Calc'!$E$14=1,'财富模型'!$E$9,'财富模型'!$M$6+IF(Calc!$Q$72&lt;='财富模型'!$E$11*12,'Calc'!$W$14,'Calc'!$Y$14)-(IF('Calc'!$E$14=1,0,MIN(Calc!$S$71*(1+'财富模型'!$E$20/12)+'Calc'!$B$6,IF(Calc!$Q$72&lt;='财富模型'!$E$11*12,'Calc'!$W$14,'Calc'!$Y$14)))))))</x:f>
      </x:c>
      <x:c r="W72" t="str">
        <x:f>IF(Calc!$Q$72&gt;'Calc'!$B$8,"",IF('Calc'!$E$14=1,0,MAX(Calc!$W$71*(1+IF(Calc!$Q$72&lt;='财富模型'!$E$11*12,'财富模型'!$E$10,'财富模型'!$E$12)/12)-IF('Calc'!$E$14=1,0,IF(Calc!$Q$72&lt;='财富模型'!$E$11*12,'Calc'!$W$14,'Calc'!$Y$14)),0)))</x:f>
      </x:c>
      <x:c r="Y72" t="n">
        <x:v>51</x:v>
      </x:c>
      <x:c r="Z72" t="str">
        <x:f>IF(Calc!$Y$72&gt;'Calc'!$B$8,"",MAX(Calc!$Z$71*(1+'财富模型'!$E$6/12)+('Calc'!$B$5-'财富模型'!$E$5-(IF('Calc'!$E$15=1,'财富模型'!$E$9,'财富模型'!$M$7+IF(Calc!$Y$72&lt;='财富模型'!$E$11*12,'Calc'!$W$15,'Calc'!$Y$15)-(IF('Calc'!$E$15=1,0,MIN(Calc!$AA$71*(1+'财富模型'!$E$20/12)+'Calc'!$B$6,IF(Calc!$Y$72&lt;='财富模型'!$E$11*12,'Calc'!$W$15,'Calc'!$Y$15))))))),0))</x:f>
      </x:c>
      <x:c r="AA72" t="str">
        <x:f>IF(Calc!$Y$72&gt;'Calc'!$B$8,"",MAX(Calc!$AA$71*(1+'财富模型'!$E$20/12)+'Calc'!$B$6-(IF('Calc'!$E$15=1,0,MIN(Calc!$AA$71*(1+'财富模型'!$E$20/12)+'Calc'!$B$6,IF(Calc!$Y$72&lt;='财富模型'!$E$11*12,'Calc'!$W$15,'Calc'!$Y$15)))),0))</x:f>
      </x:c>
      <x:c r="AB72" t="str">
        <x:f>IF(Calc!$Y$72&gt;'Calc'!$B$8,"",IF('Calc'!$E$15=1,'财富模型'!$E$9,'财富模型'!$M$7+IF(Calc!$Y$72&lt;='财富模型'!$E$11*12,'Calc'!$W$15,'Calc'!$Y$15)-(IF('Calc'!$E$15=1,0,MIN(Calc!$AA$71*(1+'财富模型'!$E$20/12)+'Calc'!$B$6,IF(Calc!$Y$72&lt;='财富模型'!$E$11*12,'Calc'!$W$15,'Calc'!$Y$15))))))</x:f>
      </x:c>
      <x:c r="AC72" t="str">
        <x:f>IF(Calc!$Y$72&gt;'Calc'!$B$8,"",IF('Calc'!$E$15=1,0,MIN(Calc!$AA$71*(1+'财富模型'!$E$20/12)+'Calc'!$B$6,IF(Calc!$Y$72&lt;='财富模型'!$E$11*12,'Calc'!$W$15,'Calc'!$Y$15))))</x:f>
      </x:c>
      <x:c r="AD72" t="str">
        <x:f>IF(Calc!$Y$72&gt;'Calc'!$B$8,"",'Calc'!$B$5-'财富模型'!$E$5-(IF('Calc'!$E$15=1,'财富模型'!$E$9,'财富模型'!$M$7+IF(Calc!$Y$72&lt;='财富模型'!$E$11*12,'Calc'!$W$15,'Calc'!$Y$15)-(IF('Calc'!$E$15=1,0,MIN(Calc!$AA$71*(1+'财富模型'!$E$20/12)+'Calc'!$B$6,IF(Calc!$Y$72&lt;='财富模型'!$E$11*12,'Calc'!$W$15,'Calc'!$Y$15)))))))</x:f>
      </x:c>
      <x:c r="AE72" t="str">
        <x:f>IF(Calc!$Y$72&gt;'Calc'!$B$8,"",IF('Calc'!$E$15=1,0,MAX(Calc!$AE$71*(1+IF(Calc!$Y$72&lt;='财富模型'!$E$11*12,'财富模型'!$E$10,'财富模型'!$E$12)/12)-IF('Calc'!$E$15=1,0,IF(Calc!$Y$72&lt;='财富模型'!$E$11*12,'Calc'!$W$15,'Calc'!$Y$15)),0)))</x:f>
      </x:c>
      <x:c r="AG72" t="n">
        <x:v>51</x:v>
      </x:c>
      <x:c r="AH72" t="str">
        <x:f>IF(Calc!$AG$72&gt;'Calc'!$B$8,"",MAX(Calc!$AH$71*(1+'财富模型'!$E$6/12)+('Calc'!$B$5-'财富模型'!$E$5-(IF('Calc'!$E$16=1,'财富模型'!$E$9,'财富模型'!$M$8+IF(Calc!$AG$72&lt;='财富模型'!$E$11*12,'Calc'!$W$16,'Calc'!$Y$16)-(IF('Calc'!$E$16=1,0,MIN(Calc!$AI$71*(1+'财富模型'!$E$20/12)+'Calc'!$B$6,IF(Calc!$AG$72&lt;='财富模型'!$E$11*12,'Calc'!$W$16,'Calc'!$Y$16))))))),0))</x:f>
      </x:c>
      <x:c r="AI72" t="str">
        <x:f>IF(Calc!$AG$72&gt;'Calc'!$B$8,"",MAX(Calc!$AI$71*(1+'财富模型'!$E$20/12)+'Calc'!$B$6-(IF('Calc'!$E$16=1,0,MIN(Calc!$AI$71*(1+'财富模型'!$E$20/12)+'Calc'!$B$6,IF(Calc!$AG$72&lt;='财富模型'!$E$11*12,'Calc'!$W$16,'Calc'!$Y$16)))),0))</x:f>
      </x:c>
      <x:c r="AJ72" t="str">
        <x:f>IF(Calc!$AG$72&gt;'Calc'!$B$8,"",IF('Calc'!$E$16=1,'财富模型'!$E$9,'财富模型'!$M$8+IF(Calc!$AG$72&lt;='财富模型'!$E$11*12,'Calc'!$W$16,'Calc'!$Y$16)-(IF('Calc'!$E$16=1,0,MIN(Calc!$AI$71*(1+'财富模型'!$E$20/12)+'Calc'!$B$6,IF(Calc!$AG$72&lt;='财富模型'!$E$11*12,'Calc'!$W$16,'Calc'!$Y$16))))))</x:f>
      </x:c>
      <x:c r="AK72" t="str">
        <x:f>IF(Calc!$AG$72&gt;'Calc'!$B$8,"",IF('Calc'!$E$16=1,0,MIN(Calc!$AI$71*(1+'财富模型'!$E$20/12)+'Calc'!$B$6,IF(Calc!$AG$72&lt;='财富模型'!$E$11*12,'Calc'!$W$16,'Calc'!$Y$16))))</x:f>
      </x:c>
      <x:c r="AL72" t="str">
        <x:f>IF(Calc!$AG$72&gt;'Calc'!$B$8,"",'Calc'!$B$5-'财富模型'!$E$5-(IF('Calc'!$E$16=1,'财富模型'!$E$9,'财富模型'!$M$8+IF(Calc!$AG$72&lt;='财富模型'!$E$11*12,'Calc'!$W$16,'Calc'!$Y$16)-(IF('Calc'!$E$16=1,0,MIN(Calc!$AI$71*(1+'财富模型'!$E$20/12)+'Calc'!$B$6,IF(Calc!$AG$72&lt;='财富模型'!$E$11*12,'Calc'!$W$16,'Calc'!$Y$16)))))))</x:f>
      </x:c>
      <x:c r="AM72" t="str">
        <x:f>IF(Calc!$AG$72&gt;'Calc'!$B$8,"",IF('Calc'!$E$16=1,0,MAX(Calc!$AM$71*(1+IF(Calc!$AG$72&lt;='财富模型'!$E$11*12,'财富模型'!$E$10,'财富模型'!$E$12)/12)-IF('Calc'!$E$16=1,0,IF(Calc!$AG$72&lt;='财富模型'!$E$11*12,'Calc'!$W$16,'Calc'!$Y$16)),0)))</x:f>
      </x:c>
      <x:c r="AO72" t="n">
        <x:v>51</x:v>
      </x:c>
      <x:c r="AP72" t="str">
        <x:f>IF(Calc!$AO$72&gt;'Calc'!$B$8,"",MAX(Calc!$AP$71*(1+'财富模型'!$E$6/12)+('Calc'!$B$5-'财富模型'!$E$5-(IF('Calc'!$E$17=1,'财富模型'!$E$9,'财富模型'!$M$9+IF(Calc!$AO$72&lt;='财富模型'!$E$11*12,'Calc'!$W$17,'Calc'!$Y$17)-(IF('Calc'!$E$17=1,0,MIN(Calc!$AQ$71*(1+'财富模型'!$E$20/12)+'Calc'!$B$6,IF(Calc!$AO$72&lt;='财富模型'!$E$11*12,'Calc'!$W$17,'Calc'!$Y$17))))))),0))</x:f>
      </x:c>
      <x:c r="AQ72" t="str">
        <x:f>IF(Calc!$AO$72&gt;'Calc'!$B$8,"",MAX(Calc!$AQ$71*(1+'财富模型'!$E$20/12)+'Calc'!$B$6-(IF('Calc'!$E$17=1,0,MIN(Calc!$AQ$71*(1+'财富模型'!$E$20/12)+'Calc'!$B$6,IF(Calc!$AO$72&lt;='财富模型'!$E$11*12,'Calc'!$W$17,'Calc'!$Y$17)))),0))</x:f>
      </x:c>
      <x:c r="AR72" t="str">
        <x:f>IF(Calc!$AO$72&gt;'Calc'!$B$8,"",IF('Calc'!$E$17=1,'财富模型'!$E$9,'财富模型'!$M$9+IF(Calc!$AO$72&lt;='财富模型'!$E$11*12,'Calc'!$W$17,'Calc'!$Y$17)-(IF('Calc'!$E$17=1,0,MIN(Calc!$AQ$71*(1+'财富模型'!$E$20/12)+'Calc'!$B$6,IF(Calc!$AO$72&lt;='财富模型'!$E$11*12,'Calc'!$W$17,'Calc'!$Y$17))))))</x:f>
      </x:c>
      <x:c r="AS72" t="str">
        <x:f>IF(Calc!$AO$72&gt;'Calc'!$B$8,"",IF('Calc'!$E$17=1,0,MIN(Calc!$AQ$71*(1+'财富模型'!$E$20/12)+'Calc'!$B$6,IF(Calc!$AO$72&lt;='财富模型'!$E$11*12,'Calc'!$W$17,'Calc'!$Y$17))))</x:f>
      </x:c>
      <x:c r="AT72" t="str">
        <x:f>IF(Calc!$AO$72&gt;'Calc'!$B$8,"",'Calc'!$B$5-'财富模型'!$E$5-(IF('Calc'!$E$17=1,'财富模型'!$E$9,'财富模型'!$M$9+IF(Calc!$AO$72&lt;='财富模型'!$E$11*12,'Calc'!$W$17,'Calc'!$Y$17)-(IF('Calc'!$E$17=1,0,MIN(Calc!$AQ$71*(1+'财富模型'!$E$20/12)+'Calc'!$B$6,IF(Calc!$AO$72&lt;='财富模型'!$E$11*12,'Calc'!$W$17,'Calc'!$Y$17)))))))</x:f>
      </x:c>
      <x:c r="AU72" t="str">
        <x:f>IF(Calc!$AO$72&gt;'Calc'!$B$8,"",IF('Calc'!$E$17=1,0,MAX(Calc!$AU$71*(1+IF(Calc!$AO$72&lt;='财富模型'!$E$11*12,'财富模型'!$E$10,'财富模型'!$E$12)/12)-IF('Calc'!$E$17=1,0,IF(Calc!$AO$72&lt;='财富模型'!$E$11*12,'Calc'!$W$17,'Calc'!$Y$17)),0)))</x:f>
      </x:c>
    </x:row>
    <x:row r="73">
      <x:c r="A73" t="n">
        <x:v>52</x:v>
      </x:c>
      <x:c r="B73" t="str">
        <x:f>IF(Calc!$A$73&gt;'Calc'!$B$8,"",MAX(Calc!$B$72*(1+'财富模型'!$E$6/12)+('Calc'!$B$5-'财富模型'!$E$5-(IF('Calc'!$E$12=1,'财富模型'!$E$9,'财富模型'!$M$4+IF(Calc!$A$73&lt;='财富模型'!$E$11*12,'Calc'!$W$12,'Calc'!$Y$12)-(IF('Calc'!$E$12=1,0,MIN(Calc!$C$72*(1+'财富模型'!$E$20/12)+'Calc'!$B$6,IF(Calc!$A$73&lt;='财富模型'!$E$11*12,'Calc'!$W$12,'Calc'!$Y$12))))))),0))</x:f>
      </x:c>
      <x:c r="C73" t="str">
        <x:f>IF(Calc!$A$73&gt;'Calc'!$B$8,"",MAX(Calc!$C$72*(1+'财富模型'!$E$20/12)+'Calc'!$B$6-(IF('Calc'!$E$12=1,0,MIN(Calc!$C$72*(1+'财富模型'!$E$20/12)+'Calc'!$B$6,IF(Calc!$A$73&lt;='财富模型'!$E$11*12,'Calc'!$W$12,'Calc'!$Y$12)))),0))</x:f>
      </x:c>
      <x:c r="D73" t="str">
        <x:f>IF(Calc!$A$73&gt;'Calc'!$B$8,"",IF('Calc'!$E$12=1,'财富模型'!$E$9,'财富模型'!$M$4+IF(Calc!$A$73&lt;='财富模型'!$E$11*12,'Calc'!$W$12,'Calc'!$Y$12)-(IF('Calc'!$E$12=1,0,MIN(Calc!$C$72*(1+'财富模型'!$E$20/12)+'Calc'!$B$6,IF(Calc!$A$73&lt;='财富模型'!$E$11*12,'Calc'!$W$12,'Calc'!$Y$12))))))</x:f>
      </x:c>
      <x:c r="E73" t="str">
        <x:f>IF(Calc!$A$73&gt;'Calc'!$B$8,"",IF('Calc'!$E$12=1,0,MIN(Calc!$C$72*(1+'财富模型'!$E$20/12)+'Calc'!$B$6,IF(Calc!$A$73&lt;='财富模型'!$E$11*12,'Calc'!$W$12,'Calc'!$Y$12))))</x:f>
      </x:c>
      <x:c r="F73" t="str">
        <x:f>IF(Calc!$A$73&gt;'Calc'!$B$8,"",'Calc'!$B$5-'财富模型'!$E$5-(IF('Calc'!$E$12=1,'财富模型'!$E$9,'财富模型'!$M$4+IF(Calc!$A$73&lt;='财富模型'!$E$11*12,'Calc'!$W$12,'Calc'!$Y$12)-(IF('Calc'!$E$12=1,0,MIN(Calc!$C$72*(1+'财富模型'!$E$20/12)+'Calc'!$B$6,IF(Calc!$A$73&lt;='财富模型'!$E$11*12,'Calc'!$W$12,'Calc'!$Y$12)))))))</x:f>
      </x:c>
      <x:c r="G73" t="str">
        <x:f>IF(Calc!$A$73&gt;'Calc'!$B$8,"",IF('Calc'!$E$12=1,0,MAX(Calc!$G$72*(1+IF(Calc!$A$73&lt;='财富模型'!$E$11*12,'财富模型'!$E$10,'财富模型'!$E$12)/12)-IF('Calc'!$E$12=1,0,IF(Calc!$A$73&lt;='财富模型'!$E$11*12,'Calc'!$W$12,'Calc'!$Y$12)),0)))</x:f>
      </x:c>
      <x:c r="I73" t="n">
        <x:v>52</x:v>
      </x:c>
      <x:c r="J73" t="str">
        <x:f>IF(Calc!$I$73&gt;'Calc'!$B$8,"",MAX(Calc!$J$72*(1+'财富模型'!$E$6/12)+('Calc'!$B$5-'财富模型'!$E$5-(IF('Calc'!$E$13=1,'财富模型'!$E$9,'财富模型'!$M$5+IF(Calc!$I$73&lt;='财富模型'!$E$11*12,'Calc'!$W$13,'Calc'!$Y$13)-(IF('Calc'!$E$13=1,0,MIN(Calc!$K$72*(1+'财富模型'!$E$20/12)+'Calc'!$B$6,IF(Calc!$I$73&lt;='财富模型'!$E$11*12,'Calc'!$W$13,'Calc'!$Y$13))))))),0))</x:f>
      </x:c>
      <x:c r="K73" t="str">
        <x:f>IF(Calc!$I$73&gt;'Calc'!$B$8,"",MAX(Calc!$K$72*(1+'财富模型'!$E$20/12)+'Calc'!$B$6-(IF('Calc'!$E$13=1,0,MIN(Calc!$K$72*(1+'财富模型'!$E$20/12)+'Calc'!$B$6,IF(Calc!$I$73&lt;='财富模型'!$E$11*12,'Calc'!$W$13,'Calc'!$Y$13)))),0))</x:f>
      </x:c>
      <x:c r="L73" t="str">
        <x:f>IF(Calc!$I$73&gt;'Calc'!$B$8,"",IF('Calc'!$E$13=1,'财富模型'!$E$9,'财富模型'!$M$5+IF(Calc!$I$73&lt;='财富模型'!$E$11*12,'Calc'!$W$13,'Calc'!$Y$13)-(IF('Calc'!$E$13=1,0,MIN(Calc!$K$72*(1+'财富模型'!$E$20/12)+'Calc'!$B$6,IF(Calc!$I$73&lt;='财富模型'!$E$11*12,'Calc'!$W$13,'Calc'!$Y$13))))))</x:f>
      </x:c>
      <x:c r="M73" t="str">
        <x:f>IF(Calc!$I$73&gt;'Calc'!$B$8,"",IF('Calc'!$E$13=1,0,MIN(Calc!$K$72*(1+'财富模型'!$E$20/12)+'Calc'!$B$6,IF(Calc!$I$73&lt;='财富模型'!$E$11*12,'Calc'!$W$13,'Calc'!$Y$13))))</x:f>
      </x:c>
      <x:c r="N73" t="str">
        <x:f>IF(Calc!$I$73&gt;'Calc'!$B$8,"",'Calc'!$B$5-'财富模型'!$E$5-(IF('Calc'!$E$13=1,'财富模型'!$E$9,'财富模型'!$M$5+IF(Calc!$I$73&lt;='财富模型'!$E$11*12,'Calc'!$W$13,'Calc'!$Y$13)-(IF('Calc'!$E$13=1,0,MIN(Calc!$K$72*(1+'财富模型'!$E$20/12)+'Calc'!$B$6,IF(Calc!$I$73&lt;='财富模型'!$E$11*12,'Calc'!$W$13,'Calc'!$Y$13)))))))</x:f>
      </x:c>
      <x:c r="O73" t="str">
        <x:f>IF(Calc!$I$73&gt;'Calc'!$B$8,"",IF('Calc'!$E$13=1,0,MAX(Calc!$O$72*(1+IF(Calc!$I$73&lt;='财富模型'!$E$11*12,'财富模型'!$E$10,'财富模型'!$E$12)/12)-IF('Calc'!$E$13=1,0,IF(Calc!$I$73&lt;='财富模型'!$E$11*12,'Calc'!$W$13,'Calc'!$Y$13)),0)))</x:f>
      </x:c>
      <x:c r="Q73" t="n">
        <x:v>52</x:v>
      </x:c>
      <x:c r="R73" t="str">
        <x:f>IF(Calc!$Q$73&gt;'Calc'!$B$8,"",MAX(Calc!$R$72*(1+'财富模型'!$E$6/12)+('Calc'!$B$5-'财富模型'!$E$5-(IF('Calc'!$E$14=1,'财富模型'!$E$9,'财富模型'!$M$6+IF(Calc!$Q$73&lt;='财富模型'!$E$11*12,'Calc'!$W$14,'Calc'!$Y$14)-(IF('Calc'!$E$14=1,0,MIN(Calc!$S$72*(1+'财富模型'!$E$20/12)+'Calc'!$B$6,IF(Calc!$Q$73&lt;='财富模型'!$E$11*12,'Calc'!$W$14,'Calc'!$Y$14))))))),0))</x:f>
      </x:c>
      <x:c r="S73" t="str">
        <x:f>IF(Calc!$Q$73&gt;'Calc'!$B$8,"",MAX(Calc!$S$72*(1+'财富模型'!$E$20/12)+'Calc'!$B$6-(IF('Calc'!$E$14=1,0,MIN(Calc!$S$72*(1+'财富模型'!$E$20/12)+'Calc'!$B$6,IF(Calc!$Q$73&lt;='财富模型'!$E$11*12,'Calc'!$W$14,'Calc'!$Y$14)))),0))</x:f>
      </x:c>
      <x:c r="T73" t="str">
        <x:f>IF(Calc!$Q$73&gt;'Calc'!$B$8,"",IF('Calc'!$E$14=1,'财富模型'!$E$9,'财富模型'!$M$6+IF(Calc!$Q$73&lt;='财富模型'!$E$11*12,'Calc'!$W$14,'Calc'!$Y$14)-(IF('Calc'!$E$14=1,0,MIN(Calc!$S$72*(1+'财富模型'!$E$20/12)+'Calc'!$B$6,IF(Calc!$Q$73&lt;='财富模型'!$E$11*12,'Calc'!$W$14,'Calc'!$Y$14))))))</x:f>
      </x:c>
      <x:c r="U73" t="str">
        <x:f>IF(Calc!$Q$73&gt;'Calc'!$B$8,"",IF('Calc'!$E$14=1,0,MIN(Calc!$S$72*(1+'财富模型'!$E$20/12)+'Calc'!$B$6,IF(Calc!$Q$73&lt;='财富模型'!$E$11*12,'Calc'!$W$14,'Calc'!$Y$14))))</x:f>
      </x:c>
      <x:c r="V73" t="str">
        <x:f>IF(Calc!$Q$73&gt;'Calc'!$B$8,"",'Calc'!$B$5-'财富模型'!$E$5-(IF('Calc'!$E$14=1,'财富模型'!$E$9,'财富模型'!$M$6+IF(Calc!$Q$73&lt;='财富模型'!$E$11*12,'Calc'!$W$14,'Calc'!$Y$14)-(IF('Calc'!$E$14=1,0,MIN(Calc!$S$72*(1+'财富模型'!$E$20/12)+'Calc'!$B$6,IF(Calc!$Q$73&lt;='财富模型'!$E$11*12,'Calc'!$W$14,'Calc'!$Y$14)))))))</x:f>
      </x:c>
      <x:c r="W73" t="str">
        <x:f>IF(Calc!$Q$73&gt;'Calc'!$B$8,"",IF('Calc'!$E$14=1,0,MAX(Calc!$W$72*(1+IF(Calc!$Q$73&lt;='财富模型'!$E$11*12,'财富模型'!$E$10,'财富模型'!$E$12)/12)-IF('Calc'!$E$14=1,0,IF(Calc!$Q$73&lt;='财富模型'!$E$11*12,'Calc'!$W$14,'Calc'!$Y$14)),0)))</x:f>
      </x:c>
      <x:c r="Y73" t="n">
        <x:v>52</x:v>
      </x:c>
      <x:c r="Z73" t="str">
        <x:f>IF(Calc!$Y$73&gt;'Calc'!$B$8,"",MAX(Calc!$Z$72*(1+'财富模型'!$E$6/12)+('Calc'!$B$5-'财富模型'!$E$5-(IF('Calc'!$E$15=1,'财富模型'!$E$9,'财富模型'!$M$7+IF(Calc!$Y$73&lt;='财富模型'!$E$11*12,'Calc'!$W$15,'Calc'!$Y$15)-(IF('Calc'!$E$15=1,0,MIN(Calc!$AA$72*(1+'财富模型'!$E$20/12)+'Calc'!$B$6,IF(Calc!$Y$73&lt;='财富模型'!$E$11*12,'Calc'!$W$15,'Calc'!$Y$15))))))),0))</x:f>
      </x:c>
      <x:c r="AA73" t="str">
        <x:f>IF(Calc!$Y$73&gt;'Calc'!$B$8,"",MAX(Calc!$AA$72*(1+'财富模型'!$E$20/12)+'Calc'!$B$6-(IF('Calc'!$E$15=1,0,MIN(Calc!$AA$72*(1+'财富模型'!$E$20/12)+'Calc'!$B$6,IF(Calc!$Y$73&lt;='财富模型'!$E$11*12,'Calc'!$W$15,'Calc'!$Y$15)))),0))</x:f>
      </x:c>
      <x:c r="AB73" t="str">
        <x:f>IF(Calc!$Y$73&gt;'Calc'!$B$8,"",IF('Calc'!$E$15=1,'财富模型'!$E$9,'财富模型'!$M$7+IF(Calc!$Y$73&lt;='财富模型'!$E$11*12,'Calc'!$W$15,'Calc'!$Y$15)-(IF('Calc'!$E$15=1,0,MIN(Calc!$AA$72*(1+'财富模型'!$E$20/12)+'Calc'!$B$6,IF(Calc!$Y$73&lt;='财富模型'!$E$11*12,'Calc'!$W$15,'Calc'!$Y$15))))))</x:f>
      </x:c>
      <x:c r="AC73" t="str">
        <x:f>IF(Calc!$Y$73&gt;'Calc'!$B$8,"",IF('Calc'!$E$15=1,0,MIN(Calc!$AA$72*(1+'财富模型'!$E$20/12)+'Calc'!$B$6,IF(Calc!$Y$73&lt;='财富模型'!$E$11*12,'Calc'!$W$15,'Calc'!$Y$15))))</x:f>
      </x:c>
      <x:c r="AD73" t="str">
        <x:f>IF(Calc!$Y$73&gt;'Calc'!$B$8,"",'Calc'!$B$5-'财富模型'!$E$5-(IF('Calc'!$E$15=1,'财富模型'!$E$9,'财富模型'!$M$7+IF(Calc!$Y$73&lt;='财富模型'!$E$11*12,'Calc'!$W$15,'Calc'!$Y$15)-(IF('Calc'!$E$15=1,0,MIN(Calc!$AA$72*(1+'财富模型'!$E$20/12)+'Calc'!$B$6,IF(Calc!$Y$73&lt;='财富模型'!$E$11*12,'Calc'!$W$15,'Calc'!$Y$15)))))))</x:f>
      </x:c>
      <x:c r="AE73" t="str">
        <x:f>IF(Calc!$Y$73&gt;'Calc'!$B$8,"",IF('Calc'!$E$15=1,0,MAX(Calc!$AE$72*(1+IF(Calc!$Y$73&lt;='财富模型'!$E$11*12,'财富模型'!$E$10,'财富模型'!$E$12)/12)-IF('Calc'!$E$15=1,0,IF(Calc!$Y$73&lt;='财富模型'!$E$11*12,'Calc'!$W$15,'Calc'!$Y$15)),0)))</x:f>
      </x:c>
      <x:c r="AG73" t="n">
        <x:v>52</x:v>
      </x:c>
      <x:c r="AH73" t="str">
        <x:f>IF(Calc!$AG$73&gt;'Calc'!$B$8,"",MAX(Calc!$AH$72*(1+'财富模型'!$E$6/12)+('Calc'!$B$5-'财富模型'!$E$5-(IF('Calc'!$E$16=1,'财富模型'!$E$9,'财富模型'!$M$8+IF(Calc!$AG$73&lt;='财富模型'!$E$11*12,'Calc'!$W$16,'Calc'!$Y$16)-(IF('Calc'!$E$16=1,0,MIN(Calc!$AI$72*(1+'财富模型'!$E$20/12)+'Calc'!$B$6,IF(Calc!$AG$73&lt;='财富模型'!$E$11*12,'Calc'!$W$16,'Calc'!$Y$16))))))),0))</x:f>
      </x:c>
      <x:c r="AI73" t="str">
        <x:f>IF(Calc!$AG$73&gt;'Calc'!$B$8,"",MAX(Calc!$AI$72*(1+'财富模型'!$E$20/12)+'Calc'!$B$6-(IF('Calc'!$E$16=1,0,MIN(Calc!$AI$72*(1+'财富模型'!$E$20/12)+'Calc'!$B$6,IF(Calc!$AG$73&lt;='财富模型'!$E$11*12,'Calc'!$W$16,'Calc'!$Y$16)))),0))</x:f>
      </x:c>
      <x:c r="AJ73" t="str">
        <x:f>IF(Calc!$AG$73&gt;'Calc'!$B$8,"",IF('Calc'!$E$16=1,'财富模型'!$E$9,'财富模型'!$M$8+IF(Calc!$AG$73&lt;='财富模型'!$E$11*12,'Calc'!$W$16,'Calc'!$Y$16)-(IF('Calc'!$E$16=1,0,MIN(Calc!$AI$72*(1+'财富模型'!$E$20/12)+'Calc'!$B$6,IF(Calc!$AG$73&lt;='财富模型'!$E$11*12,'Calc'!$W$16,'Calc'!$Y$16))))))</x:f>
      </x:c>
      <x:c r="AK73" t="str">
        <x:f>IF(Calc!$AG$73&gt;'Calc'!$B$8,"",IF('Calc'!$E$16=1,0,MIN(Calc!$AI$72*(1+'财富模型'!$E$20/12)+'Calc'!$B$6,IF(Calc!$AG$73&lt;='财富模型'!$E$11*12,'Calc'!$W$16,'Calc'!$Y$16))))</x:f>
      </x:c>
      <x:c r="AL73" t="str">
        <x:f>IF(Calc!$AG$73&gt;'Calc'!$B$8,"",'Calc'!$B$5-'财富模型'!$E$5-(IF('Calc'!$E$16=1,'财富模型'!$E$9,'财富模型'!$M$8+IF(Calc!$AG$73&lt;='财富模型'!$E$11*12,'Calc'!$W$16,'Calc'!$Y$16)-(IF('Calc'!$E$16=1,0,MIN(Calc!$AI$72*(1+'财富模型'!$E$20/12)+'Calc'!$B$6,IF(Calc!$AG$73&lt;='财富模型'!$E$11*12,'Calc'!$W$16,'Calc'!$Y$16)))))))</x:f>
      </x:c>
      <x:c r="AM73" t="str">
        <x:f>IF(Calc!$AG$73&gt;'Calc'!$B$8,"",IF('Calc'!$E$16=1,0,MAX(Calc!$AM$72*(1+IF(Calc!$AG$73&lt;='财富模型'!$E$11*12,'财富模型'!$E$10,'财富模型'!$E$12)/12)-IF('Calc'!$E$16=1,0,IF(Calc!$AG$73&lt;='财富模型'!$E$11*12,'Calc'!$W$16,'Calc'!$Y$16)),0)))</x:f>
      </x:c>
      <x:c r="AO73" t="n">
        <x:v>52</x:v>
      </x:c>
      <x:c r="AP73" t="str">
        <x:f>IF(Calc!$AO$73&gt;'Calc'!$B$8,"",MAX(Calc!$AP$72*(1+'财富模型'!$E$6/12)+('Calc'!$B$5-'财富模型'!$E$5-(IF('Calc'!$E$17=1,'财富模型'!$E$9,'财富模型'!$M$9+IF(Calc!$AO$73&lt;='财富模型'!$E$11*12,'Calc'!$W$17,'Calc'!$Y$17)-(IF('Calc'!$E$17=1,0,MIN(Calc!$AQ$72*(1+'财富模型'!$E$20/12)+'Calc'!$B$6,IF(Calc!$AO$73&lt;='财富模型'!$E$11*12,'Calc'!$W$17,'Calc'!$Y$17))))))),0))</x:f>
      </x:c>
      <x:c r="AQ73" t="str">
        <x:f>IF(Calc!$AO$73&gt;'Calc'!$B$8,"",MAX(Calc!$AQ$72*(1+'财富模型'!$E$20/12)+'Calc'!$B$6-(IF('Calc'!$E$17=1,0,MIN(Calc!$AQ$72*(1+'财富模型'!$E$20/12)+'Calc'!$B$6,IF(Calc!$AO$73&lt;='财富模型'!$E$11*12,'Calc'!$W$17,'Calc'!$Y$17)))),0))</x:f>
      </x:c>
      <x:c r="AR73" t="str">
        <x:f>IF(Calc!$AO$73&gt;'Calc'!$B$8,"",IF('Calc'!$E$17=1,'财富模型'!$E$9,'财富模型'!$M$9+IF(Calc!$AO$73&lt;='财富模型'!$E$11*12,'Calc'!$W$17,'Calc'!$Y$17)-(IF('Calc'!$E$17=1,0,MIN(Calc!$AQ$72*(1+'财富模型'!$E$20/12)+'Calc'!$B$6,IF(Calc!$AO$73&lt;='财富模型'!$E$11*12,'Calc'!$W$17,'Calc'!$Y$17))))))</x:f>
      </x:c>
      <x:c r="AS73" t="str">
        <x:f>IF(Calc!$AO$73&gt;'Calc'!$B$8,"",IF('Calc'!$E$17=1,0,MIN(Calc!$AQ$72*(1+'财富模型'!$E$20/12)+'Calc'!$B$6,IF(Calc!$AO$73&lt;='财富模型'!$E$11*12,'Calc'!$W$17,'Calc'!$Y$17))))</x:f>
      </x:c>
      <x:c r="AT73" t="str">
        <x:f>IF(Calc!$AO$73&gt;'Calc'!$B$8,"",'Calc'!$B$5-'财富模型'!$E$5-(IF('Calc'!$E$17=1,'财富模型'!$E$9,'财富模型'!$M$9+IF(Calc!$AO$73&lt;='财富模型'!$E$11*12,'Calc'!$W$17,'Calc'!$Y$17)-(IF('Calc'!$E$17=1,0,MIN(Calc!$AQ$72*(1+'财富模型'!$E$20/12)+'Calc'!$B$6,IF(Calc!$AO$73&lt;='财富模型'!$E$11*12,'Calc'!$W$17,'Calc'!$Y$17)))))))</x:f>
      </x:c>
      <x:c r="AU73" t="str">
        <x:f>IF(Calc!$AO$73&gt;'Calc'!$B$8,"",IF('Calc'!$E$17=1,0,MAX(Calc!$AU$72*(1+IF(Calc!$AO$73&lt;='财富模型'!$E$11*12,'财富模型'!$E$10,'财富模型'!$E$12)/12)-IF('Calc'!$E$17=1,0,IF(Calc!$AO$73&lt;='财富模型'!$E$11*12,'Calc'!$W$17,'Calc'!$Y$17)),0)))</x:f>
      </x:c>
    </x:row>
    <x:row r="74">
      <x:c r="A74" t="n">
        <x:v>53</x:v>
      </x:c>
      <x:c r="B74" t="str">
        <x:f>IF(Calc!$A$74&gt;'Calc'!$B$8,"",MAX(Calc!$B$73*(1+'财富模型'!$E$6/12)+('Calc'!$B$5-'财富模型'!$E$5-(IF('Calc'!$E$12=1,'财富模型'!$E$9,'财富模型'!$M$4+IF(Calc!$A$74&lt;='财富模型'!$E$11*12,'Calc'!$W$12,'Calc'!$Y$12)-(IF('Calc'!$E$12=1,0,MIN(Calc!$C$73*(1+'财富模型'!$E$20/12)+'Calc'!$B$6,IF(Calc!$A$74&lt;='财富模型'!$E$11*12,'Calc'!$W$12,'Calc'!$Y$12))))))),0))</x:f>
      </x:c>
      <x:c r="C74" t="str">
        <x:f>IF(Calc!$A$74&gt;'Calc'!$B$8,"",MAX(Calc!$C$73*(1+'财富模型'!$E$20/12)+'Calc'!$B$6-(IF('Calc'!$E$12=1,0,MIN(Calc!$C$73*(1+'财富模型'!$E$20/12)+'Calc'!$B$6,IF(Calc!$A$74&lt;='财富模型'!$E$11*12,'Calc'!$W$12,'Calc'!$Y$12)))),0))</x:f>
      </x:c>
      <x:c r="D74" t="str">
        <x:f>IF(Calc!$A$74&gt;'Calc'!$B$8,"",IF('Calc'!$E$12=1,'财富模型'!$E$9,'财富模型'!$M$4+IF(Calc!$A$74&lt;='财富模型'!$E$11*12,'Calc'!$W$12,'Calc'!$Y$12)-(IF('Calc'!$E$12=1,0,MIN(Calc!$C$73*(1+'财富模型'!$E$20/12)+'Calc'!$B$6,IF(Calc!$A$74&lt;='财富模型'!$E$11*12,'Calc'!$W$12,'Calc'!$Y$12))))))</x:f>
      </x:c>
      <x:c r="E74" t="str">
        <x:f>IF(Calc!$A$74&gt;'Calc'!$B$8,"",IF('Calc'!$E$12=1,0,MIN(Calc!$C$73*(1+'财富模型'!$E$20/12)+'Calc'!$B$6,IF(Calc!$A$74&lt;='财富模型'!$E$11*12,'Calc'!$W$12,'Calc'!$Y$12))))</x:f>
      </x:c>
      <x:c r="F74" t="str">
        <x:f>IF(Calc!$A$74&gt;'Calc'!$B$8,"",'Calc'!$B$5-'财富模型'!$E$5-(IF('Calc'!$E$12=1,'财富模型'!$E$9,'财富模型'!$M$4+IF(Calc!$A$74&lt;='财富模型'!$E$11*12,'Calc'!$W$12,'Calc'!$Y$12)-(IF('Calc'!$E$12=1,0,MIN(Calc!$C$73*(1+'财富模型'!$E$20/12)+'Calc'!$B$6,IF(Calc!$A$74&lt;='财富模型'!$E$11*12,'Calc'!$W$12,'Calc'!$Y$12)))))))</x:f>
      </x:c>
      <x:c r="G74" t="str">
        <x:f>IF(Calc!$A$74&gt;'Calc'!$B$8,"",IF('Calc'!$E$12=1,0,MAX(Calc!$G$73*(1+IF(Calc!$A$74&lt;='财富模型'!$E$11*12,'财富模型'!$E$10,'财富模型'!$E$12)/12)-IF('Calc'!$E$12=1,0,IF(Calc!$A$74&lt;='财富模型'!$E$11*12,'Calc'!$W$12,'Calc'!$Y$12)),0)))</x:f>
      </x:c>
      <x:c r="I74" t="n">
        <x:v>53</x:v>
      </x:c>
      <x:c r="J74" t="str">
        <x:f>IF(Calc!$I$74&gt;'Calc'!$B$8,"",MAX(Calc!$J$73*(1+'财富模型'!$E$6/12)+('Calc'!$B$5-'财富模型'!$E$5-(IF('Calc'!$E$13=1,'财富模型'!$E$9,'财富模型'!$M$5+IF(Calc!$I$74&lt;='财富模型'!$E$11*12,'Calc'!$W$13,'Calc'!$Y$13)-(IF('Calc'!$E$13=1,0,MIN(Calc!$K$73*(1+'财富模型'!$E$20/12)+'Calc'!$B$6,IF(Calc!$I$74&lt;='财富模型'!$E$11*12,'Calc'!$W$13,'Calc'!$Y$13))))))),0))</x:f>
      </x:c>
      <x:c r="K74" t="str">
        <x:f>IF(Calc!$I$74&gt;'Calc'!$B$8,"",MAX(Calc!$K$73*(1+'财富模型'!$E$20/12)+'Calc'!$B$6-(IF('Calc'!$E$13=1,0,MIN(Calc!$K$73*(1+'财富模型'!$E$20/12)+'Calc'!$B$6,IF(Calc!$I$74&lt;='财富模型'!$E$11*12,'Calc'!$W$13,'Calc'!$Y$13)))),0))</x:f>
      </x:c>
      <x:c r="L74" t="str">
        <x:f>IF(Calc!$I$74&gt;'Calc'!$B$8,"",IF('Calc'!$E$13=1,'财富模型'!$E$9,'财富模型'!$M$5+IF(Calc!$I$74&lt;='财富模型'!$E$11*12,'Calc'!$W$13,'Calc'!$Y$13)-(IF('Calc'!$E$13=1,0,MIN(Calc!$K$73*(1+'财富模型'!$E$20/12)+'Calc'!$B$6,IF(Calc!$I$74&lt;='财富模型'!$E$11*12,'Calc'!$W$13,'Calc'!$Y$13))))))</x:f>
      </x:c>
      <x:c r="M74" t="str">
        <x:f>IF(Calc!$I$74&gt;'Calc'!$B$8,"",IF('Calc'!$E$13=1,0,MIN(Calc!$K$73*(1+'财富模型'!$E$20/12)+'Calc'!$B$6,IF(Calc!$I$74&lt;='财富模型'!$E$11*12,'Calc'!$W$13,'Calc'!$Y$13))))</x:f>
      </x:c>
      <x:c r="N74" t="str">
        <x:f>IF(Calc!$I$74&gt;'Calc'!$B$8,"",'Calc'!$B$5-'财富模型'!$E$5-(IF('Calc'!$E$13=1,'财富模型'!$E$9,'财富模型'!$M$5+IF(Calc!$I$74&lt;='财富模型'!$E$11*12,'Calc'!$W$13,'Calc'!$Y$13)-(IF('Calc'!$E$13=1,0,MIN(Calc!$K$73*(1+'财富模型'!$E$20/12)+'Calc'!$B$6,IF(Calc!$I$74&lt;='财富模型'!$E$11*12,'Calc'!$W$13,'Calc'!$Y$13)))))))</x:f>
      </x:c>
      <x:c r="O74" t="str">
        <x:f>IF(Calc!$I$74&gt;'Calc'!$B$8,"",IF('Calc'!$E$13=1,0,MAX(Calc!$O$73*(1+IF(Calc!$I$74&lt;='财富模型'!$E$11*12,'财富模型'!$E$10,'财富模型'!$E$12)/12)-IF('Calc'!$E$13=1,0,IF(Calc!$I$74&lt;='财富模型'!$E$11*12,'Calc'!$W$13,'Calc'!$Y$13)),0)))</x:f>
      </x:c>
      <x:c r="Q74" t="n">
        <x:v>53</x:v>
      </x:c>
      <x:c r="R74" t="str">
        <x:f>IF(Calc!$Q$74&gt;'Calc'!$B$8,"",MAX(Calc!$R$73*(1+'财富模型'!$E$6/12)+('Calc'!$B$5-'财富模型'!$E$5-(IF('Calc'!$E$14=1,'财富模型'!$E$9,'财富模型'!$M$6+IF(Calc!$Q$74&lt;='财富模型'!$E$11*12,'Calc'!$W$14,'Calc'!$Y$14)-(IF('Calc'!$E$14=1,0,MIN(Calc!$S$73*(1+'财富模型'!$E$20/12)+'Calc'!$B$6,IF(Calc!$Q$74&lt;='财富模型'!$E$11*12,'Calc'!$W$14,'Calc'!$Y$14))))))),0))</x:f>
      </x:c>
      <x:c r="S74" t="str">
        <x:f>IF(Calc!$Q$74&gt;'Calc'!$B$8,"",MAX(Calc!$S$73*(1+'财富模型'!$E$20/12)+'Calc'!$B$6-(IF('Calc'!$E$14=1,0,MIN(Calc!$S$73*(1+'财富模型'!$E$20/12)+'Calc'!$B$6,IF(Calc!$Q$74&lt;='财富模型'!$E$11*12,'Calc'!$W$14,'Calc'!$Y$14)))),0))</x:f>
      </x:c>
      <x:c r="T74" t="str">
        <x:f>IF(Calc!$Q$74&gt;'Calc'!$B$8,"",IF('Calc'!$E$14=1,'财富模型'!$E$9,'财富模型'!$M$6+IF(Calc!$Q$74&lt;='财富模型'!$E$11*12,'Calc'!$W$14,'Calc'!$Y$14)-(IF('Calc'!$E$14=1,0,MIN(Calc!$S$73*(1+'财富模型'!$E$20/12)+'Calc'!$B$6,IF(Calc!$Q$74&lt;='财富模型'!$E$11*12,'Calc'!$W$14,'Calc'!$Y$14))))))</x:f>
      </x:c>
      <x:c r="U74" t="str">
        <x:f>IF(Calc!$Q$74&gt;'Calc'!$B$8,"",IF('Calc'!$E$14=1,0,MIN(Calc!$S$73*(1+'财富模型'!$E$20/12)+'Calc'!$B$6,IF(Calc!$Q$74&lt;='财富模型'!$E$11*12,'Calc'!$W$14,'Calc'!$Y$14))))</x:f>
      </x:c>
      <x:c r="V74" t="str">
        <x:f>IF(Calc!$Q$74&gt;'Calc'!$B$8,"",'Calc'!$B$5-'财富模型'!$E$5-(IF('Calc'!$E$14=1,'财富模型'!$E$9,'财富模型'!$M$6+IF(Calc!$Q$74&lt;='财富模型'!$E$11*12,'Calc'!$W$14,'Calc'!$Y$14)-(IF('Calc'!$E$14=1,0,MIN(Calc!$S$73*(1+'财富模型'!$E$20/12)+'Calc'!$B$6,IF(Calc!$Q$74&lt;='财富模型'!$E$11*12,'Calc'!$W$14,'Calc'!$Y$14)))))))</x:f>
      </x:c>
      <x:c r="W74" t="str">
        <x:f>IF(Calc!$Q$74&gt;'Calc'!$B$8,"",IF('Calc'!$E$14=1,0,MAX(Calc!$W$73*(1+IF(Calc!$Q$74&lt;='财富模型'!$E$11*12,'财富模型'!$E$10,'财富模型'!$E$12)/12)-IF('Calc'!$E$14=1,0,IF(Calc!$Q$74&lt;='财富模型'!$E$11*12,'Calc'!$W$14,'Calc'!$Y$14)),0)))</x:f>
      </x:c>
      <x:c r="Y74" t="n">
        <x:v>53</x:v>
      </x:c>
      <x:c r="Z74" t="str">
        <x:f>IF(Calc!$Y$74&gt;'Calc'!$B$8,"",MAX(Calc!$Z$73*(1+'财富模型'!$E$6/12)+('Calc'!$B$5-'财富模型'!$E$5-(IF('Calc'!$E$15=1,'财富模型'!$E$9,'财富模型'!$M$7+IF(Calc!$Y$74&lt;='财富模型'!$E$11*12,'Calc'!$W$15,'Calc'!$Y$15)-(IF('Calc'!$E$15=1,0,MIN(Calc!$AA$73*(1+'财富模型'!$E$20/12)+'Calc'!$B$6,IF(Calc!$Y$74&lt;='财富模型'!$E$11*12,'Calc'!$W$15,'Calc'!$Y$15))))))),0))</x:f>
      </x:c>
      <x:c r="AA74" t="str">
        <x:f>IF(Calc!$Y$74&gt;'Calc'!$B$8,"",MAX(Calc!$AA$73*(1+'财富模型'!$E$20/12)+'Calc'!$B$6-(IF('Calc'!$E$15=1,0,MIN(Calc!$AA$73*(1+'财富模型'!$E$20/12)+'Calc'!$B$6,IF(Calc!$Y$74&lt;='财富模型'!$E$11*12,'Calc'!$W$15,'Calc'!$Y$15)))),0))</x:f>
      </x:c>
      <x:c r="AB74" t="str">
        <x:f>IF(Calc!$Y$74&gt;'Calc'!$B$8,"",IF('Calc'!$E$15=1,'财富模型'!$E$9,'财富模型'!$M$7+IF(Calc!$Y$74&lt;='财富模型'!$E$11*12,'Calc'!$W$15,'Calc'!$Y$15)-(IF('Calc'!$E$15=1,0,MIN(Calc!$AA$73*(1+'财富模型'!$E$20/12)+'Calc'!$B$6,IF(Calc!$Y$74&lt;='财富模型'!$E$11*12,'Calc'!$W$15,'Calc'!$Y$15))))))</x:f>
      </x:c>
      <x:c r="AC74" t="str">
        <x:f>IF(Calc!$Y$74&gt;'Calc'!$B$8,"",IF('Calc'!$E$15=1,0,MIN(Calc!$AA$73*(1+'财富模型'!$E$20/12)+'Calc'!$B$6,IF(Calc!$Y$74&lt;='财富模型'!$E$11*12,'Calc'!$W$15,'Calc'!$Y$15))))</x:f>
      </x:c>
      <x:c r="AD74" t="str">
        <x:f>IF(Calc!$Y$74&gt;'Calc'!$B$8,"",'Calc'!$B$5-'财富模型'!$E$5-(IF('Calc'!$E$15=1,'财富模型'!$E$9,'财富模型'!$M$7+IF(Calc!$Y$74&lt;='财富模型'!$E$11*12,'Calc'!$W$15,'Calc'!$Y$15)-(IF('Calc'!$E$15=1,0,MIN(Calc!$AA$73*(1+'财富模型'!$E$20/12)+'Calc'!$B$6,IF(Calc!$Y$74&lt;='财富模型'!$E$11*12,'Calc'!$W$15,'Calc'!$Y$15)))))))</x:f>
      </x:c>
      <x:c r="AE74" t="str">
        <x:f>IF(Calc!$Y$74&gt;'Calc'!$B$8,"",IF('Calc'!$E$15=1,0,MAX(Calc!$AE$73*(1+IF(Calc!$Y$74&lt;='财富模型'!$E$11*12,'财富模型'!$E$10,'财富模型'!$E$12)/12)-IF('Calc'!$E$15=1,0,IF(Calc!$Y$74&lt;='财富模型'!$E$11*12,'Calc'!$W$15,'Calc'!$Y$15)),0)))</x:f>
      </x:c>
      <x:c r="AG74" t="n">
        <x:v>53</x:v>
      </x:c>
      <x:c r="AH74" t="str">
        <x:f>IF(Calc!$AG$74&gt;'Calc'!$B$8,"",MAX(Calc!$AH$73*(1+'财富模型'!$E$6/12)+('Calc'!$B$5-'财富模型'!$E$5-(IF('Calc'!$E$16=1,'财富模型'!$E$9,'财富模型'!$M$8+IF(Calc!$AG$74&lt;='财富模型'!$E$11*12,'Calc'!$W$16,'Calc'!$Y$16)-(IF('Calc'!$E$16=1,0,MIN(Calc!$AI$73*(1+'财富模型'!$E$20/12)+'Calc'!$B$6,IF(Calc!$AG$74&lt;='财富模型'!$E$11*12,'Calc'!$W$16,'Calc'!$Y$16))))))),0))</x:f>
      </x:c>
      <x:c r="AI74" t="str">
        <x:f>IF(Calc!$AG$74&gt;'Calc'!$B$8,"",MAX(Calc!$AI$73*(1+'财富模型'!$E$20/12)+'Calc'!$B$6-(IF('Calc'!$E$16=1,0,MIN(Calc!$AI$73*(1+'财富模型'!$E$20/12)+'Calc'!$B$6,IF(Calc!$AG$74&lt;='财富模型'!$E$11*12,'Calc'!$W$16,'Calc'!$Y$16)))),0))</x:f>
      </x:c>
      <x:c r="AJ74" t="str">
        <x:f>IF(Calc!$AG$74&gt;'Calc'!$B$8,"",IF('Calc'!$E$16=1,'财富模型'!$E$9,'财富模型'!$M$8+IF(Calc!$AG$74&lt;='财富模型'!$E$11*12,'Calc'!$W$16,'Calc'!$Y$16)-(IF('Calc'!$E$16=1,0,MIN(Calc!$AI$73*(1+'财富模型'!$E$20/12)+'Calc'!$B$6,IF(Calc!$AG$74&lt;='财富模型'!$E$11*12,'Calc'!$W$16,'Calc'!$Y$16))))))</x:f>
      </x:c>
      <x:c r="AK74" t="str">
        <x:f>IF(Calc!$AG$74&gt;'Calc'!$B$8,"",IF('Calc'!$E$16=1,0,MIN(Calc!$AI$73*(1+'财富模型'!$E$20/12)+'Calc'!$B$6,IF(Calc!$AG$74&lt;='财富模型'!$E$11*12,'Calc'!$W$16,'Calc'!$Y$16))))</x:f>
      </x:c>
      <x:c r="AL74" t="str">
        <x:f>IF(Calc!$AG$74&gt;'Calc'!$B$8,"",'Calc'!$B$5-'财富模型'!$E$5-(IF('Calc'!$E$16=1,'财富模型'!$E$9,'财富模型'!$M$8+IF(Calc!$AG$74&lt;='财富模型'!$E$11*12,'Calc'!$W$16,'Calc'!$Y$16)-(IF('Calc'!$E$16=1,0,MIN(Calc!$AI$73*(1+'财富模型'!$E$20/12)+'Calc'!$B$6,IF(Calc!$AG$74&lt;='财富模型'!$E$11*12,'Calc'!$W$16,'Calc'!$Y$16)))))))</x:f>
      </x:c>
      <x:c r="AM74" t="str">
        <x:f>IF(Calc!$AG$74&gt;'Calc'!$B$8,"",IF('Calc'!$E$16=1,0,MAX(Calc!$AM$73*(1+IF(Calc!$AG$74&lt;='财富模型'!$E$11*12,'财富模型'!$E$10,'财富模型'!$E$12)/12)-IF('Calc'!$E$16=1,0,IF(Calc!$AG$74&lt;='财富模型'!$E$11*12,'Calc'!$W$16,'Calc'!$Y$16)),0)))</x:f>
      </x:c>
      <x:c r="AO74" t="n">
        <x:v>53</x:v>
      </x:c>
      <x:c r="AP74" t="str">
        <x:f>IF(Calc!$AO$74&gt;'Calc'!$B$8,"",MAX(Calc!$AP$73*(1+'财富模型'!$E$6/12)+('Calc'!$B$5-'财富模型'!$E$5-(IF('Calc'!$E$17=1,'财富模型'!$E$9,'财富模型'!$M$9+IF(Calc!$AO$74&lt;='财富模型'!$E$11*12,'Calc'!$W$17,'Calc'!$Y$17)-(IF('Calc'!$E$17=1,0,MIN(Calc!$AQ$73*(1+'财富模型'!$E$20/12)+'Calc'!$B$6,IF(Calc!$AO$74&lt;='财富模型'!$E$11*12,'Calc'!$W$17,'Calc'!$Y$17))))))),0))</x:f>
      </x:c>
      <x:c r="AQ74" t="str">
        <x:f>IF(Calc!$AO$74&gt;'Calc'!$B$8,"",MAX(Calc!$AQ$73*(1+'财富模型'!$E$20/12)+'Calc'!$B$6-(IF('Calc'!$E$17=1,0,MIN(Calc!$AQ$73*(1+'财富模型'!$E$20/12)+'Calc'!$B$6,IF(Calc!$AO$74&lt;='财富模型'!$E$11*12,'Calc'!$W$17,'Calc'!$Y$17)))),0))</x:f>
      </x:c>
      <x:c r="AR74" t="str">
        <x:f>IF(Calc!$AO$74&gt;'Calc'!$B$8,"",IF('Calc'!$E$17=1,'财富模型'!$E$9,'财富模型'!$M$9+IF(Calc!$AO$74&lt;='财富模型'!$E$11*12,'Calc'!$W$17,'Calc'!$Y$17)-(IF('Calc'!$E$17=1,0,MIN(Calc!$AQ$73*(1+'财富模型'!$E$20/12)+'Calc'!$B$6,IF(Calc!$AO$74&lt;='财富模型'!$E$11*12,'Calc'!$W$17,'Calc'!$Y$17))))))</x:f>
      </x:c>
      <x:c r="AS74" t="str">
        <x:f>IF(Calc!$AO$74&gt;'Calc'!$B$8,"",IF('Calc'!$E$17=1,0,MIN(Calc!$AQ$73*(1+'财富模型'!$E$20/12)+'Calc'!$B$6,IF(Calc!$AO$74&lt;='财富模型'!$E$11*12,'Calc'!$W$17,'Calc'!$Y$17))))</x:f>
      </x:c>
      <x:c r="AT74" t="str">
        <x:f>IF(Calc!$AO$74&gt;'Calc'!$B$8,"",'Calc'!$B$5-'财富模型'!$E$5-(IF('Calc'!$E$17=1,'财富模型'!$E$9,'财富模型'!$M$9+IF(Calc!$AO$74&lt;='财富模型'!$E$11*12,'Calc'!$W$17,'Calc'!$Y$17)-(IF('Calc'!$E$17=1,0,MIN(Calc!$AQ$73*(1+'财富模型'!$E$20/12)+'Calc'!$B$6,IF(Calc!$AO$74&lt;='财富模型'!$E$11*12,'Calc'!$W$17,'Calc'!$Y$17)))))))</x:f>
      </x:c>
      <x:c r="AU74" t="str">
        <x:f>IF(Calc!$AO$74&gt;'Calc'!$B$8,"",IF('Calc'!$E$17=1,0,MAX(Calc!$AU$73*(1+IF(Calc!$AO$74&lt;='财富模型'!$E$11*12,'财富模型'!$E$10,'财富模型'!$E$12)/12)-IF('Calc'!$E$17=1,0,IF(Calc!$AO$74&lt;='财富模型'!$E$11*12,'Calc'!$W$17,'Calc'!$Y$17)),0)))</x:f>
      </x:c>
    </x:row>
    <x:row r="75">
      <x:c r="A75" t="n">
        <x:v>54</x:v>
      </x:c>
      <x:c r="B75" t="str">
        <x:f>IF(Calc!$A$75&gt;'Calc'!$B$8,"",MAX(Calc!$B$74*(1+'财富模型'!$E$6/12)+('Calc'!$B$5-'财富模型'!$E$5-(IF('Calc'!$E$12=1,'财富模型'!$E$9,'财富模型'!$M$4+IF(Calc!$A$75&lt;='财富模型'!$E$11*12,'Calc'!$W$12,'Calc'!$Y$12)-(IF('Calc'!$E$12=1,0,MIN(Calc!$C$74*(1+'财富模型'!$E$20/12)+'Calc'!$B$6,IF(Calc!$A$75&lt;='财富模型'!$E$11*12,'Calc'!$W$12,'Calc'!$Y$12))))))),0))</x:f>
      </x:c>
      <x:c r="C75" t="str">
        <x:f>IF(Calc!$A$75&gt;'Calc'!$B$8,"",MAX(Calc!$C$74*(1+'财富模型'!$E$20/12)+'Calc'!$B$6-(IF('Calc'!$E$12=1,0,MIN(Calc!$C$74*(1+'财富模型'!$E$20/12)+'Calc'!$B$6,IF(Calc!$A$75&lt;='财富模型'!$E$11*12,'Calc'!$W$12,'Calc'!$Y$12)))),0))</x:f>
      </x:c>
      <x:c r="D75" t="str">
        <x:f>IF(Calc!$A$75&gt;'Calc'!$B$8,"",IF('Calc'!$E$12=1,'财富模型'!$E$9,'财富模型'!$M$4+IF(Calc!$A$75&lt;='财富模型'!$E$11*12,'Calc'!$W$12,'Calc'!$Y$12)-(IF('Calc'!$E$12=1,0,MIN(Calc!$C$74*(1+'财富模型'!$E$20/12)+'Calc'!$B$6,IF(Calc!$A$75&lt;='财富模型'!$E$11*12,'Calc'!$W$12,'Calc'!$Y$12))))))</x:f>
      </x:c>
      <x:c r="E75" t="str">
        <x:f>IF(Calc!$A$75&gt;'Calc'!$B$8,"",IF('Calc'!$E$12=1,0,MIN(Calc!$C$74*(1+'财富模型'!$E$20/12)+'Calc'!$B$6,IF(Calc!$A$75&lt;='财富模型'!$E$11*12,'Calc'!$W$12,'Calc'!$Y$12))))</x:f>
      </x:c>
      <x:c r="F75" t="str">
        <x:f>IF(Calc!$A$75&gt;'Calc'!$B$8,"",'Calc'!$B$5-'财富模型'!$E$5-(IF('Calc'!$E$12=1,'财富模型'!$E$9,'财富模型'!$M$4+IF(Calc!$A$75&lt;='财富模型'!$E$11*12,'Calc'!$W$12,'Calc'!$Y$12)-(IF('Calc'!$E$12=1,0,MIN(Calc!$C$74*(1+'财富模型'!$E$20/12)+'Calc'!$B$6,IF(Calc!$A$75&lt;='财富模型'!$E$11*12,'Calc'!$W$12,'Calc'!$Y$12)))))))</x:f>
      </x:c>
      <x:c r="G75" t="str">
        <x:f>IF(Calc!$A$75&gt;'Calc'!$B$8,"",IF('Calc'!$E$12=1,0,MAX(Calc!$G$74*(1+IF(Calc!$A$75&lt;='财富模型'!$E$11*12,'财富模型'!$E$10,'财富模型'!$E$12)/12)-IF('Calc'!$E$12=1,0,IF(Calc!$A$75&lt;='财富模型'!$E$11*12,'Calc'!$W$12,'Calc'!$Y$12)),0)))</x:f>
      </x:c>
      <x:c r="I75" t="n">
        <x:v>54</x:v>
      </x:c>
      <x:c r="J75" t="str">
        <x:f>IF(Calc!$I$75&gt;'Calc'!$B$8,"",MAX(Calc!$J$74*(1+'财富模型'!$E$6/12)+('Calc'!$B$5-'财富模型'!$E$5-(IF('Calc'!$E$13=1,'财富模型'!$E$9,'财富模型'!$M$5+IF(Calc!$I$75&lt;='财富模型'!$E$11*12,'Calc'!$W$13,'Calc'!$Y$13)-(IF('Calc'!$E$13=1,0,MIN(Calc!$K$74*(1+'财富模型'!$E$20/12)+'Calc'!$B$6,IF(Calc!$I$75&lt;='财富模型'!$E$11*12,'Calc'!$W$13,'Calc'!$Y$13))))))),0))</x:f>
      </x:c>
      <x:c r="K75" t="str">
        <x:f>IF(Calc!$I$75&gt;'Calc'!$B$8,"",MAX(Calc!$K$74*(1+'财富模型'!$E$20/12)+'Calc'!$B$6-(IF('Calc'!$E$13=1,0,MIN(Calc!$K$74*(1+'财富模型'!$E$20/12)+'Calc'!$B$6,IF(Calc!$I$75&lt;='财富模型'!$E$11*12,'Calc'!$W$13,'Calc'!$Y$13)))),0))</x:f>
      </x:c>
      <x:c r="L75" t="str">
        <x:f>IF(Calc!$I$75&gt;'Calc'!$B$8,"",IF('Calc'!$E$13=1,'财富模型'!$E$9,'财富模型'!$M$5+IF(Calc!$I$75&lt;='财富模型'!$E$11*12,'Calc'!$W$13,'Calc'!$Y$13)-(IF('Calc'!$E$13=1,0,MIN(Calc!$K$74*(1+'财富模型'!$E$20/12)+'Calc'!$B$6,IF(Calc!$I$75&lt;='财富模型'!$E$11*12,'Calc'!$W$13,'Calc'!$Y$13))))))</x:f>
      </x:c>
      <x:c r="M75" t="str">
        <x:f>IF(Calc!$I$75&gt;'Calc'!$B$8,"",IF('Calc'!$E$13=1,0,MIN(Calc!$K$74*(1+'财富模型'!$E$20/12)+'Calc'!$B$6,IF(Calc!$I$75&lt;='财富模型'!$E$11*12,'Calc'!$W$13,'Calc'!$Y$13))))</x:f>
      </x:c>
      <x:c r="N75" t="str">
        <x:f>IF(Calc!$I$75&gt;'Calc'!$B$8,"",'Calc'!$B$5-'财富模型'!$E$5-(IF('Calc'!$E$13=1,'财富模型'!$E$9,'财富模型'!$M$5+IF(Calc!$I$75&lt;='财富模型'!$E$11*12,'Calc'!$W$13,'Calc'!$Y$13)-(IF('Calc'!$E$13=1,0,MIN(Calc!$K$74*(1+'财富模型'!$E$20/12)+'Calc'!$B$6,IF(Calc!$I$75&lt;='财富模型'!$E$11*12,'Calc'!$W$13,'Calc'!$Y$13)))))))</x:f>
      </x:c>
      <x:c r="O75" t="str">
        <x:f>IF(Calc!$I$75&gt;'Calc'!$B$8,"",IF('Calc'!$E$13=1,0,MAX(Calc!$O$74*(1+IF(Calc!$I$75&lt;='财富模型'!$E$11*12,'财富模型'!$E$10,'财富模型'!$E$12)/12)-IF('Calc'!$E$13=1,0,IF(Calc!$I$75&lt;='财富模型'!$E$11*12,'Calc'!$W$13,'Calc'!$Y$13)),0)))</x:f>
      </x:c>
      <x:c r="Q75" t="n">
        <x:v>54</x:v>
      </x:c>
      <x:c r="R75" t="str">
        <x:f>IF(Calc!$Q$75&gt;'Calc'!$B$8,"",MAX(Calc!$R$74*(1+'财富模型'!$E$6/12)+('Calc'!$B$5-'财富模型'!$E$5-(IF('Calc'!$E$14=1,'财富模型'!$E$9,'财富模型'!$M$6+IF(Calc!$Q$75&lt;='财富模型'!$E$11*12,'Calc'!$W$14,'Calc'!$Y$14)-(IF('Calc'!$E$14=1,0,MIN(Calc!$S$74*(1+'财富模型'!$E$20/12)+'Calc'!$B$6,IF(Calc!$Q$75&lt;='财富模型'!$E$11*12,'Calc'!$W$14,'Calc'!$Y$14))))))),0))</x:f>
      </x:c>
      <x:c r="S75" t="str">
        <x:f>IF(Calc!$Q$75&gt;'Calc'!$B$8,"",MAX(Calc!$S$74*(1+'财富模型'!$E$20/12)+'Calc'!$B$6-(IF('Calc'!$E$14=1,0,MIN(Calc!$S$74*(1+'财富模型'!$E$20/12)+'Calc'!$B$6,IF(Calc!$Q$75&lt;='财富模型'!$E$11*12,'Calc'!$W$14,'Calc'!$Y$14)))),0))</x:f>
      </x:c>
      <x:c r="T75" t="str">
        <x:f>IF(Calc!$Q$75&gt;'Calc'!$B$8,"",IF('Calc'!$E$14=1,'财富模型'!$E$9,'财富模型'!$M$6+IF(Calc!$Q$75&lt;='财富模型'!$E$11*12,'Calc'!$W$14,'Calc'!$Y$14)-(IF('Calc'!$E$14=1,0,MIN(Calc!$S$74*(1+'财富模型'!$E$20/12)+'Calc'!$B$6,IF(Calc!$Q$75&lt;='财富模型'!$E$11*12,'Calc'!$W$14,'Calc'!$Y$14))))))</x:f>
      </x:c>
      <x:c r="U75" t="str">
        <x:f>IF(Calc!$Q$75&gt;'Calc'!$B$8,"",IF('Calc'!$E$14=1,0,MIN(Calc!$S$74*(1+'财富模型'!$E$20/12)+'Calc'!$B$6,IF(Calc!$Q$75&lt;='财富模型'!$E$11*12,'Calc'!$W$14,'Calc'!$Y$14))))</x:f>
      </x:c>
      <x:c r="V75" t="str">
        <x:f>IF(Calc!$Q$75&gt;'Calc'!$B$8,"",'Calc'!$B$5-'财富模型'!$E$5-(IF('Calc'!$E$14=1,'财富模型'!$E$9,'财富模型'!$M$6+IF(Calc!$Q$75&lt;='财富模型'!$E$11*12,'Calc'!$W$14,'Calc'!$Y$14)-(IF('Calc'!$E$14=1,0,MIN(Calc!$S$74*(1+'财富模型'!$E$20/12)+'Calc'!$B$6,IF(Calc!$Q$75&lt;='财富模型'!$E$11*12,'Calc'!$W$14,'Calc'!$Y$14)))))))</x:f>
      </x:c>
      <x:c r="W75" t="str">
        <x:f>IF(Calc!$Q$75&gt;'Calc'!$B$8,"",IF('Calc'!$E$14=1,0,MAX(Calc!$W$74*(1+IF(Calc!$Q$75&lt;='财富模型'!$E$11*12,'财富模型'!$E$10,'财富模型'!$E$12)/12)-IF('Calc'!$E$14=1,0,IF(Calc!$Q$75&lt;='财富模型'!$E$11*12,'Calc'!$W$14,'Calc'!$Y$14)),0)))</x:f>
      </x:c>
      <x:c r="Y75" t="n">
        <x:v>54</x:v>
      </x:c>
      <x:c r="Z75" t="str">
        <x:f>IF(Calc!$Y$75&gt;'Calc'!$B$8,"",MAX(Calc!$Z$74*(1+'财富模型'!$E$6/12)+('Calc'!$B$5-'财富模型'!$E$5-(IF('Calc'!$E$15=1,'财富模型'!$E$9,'财富模型'!$M$7+IF(Calc!$Y$75&lt;='财富模型'!$E$11*12,'Calc'!$W$15,'Calc'!$Y$15)-(IF('Calc'!$E$15=1,0,MIN(Calc!$AA$74*(1+'财富模型'!$E$20/12)+'Calc'!$B$6,IF(Calc!$Y$75&lt;='财富模型'!$E$11*12,'Calc'!$W$15,'Calc'!$Y$15))))))),0))</x:f>
      </x:c>
      <x:c r="AA75" t="str">
        <x:f>IF(Calc!$Y$75&gt;'Calc'!$B$8,"",MAX(Calc!$AA$74*(1+'财富模型'!$E$20/12)+'Calc'!$B$6-(IF('Calc'!$E$15=1,0,MIN(Calc!$AA$74*(1+'财富模型'!$E$20/12)+'Calc'!$B$6,IF(Calc!$Y$75&lt;='财富模型'!$E$11*12,'Calc'!$W$15,'Calc'!$Y$15)))),0))</x:f>
      </x:c>
      <x:c r="AB75" t="str">
        <x:f>IF(Calc!$Y$75&gt;'Calc'!$B$8,"",IF('Calc'!$E$15=1,'财富模型'!$E$9,'财富模型'!$M$7+IF(Calc!$Y$75&lt;='财富模型'!$E$11*12,'Calc'!$W$15,'Calc'!$Y$15)-(IF('Calc'!$E$15=1,0,MIN(Calc!$AA$74*(1+'财富模型'!$E$20/12)+'Calc'!$B$6,IF(Calc!$Y$75&lt;='财富模型'!$E$11*12,'Calc'!$W$15,'Calc'!$Y$15))))))</x:f>
      </x:c>
      <x:c r="AC75" t="str">
        <x:f>IF(Calc!$Y$75&gt;'Calc'!$B$8,"",IF('Calc'!$E$15=1,0,MIN(Calc!$AA$74*(1+'财富模型'!$E$20/12)+'Calc'!$B$6,IF(Calc!$Y$75&lt;='财富模型'!$E$11*12,'Calc'!$W$15,'Calc'!$Y$15))))</x:f>
      </x:c>
      <x:c r="AD75" t="str">
        <x:f>IF(Calc!$Y$75&gt;'Calc'!$B$8,"",'Calc'!$B$5-'财富模型'!$E$5-(IF('Calc'!$E$15=1,'财富模型'!$E$9,'财富模型'!$M$7+IF(Calc!$Y$75&lt;='财富模型'!$E$11*12,'Calc'!$W$15,'Calc'!$Y$15)-(IF('Calc'!$E$15=1,0,MIN(Calc!$AA$74*(1+'财富模型'!$E$20/12)+'Calc'!$B$6,IF(Calc!$Y$75&lt;='财富模型'!$E$11*12,'Calc'!$W$15,'Calc'!$Y$15)))))))</x:f>
      </x:c>
      <x:c r="AE75" t="str">
        <x:f>IF(Calc!$Y$75&gt;'Calc'!$B$8,"",IF('Calc'!$E$15=1,0,MAX(Calc!$AE$74*(1+IF(Calc!$Y$75&lt;='财富模型'!$E$11*12,'财富模型'!$E$10,'财富模型'!$E$12)/12)-IF('Calc'!$E$15=1,0,IF(Calc!$Y$75&lt;='财富模型'!$E$11*12,'Calc'!$W$15,'Calc'!$Y$15)),0)))</x:f>
      </x:c>
      <x:c r="AG75" t="n">
        <x:v>54</x:v>
      </x:c>
      <x:c r="AH75" t="str">
        <x:f>IF(Calc!$AG$75&gt;'Calc'!$B$8,"",MAX(Calc!$AH$74*(1+'财富模型'!$E$6/12)+('Calc'!$B$5-'财富模型'!$E$5-(IF('Calc'!$E$16=1,'财富模型'!$E$9,'财富模型'!$M$8+IF(Calc!$AG$75&lt;='财富模型'!$E$11*12,'Calc'!$W$16,'Calc'!$Y$16)-(IF('Calc'!$E$16=1,0,MIN(Calc!$AI$74*(1+'财富模型'!$E$20/12)+'Calc'!$B$6,IF(Calc!$AG$75&lt;='财富模型'!$E$11*12,'Calc'!$W$16,'Calc'!$Y$16))))))),0))</x:f>
      </x:c>
      <x:c r="AI75" t="str">
        <x:f>IF(Calc!$AG$75&gt;'Calc'!$B$8,"",MAX(Calc!$AI$74*(1+'财富模型'!$E$20/12)+'Calc'!$B$6-(IF('Calc'!$E$16=1,0,MIN(Calc!$AI$74*(1+'财富模型'!$E$20/12)+'Calc'!$B$6,IF(Calc!$AG$75&lt;='财富模型'!$E$11*12,'Calc'!$W$16,'Calc'!$Y$16)))),0))</x:f>
      </x:c>
      <x:c r="AJ75" t="str">
        <x:f>IF(Calc!$AG$75&gt;'Calc'!$B$8,"",IF('Calc'!$E$16=1,'财富模型'!$E$9,'财富模型'!$M$8+IF(Calc!$AG$75&lt;='财富模型'!$E$11*12,'Calc'!$W$16,'Calc'!$Y$16)-(IF('Calc'!$E$16=1,0,MIN(Calc!$AI$74*(1+'财富模型'!$E$20/12)+'Calc'!$B$6,IF(Calc!$AG$75&lt;='财富模型'!$E$11*12,'Calc'!$W$16,'Calc'!$Y$16))))))</x:f>
      </x:c>
      <x:c r="AK75" t="str">
        <x:f>IF(Calc!$AG$75&gt;'Calc'!$B$8,"",IF('Calc'!$E$16=1,0,MIN(Calc!$AI$74*(1+'财富模型'!$E$20/12)+'Calc'!$B$6,IF(Calc!$AG$75&lt;='财富模型'!$E$11*12,'Calc'!$W$16,'Calc'!$Y$16))))</x:f>
      </x:c>
      <x:c r="AL75" t="str">
        <x:f>IF(Calc!$AG$75&gt;'Calc'!$B$8,"",'Calc'!$B$5-'财富模型'!$E$5-(IF('Calc'!$E$16=1,'财富模型'!$E$9,'财富模型'!$M$8+IF(Calc!$AG$75&lt;='财富模型'!$E$11*12,'Calc'!$W$16,'Calc'!$Y$16)-(IF('Calc'!$E$16=1,0,MIN(Calc!$AI$74*(1+'财富模型'!$E$20/12)+'Calc'!$B$6,IF(Calc!$AG$75&lt;='财富模型'!$E$11*12,'Calc'!$W$16,'Calc'!$Y$16)))))))</x:f>
      </x:c>
      <x:c r="AM75" t="str">
        <x:f>IF(Calc!$AG$75&gt;'Calc'!$B$8,"",IF('Calc'!$E$16=1,0,MAX(Calc!$AM$74*(1+IF(Calc!$AG$75&lt;='财富模型'!$E$11*12,'财富模型'!$E$10,'财富模型'!$E$12)/12)-IF('Calc'!$E$16=1,0,IF(Calc!$AG$75&lt;='财富模型'!$E$11*12,'Calc'!$W$16,'Calc'!$Y$16)),0)))</x:f>
      </x:c>
      <x:c r="AO75" t="n">
        <x:v>54</x:v>
      </x:c>
      <x:c r="AP75" t="str">
        <x:f>IF(Calc!$AO$75&gt;'Calc'!$B$8,"",MAX(Calc!$AP$74*(1+'财富模型'!$E$6/12)+('Calc'!$B$5-'财富模型'!$E$5-(IF('Calc'!$E$17=1,'财富模型'!$E$9,'财富模型'!$M$9+IF(Calc!$AO$75&lt;='财富模型'!$E$11*12,'Calc'!$W$17,'Calc'!$Y$17)-(IF('Calc'!$E$17=1,0,MIN(Calc!$AQ$74*(1+'财富模型'!$E$20/12)+'Calc'!$B$6,IF(Calc!$AO$75&lt;='财富模型'!$E$11*12,'Calc'!$W$17,'Calc'!$Y$17))))))),0))</x:f>
      </x:c>
      <x:c r="AQ75" t="str">
        <x:f>IF(Calc!$AO$75&gt;'Calc'!$B$8,"",MAX(Calc!$AQ$74*(1+'财富模型'!$E$20/12)+'Calc'!$B$6-(IF('Calc'!$E$17=1,0,MIN(Calc!$AQ$74*(1+'财富模型'!$E$20/12)+'Calc'!$B$6,IF(Calc!$AO$75&lt;='财富模型'!$E$11*12,'Calc'!$W$17,'Calc'!$Y$17)))),0))</x:f>
      </x:c>
      <x:c r="AR75" t="str">
        <x:f>IF(Calc!$AO$75&gt;'Calc'!$B$8,"",IF('Calc'!$E$17=1,'财富模型'!$E$9,'财富模型'!$M$9+IF(Calc!$AO$75&lt;='财富模型'!$E$11*12,'Calc'!$W$17,'Calc'!$Y$17)-(IF('Calc'!$E$17=1,0,MIN(Calc!$AQ$74*(1+'财富模型'!$E$20/12)+'Calc'!$B$6,IF(Calc!$AO$75&lt;='财富模型'!$E$11*12,'Calc'!$W$17,'Calc'!$Y$17))))))</x:f>
      </x:c>
      <x:c r="AS75" t="str">
        <x:f>IF(Calc!$AO$75&gt;'Calc'!$B$8,"",IF('Calc'!$E$17=1,0,MIN(Calc!$AQ$74*(1+'财富模型'!$E$20/12)+'Calc'!$B$6,IF(Calc!$AO$75&lt;='财富模型'!$E$11*12,'Calc'!$W$17,'Calc'!$Y$17))))</x:f>
      </x:c>
      <x:c r="AT75" t="str">
        <x:f>IF(Calc!$AO$75&gt;'Calc'!$B$8,"",'Calc'!$B$5-'财富模型'!$E$5-(IF('Calc'!$E$17=1,'财富模型'!$E$9,'财富模型'!$M$9+IF(Calc!$AO$75&lt;='财富模型'!$E$11*12,'Calc'!$W$17,'Calc'!$Y$17)-(IF('Calc'!$E$17=1,0,MIN(Calc!$AQ$74*(1+'财富模型'!$E$20/12)+'Calc'!$B$6,IF(Calc!$AO$75&lt;='财富模型'!$E$11*12,'Calc'!$W$17,'Calc'!$Y$17)))))))</x:f>
      </x:c>
      <x:c r="AU75" t="str">
        <x:f>IF(Calc!$AO$75&gt;'Calc'!$B$8,"",IF('Calc'!$E$17=1,0,MAX(Calc!$AU$74*(1+IF(Calc!$AO$75&lt;='财富模型'!$E$11*12,'财富模型'!$E$10,'财富模型'!$E$12)/12)-IF('Calc'!$E$17=1,0,IF(Calc!$AO$75&lt;='财富模型'!$E$11*12,'Calc'!$W$17,'Calc'!$Y$17)),0)))</x:f>
      </x:c>
    </x:row>
    <x:row r="76">
      <x:c r="A76" t="n">
        <x:v>55</x:v>
      </x:c>
      <x:c r="B76" t="str">
        <x:f>IF(Calc!$A$76&gt;'Calc'!$B$8,"",MAX(Calc!$B$75*(1+'财富模型'!$E$6/12)+('Calc'!$B$5-'财富模型'!$E$5-(IF('Calc'!$E$12=1,'财富模型'!$E$9,'财富模型'!$M$4+IF(Calc!$A$76&lt;='财富模型'!$E$11*12,'Calc'!$W$12,'Calc'!$Y$12)-(IF('Calc'!$E$12=1,0,MIN(Calc!$C$75*(1+'财富模型'!$E$20/12)+'Calc'!$B$6,IF(Calc!$A$76&lt;='财富模型'!$E$11*12,'Calc'!$W$12,'Calc'!$Y$12))))))),0))</x:f>
      </x:c>
      <x:c r="C76" t="str">
        <x:f>IF(Calc!$A$76&gt;'Calc'!$B$8,"",MAX(Calc!$C$75*(1+'财富模型'!$E$20/12)+'Calc'!$B$6-(IF('Calc'!$E$12=1,0,MIN(Calc!$C$75*(1+'财富模型'!$E$20/12)+'Calc'!$B$6,IF(Calc!$A$76&lt;='财富模型'!$E$11*12,'Calc'!$W$12,'Calc'!$Y$12)))),0))</x:f>
      </x:c>
      <x:c r="D76" t="str">
        <x:f>IF(Calc!$A$76&gt;'Calc'!$B$8,"",IF('Calc'!$E$12=1,'财富模型'!$E$9,'财富模型'!$M$4+IF(Calc!$A$76&lt;='财富模型'!$E$11*12,'Calc'!$W$12,'Calc'!$Y$12)-(IF('Calc'!$E$12=1,0,MIN(Calc!$C$75*(1+'财富模型'!$E$20/12)+'Calc'!$B$6,IF(Calc!$A$76&lt;='财富模型'!$E$11*12,'Calc'!$W$12,'Calc'!$Y$12))))))</x:f>
      </x:c>
      <x:c r="E76" t="str">
        <x:f>IF(Calc!$A$76&gt;'Calc'!$B$8,"",IF('Calc'!$E$12=1,0,MIN(Calc!$C$75*(1+'财富模型'!$E$20/12)+'Calc'!$B$6,IF(Calc!$A$76&lt;='财富模型'!$E$11*12,'Calc'!$W$12,'Calc'!$Y$12))))</x:f>
      </x:c>
      <x:c r="F76" t="str">
        <x:f>IF(Calc!$A$76&gt;'Calc'!$B$8,"",'Calc'!$B$5-'财富模型'!$E$5-(IF('Calc'!$E$12=1,'财富模型'!$E$9,'财富模型'!$M$4+IF(Calc!$A$76&lt;='财富模型'!$E$11*12,'Calc'!$W$12,'Calc'!$Y$12)-(IF('Calc'!$E$12=1,0,MIN(Calc!$C$75*(1+'财富模型'!$E$20/12)+'Calc'!$B$6,IF(Calc!$A$76&lt;='财富模型'!$E$11*12,'Calc'!$W$12,'Calc'!$Y$12)))))))</x:f>
      </x:c>
      <x:c r="G76" t="str">
        <x:f>IF(Calc!$A$76&gt;'Calc'!$B$8,"",IF('Calc'!$E$12=1,0,MAX(Calc!$G$75*(1+IF(Calc!$A$76&lt;='财富模型'!$E$11*12,'财富模型'!$E$10,'财富模型'!$E$12)/12)-IF('Calc'!$E$12=1,0,IF(Calc!$A$76&lt;='财富模型'!$E$11*12,'Calc'!$W$12,'Calc'!$Y$12)),0)))</x:f>
      </x:c>
      <x:c r="I76" t="n">
        <x:v>55</x:v>
      </x:c>
      <x:c r="J76" t="str">
        <x:f>IF(Calc!$I$76&gt;'Calc'!$B$8,"",MAX(Calc!$J$75*(1+'财富模型'!$E$6/12)+('Calc'!$B$5-'财富模型'!$E$5-(IF('Calc'!$E$13=1,'财富模型'!$E$9,'财富模型'!$M$5+IF(Calc!$I$76&lt;='财富模型'!$E$11*12,'Calc'!$W$13,'Calc'!$Y$13)-(IF('Calc'!$E$13=1,0,MIN(Calc!$K$75*(1+'财富模型'!$E$20/12)+'Calc'!$B$6,IF(Calc!$I$76&lt;='财富模型'!$E$11*12,'Calc'!$W$13,'Calc'!$Y$13))))))),0))</x:f>
      </x:c>
      <x:c r="K76" t="str">
        <x:f>IF(Calc!$I$76&gt;'Calc'!$B$8,"",MAX(Calc!$K$75*(1+'财富模型'!$E$20/12)+'Calc'!$B$6-(IF('Calc'!$E$13=1,0,MIN(Calc!$K$75*(1+'财富模型'!$E$20/12)+'Calc'!$B$6,IF(Calc!$I$76&lt;='财富模型'!$E$11*12,'Calc'!$W$13,'Calc'!$Y$13)))),0))</x:f>
      </x:c>
      <x:c r="L76" t="str">
        <x:f>IF(Calc!$I$76&gt;'Calc'!$B$8,"",IF('Calc'!$E$13=1,'财富模型'!$E$9,'财富模型'!$M$5+IF(Calc!$I$76&lt;='财富模型'!$E$11*12,'Calc'!$W$13,'Calc'!$Y$13)-(IF('Calc'!$E$13=1,0,MIN(Calc!$K$75*(1+'财富模型'!$E$20/12)+'Calc'!$B$6,IF(Calc!$I$76&lt;='财富模型'!$E$11*12,'Calc'!$W$13,'Calc'!$Y$13))))))</x:f>
      </x:c>
      <x:c r="M76" t="str">
        <x:f>IF(Calc!$I$76&gt;'Calc'!$B$8,"",IF('Calc'!$E$13=1,0,MIN(Calc!$K$75*(1+'财富模型'!$E$20/12)+'Calc'!$B$6,IF(Calc!$I$76&lt;='财富模型'!$E$11*12,'Calc'!$W$13,'Calc'!$Y$13))))</x:f>
      </x:c>
      <x:c r="N76" t="str">
        <x:f>IF(Calc!$I$76&gt;'Calc'!$B$8,"",'Calc'!$B$5-'财富模型'!$E$5-(IF('Calc'!$E$13=1,'财富模型'!$E$9,'财富模型'!$M$5+IF(Calc!$I$76&lt;='财富模型'!$E$11*12,'Calc'!$W$13,'Calc'!$Y$13)-(IF('Calc'!$E$13=1,0,MIN(Calc!$K$75*(1+'财富模型'!$E$20/12)+'Calc'!$B$6,IF(Calc!$I$76&lt;='财富模型'!$E$11*12,'Calc'!$W$13,'Calc'!$Y$13)))))))</x:f>
      </x:c>
      <x:c r="O76" t="str">
        <x:f>IF(Calc!$I$76&gt;'Calc'!$B$8,"",IF('Calc'!$E$13=1,0,MAX(Calc!$O$75*(1+IF(Calc!$I$76&lt;='财富模型'!$E$11*12,'财富模型'!$E$10,'财富模型'!$E$12)/12)-IF('Calc'!$E$13=1,0,IF(Calc!$I$76&lt;='财富模型'!$E$11*12,'Calc'!$W$13,'Calc'!$Y$13)),0)))</x:f>
      </x:c>
      <x:c r="Q76" t="n">
        <x:v>55</x:v>
      </x:c>
      <x:c r="R76" t="str">
        <x:f>IF(Calc!$Q$76&gt;'Calc'!$B$8,"",MAX(Calc!$R$75*(1+'财富模型'!$E$6/12)+('Calc'!$B$5-'财富模型'!$E$5-(IF('Calc'!$E$14=1,'财富模型'!$E$9,'财富模型'!$M$6+IF(Calc!$Q$76&lt;='财富模型'!$E$11*12,'Calc'!$W$14,'Calc'!$Y$14)-(IF('Calc'!$E$14=1,0,MIN(Calc!$S$75*(1+'财富模型'!$E$20/12)+'Calc'!$B$6,IF(Calc!$Q$76&lt;='财富模型'!$E$11*12,'Calc'!$W$14,'Calc'!$Y$14))))))),0))</x:f>
      </x:c>
      <x:c r="S76" t="str">
        <x:f>IF(Calc!$Q$76&gt;'Calc'!$B$8,"",MAX(Calc!$S$75*(1+'财富模型'!$E$20/12)+'Calc'!$B$6-(IF('Calc'!$E$14=1,0,MIN(Calc!$S$75*(1+'财富模型'!$E$20/12)+'Calc'!$B$6,IF(Calc!$Q$76&lt;='财富模型'!$E$11*12,'Calc'!$W$14,'Calc'!$Y$14)))),0))</x:f>
      </x:c>
      <x:c r="T76" t="str">
        <x:f>IF(Calc!$Q$76&gt;'Calc'!$B$8,"",IF('Calc'!$E$14=1,'财富模型'!$E$9,'财富模型'!$M$6+IF(Calc!$Q$76&lt;='财富模型'!$E$11*12,'Calc'!$W$14,'Calc'!$Y$14)-(IF('Calc'!$E$14=1,0,MIN(Calc!$S$75*(1+'财富模型'!$E$20/12)+'Calc'!$B$6,IF(Calc!$Q$76&lt;='财富模型'!$E$11*12,'Calc'!$W$14,'Calc'!$Y$14))))))</x:f>
      </x:c>
      <x:c r="U76" t="str">
        <x:f>IF(Calc!$Q$76&gt;'Calc'!$B$8,"",IF('Calc'!$E$14=1,0,MIN(Calc!$S$75*(1+'财富模型'!$E$20/12)+'Calc'!$B$6,IF(Calc!$Q$76&lt;='财富模型'!$E$11*12,'Calc'!$W$14,'Calc'!$Y$14))))</x:f>
      </x:c>
      <x:c r="V76" t="str">
        <x:f>IF(Calc!$Q$76&gt;'Calc'!$B$8,"",'Calc'!$B$5-'财富模型'!$E$5-(IF('Calc'!$E$14=1,'财富模型'!$E$9,'财富模型'!$M$6+IF(Calc!$Q$76&lt;='财富模型'!$E$11*12,'Calc'!$W$14,'Calc'!$Y$14)-(IF('Calc'!$E$14=1,0,MIN(Calc!$S$75*(1+'财富模型'!$E$20/12)+'Calc'!$B$6,IF(Calc!$Q$76&lt;='财富模型'!$E$11*12,'Calc'!$W$14,'Calc'!$Y$14)))))))</x:f>
      </x:c>
      <x:c r="W76" t="str">
        <x:f>IF(Calc!$Q$76&gt;'Calc'!$B$8,"",IF('Calc'!$E$14=1,0,MAX(Calc!$W$75*(1+IF(Calc!$Q$76&lt;='财富模型'!$E$11*12,'财富模型'!$E$10,'财富模型'!$E$12)/12)-IF('Calc'!$E$14=1,0,IF(Calc!$Q$76&lt;='财富模型'!$E$11*12,'Calc'!$W$14,'Calc'!$Y$14)),0)))</x:f>
      </x:c>
      <x:c r="Y76" t="n">
        <x:v>55</x:v>
      </x:c>
      <x:c r="Z76" t="str">
        <x:f>IF(Calc!$Y$76&gt;'Calc'!$B$8,"",MAX(Calc!$Z$75*(1+'财富模型'!$E$6/12)+('Calc'!$B$5-'财富模型'!$E$5-(IF('Calc'!$E$15=1,'财富模型'!$E$9,'财富模型'!$M$7+IF(Calc!$Y$76&lt;='财富模型'!$E$11*12,'Calc'!$W$15,'Calc'!$Y$15)-(IF('Calc'!$E$15=1,0,MIN(Calc!$AA$75*(1+'财富模型'!$E$20/12)+'Calc'!$B$6,IF(Calc!$Y$76&lt;='财富模型'!$E$11*12,'Calc'!$W$15,'Calc'!$Y$15))))))),0))</x:f>
      </x:c>
      <x:c r="AA76" t="str">
        <x:f>IF(Calc!$Y$76&gt;'Calc'!$B$8,"",MAX(Calc!$AA$75*(1+'财富模型'!$E$20/12)+'Calc'!$B$6-(IF('Calc'!$E$15=1,0,MIN(Calc!$AA$75*(1+'财富模型'!$E$20/12)+'Calc'!$B$6,IF(Calc!$Y$76&lt;='财富模型'!$E$11*12,'Calc'!$W$15,'Calc'!$Y$15)))),0))</x:f>
      </x:c>
      <x:c r="AB76" t="str">
        <x:f>IF(Calc!$Y$76&gt;'Calc'!$B$8,"",IF('Calc'!$E$15=1,'财富模型'!$E$9,'财富模型'!$M$7+IF(Calc!$Y$76&lt;='财富模型'!$E$11*12,'Calc'!$W$15,'Calc'!$Y$15)-(IF('Calc'!$E$15=1,0,MIN(Calc!$AA$75*(1+'财富模型'!$E$20/12)+'Calc'!$B$6,IF(Calc!$Y$76&lt;='财富模型'!$E$11*12,'Calc'!$W$15,'Calc'!$Y$15))))))</x:f>
      </x:c>
      <x:c r="AC76" t="str">
        <x:f>IF(Calc!$Y$76&gt;'Calc'!$B$8,"",IF('Calc'!$E$15=1,0,MIN(Calc!$AA$75*(1+'财富模型'!$E$20/12)+'Calc'!$B$6,IF(Calc!$Y$76&lt;='财富模型'!$E$11*12,'Calc'!$W$15,'Calc'!$Y$15))))</x:f>
      </x:c>
      <x:c r="AD76" t="str">
        <x:f>IF(Calc!$Y$76&gt;'Calc'!$B$8,"",'Calc'!$B$5-'财富模型'!$E$5-(IF('Calc'!$E$15=1,'财富模型'!$E$9,'财富模型'!$M$7+IF(Calc!$Y$76&lt;='财富模型'!$E$11*12,'Calc'!$W$15,'Calc'!$Y$15)-(IF('Calc'!$E$15=1,0,MIN(Calc!$AA$75*(1+'财富模型'!$E$20/12)+'Calc'!$B$6,IF(Calc!$Y$76&lt;='财富模型'!$E$11*12,'Calc'!$W$15,'Calc'!$Y$15)))))))</x:f>
      </x:c>
      <x:c r="AE76" t="str">
        <x:f>IF(Calc!$Y$76&gt;'Calc'!$B$8,"",IF('Calc'!$E$15=1,0,MAX(Calc!$AE$75*(1+IF(Calc!$Y$76&lt;='财富模型'!$E$11*12,'财富模型'!$E$10,'财富模型'!$E$12)/12)-IF('Calc'!$E$15=1,0,IF(Calc!$Y$76&lt;='财富模型'!$E$11*12,'Calc'!$W$15,'Calc'!$Y$15)),0)))</x:f>
      </x:c>
      <x:c r="AG76" t="n">
        <x:v>55</x:v>
      </x:c>
      <x:c r="AH76" t="str">
        <x:f>IF(Calc!$AG$76&gt;'Calc'!$B$8,"",MAX(Calc!$AH$75*(1+'财富模型'!$E$6/12)+('Calc'!$B$5-'财富模型'!$E$5-(IF('Calc'!$E$16=1,'财富模型'!$E$9,'财富模型'!$M$8+IF(Calc!$AG$76&lt;='财富模型'!$E$11*12,'Calc'!$W$16,'Calc'!$Y$16)-(IF('Calc'!$E$16=1,0,MIN(Calc!$AI$75*(1+'财富模型'!$E$20/12)+'Calc'!$B$6,IF(Calc!$AG$76&lt;='财富模型'!$E$11*12,'Calc'!$W$16,'Calc'!$Y$16))))))),0))</x:f>
      </x:c>
      <x:c r="AI76" t="str">
        <x:f>IF(Calc!$AG$76&gt;'Calc'!$B$8,"",MAX(Calc!$AI$75*(1+'财富模型'!$E$20/12)+'Calc'!$B$6-(IF('Calc'!$E$16=1,0,MIN(Calc!$AI$75*(1+'财富模型'!$E$20/12)+'Calc'!$B$6,IF(Calc!$AG$76&lt;='财富模型'!$E$11*12,'Calc'!$W$16,'Calc'!$Y$16)))),0))</x:f>
      </x:c>
      <x:c r="AJ76" t="str">
        <x:f>IF(Calc!$AG$76&gt;'Calc'!$B$8,"",IF('Calc'!$E$16=1,'财富模型'!$E$9,'财富模型'!$M$8+IF(Calc!$AG$76&lt;='财富模型'!$E$11*12,'Calc'!$W$16,'Calc'!$Y$16)-(IF('Calc'!$E$16=1,0,MIN(Calc!$AI$75*(1+'财富模型'!$E$20/12)+'Calc'!$B$6,IF(Calc!$AG$76&lt;='财富模型'!$E$11*12,'Calc'!$W$16,'Calc'!$Y$16))))))</x:f>
      </x:c>
      <x:c r="AK76" t="str">
        <x:f>IF(Calc!$AG$76&gt;'Calc'!$B$8,"",IF('Calc'!$E$16=1,0,MIN(Calc!$AI$75*(1+'财富模型'!$E$20/12)+'Calc'!$B$6,IF(Calc!$AG$76&lt;='财富模型'!$E$11*12,'Calc'!$W$16,'Calc'!$Y$16))))</x:f>
      </x:c>
      <x:c r="AL76" t="str">
        <x:f>IF(Calc!$AG$76&gt;'Calc'!$B$8,"",'Calc'!$B$5-'财富模型'!$E$5-(IF('Calc'!$E$16=1,'财富模型'!$E$9,'财富模型'!$M$8+IF(Calc!$AG$76&lt;='财富模型'!$E$11*12,'Calc'!$W$16,'Calc'!$Y$16)-(IF('Calc'!$E$16=1,0,MIN(Calc!$AI$75*(1+'财富模型'!$E$20/12)+'Calc'!$B$6,IF(Calc!$AG$76&lt;='财富模型'!$E$11*12,'Calc'!$W$16,'Calc'!$Y$16)))))))</x:f>
      </x:c>
      <x:c r="AM76" t="str">
        <x:f>IF(Calc!$AG$76&gt;'Calc'!$B$8,"",IF('Calc'!$E$16=1,0,MAX(Calc!$AM$75*(1+IF(Calc!$AG$76&lt;='财富模型'!$E$11*12,'财富模型'!$E$10,'财富模型'!$E$12)/12)-IF('Calc'!$E$16=1,0,IF(Calc!$AG$76&lt;='财富模型'!$E$11*12,'Calc'!$W$16,'Calc'!$Y$16)),0)))</x:f>
      </x:c>
      <x:c r="AO76" t="n">
        <x:v>55</x:v>
      </x:c>
      <x:c r="AP76" t="str">
        <x:f>IF(Calc!$AO$76&gt;'Calc'!$B$8,"",MAX(Calc!$AP$75*(1+'财富模型'!$E$6/12)+('Calc'!$B$5-'财富模型'!$E$5-(IF('Calc'!$E$17=1,'财富模型'!$E$9,'财富模型'!$M$9+IF(Calc!$AO$76&lt;='财富模型'!$E$11*12,'Calc'!$W$17,'Calc'!$Y$17)-(IF('Calc'!$E$17=1,0,MIN(Calc!$AQ$75*(1+'财富模型'!$E$20/12)+'Calc'!$B$6,IF(Calc!$AO$76&lt;='财富模型'!$E$11*12,'Calc'!$W$17,'Calc'!$Y$17))))))),0))</x:f>
      </x:c>
      <x:c r="AQ76" t="str">
        <x:f>IF(Calc!$AO$76&gt;'Calc'!$B$8,"",MAX(Calc!$AQ$75*(1+'财富模型'!$E$20/12)+'Calc'!$B$6-(IF('Calc'!$E$17=1,0,MIN(Calc!$AQ$75*(1+'财富模型'!$E$20/12)+'Calc'!$B$6,IF(Calc!$AO$76&lt;='财富模型'!$E$11*12,'Calc'!$W$17,'Calc'!$Y$17)))),0))</x:f>
      </x:c>
      <x:c r="AR76" t="str">
        <x:f>IF(Calc!$AO$76&gt;'Calc'!$B$8,"",IF('Calc'!$E$17=1,'财富模型'!$E$9,'财富模型'!$M$9+IF(Calc!$AO$76&lt;='财富模型'!$E$11*12,'Calc'!$W$17,'Calc'!$Y$17)-(IF('Calc'!$E$17=1,0,MIN(Calc!$AQ$75*(1+'财富模型'!$E$20/12)+'Calc'!$B$6,IF(Calc!$AO$76&lt;='财富模型'!$E$11*12,'Calc'!$W$17,'Calc'!$Y$17))))))</x:f>
      </x:c>
      <x:c r="AS76" t="str">
        <x:f>IF(Calc!$AO$76&gt;'Calc'!$B$8,"",IF('Calc'!$E$17=1,0,MIN(Calc!$AQ$75*(1+'财富模型'!$E$20/12)+'Calc'!$B$6,IF(Calc!$AO$76&lt;='财富模型'!$E$11*12,'Calc'!$W$17,'Calc'!$Y$17))))</x:f>
      </x:c>
      <x:c r="AT76" t="str">
        <x:f>IF(Calc!$AO$76&gt;'Calc'!$B$8,"",'Calc'!$B$5-'财富模型'!$E$5-(IF('Calc'!$E$17=1,'财富模型'!$E$9,'财富模型'!$M$9+IF(Calc!$AO$76&lt;='财富模型'!$E$11*12,'Calc'!$W$17,'Calc'!$Y$17)-(IF('Calc'!$E$17=1,0,MIN(Calc!$AQ$75*(1+'财富模型'!$E$20/12)+'Calc'!$B$6,IF(Calc!$AO$76&lt;='财富模型'!$E$11*12,'Calc'!$W$17,'Calc'!$Y$17)))))))</x:f>
      </x:c>
      <x:c r="AU76" t="str">
        <x:f>IF(Calc!$AO$76&gt;'Calc'!$B$8,"",IF('Calc'!$E$17=1,0,MAX(Calc!$AU$75*(1+IF(Calc!$AO$76&lt;='财富模型'!$E$11*12,'财富模型'!$E$10,'财富模型'!$E$12)/12)-IF('Calc'!$E$17=1,0,IF(Calc!$AO$76&lt;='财富模型'!$E$11*12,'Calc'!$W$17,'Calc'!$Y$17)),0)))</x:f>
      </x:c>
    </x:row>
    <x:row r="77">
      <x:c r="A77" t="n">
        <x:v>56</x:v>
      </x:c>
      <x:c r="B77" t="str">
        <x:f>IF(Calc!$A$77&gt;'Calc'!$B$8,"",MAX(Calc!$B$76*(1+'财富模型'!$E$6/12)+('Calc'!$B$5-'财富模型'!$E$5-(IF('Calc'!$E$12=1,'财富模型'!$E$9,'财富模型'!$M$4+IF(Calc!$A$77&lt;='财富模型'!$E$11*12,'Calc'!$W$12,'Calc'!$Y$12)-(IF('Calc'!$E$12=1,0,MIN(Calc!$C$76*(1+'财富模型'!$E$20/12)+'Calc'!$B$6,IF(Calc!$A$77&lt;='财富模型'!$E$11*12,'Calc'!$W$12,'Calc'!$Y$12))))))),0))</x:f>
      </x:c>
      <x:c r="C77" t="str">
        <x:f>IF(Calc!$A$77&gt;'Calc'!$B$8,"",MAX(Calc!$C$76*(1+'财富模型'!$E$20/12)+'Calc'!$B$6-(IF('Calc'!$E$12=1,0,MIN(Calc!$C$76*(1+'财富模型'!$E$20/12)+'Calc'!$B$6,IF(Calc!$A$77&lt;='财富模型'!$E$11*12,'Calc'!$W$12,'Calc'!$Y$12)))),0))</x:f>
      </x:c>
      <x:c r="D77" t="str">
        <x:f>IF(Calc!$A$77&gt;'Calc'!$B$8,"",IF('Calc'!$E$12=1,'财富模型'!$E$9,'财富模型'!$M$4+IF(Calc!$A$77&lt;='财富模型'!$E$11*12,'Calc'!$W$12,'Calc'!$Y$12)-(IF('Calc'!$E$12=1,0,MIN(Calc!$C$76*(1+'财富模型'!$E$20/12)+'Calc'!$B$6,IF(Calc!$A$77&lt;='财富模型'!$E$11*12,'Calc'!$W$12,'Calc'!$Y$12))))))</x:f>
      </x:c>
      <x:c r="E77" t="str">
        <x:f>IF(Calc!$A$77&gt;'Calc'!$B$8,"",IF('Calc'!$E$12=1,0,MIN(Calc!$C$76*(1+'财富模型'!$E$20/12)+'Calc'!$B$6,IF(Calc!$A$77&lt;='财富模型'!$E$11*12,'Calc'!$W$12,'Calc'!$Y$12))))</x:f>
      </x:c>
      <x:c r="F77" t="str">
        <x:f>IF(Calc!$A$77&gt;'Calc'!$B$8,"",'Calc'!$B$5-'财富模型'!$E$5-(IF('Calc'!$E$12=1,'财富模型'!$E$9,'财富模型'!$M$4+IF(Calc!$A$77&lt;='财富模型'!$E$11*12,'Calc'!$W$12,'Calc'!$Y$12)-(IF('Calc'!$E$12=1,0,MIN(Calc!$C$76*(1+'财富模型'!$E$20/12)+'Calc'!$B$6,IF(Calc!$A$77&lt;='财富模型'!$E$11*12,'Calc'!$W$12,'Calc'!$Y$12)))))))</x:f>
      </x:c>
      <x:c r="G77" t="str">
        <x:f>IF(Calc!$A$77&gt;'Calc'!$B$8,"",IF('Calc'!$E$12=1,0,MAX(Calc!$G$76*(1+IF(Calc!$A$77&lt;='财富模型'!$E$11*12,'财富模型'!$E$10,'财富模型'!$E$12)/12)-IF('Calc'!$E$12=1,0,IF(Calc!$A$77&lt;='财富模型'!$E$11*12,'Calc'!$W$12,'Calc'!$Y$12)),0)))</x:f>
      </x:c>
      <x:c r="I77" t="n">
        <x:v>56</x:v>
      </x:c>
      <x:c r="J77" t="str">
        <x:f>IF(Calc!$I$77&gt;'Calc'!$B$8,"",MAX(Calc!$J$76*(1+'财富模型'!$E$6/12)+('Calc'!$B$5-'财富模型'!$E$5-(IF('Calc'!$E$13=1,'财富模型'!$E$9,'财富模型'!$M$5+IF(Calc!$I$77&lt;='财富模型'!$E$11*12,'Calc'!$W$13,'Calc'!$Y$13)-(IF('Calc'!$E$13=1,0,MIN(Calc!$K$76*(1+'财富模型'!$E$20/12)+'Calc'!$B$6,IF(Calc!$I$77&lt;='财富模型'!$E$11*12,'Calc'!$W$13,'Calc'!$Y$13))))))),0))</x:f>
      </x:c>
      <x:c r="K77" t="str">
        <x:f>IF(Calc!$I$77&gt;'Calc'!$B$8,"",MAX(Calc!$K$76*(1+'财富模型'!$E$20/12)+'Calc'!$B$6-(IF('Calc'!$E$13=1,0,MIN(Calc!$K$76*(1+'财富模型'!$E$20/12)+'Calc'!$B$6,IF(Calc!$I$77&lt;='财富模型'!$E$11*12,'Calc'!$W$13,'Calc'!$Y$13)))),0))</x:f>
      </x:c>
      <x:c r="L77" t="str">
        <x:f>IF(Calc!$I$77&gt;'Calc'!$B$8,"",IF('Calc'!$E$13=1,'财富模型'!$E$9,'财富模型'!$M$5+IF(Calc!$I$77&lt;='财富模型'!$E$11*12,'Calc'!$W$13,'Calc'!$Y$13)-(IF('Calc'!$E$13=1,0,MIN(Calc!$K$76*(1+'财富模型'!$E$20/12)+'Calc'!$B$6,IF(Calc!$I$77&lt;='财富模型'!$E$11*12,'Calc'!$W$13,'Calc'!$Y$13))))))</x:f>
      </x:c>
      <x:c r="M77" t="str">
        <x:f>IF(Calc!$I$77&gt;'Calc'!$B$8,"",IF('Calc'!$E$13=1,0,MIN(Calc!$K$76*(1+'财富模型'!$E$20/12)+'Calc'!$B$6,IF(Calc!$I$77&lt;='财富模型'!$E$11*12,'Calc'!$W$13,'Calc'!$Y$13))))</x:f>
      </x:c>
      <x:c r="N77" t="str">
        <x:f>IF(Calc!$I$77&gt;'Calc'!$B$8,"",'Calc'!$B$5-'财富模型'!$E$5-(IF('Calc'!$E$13=1,'财富模型'!$E$9,'财富模型'!$M$5+IF(Calc!$I$77&lt;='财富模型'!$E$11*12,'Calc'!$W$13,'Calc'!$Y$13)-(IF('Calc'!$E$13=1,0,MIN(Calc!$K$76*(1+'财富模型'!$E$20/12)+'Calc'!$B$6,IF(Calc!$I$77&lt;='财富模型'!$E$11*12,'Calc'!$W$13,'Calc'!$Y$13)))))))</x:f>
      </x:c>
      <x:c r="O77" t="str">
        <x:f>IF(Calc!$I$77&gt;'Calc'!$B$8,"",IF('Calc'!$E$13=1,0,MAX(Calc!$O$76*(1+IF(Calc!$I$77&lt;='财富模型'!$E$11*12,'财富模型'!$E$10,'财富模型'!$E$12)/12)-IF('Calc'!$E$13=1,0,IF(Calc!$I$77&lt;='财富模型'!$E$11*12,'Calc'!$W$13,'Calc'!$Y$13)),0)))</x:f>
      </x:c>
      <x:c r="Q77" t="n">
        <x:v>56</x:v>
      </x:c>
      <x:c r="R77" t="str">
        <x:f>IF(Calc!$Q$77&gt;'Calc'!$B$8,"",MAX(Calc!$R$76*(1+'财富模型'!$E$6/12)+('Calc'!$B$5-'财富模型'!$E$5-(IF('Calc'!$E$14=1,'财富模型'!$E$9,'财富模型'!$M$6+IF(Calc!$Q$77&lt;='财富模型'!$E$11*12,'Calc'!$W$14,'Calc'!$Y$14)-(IF('Calc'!$E$14=1,0,MIN(Calc!$S$76*(1+'财富模型'!$E$20/12)+'Calc'!$B$6,IF(Calc!$Q$77&lt;='财富模型'!$E$11*12,'Calc'!$W$14,'Calc'!$Y$14))))))),0))</x:f>
      </x:c>
      <x:c r="S77" t="str">
        <x:f>IF(Calc!$Q$77&gt;'Calc'!$B$8,"",MAX(Calc!$S$76*(1+'财富模型'!$E$20/12)+'Calc'!$B$6-(IF('Calc'!$E$14=1,0,MIN(Calc!$S$76*(1+'财富模型'!$E$20/12)+'Calc'!$B$6,IF(Calc!$Q$77&lt;='财富模型'!$E$11*12,'Calc'!$W$14,'Calc'!$Y$14)))),0))</x:f>
      </x:c>
      <x:c r="T77" t="str">
        <x:f>IF(Calc!$Q$77&gt;'Calc'!$B$8,"",IF('Calc'!$E$14=1,'财富模型'!$E$9,'财富模型'!$M$6+IF(Calc!$Q$77&lt;='财富模型'!$E$11*12,'Calc'!$W$14,'Calc'!$Y$14)-(IF('Calc'!$E$14=1,0,MIN(Calc!$S$76*(1+'财富模型'!$E$20/12)+'Calc'!$B$6,IF(Calc!$Q$77&lt;='财富模型'!$E$11*12,'Calc'!$W$14,'Calc'!$Y$14))))))</x:f>
      </x:c>
      <x:c r="U77" t="str">
        <x:f>IF(Calc!$Q$77&gt;'Calc'!$B$8,"",IF('Calc'!$E$14=1,0,MIN(Calc!$S$76*(1+'财富模型'!$E$20/12)+'Calc'!$B$6,IF(Calc!$Q$77&lt;='财富模型'!$E$11*12,'Calc'!$W$14,'Calc'!$Y$14))))</x:f>
      </x:c>
      <x:c r="V77" t="str">
        <x:f>IF(Calc!$Q$77&gt;'Calc'!$B$8,"",'Calc'!$B$5-'财富模型'!$E$5-(IF('Calc'!$E$14=1,'财富模型'!$E$9,'财富模型'!$M$6+IF(Calc!$Q$77&lt;='财富模型'!$E$11*12,'Calc'!$W$14,'Calc'!$Y$14)-(IF('Calc'!$E$14=1,0,MIN(Calc!$S$76*(1+'财富模型'!$E$20/12)+'Calc'!$B$6,IF(Calc!$Q$77&lt;='财富模型'!$E$11*12,'Calc'!$W$14,'Calc'!$Y$14)))))))</x:f>
      </x:c>
      <x:c r="W77" t="str">
        <x:f>IF(Calc!$Q$77&gt;'Calc'!$B$8,"",IF('Calc'!$E$14=1,0,MAX(Calc!$W$76*(1+IF(Calc!$Q$77&lt;='财富模型'!$E$11*12,'财富模型'!$E$10,'财富模型'!$E$12)/12)-IF('Calc'!$E$14=1,0,IF(Calc!$Q$77&lt;='财富模型'!$E$11*12,'Calc'!$W$14,'Calc'!$Y$14)),0)))</x:f>
      </x:c>
      <x:c r="Y77" t="n">
        <x:v>56</x:v>
      </x:c>
      <x:c r="Z77" t="str">
        <x:f>IF(Calc!$Y$77&gt;'Calc'!$B$8,"",MAX(Calc!$Z$76*(1+'财富模型'!$E$6/12)+('Calc'!$B$5-'财富模型'!$E$5-(IF('Calc'!$E$15=1,'财富模型'!$E$9,'财富模型'!$M$7+IF(Calc!$Y$77&lt;='财富模型'!$E$11*12,'Calc'!$W$15,'Calc'!$Y$15)-(IF('Calc'!$E$15=1,0,MIN(Calc!$AA$76*(1+'财富模型'!$E$20/12)+'Calc'!$B$6,IF(Calc!$Y$77&lt;='财富模型'!$E$11*12,'Calc'!$W$15,'Calc'!$Y$15))))))),0))</x:f>
      </x:c>
      <x:c r="AA77" t="str">
        <x:f>IF(Calc!$Y$77&gt;'Calc'!$B$8,"",MAX(Calc!$AA$76*(1+'财富模型'!$E$20/12)+'Calc'!$B$6-(IF('Calc'!$E$15=1,0,MIN(Calc!$AA$76*(1+'财富模型'!$E$20/12)+'Calc'!$B$6,IF(Calc!$Y$77&lt;='财富模型'!$E$11*12,'Calc'!$W$15,'Calc'!$Y$15)))),0))</x:f>
      </x:c>
      <x:c r="AB77" t="str">
        <x:f>IF(Calc!$Y$77&gt;'Calc'!$B$8,"",IF('Calc'!$E$15=1,'财富模型'!$E$9,'财富模型'!$M$7+IF(Calc!$Y$77&lt;='财富模型'!$E$11*12,'Calc'!$W$15,'Calc'!$Y$15)-(IF('Calc'!$E$15=1,0,MIN(Calc!$AA$76*(1+'财富模型'!$E$20/12)+'Calc'!$B$6,IF(Calc!$Y$77&lt;='财富模型'!$E$11*12,'Calc'!$W$15,'Calc'!$Y$15))))))</x:f>
      </x:c>
      <x:c r="AC77" t="str">
        <x:f>IF(Calc!$Y$77&gt;'Calc'!$B$8,"",IF('Calc'!$E$15=1,0,MIN(Calc!$AA$76*(1+'财富模型'!$E$20/12)+'Calc'!$B$6,IF(Calc!$Y$77&lt;='财富模型'!$E$11*12,'Calc'!$W$15,'Calc'!$Y$15))))</x:f>
      </x:c>
      <x:c r="AD77" t="str">
        <x:f>IF(Calc!$Y$77&gt;'Calc'!$B$8,"",'Calc'!$B$5-'财富模型'!$E$5-(IF('Calc'!$E$15=1,'财富模型'!$E$9,'财富模型'!$M$7+IF(Calc!$Y$77&lt;='财富模型'!$E$11*12,'Calc'!$W$15,'Calc'!$Y$15)-(IF('Calc'!$E$15=1,0,MIN(Calc!$AA$76*(1+'财富模型'!$E$20/12)+'Calc'!$B$6,IF(Calc!$Y$77&lt;='财富模型'!$E$11*12,'Calc'!$W$15,'Calc'!$Y$15)))))))</x:f>
      </x:c>
      <x:c r="AE77" t="str">
        <x:f>IF(Calc!$Y$77&gt;'Calc'!$B$8,"",IF('Calc'!$E$15=1,0,MAX(Calc!$AE$76*(1+IF(Calc!$Y$77&lt;='财富模型'!$E$11*12,'财富模型'!$E$10,'财富模型'!$E$12)/12)-IF('Calc'!$E$15=1,0,IF(Calc!$Y$77&lt;='财富模型'!$E$11*12,'Calc'!$W$15,'Calc'!$Y$15)),0)))</x:f>
      </x:c>
      <x:c r="AG77" t="n">
        <x:v>56</x:v>
      </x:c>
      <x:c r="AH77" t="str">
        <x:f>IF(Calc!$AG$77&gt;'Calc'!$B$8,"",MAX(Calc!$AH$76*(1+'财富模型'!$E$6/12)+('Calc'!$B$5-'财富模型'!$E$5-(IF('Calc'!$E$16=1,'财富模型'!$E$9,'财富模型'!$M$8+IF(Calc!$AG$77&lt;='财富模型'!$E$11*12,'Calc'!$W$16,'Calc'!$Y$16)-(IF('Calc'!$E$16=1,0,MIN(Calc!$AI$76*(1+'财富模型'!$E$20/12)+'Calc'!$B$6,IF(Calc!$AG$77&lt;='财富模型'!$E$11*12,'Calc'!$W$16,'Calc'!$Y$16))))))),0))</x:f>
      </x:c>
      <x:c r="AI77" t="str">
        <x:f>IF(Calc!$AG$77&gt;'Calc'!$B$8,"",MAX(Calc!$AI$76*(1+'财富模型'!$E$20/12)+'Calc'!$B$6-(IF('Calc'!$E$16=1,0,MIN(Calc!$AI$76*(1+'财富模型'!$E$20/12)+'Calc'!$B$6,IF(Calc!$AG$77&lt;='财富模型'!$E$11*12,'Calc'!$W$16,'Calc'!$Y$16)))),0))</x:f>
      </x:c>
      <x:c r="AJ77" t="str">
        <x:f>IF(Calc!$AG$77&gt;'Calc'!$B$8,"",IF('Calc'!$E$16=1,'财富模型'!$E$9,'财富模型'!$M$8+IF(Calc!$AG$77&lt;='财富模型'!$E$11*12,'Calc'!$W$16,'Calc'!$Y$16)-(IF('Calc'!$E$16=1,0,MIN(Calc!$AI$76*(1+'财富模型'!$E$20/12)+'Calc'!$B$6,IF(Calc!$AG$77&lt;='财富模型'!$E$11*12,'Calc'!$W$16,'Calc'!$Y$16))))))</x:f>
      </x:c>
      <x:c r="AK77" t="str">
        <x:f>IF(Calc!$AG$77&gt;'Calc'!$B$8,"",IF('Calc'!$E$16=1,0,MIN(Calc!$AI$76*(1+'财富模型'!$E$20/12)+'Calc'!$B$6,IF(Calc!$AG$77&lt;='财富模型'!$E$11*12,'Calc'!$W$16,'Calc'!$Y$16))))</x:f>
      </x:c>
      <x:c r="AL77" t="str">
        <x:f>IF(Calc!$AG$77&gt;'Calc'!$B$8,"",'Calc'!$B$5-'财富模型'!$E$5-(IF('Calc'!$E$16=1,'财富模型'!$E$9,'财富模型'!$M$8+IF(Calc!$AG$77&lt;='财富模型'!$E$11*12,'Calc'!$W$16,'Calc'!$Y$16)-(IF('Calc'!$E$16=1,0,MIN(Calc!$AI$76*(1+'财富模型'!$E$20/12)+'Calc'!$B$6,IF(Calc!$AG$77&lt;='财富模型'!$E$11*12,'Calc'!$W$16,'Calc'!$Y$16)))))))</x:f>
      </x:c>
      <x:c r="AM77" t="str">
        <x:f>IF(Calc!$AG$77&gt;'Calc'!$B$8,"",IF('Calc'!$E$16=1,0,MAX(Calc!$AM$76*(1+IF(Calc!$AG$77&lt;='财富模型'!$E$11*12,'财富模型'!$E$10,'财富模型'!$E$12)/12)-IF('Calc'!$E$16=1,0,IF(Calc!$AG$77&lt;='财富模型'!$E$11*12,'Calc'!$W$16,'Calc'!$Y$16)),0)))</x:f>
      </x:c>
      <x:c r="AO77" t="n">
        <x:v>56</x:v>
      </x:c>
      <x:c r="AP77" t="str">
        <x:f>IF(Calc!$AO$77&gt;'Calc'!$B$8,"",MAX(Calc!$AP$76*(1+'财富模型'!$E$6/12)+('Calc'!$B$5-'财富模型'!$E$5-(IF('Calc'!$E$17=1,'财富模型'!$E$9,'财富模型'!$M$9+IF(Calc!$AO$77&lt;='财富模型'!$E$11*12,'Calc'!$W$17,'Calc'!$Y$17)-(IF('Calc'!$E$17=1,0,MIN(Calc!$AQ$76*(1+'财富模型'!$E$20/12)+'Calc'!$B$6,IF(Calc!$AO$77&lt;='财富模型'!$E$11*12,'Calc'!$W$17,'Calc'!$Y$17))))))),0))</x:f>
      </x:c>
      <x:c r="AQ77" t="str">
        <x:f>IF(Calc!$AO$77&gt;'Calc'!$B$8,"",MAX(Calc!$AQ$76*(1+'财富模型'!$E$20/12)+'Calc'!$B$6-(IF('Calc'!$E$17=1,0,MIN(Calc!$AQ$76*(1+'财富模型'!$E$20/12)+'Calc'!$B$6,IF(Calc!$AO$77&lt;='财富模型'!$E$11*12,'Calc'!$W$17,'Calc'!$Y$17)))),0))</x:f>
      </x:c>
      <x:c r="AR77" t="str">
        <x:f>IF(Calc!$AO$77&gt;'Calc'!$B$8,"",IF('Calc'!$E$17=1,'财富模型'!$E$9,'财富模型'!$M$9+IF(Calc!$AO$77&lt;='财富模型'!$E$11*12,'Calc'!$W$17,'Calc'!$Y$17)-(IF('Calc'!$E$17=1,0,MIN(Calc!$AQ$76*(1+'财富模型'!$E$20/12)+'Calc'!$B$6,IF(Calc!$AO$77&lt;='财富模型'!$E$11*12,'Calc'!$W$17,'Calc'!$Y$17))))))</x:f>
      </x:c>
      <x:c r="AS77" t="str">
        <x:f>IF(Calc!$AO$77&gt;'Calc'!$B$8,"",IF('Calc'!$E$17=1,0,MIN(Calc!$AQ$76*(1+'财富模型'!$E$20/12)+'Calc'!$B$6,IF(Calc!$AO$77&lt;='财富模型'!$E$11*12,'Calc'!$W$17,'Calc'!$Y$17))))</x:f>
      </x:c>
      <x:c r="AT77" t="str">
        <x:f>IF(Calc!$AO$77&gt;'Calc'!$B$8,"",'Calc'!$B$5-'财富模型'!$E$5-(IF('Calc'!$E$17=1,'财富模型'!$E$9,'财富模型'!$M$9+IF(Calc!$AO$77&lt;='财富模型'!$E$11*12,'Calc'!$W$17,'Calc'!$Y$17)-(IF('Calc'!$E$17=1,0,MIN(Calc!$AQ$76*(1+'财富模型'!$E$20/12)+'Calc'!$B$6,IF(Calc!$AO$77&lt;='财富模型'!$E$11*12,'Calc'!$W$17,'Calc'!$Y$17)))))))</x:f>
      </x:c>
      <x:c r="AU77" t="str">
        <x:f>IF(Calc!$AO$77&gt;'Calc'!$B$8,"",IF('Calc'!$E$17=1,0,MAX(Calc!$AU$76*(1+IF(Calc!$AO$77&lt;='财富模型'!$E$11*12,'财富模型'!$E$10,'财富模型'!$E$12)/12)-IF('Calc'!$E$17=1,0,IF(Calc!$AO$77&lt;='财富模型'!$E$11*12,'Calc'!$W$17,'Calc'!$Y$17)),0)))</x:f>
      </x:c>
    </x:row>
    <x:row r="78">
      <x:c r="A78" t="n">
        <x:v>57</x:v>
      </x:c>
      <x:c r="B78" t="str">
        <x:f>IF(Calc!$A$78&gt;'Calc'!$B$8,"",MAX(Calc!$B$77*(1+'财富模型'!$E$6/12)+('Calc'!$B$5-'财富模型'!$E$5-(IF('Calc'!$E$12=1,'财富模型'!$E$9,'财富模型'!$M$4+IF(Calc!$A$78&lt;='财富模型'!$E$11*12,'Calc'!$W$12,'Calc'!$Y$12)-(IF('Calc'!$E$12=1,0,MIN(Calc!$C$77*(1+'财富模型'!$E$20/12)+'Calc'!$B$6,IF(Calc!$A$78&lt;='财富模型'!$E$11*12,'Calc'!$W$12,'Calc'!$Y$12))))))),0))</x:f>
      </x:c>
      <x:c r="C78" t="str">
        <x:f>IF(Calc!$A$78&gt;'Calc'!$B$8,"",MAX(Calc!$C$77*(1+'财富模型'!$E$20/12)+'Calc'!$B$6-(IF('Calc'!$E$12=1,0,MIN(Calc!$C$77*(1+'财富模型'!$E$20/12)+'Calc'!$B$6,IF(Calc!$A$78&lt;='财富模型'!$E$11*12,'Calc'!$W$12,'Calc'!$Y$12)))),0))</x:f>
      </x:c>
      <x:c r="D78" t="str">
        <x:f>IF(Calc!$A$78&gt;'Calc'!$B$8,"",IF('Calc'!$E$12=1,'财富模型'!$E$9,'财富模型'!$M$4+IF(Calc!$A$78&lt;='财富模型'!$E$11*12,'Calc'!$W$12,'Calc'!$Y$12)-(IF('Calc'!$E$12=1,0,MIN(Calc!$C$77*(1+'财富模型'!$E$20/12)+'Calc'!$B$6,IF(Calc!$A$78&lt;='财富模型'!$E$11*12,'Calc'!$W$12,'Calc'!$Y$12))))))</x:f>
      </x:c>
      <x:c r="E78" t="str">
        <x:f>IF(Calc!$A$78&gt;'Calc'!$B$8,"",IF('Calc'!$E$12=1,0,MIN(Calc!$C$77*(1+'财富模型'!$E$20/12)+'Calc'!$B$6,IF(Calc!$A$78&lt;='财富模型'!$E$11*12,'Calc'!$W$12,'Calc'!$Y$12))))</x:f>
      </x:c>
      <x:c r="F78" t="str">
        <x:f>IF(Calc!$A$78&gt;'Calc'!$B$8,"",'Calc'!$B$5-'财富模型'!$E$5-(IF('Calc'!$E$12=1,'财富模型'!$E$9,'财富模型'!$M$4+IF(Calc!$A$78&lt;='财富模型'!$E$11*12,'Calc'!$W$12,'Calc'!$Y$12)-(IF('Calc'!$E$12=1,0,MIN(Calc!$C$77*(1+'财富模型'!$E$20/12)+'Calc'!$B$6,IF(Calc!$A$78&lt;='财富模型'!$E$11*12,'Calc'!$W$12,'Calc'!$Y$12)))))))</x:f>
      </x:c>
      <x:c r="G78" t="str">
        <x:f>IF(Calc!$A$78&gt;'Calc'!$B$8,"",IF('Calc'!$E$12=1,0,MAX(Calc!$G$77*(1+IF(Calc!$A$78&lt;='财富模型'!$E$11*12,'财富模型'!$E$10,'财富模型'!$E$12)/12)-IF('Calc'!$E$12=1,0,IF(Calc!$A$78&lt;='财富模型'!$E$11*12,'Calc'!$W$12,'Calc'!$Y$12)),0)))</x:f>
      </x:c>
      <x:c r="I78" t="n">
        <x:v>57</x:v>
      </x:c>
      <x:c r="J78" t="str">
        <x:f>IF(Calc!$I$78&gt;'Calc'!$B$8,"",MAX(Calc!$J$77*(1+'财富模型'!$E$6/12)+('Calc'!$B$5-'财富模型'!$E$5-(IF('Calc'!$E$13=1,'财富模型'!$E$9,'财富模型'!$M$5+IF(Calc!$I$78&lt;='财富模型'!$E$11*12,'Calc'!$W$13,'Calc'!$Y$13)-(IF('Calc'!$E$13=1,0,MIN(Calc!$K$77*(1+'财富模型'!$E$20/12)+'Calc'!$B$6,IF(Calc!$I$78&lt;='财富模型'!$E$11*12,'Calc'!$W$13,'Calc'!$Y$13))))))),0))</x:f>
      </x:c>
      <x:c r="K78" t="str">
        <x:f>IF(Calc!$I$78&gt;'Calc'!$B$8,"",MAX(Calc!$K$77*(1+'财富模型'!$E$20/12)+'Calc'!$B$6-(IF('Calc'!$E$13=1,0,MIN(Calc!$K$77*(1+'财富模型'!$E$20/12)+'Calc'!$B$6,IF(Calc!$I$78&lt;='财富模型'!$E$11*12,'Calc'!$W$13,'Calc'!$Y$13)))),0))</x:f>
      </x:c>
      <x:c r="L78" t="str">
        <x:f>IF(Calc!$I$78&gt;'Calc'!$B$8,"",IF('Calc'!$E$13=1,'财富模型'!$E$9,'财富模型'!$M$5+IF(Calc!$I$78&lt;='财富模型'!$E$11*12,'Calc'!$W$13,'Calc'!$Y$13)-(IF('Calc'!$E$13=1,0,MIN(Calc!$K$77*(1+'财富模型'!$E$20/12)+'Calc'!$B$6,IF(Calc!$I$78&lt;='财富模型'!$E$11*12,'Calc'!$W$13,'Calc'!$Y$13))))))</x:f>
      </x:c>
      <x:c r="M78" t="str">
        <x:f>IF(Calc!$I$78&gt;'Calc'!$B$8,"",IF('Calc'!$E$13=1,0,MIN(Calc!$K$77*(1+'财富模型'!$E$20/12)+'Calc'!$B$6,IF(Calc!$I$78&lt;='财富模型'!$E$11*12,'Calc'!$W$13,'Calc'!$Y$13))))</x:f>
      </x:c>
      <x:c r="N78" t="str">
        <x:f>IF(Calc!$I$78&gt;'Calc'!$B$8,"",'Calc'!$B$5-'财富模型'!$E$5-(IF('Calc'!$E$13=1,'财富模型'!$E$9,'财富模型'!$M$5+IF(Calc!$I$78&lt;='财富模型'!$E$11*12,'Calc'!$W$13,'Calc'!$Y$13)-(IF('Calc'!$E$13=1,0,MIN(Calc!$K$77*(1+'财富模型'!$E$20/12)+'Calc'!$B$6,IF(Calc!$I$78&lt;='财富模型'!$E$11*12,'Calc'!$W$13,'Calc'!$Y$13)))))))</x:f>
      </x:c>
      <x:c r="O78" t="str">
        <x:f>IF(Calc!$I$78&gt;'Calc'!$B$8,"",IF('Calc'!$E$13=1,0,MAX(Calc!$O$77*(1+IF(Calc!$I$78&lt;='财富模型'!$E$11*12,'财富模型'!$E$10,'财富模型'!$E$12)/12)-IF('Calc'!$E$13=1,0,IF(Calc!$I$78&lt;='财富模型'!$E$11*12,'Calc'!$W$13,'Calc'!$Y$13)),0)))</x:f>
      </x:c>
      <x:c r="Q78" t="n">
        <x:v>57</x:v>
      </x:c>
      <x:c r="R78" t="str">
        <x:f>IF(Calc!$Q$78&gt;'Calc'!$B$8,"",MAX(Calc!$R$77*(1+'财富模型'!$E$6/12)+('Calc'!$B$5-'财富模型'!$E$5-(IF('Calc'!$E$14=1,'财富模型'!$E$9,'财富模型'!$M$6+IF(Calc!$Q$78&lt;='财富模型'!$E$11*12,'Calc'!$W$14,'Calc'!$Y$14)-(IF('Calc'!$E$14=1,0,MIN(Calc!$S$77*(1+'财富模型'!$E$20/12)+'Calc'!$B$6,IF(Calc!$Q$78&lt;='财富模型'!$E$11*12,'Calc'!$W$14,'Calc'!$Y$14))))))),0))</x:f>
      </x:c>
      <x:c r="S78" t="str">
        <x:f>IF(Calc!$Q$78&gt;'Calc'!$B$8,"",MAX(Calc!$S$77*(1+'财富模型'!$E$20/12)+'Calc'!$B$6-(IF('Calc'!$E$14=1,0,MIN(Calc!$S$77*(1+'财富模型'!$E$20/12)+'Calc'!$B$6,IF(Calc!$Q$78&lt;='财富模型'!$E$11*12,'Calc'!$W$14,'Calc'!$Y$14)))),0))</x:f>
      </x:c>
      <x:c r="T78" t="str">
        <x:f>IF(Calc!$Q$78&gt;'Calc'!$B$8,"",IF('Calc'!$E$14=1,'财富模型'!$E$9,'财富模型'!$M$6+IF(Calc!$Q$78&lt;='财富模型'!$E$11*12,'Calc'!$W$14,'Calc'!$Y$14)-(IF('Calc'!$E$14=1,0,MIN(Calc!$S$77*(1+'财富模型'!$E$20/12)+'Calc'!$B$6,IF(Calc!$Q$78&lt;='财富模型'!$E$11*12,'Calc'!$W$14,'Calc'!$Y$14))))))</x:f>
      </x:c>
      <x:c r="U78" t="str">
        <x:f>IF(Calc!$Q$78&gt;'Calc'!$B$8,"",IF('Calc'!$E$14=1,0,MIN(Calc!$S$77*(1+'财富模型'!$E$20/12)+'Calc'!$B$6,IF(Calc!$Q$78&lt;='财富模型'!$E$11*12,'Calc'!$W$14,'Calc'!$Y$14))))</x:f>
      </x:c>
      <x:c r="V78" t="str">
        <x:f>IF(Calc!$Q$78&gt;'Calc'!$B$8,"",'Calc'!$B$5-'财富模型'!$E$5-(IF('Calc'!$E$14=1,'财富模型'!$E$9,'财富模型'!$M$6+IF(Calc!$Q$78&lt;='财富模型'!$E$11*12,'Calc'!$W$14,'Calc'!$Y$14)-(IF('Calc'!$E$14=1,0,MIN(Calc!$S$77*(1+'财富模型'!$E$20/12)+'Calc'!$B$6,IF(Calc!$Q$78&lt;='财富模型'!$E$11*12,'Calc'!$W$14,'Calc'!$Y$14)))))))</x:f>
      </x:c>
      <x:c r="W78" t="str">
        <x:f>IF(Calc!$Q$78&gt;'Calc'!$B$8,"",IF('Calc'!$E$14=1,0,MAX(Calc!$W$77*(1+IF(Calc!$Q$78&lt;='财富模型'!$E$11*12,'财富模型'!$E$10,'财富模型'!$E$12)/12)-IF('Calc'!$E$14=1,0,IF(Calc!$Q$78&lt;='财富模型'!$E$11*12,'Calc'!$W$14,'Calc'!$Y$14)),0)))</x:f>
      </x:c>
      <x:c r="Y78" t="n">
        <x:v>57</x:v>
      </x:c>
      <x:c r="Z78" t="str">
        <x:f>IF(Calc!$Y$78&gt;'Calc'!$B$8,"",MAX(Calc!$Z$77*(1+'财富模型'!$E$6/12)+('Calc'!$B$5-'财富模型'!$E$5-(IF('Calc'!$E$15=1,'财富模型'!$E$9,'财富模型'!$M$7+IF(Calc!$Y$78&lt;='财富模型'!$E$11*12,'Calc'!$W$15,'Calc'!$Y$15)-(IF('Calc'!$E$15=1,0,MIN(Calc!$AA$77*(1+'财富模型'!$E$20/12)+'Calc'!$B$6,IF(Calc!$Y$78&lt;='财富模型'!$E$11*12,'Calc'!$W$15,'Calc'!$Y$15))))))),0))</x:f>
      </x:c>
      <x:c r="AA78" t="str">
        <x:f>IF(Calc!$Y$78&gt;'Calc'!$B$8,"",MAX(Calc!$AA$77*(1+'财富模型'!$E$20/12)+'Calc'!$B$6-(IF('Calc'!$E$15=1,0,MIN(Calc!$AA$77*(1+'财富模型'!$E$20/12)+'Calc'!$B$6,IF(Calc!$Y$78&lt;='财富模型'!$E$11*12,'Calc'!$W$15,'Calc'!$Y$15)))),0))</x:f>
      </x:c>
      <x:c r="AB78" t="str">
        <x:f>IF(Calc!$Y$78&gt;'Calc'!$B$8,"",IF('Calc'!$E$15=1,'财富模型'!$E$9,'财富模型'!$M$7+IF(Calc!$Y$78&lt;='财富模型'!$E$11*12,'Calc'!$W$15,'Calc'!$Y$15)-(IF('Calc'!$E$15=1,0,MIN(Calc!$AA$77*(1+'财富模型'!$E$20/12)+'Calc'!$B$6,IF(Calc!$Y$78&lt;='财富模型'!$E$11*12,'Calc'!$W$15,'Calc'!$Y$15))))))</x:f>
      </x:c>
      <x:c r="AC78" t="str">
        <x:f>IF(Calc!$Y$78&gt;'Calc'!$B$8,"",IF('Calc'!$E$15=1,0,MIN(Calc!$AA$77*(1+'财富模型'!$E$20/12)+'Calc'!$B$6,IF(Calc!$Y$78&lt;='财富模型'!$E$11*12,'Calc'!$W$15,'Calc'!$Y$15))))</x:f>
      </x:c>
      <x:c r="AD78" t="str">
        <x:f>IF(Calc!$Y$78&gt;'Calc'!$B$8,"",'Calc'!$B$5-'财富模型'!$E$5-(IF('Calc'!$E$15=1,'财富模型'!$E$9,'财富模型'!$M$7+IF(Calc!$Y$78&lt;='财富模型'!$E$11*12,'Calc'!$W$15,'Calc'!$Y$15)-(IF('Calc'!$E$15=1,0,MIN(Calc!$AA$77*(1+'财富模型'!$E$20/12)+'Calc'!$B$6,IF(Calc!$Y$78&lt;='财富模型'!$E$11*12,'Calc'!$W$15,'Calc'!$Y$15)))))))</x:f>
      </x:c>
      <x:c r="AE78" t="str">
        <x:f>IF(Calc!$Y$78&gt;'Calc'!$B$8,"",IF('Calc'!$E$15=1,0,MAX(Calc!$AE$77*(1+IF(Calc!$Y$78&lt;='财富模型'!$E$11*12,'财富模型'!$E$10,'财富模型'!$E$12)/12)-IF('Calc'!$E$15=1,0,IF(Calc!$Y$78&lt;='财富模型'!$E$11*12,'Calc'!$W$15,'Calc'!$Y$15)),0)))</x:f>
      </x:c>
      <x:c r="AG78" t="n">
        <x:v>57</x:v>
      </x:c>
      <x:c r="AH78" t="str">
        <x:f>IF(Calc!$AG$78&gt;'Calc'!$B$8,"",MAX(Calc!$AH$77*(1+'财富模型'!$E$6/12)+('Calc'!$B$5-'财富模型'!$E$5-(IF('Calc'!$E$16=1,'财富模型'!$E$9,'财富模型'!$M$8+IF(Calc!$AG$78&lt;='财富模型'!$E$11*12,'Calc'!$W$16,'Calc'!$Y$16)-(IF('Calc'!$E$16=1,0,MIN(Calc!$AI$77*(1+'财富模型'!$E$20/12)+'Calc'!$B$6,IF(Calc!$AG$78&lt;='财富模型'!$E$11*12,'Calc'!$W$16,'Calc'!$Y$16))))))),0))</x:f>
      </x:c>
      <x:c r="AI78" t="str">
        <x:f>IF(Calc!$AG$78&gt;'Calc'!$B$8,"",MAX(Calc!$AI$77*(1+'财富模型'!$E$20/12)+'Calc'!$B$6-(IF('Calc'!$E$16=1,0,MIN(Calc!$AI$77*(1+'财富模型'!$E$20/12)+'Calc'!$B$6,IF(Calc!$AG$78&lt;='财富模型'!$E$11*12,'Calc'!$W$16,'Calc'!$Y$16)))),0))</x:f>
      </x:c>
      <x:c r="AJ78" t="str">
        <x:f>IF(Calc!$AG$78&gt;'Calc'!$B$8,"",IF('Calc'!$E$16=1,'财富模型'!$E$9,'财富模型'!$M$8+IF(Calc!$AG$78&lt;='财富模型'!$E$11*12,'Calc'!$W$16,'Calc'!$Y$16)-(IF('Calc'!$E$16=1,0,MIN(Calc!$AI$77*(1+'财富模型'!$E$20/12)+'Calc'!$B$6,IF(Calc!$AG$78&lt;='财富模型'!$E$11*12,'Calc'!$W$16,'Calc'!$Y$16))))))</x:f>
      </x:c>
      <x:c r="AK78" t="str">
        <x:f>IF(Calc!$AG$78&gt;'Calc'!$B$8,"",IF('Calc'!$E$16=1,0,MIN(Calc!$AI$77*(1+'财富模型'!$E$20/12)+'Calc'!$B$6,IF(Calc!$AG$78&lt;='财富模型'!$E$11*12,'Calc'!$W$16,'Calc'!$Y$16))))</x:f>
      </x:c>
      <x:c r="AL78" t="str">
        <x:f>IF(Calc!$AG$78&gt;'Calc'!$B$8,"",'Calc'!$B$5-'财富模型'!$E$5-(IF('Calc'!$E$16=1,'财富模型'!$E$9,'财富模型'!$M$8+IF(Calc!$AG$78&lt;='财富模型'!$E$11*12,'Calc'!$W$16,'Calc'!$Y$16)-(IF('Calc'!$E$16=1,0,MIN(Calc!$AI$77*(1+'财富模型'!$E$20/12)+'Calc'!$B$6,IF(Calc!$AG$78&lt;='财富模型'!$E$11*12,'Calc'!$W$16,'Calc'!$Y$16)))))))</x:f>
      </x:c>
      <x:c r="AM78" t="str">
        <x:f>IF(Calc!$AG$78&gt;'Calc'!$B$8,"",IF('Calc'!$E$16=1,0,MAX(Calc!$AM$77*(1+IF(Calc!$AG$78&lt;='财富模型'!$E$11*12,'财富模型'!$E$10,'财富模型'!$E$12)/12)-IF('Calc'!$E$16=1,0,IF(Calc!$AG$78&lt;='财富模型'!$E$11*12,'Calc'!$W$16,'Calc'!$Y$16)),0)))</x:f>
      </x:c>
      <x:c r="AO78" t="n">
        <x:v>57</x:v>
      </x:c>
      <x:c r="AP78" t="str">
        <x:f>IF(Calc!$AO$78&gt;'Calc'!$B$8,"",MAX(Calc!$AP$77*(1+'财富模型'!$E$6/12)+('Calc'!$B$5-'财富模型'!$E$5-(IF('Calc'!$E$17=1,'财富模型'!$E$9,'财富模型'!$M$9+IF(Calc!$AO$78&lt;='财富模型'!$E$11*12,'Calc'!$W$17,'Calc'!$Y$17)-(IF('Calc'!$E$17=1,0,MIN(Calc!$AQ$77*(1+'财富模型'!$E$20/12)+'Calc'!$B$6,IF(Calc!$AO$78&lt;='财富模型'!$E$11*12,'Calc'!$W$17,'Calc'!$Y$17))))))),0))</x:f>
      </x:c>
      <x:c r="AQ78" t="str">
        <x:f>IF(Calc!$AO$78&gt;'Calc'!$B$8,"",MAX(Calc!$AQ$77*(1+'财富模型'!$E$20/12)+'Calc'!$B$6-(IF('Calc'!$E$17=1,0,MIN(Calc!$AQ$77*(1+'财富模型'!$E$20/12)+'Calc'!$B$6,IF(Calc!$AO$78&lt;='财富模型'!$E$11*12,'Calc'!$W$17,'Calc'!$Y$17)))),0))</x:f>
      </x:c>
      <x:c r="AR78" t="str">
        <x:f>IF(Calc!$AO$78&gt;'Calc'!$B$8,"",IF('Calc'!$E$17=1,'财富模型'!$E$9,'财富模型'!$M$9+IF(Calc!$AO$78&lt;='财富模型'!$E$11*12,'Calc'!$W$17,'Calc'!$Y$17)-(IF('Calc'!$E$17=1,0,MIN(Calc!$AQ$77*(1+'财富模型'!$E$20/12)+'Calc'!$B$6,IF(Calc!$AO$78&lt;='财富模型'!$E$11*12,'Calc'!$W$17,'Calc'!$Y$17))))))</x:f>
      </x:c>
      <x:c r="AS78" t="str">
        <x:f>IF(Calc!$AO$78&gt;'Calc'!$B$8,"",IF('Calc'!$E$17=1,0,MIN(Calc!$AQ$77*(1+'财富模型'!$E$20/12)+'Calc'!$B$6,IF(Calc!$AO$78&lt;='财富模型'!$E$11*12,'Calc'!$W$17,'Calc'!$Y$17))))</x:f>
      </x:c>
      <x:c r="AT78" t="str">
        <x:f>IF(Calc!$AO$78&gt;'Calc'!$B$8,"",'Calc'!$B$5-'财富模型'!$E$5-(IF('Calc'!$E$17=1,'财富模型'!$E$9,'财富模型'!$M$9+IF(Calc!$AO$78&lt;='财富模型'!$E$11*12,'Calc'!$W$17,'Calc'!$Y$17)-(IF('Calc'!$E$17=1,0,MIN(Calc!$AQ$77*(1+'财富模型'!$E$20/12)+'Calc'!$B$6,IF(Calc!$AO$78&lt;='财富模型'!$E$11*12,'Calc'!$W$17,'Calc'!$Y$17)))))))</x:f>
      </x:c>
      <x:c r="AU78" t="str">
        <x:f>IF(Calc!$AO$78&gt;'Calc'!$B$8,"",IF('Calc'!$E$17=1,0,MAX(Calc!$AU$77*(1+IF(Calc!$AO$78&lt;='财富模型'!$E$11*12,'财富模型'!$E$10,'财富模型'!$E$12)/12)-IF('Calc'!$E$17=1,0,IF(Calc!$AO$78&lt;='财富模型'!$E$11*12,'Calc'!$W$17,'Calc'!$Y$17)),0)))</x:f>
      </x:c>
    </x:row>
    <x:row r="79">
      <x:c r="A79" t="n">
        <x:v>58</x:v>
      </x:c>
      <x:c r="B79" t="str">
        <x:f>IF(Calc!$A$79&gt;'Calc'!$B$8,"",MAX(Calc!$B$78*(1+'财富模型'!$E$6/12)+('Calc'!$B$5-'财富模型'!$E$5-(IF('Calc'!$E$12=1,'财富模型'!$E$9,'财富模型'!$M$4+IF(Calc!$A$79&lt;='财富模型'!$E$11*12,'Calc'!$W$12,'Calc'!$Y$12)-(IF('Calc'!$E$12=1,0,MIN(Calc!$C$78*(1+'财富模型'!$E$20/12)+'Calc'!$B$6,IF(Calc!$A$79&lt;='财富模型'!$E$11*12,'Calc'!$W$12,'Calc'!$Y$12))))))),0))</x:f>
      </x:c>
      <x:c r="C79" t="str">
        <x:f>IF(Calc!$A$79&gt;'Calc'!$B$8,"",MAX(Calc!$C$78*(1+'财富模型'!$E$20/12)+'Calc'!$B$6-(IF('Calc'!$E$12=1,0,MIN(Calc!$C$78*(1+'财富模型'!$E$20/12)+'Calc'!$B$6,IF(Calc!$A$79&lt;='财富模型'!$E$11*12,'Calc'!$W$12,'Calc'!$Y$12)))),0))</x:f>
      </x:c>
      <x:c r="D79" t="str">
        <x:f>IF(Calc!$A$79&gt;'Calc'!$B$8,"",IF('Calc'!$E$12=1,'财富模型'!$E$9,'财富模型'!$M$4+IF(Calc!$A$79&lt;='财富模型'!$E$11*12,'Calc'!$W$12,'Calc'!$Y$12)-(IF('Calc'!$E$12=1,0,MIN(Calc!$C$78*(1+'财富模型'!$E$20/12)+'Calc'!$B$6,IF(Calc!$A$79&lt;='财富模型'!$E$11*12,'Calc'!$W$12,'Calc'!$Y$12))))))</x:f>
      </x:c>
      <x:c r="E79" t="str">
        <x:f>IF(Calc!$A$79&gt;'Calc'!$B$8,"",IF('Calc'!$E$12=1,0,MIN(Calc!$C$78*(1+'财富模型'!$E$20/12)+'Calc'!$B$6,IF(Calc!$A$79&lt;='财富模型'!$E$11*12,'Calc'!$W$12,'Calc'!$Y$12))))</x:f>
      </x:c>
      <x:c r="F79" t="str">
        <x:f>IF(Calc!$A$79&gt;'Calc'!$B$8,"",'Calc'!$B$5-'财富模型'!$E$5-(IF('Calc'!$E$12=1,'财富模型'!$E$9,'财富模型'!$M$4+IF(Calc!$A$79&lt;='财富模型'!$E$11*12,'Calc'!$W$12,'Calc'!$Y$12)-(IF('Calc'!$E$12=1,0,MIN(Calc!$C$78*(1+'财富模型'!$E$20/12)+'Calc'!$B$6,IF(Calc!$A$79&lt;='财富模型'!$E$11*12,'Calc'!$W$12,'Calc'!$Y$12)))))))</x:f>
      </x:c>
      <x:c r="G79" t="str">
        <x:f>IF(Calc!$A$79&gt;'Calc'!$B$8,"",IF('Calc'!$E$12=1,0,MAX(Calc!$G$78*(1+IF(Calc!$A$79&lt;='财富模型'!$E$11*12,'财富模型'!$E$10,'财富模型'!$E$12)/12)-IF('Calc'!$E$12=1,0,IF(Calc!$A$79&lt;='财富模型'!$E$11*12,'Calc'!$W$12,'Calc'!$Y$12)),0)))</x:f>
      </x:c>
      <x:c r="I79" t="n">
        <x:v>58</x:v>
      </x:c>
      <x:c r="J79" t="str">
        <x:f>IF(Calc!$I$79&gt;'Calc'!$B$8,"",MAX(Calc!$J$78*(1+'财富模型'!$E$6/12)+('Calc'!$B$5-'财富模型'!$E$5-(IF('Calc'!$E$13=1,'财富模型'!$E$9,'财富模型'!$M$5+IF(Calc!$I$79&lt;='财富模型'!$E$11*12,'Calc'!$W$13,'Calc'!$Y$13)-(IF('Calc'!$E$13=1,0,MIN(Calc!$K$78*(1+'财富模型'!$E$20/12)+'Calc'!$B$6,IF(Calc!$I$79&lt;='财富模型'!$E$11*12,'Calc'!$W$13,'Calc'!$Y$13))))))),0))</x:f>
      </x:c>
      <x:c r="K79" t="str">
        <x:f>IF(Calc!$I$79&gt;'Calc'!$B$8,"",MAX(Calc!$K$78*(1+'财富模型'!$E$20/12)+'Calc'!$B$6-(IF('Calc'!$E$13=1,0,MIN(Calc!$K$78*(1+'财富模型'!$E$20/12)+'Calc'!$B$6,IF(Calc!$I$79&lt;='财富模型'!$E$11*12,'Calc'!$W$13,'Calc'!$Y$13)))),0))</x:f>
      </x:c>
      <x:c r="L79" t="str">
        <x:f>IF(Calc!$I$79&gt;'Calc'!$B$8,"",IF('Calc'!$E$13=1,'财富模型'!$E$9,'财富模型'!$M$5+IF(Calc!$I$79&lt;='财富模型'!$E$11*12,'Calc'!$W$13,'Calc'!$Y$13)-(IF('Calc'!$E$13=1,0,MIN(Calc!$K$78*(1+'财富模型'!$E$20/12)+'Calc'!$B$6,IF(Calc!$I$79&lt;='财富模型'!$E$11*12,'Calc'!$W$13,'Calc'!$Y$13))))))</x:f>
      </x:c>
      <x:c r="M79" t="str">
        <x:f>IF(Calc!$I$79&gt;'Calc'!$B$8,"",IF('Calc'!$E$13=1,0,MIN(Calc!$K$78*(1+'财富模型'!$E$20/12)+'Calc'!$B$6,IF(Calc!$I$79&lt;='财富模型'!$E$11*12,'Calc'!$W$13,'Calc'!$Y$13))))</x:f>
      </x:c>
      <x:c r="N79" t="str">
        <x:f>IF(Calc!$I$79&gt;'Calc'!$B$8,"",'Calc'!$B$5-'财富模型'!$E$5-(IF('Calc'!$E$13=1,'财富模型'!$E$9,'财富模型'!$M$5+IF(Calc!$I$79&lt;='财富模型'!$E$11*12,'Calc'!$W$13,'Calc'!$Y$13)-(IF('Calc'!$E$13=1,0,MIN(Calc!$K$78*(1+'财富模型'!$E$20/12)+'Calc'!$B$6,IF(Calc!$I$79&lt;='财富模型'!$E$11*12,'Calc'!$W$13,'Calc'!$Y$13)))))))</x:f>
      </x:c>
      <x:c r="O79" t="str">
        <x:f>IF(Calc!$I$79&gt;'Calc'!$B$8,"",IF('Calc'!$E$13=1,0,MAX(Calc!$O$78*(1+IF(Calc!$I$79&lt;='财富模型'!$E$11*12,'财富模型'!$E$10,'财富模型'!$E$12)/12)-IF('Calc'!$E$13=1,0,IF(Calc!$I$79&lt;='财富模型'!$E$11*12,'Calc'!$W$13,'Calc'!$Y$13)),0)))</x:f>
      </x:c>
      <x:c r="Q79" t="n">
        <x:v>58</x:v>
      </x:c>
      <x:c r="R79" t="str">
        <x:f>IF(Calc!$Q$79&gt;'Calc'!$B$8,"",MAX(Calc!$R$78*(1+'财富模型'!$E$6/12)+('Calc'!$B$5-'财富模型'!$E$5-(IF('Calc'!$E$14=1,'财富模型'!$E$9,'财富模型'!$M$6+IF(Calc!$Q$79&lt;='财富模型'!$E$11*12,'Calc'!$W$14,'Calc'!$Y$14)-(IF('Calc'!$E$14=1,0,MIN(Calc!$S$78*(1+'财富模型'!$E$20/12)+'Calc'!$B$6,IF(Calc!$Q$79&lt;='财富模型'!$E$11*12,'Calc'!$W$14,'Calc'!$Y$14))))))),0))</x:f>
      </x:c>
      <x:c r="S79" t="str">
        <x:f>IF(Calc!$Q$79&gt;'Calc'!$B$8,"",MAX(Calc!$S$78*(1+'财富模型'!$E$20/12)+'Calc'!$B$6-(IF('Calc'!$E$14=1,0,MIN(Calc!$S$78*(1+'财富模型'!$E$20/12)+'Calc'!$B$6,IF(Calc!$Q$79&lt;='财富模型'!$E$11*12,'Calc'!$W$14,'Calc'!$Y$14)))),0))</x:f>
      </x:c>
      <x:c r="T79" t="str">
        <x:f>IF(Calc!$Q$79&gt;'Calc'!$B$8,"",IF('Calc'!$E$14=1,'财富模型'!$E$9,'财富模型'!$M$6+IF(Calc!$Q$79&lt;='财富模型'!$E$11*12,'Calc'!$W$14,'Calc'!$Y$14)-(IF('Calc'!$E$14=1,0,MIN(Calc!$S$78*(1+'财富模型'!$E$20/12)+'Calc'!$B$6,IF(Calc!$Q$79&lt;='财富模型'!$E$11*12,'Calc'!$W$14,'Calc'!$Y$14))))))</x:f>
      </x:c>
      <x:c r="U79" t="str">
        <x:f>IF(Calc!$Q$79&gt;'Calc'!$B$8,"",IF('Calc'!$E$14=1,0,MIN(Calc!$S$78*(1+'财富模型'!$E$20/12)+'Calc'!$B$6,IF(Calc!$Q$79&lt;='财富模型'!$E$11*12,'Calc'!$W$14,'Calc'!$Y$14))))</x:f>
      </x:c>
      <x:c r="V79" t="str">
        <x:f>IF(Calc!$Q$79&gt;'Calc'!$B$8,"",'Calc'!$B$5-'财富模型'!$E$5-(IF('Calc'!$E$14=1,'财富模型'!$E$9,'财富模型'!$M$6+IF(Calc!$Q$79&lt;='财富模型'!$E$11*12,'Calc'!$W$14,'Calc'!$Y$14)-(IF('Calc'!$E$14=1,0,MIN(Calc!$S$78*(1+'财富模型'!$E$20/12)+'Calc'!$B$6,IF(Calc!$Q$79&lt;='财富模型'!$E$11*12,'Calc'!$W$14,'Calc'!$Y$14)))))))</x:f>
      </x:c>
      <x:c r="W79" t="str">
        <x:f>IF(Calc!$Q$79&gt;'Calc'!$B$8,"",IF('Calc'!$E$14=1,0,MAX(Calc!$W$78*(1+IF(Calc!$Q$79&lt;='财富模型'!$E$11*12,'财富模型'!$E$10,'财富模型'!$E$12)/12)-IF('Calc'!$E$14=1,0,IF(Calc!$Q$79&lt;='财富模型'!$E$11*12,'Calc'!$W$14,'Calc'!$Y$14)),0)))</x:f>
      </x:c>
      <x:c r="Y79" t="n">
        <x:v>58</x:v>
      </x:c>
      <x:c r="Z79" t="str">
        <x:f>IF(Calc!$Y$79&gt;'Calc'!$B$8,"",MAX(Calc!$Z$78*(1+'财富模型'!$E$6/12)+('Calc'!$B$5-'财富模型'!$E$5-(IF('Calc'!$E$15=1,'财富模型'!$E$9,'财富模型'!$M$7+IF(Calc!$Y$79&lt;='财富模型'!$E$11*12,'Calc'!$W$15,'Calc'!$Y$15)-(IF('Calc'!$E$15=1,0,MIN(Calc!$AA$78*(1+'财富模型'!$E$20/12)+'Calc'!$B$6,IF(Calc!$Y$79&lt;='财富模型'!$E$11*12,'Calc'!$W$15,'Calc'!$Y$15))))))),0))</x:f>
      </x:c>
      <x:c r="AA79" t="str">
        <x:f>IF(Calc!$Y$79&gt;'Calc'!$B$8,"",MAX(Calc!$AA$78*(1+'财富模型'!$E$20/12)+'Calc'!$B$6-(IF('Calc'!$E$15=1,0,MIN(Calc!$AA$78*(1+'财富模型'!$E$20/12)+'Calc'!$B$6,IF(Calc!$Y$79&lt;='财富模型'!$E$11*12,'Calc'!$W$15,'Calc'!$Y$15)))),0))</x:f>
      </x:c>
      <x:c r="AB79" t="str">
        <x:f>IF(Calc!$Y$79&gt;'Calc'!$B$8,"",IF('Calc'!$E$15=1,'财富模型'!$E$9,'财富模型'!$M$7+IF(Calc!$Y$79&lt;='财富模型'!$E$11*12,'Calc'!$W$15,'Calc'!$Y$15)-(IF('Calc'!$E$15=1,0,MIN(Calc!$AA$78*(1+'财富模型'!$E$20/12)+'Calc'!$B$6,IF(Calc!$Y$79&lt;='财富模型'!$E$11*12,'Calc'!$W$15,'Calc'!$Y$15))))))</x:f>
      </x:c>
      <x:c r="AC79" t="str">
        <x:f>IF(Calc!$Y$79&gt;'Calc'!$B$8,"",IF('Calc'!$E$15=1,0,MIN(Calc!$AA$78*(1+'财富模型'!$E$20/12)+'Calc'!$B$6,IF(Calc!$Y$79&lt;='财富模型'!$E$11*12,'Calc'!$W$15,'Calc'!$Y$15))))</x:f>
      </x:c>
      <x:c r="AD79" t="str">
        <x:f>IF(Calc!$Y$79&gt;'Calc'!$B$8,"",'Calc'!$B$5-'财富模型'!$E$5-(IF('Calc'!$E$15=1,'财富模型'!$E$9,'财富模型'!$M$7+IF(Calc!$Y$79&lt;='财富模型'!$E$11*12,'Calc'!$W$15,'Calc'!$Y$15)-(IF('Calc'!$E$15=1,0,MIN(Calc!$AA$78*(1+'财富模型'!$E$20/12)+'Calc'!$B$6,IF(Calc!$Y$79&lt;='财富模型'!$E$11*12,'Calc'!$W$15,'Calc'!$Y$15)))))))</x:f>
      </x:c>
      <x:c r="AE79" t="str">
        <x:f>IF(Calc!$Y$79&gt;'Calc'!$B$8,"",IF('Calc'!$E$15=1,0,MAX(Calc!$AE$78*(1+IF(Calc!$Y$79&lt;='财富模型'!$E$11*12,'财富模型'!$E$10,'财富模型'!$E$12)/12)-IF('Calc'!$E$15=1,0,IF(Calc!$Y$79&lt;='财富模型'!$E$11*12,'Calc'!$W$15,'Calc'!$Y$15)),0)))</x:f>
      </x:c>
      <x:c r="AG79" t="n">
        <x:v>58</x:v>
      </x:c>
      <x:c r="AH79" t="str">
        <x:f>IF(Calc!$AG$79&gt;'Calc'!$B$8,"",MAX(Calc!$AH$78*(1+'财富模型'!$E$6/12)+('Calc'!$B$5-'财富模型'!$E$5-(IF('Calc'!$E$16=1,'财富模型'!$E$9,'财富模型'!$M$8+IF(Calc!$AG$79&lt;='财富模型'!$E$11*12,'Calc'!$W$16,'Calc'!$Y$16)-(IF('Calc'!$E$16=1,0,MIN(Calc!$AI$78*(1+'财富模型'!$E$20/12)+'Calc'!$B$6,IF(Calc!$AG$79&lt;='财富模型'!$E$11*12,'Calc'!$W$16,'Calc'!$Y$16))))))),0))</x:f>
      </x:c>
      <x:c r="AI79" t="str">
        <x:f>IF(Calc!$AG$79&gt;'Calc'!$B$8,"",MAX(Calc!$AI$78*(1+'财富模型'!$E$20/12)+'Calc'!$B$6-(IF('Calc'!$E$16=1,0,MIN(Calc!$AI$78*(1+'财富模型'!$E$20/12)+'Calc'!$B$6,IF(Calc!$AG$79&lt;='财富模型'!$E$11*12,'Calc'!$W$16,'Calc'!$Y$16)))),0))</x:f>
      </x:c>
      <x:c r="AJ79" t="str">
        <x:f>IF(Calc!$AG$79&gt;'Calc'!$B$8,"",IF('Calc'!$E$16=1,'财富模型'!$E$9,'财富模型'!$M$8+IF(Calc!$AG$79&lt;='财富模型'!$E$11*12,'Calc'!$W$16,'Calc'!$Y$16)-(IF('Calc'!$E$16=1,0,MIN(Calc!$AI$78*(1+'财富模型'!$E$20/12)+'Calc'!$B$6,IF(Calc!$AG$79&lt;='财富模型'!$E$11*12,'Calc'!$W$16,'Calc'!$Y$16))))))</x:f>
      </x:c>
      <x:c r="AK79" t="str">
        <x:f>IF(Calc!$AG$79&gt;'Calc'!$B$8,"",IF('Calc'!$E$16=1,0,MIN(Calc!$AI$78*(1+'财富模型'!$E$20/12)+'Calc'!$B$6,IF(Calc!$AG$79&lt;='财富模型'!$E$11*12,'Calc'!$W$16,'Calc'!$Y$16))))</x:f>
      </x:c>
      <x:c r="AL79" t="str">
        <x:f>IF(Calc!$AG$79&gt;'Calc'!$B$8,"",'Calc'!$B$5-'财富模型'!$E$5-(IF('Calc'!$E$16=1,'财富模型'!$E$9,'财富模型'!$M$8+IF(Calc!$AG$79&lt;='财富模型'!$E$11*12,'Calc'!$W$16,'Calc'!$Y$16)-(IF('Calc'!$E$16=1,0,MIN(Calc!$AI$78*(1+'财富模型'!$E$20/12)+'Calc'!$B$6,IF(Calc!$AG$79&lt;='财富模型'!$E$11*12,'Calc'!$W$16,'Calc'!$Y$16)))))))</x:f>
      </x:c>
      <x:c r="AM79" t="str">
        <x:f>IF(Calc!$AG$79&gt;'Calc'!$B$8,"",IF('Calc'!$E$16=1,0,MAX(Calc!$AM$78*(1+IF(Calc!$AG$79&lt;='财富模型'!$E$11*12,'财富模型'!$E$10,'财富模型'!$E$12)/12)-IF('Calc'!$E$16=1,0,IF(Calc!$AG$79&lt;='财富模型'!$E$11*12,'Calc'!$W$16,'Calc'!$Y$16)),0)))</x:f>
      </x:c>
      <x:c r="AO79" t="n">
        <x:v>58</x:v>
      </x:c>
      <x:c r="AP79" t="str">
        <x:f>IF(Calc!$AO$79&gt;'Calc'!$B$8,"",MAX(Calc!$AP$78*(1+'财富模型'!$E$6/12)+('Calc'!$B$5-'财富模型'!$E$5-(IF('Calc'!$E$17=1,'财富模型'!$E$9,'财富模型'!$M$9+IF(Calc!$AO$79&lt;='财富模型'!$E$11*12,'Calc'!$W$17,'Calc'!$Y$17)-(IF('Calc'!$E$17=1,0,MIN(Calc!$AQ$78*(1+'财富模型'!$E$20/12)+'Calc'!$B$6,IF(Calc!$AO$79&lt;='财富模型'!$E$11*12,'Calc'!$W$17,'Calc'!$Y$17))))))),0))</x:f>
      </x:c>
      <x:c r="AQ79" t="str">
        <x:f>IF(Calc!$AO$79&gt;'Calc'!$B$8,"",MAX(Calc!$AQ$78*(1+'财富模型'!$E$20/12)+'Calc'!$B$6-(IF('Calc'!$E$17=1,0,MIN(Calc!$AQ$78*(1+'财富模型'!$E$20/12)+'Calc'!$B$6,IF(Calc!$AO$79&lt;='财富模型'!$E$11*12,'Calc'!$W$17,'Calc'!$Y$17)))),0))</x:f>
      </x:c>
      <x:c r="AR79" t="str">
        <x:f>IF(Calc!$AO$79&gt;'Calc'!$B$8,"",IF('Calc'!$E$17=1,'财富模型'!$E$9,'财富模型'!$M$9+IF(Calc!$AO$79&lt;='财富模型'!$E$11*12,'Calc'!$W$17,'Calc'!$Y$17)-(IF('Calc'!$E$17=1,0,MIN(Calc!$AQ$78*(1+'财富模型'!$E$20/12)+'Calc'!$B$6,IF(Calc!$AO$79&lt;='财富模型'!$E$11*12,'Calc'!$W$17,'Calc'!$Y$17))))))</x:f>
      </x:c>
      <x:c r="AS79" t="str">
        <x:f>IF(Calc!$AO$79&gt;'Calc'!$B$8,"",IF('Calc'!$E$17=1,0,MIN(Calc!$AQ$78*(1+'财富模型'!$E$20/12)+'Calc'!$B$6,IF(Calc!$AO$79&lt;='财富模型'!$E$11*12,'Calc'!$W$17,'Calc'!$Y$17))))</x:f>
      </x:c>
      <x:c r="AT79" t="str">
        <x:f>IF(Calc!$AO$79&gt;'Calc'!$B$8,"",'Calc'!$B$5-'财富模型'!$E$5-(IF('Calc'!$E$17=1,'财富模型'!$E$9,'财富模型'!$M$9+IF(Calc!$AO$79&lt;='财富模型'!$E$11*12,'Calc'!$W$17,'Calc'!$Y$17)-(IF('Calc'!$E$17=1,0,MIN(Calc!$AQ$78*(1+'财富模型'!$E$20/12)+'Calc'!$B$6,IF(Calc!$AO$79&lt;='财富模型'!$E$11*12,'Calc'!$W$17,'Calc'!$Y$17)))))))</x:f>
      </x:c>
      <x:c r="AU79" t="str">
        <x:f>IF(Calc!$AO$79&gt;'Calc'!$B$8,"",IF('Calc'!$E$17=1,0,MAX(Calc!$AU$78*(1+IF(Calc!$AO$79&lt;='财富模型'!$E$11*12,'财富模型'!$E$10,'财富模型'!$E$12)/12)-IF('Calc'!$E$17=1,0,IF(Calc!$AO$79&lt;='财富模型'!$E$11*12,'Calc'!$W$17,'Calc'!$Y$17)),0)))</x:f>
      </x:c>
    </x:row>
    <x:row r="80">
      <x:c r="A80" t="n">
        <x:v>59</x:v>
      </x:c>
      <x:c r="B80" t="str">
        <x:f>IF(Calc!$A$80&gt;'Calc'!$B$8,"",MAX(Calc!$B$79*(1+'财富模型'!$E$6/12)+('Calc'!$B$5-'财富模型'!$E$5-(IF('Calc'!$E$12=1,'财富模型'!$E$9,'财富模型'!$M$4+IF(Calc!$A$80&lt;='财富模型'!$E$11*12,'Calc'!$W$12,'Calc'!$Y$12)-(IF('Calc'!$E$12=1,0,MIN(Calc!$C$79*(1+'财富模型'!$E$20/12)+'Calc'!$B$6,IF(Calc!$A$80&lt;='财富模型'!$E$11*12,'Calc'!$W$12,'Calc'!$Y$12))))))),0))</x:f>
      </x:c>
      <x:c r="C80" t="str">
        <x:f>IF(Calc!$A$80&gt;'Calc'!$B$8,"",MAX(Calc!$C$79*(1+'财富模型'!$E$20/12)+'Calc'!$B$6-(IF('Calc'!$E$12=1,0,MIN(Calc!$C$79*(1+'财富模型'!$E$20/12)+'Calc'!$B$6,IF(Calc!$A$80&lt;='财富模型'!$E$11*12,'Calc'!$W$12,'Calc'!$Y$12)))),0))</x:f>
      </x:c>
      <x:c r="D80" t="str">
        <x:f>IF(Calc!$A$80&gt;'Calc'!$B$8,"",IF('Calc'!$E$12=1,'财富模型'!$E$9,'财富模型'!$M$4+IF(Calc!$A$80&lt;='财富模型'!$E$11*12,'Calc'!$W$12,'Calc'!$Y$12)-(IF('Calc'!$E$12=1,0,MIN(Calc!$C$79*(1+'财富模型'!$E$20/12)+'Calc'!$B$6,IF(Calc!$A$80&lt;='财富模型'!$E$11*12,'Calc'!$W$12,'Calc'!$Y$12))))))</x:f>
      </x:c>
      <x:c r="E80" t="str">
        <x:f>IF(Calc!$A$80&gt;'Calc'!$B$8,"",IF('Calc'!$E$12=1,0,MIN(Calc!$C$79*(1+'财富模型'!$E$20/12)+'Calc'!$B$6,IF(Calc!$A$80&lt;='财富模型'!$E$11*12,'Calc'!$W$12,'Calc'!$Y$12))))</x:f>
      </x:c>
      <x:c r="F80" t="str">
        <x:f>IF(Calc!$A$80&gt;'Calc'!$B$8,"",'Calc'!$B$5-'财富模型'!$E$5-(IF('Calc'!$E$12=1,'财富模型'!$E$9,'财富模型'!$M$4+IF(Calc!$A$80&lt;='财富模型'!$E$11*12,'Calc'!$W$12,'Calc'!$Y$12)-(IF('Calc'!$E$12=1,0,MIN(Calc!$C$79*(1+'财富模型'!$E$20/12)+'Calc'!$B$6,IF(Calc!$A$80&lt;='财富模型'!$E$11*12,'Calc'!$W$12,'Calc'!$Y$12)))))))</x:f>
      </x:c>
      <x:c r="G80" t="str">
        <x:f>IF(Calc!$A$80&gt;'Calc'!$B$8,"",IF('Calc'!$E$12=1,0,MAX(Calc!$G$79*(1+IF(Calc!$A$80&lt;='财富模型'!$E$11*12,'财富模型'!$E$10,'财富模型'!$E$12)/12)-IF('Calc'!$E$12=1,0,IF(Calc!$A$80&lt;='财富模型'!$E$11*12,'Calc'!$W$12,'Calc'!$Y$12)),0)))</x:f>
      </x:c>
      <x:c r="I80" t="n">
        <x:v>59</x:v>
      </x:c>
      <x:c r="J80" t="str">
        <x:f>IF(Calc!$I$80&gt;'Calc'!$B$8,"",MAX(Calc!$J$79*(1+'财富模型'!$E$6/12)+('Calc'!$B$5-'财富模型'!$E$5-(IF('Calc'!$E$13=1,'财富模型'!$E$9,'财富模型'!$M$5+IF(Calc!$I$80&lt;='财富模型'!$E$11*12,'Calc'!$W$13,'Calc'!$Y$13)-(IF('Calc'!$E$13=1,0,MIN(Calc!$K$79*(1+'财富模型'!$E$20/12)+'Calc'!$B$6,IF(Calc!$I$80&lt;='财富模型'!$E$11*12,'Calc'!$W$13,'Calc'!$Y$13))))))),0))</x:f>
      </x:c>
      <x:c r="K80" t="str">
        <x:f>IF(Calc!$I$80&gt;'Calc'!$B$8,"",MAX(Calc!$K$79*(1+'财富模型'!$E$20/12)+'Calc'!$B$6-(IF('Calc'!$E$13=1,0,MIN(Calc!$K$79*(1+'财富模型'!$E$20/12)+'Calc'!$B$6,IF(Calc!$I$80&lt;='财富模型'!$E$11*12,'Calc'!$W$13,'Calc'!$Y$13)))),0))</x:f>
      </x:c>
      <x:c r="L80" t="str">
        <x:f>IF(Calc!$I$80&gt;'Calc'!$B$8,"",IF('Calc'!$E$13=1,'财富模型'!$E$9,'财富模型'!$M$5+IF(Calc!$I$80&lt;='财富模型'!$E$11*12,'Calc'!$W$13,'Calc'!$Y$13)-(IF('Calc'!$E$13=1,0,MIN(Calc!$K$79*(1+'财富模型'!$E$20/12)+'Calc'!$B$6,IF(Calc!$I$80&lt;='财富模型'!$E$11*12,'Calc'!$W$13,'Calc'!$Y$13))))))</x:f>
      </x:c>
      <x:c r="M80" t="str">
        <x:f>IF(Calc!$I$80&gt;'Calc'!$B$8,"",IF('Calc'!$E$13=1,0,MIN(Calc!$K$79*(1+'财富模型'!$E$20/12)+'Calc'!$B$6,IF(Calc!$I$80&lt;='财富模型'!$E$11*12,'Calc'!$W$13,'Calc'!$Y$13))))</x:f>
      </x:c>
      <x:c r="N80" t="str">
        <x:f>IF(Calc!$I$80&gt;'Calc'!$B$8,"",'Calc'!$B$5-'财富模型'!$E$5-(IF('Calc'!$E$13=1,'财富模型'!$E$9,'财富模型'!$M$5+IF(Calc!$I$80&lt;='财富模型'!$E$11*12,'Calc'!$W$13,'Calc'!$Y$13)-(IF('Calc'!$E$13=1,0,MIN(Calc!$K$79*(1+'财富模型'!$E$20/12)+'Calc'!$B$6,IF(Calc!$I$80&lt;='财富模型'!$E$11*12,'Calc'!$W$13,'Calc'!$Y$13)))))))</x:f>
      </x:c>
      <x:c r="O80" t="str">
        <x:f>IF(Calc!$I$80&gt;'Calc'!$B$8,"",IF('Calc'!$E$13=1,0,MAX(Calc!$O$79*(1+IF(Calc!$I$80&lt;='财富模型'!$E$11*12,'财富模型'!$E$10,'财富模型'!$E$12)/12)-IF('Calc'!$E$13=1,0,IF(Calc!$I$80&lt;='财富模型'!$E$11*12,'Calc'!$W$13,'Calc'!$Y$13)),0)))</x:f>
      </x:c>
      <x:c r="Q80" t="n">
        <x:v>59</x:v>
      </x:c>
      <x:c r="R80" t="str">
        <x:f>IF(Calc!$Q$80&gt;'Calc'!$B$8,"",MAX(Calc!$R$79*(1+'财富模型'!$E$6/12)+('Calc'!$B$5-'财富模型'!$E$5-(IF('Calc'!$E$14=1,'财富模型'!$E$9,'财富模型'!$M$6+IF(Calc!$Q$80&lt;='财富模型'!$E$11*12,'Calc'!$W$14,'Calc'!$Y$14)-(IF('Calc'!$E$14=1,0,MIN(Calc!$S$79*(1+'财富模型'!$E$20/12)+'Calc'!$B$6,IF(Calc!$Q$80&lt;='财富模型'!$E$11*12,'Calc'!$W$14,'Calc'!$Y$14))))))),0))</x:f>
      </x:c>
      <x:c r="S80" t="str">
        <x:f>IF(Calc!$Q$80&gt;'Calc'!$B$8,"",MAX(Calc!$S$79*(1+'财富模型'!$E$20/12)+'Calc'!$B$6-(IF('Calc'!$E$14=1,0,MIN(Calc!$S$79*(1+'财富模型'!$E$20/12)+'Calc'!$B$6,IF(Calc!$Q$80&lt;='财富模型'!$E$11*12,'Calc'!$W$14,'Calc'!$Y$14)))),0))</x:f>
      </x:c>
      <x:c r="T80" t="str">
        <x:f>IF(Calc!$Q$80&gt;'Calc'!$B$8,"",IF('Calc'!$E$14=1,'财富模型'!$E$9,'财富模型'!$M$6+IF(Calc!$Q$80&lt;='财富模型'!$E$11*12,'Calc'!$W$14,'Calc'!$Y$14)-(IF('Calc'!$E$14=1,0,MIN(Calc!$S$79*(1+'财富模型'!$E$20/12)+'Calc'!$B$6,IF(Calc!$Q$80&lt;='财富模型'!$E$11*12,'Calc'!$W$14,'Calc'!$Y$14))))))</x:f>
      </x:c>
      <x:c r="U80" t="str">
        <x:f>IF(Calc!$Q$80&gt;'Calc'!$B$8,"",IF('Calc'!$E$14=1,0,MIN(Calc!$S$79*(1+'财富模型'!$E$20/12)+'Calc'!$B$6,IF(Calc!$Q$80&lt;='财富模型'!$E$11*12,'Calc'!$W$14,'Calc'!$Y$14))))</x:f>
      </x:c>
      <x:c r="V80" t="str">
        <x:f>IF(Calc!$Q$80&gt;'Calc'!$B$8,"",'Calc'!$B$5-'财富模型'!$E$5-(IF('Calc'!$E$14=1,'财富模型'!$E$9,'财富模型'!$M$6+IF(Calc!$Q$80&lt;='财富模型'!$E$11*12,'Calc'!$W$14,'Calc'!$Y$14)-(IF('Calc'!$E$14=1,0,MIN(Calc!$S$79*(1+'财富模型'!$E$20/12)+'Calc'!$B$6,IF(Calc!$Q$80&lt;='财富模型'!$E$11*12,'Calc'!$W$14,'Calc'!$Y$14)))))))</x:f>
      </x:c>
      <x:c r="W80" t="str">
        <x:f>IF(Calc!$Q$80&gt;'Calc'!$B$8,"",IF('Calc'!$E$14=1,0,MAX(Calc!$W$79*(1+IF(Calc!$Q$80&lt;='财富模型'!$E$11*12,'财富模型'!$E$10,'财富模型'!$E$12)/12)-IF('Calc'!$E$14=1,0,IF(Calc!$Q$80&lt;='财富模型'!$E$11*12,'Calc'!$W$14,'Calc'!$Y$14)),0)))</x:f>
      </x:c>
      <x:c r="Y80" t="n">
        <x:v>59</x:v>
      </x:c>
      <x:c r="Z80" t="str">
        <x:f>IF(Calc!$Y$80&gt;'Calc'!$B$8,"",MAX(Calc!$Z$79*(1+'财富模型'!$E$6/12)+('Calc'!$B$5-'财富模型'!$E$5-(IF('Calc'!$E$15=1,'财富模型'!$E$9,'财富模型'!$M$7+IF(Calc!$Y$80&lt;='财富模型'!$E$11*12,'Calc'!$W$15,'Calc'!$Y$15)-(IF('Calc'!$E$15=1,0,MIN(Calc!$AA$79*(1+'财富模型'!$E$20/12)+'Calc'!$B$6,IF(Calc!$Y$80&lt;='财富模型'!$E$11*12,'Calc'!$W$15,'Calc'!$Y$15))))))),0))</x:f>
      </x:c>
      <x:c r="AA80" t="str">
        <x:f>IF(Calc!$Y$80&gt;'Calc'!$B$8,"",MAX(Calc!$AA$79*(1+'财富模型'!$E$20/12)+'Calc'!$B$6-(IF('Calc'!$E$15=1,0,MIN(Calc!$AA$79*(1+'财富模型'!$E$20/12)+'Calc'!$B$6,IF(Calc!$Y$80&lt;='财富模型'!$E$11*12,'Calc'!$W$15,'Calc'!$Y$15)))),0))</x:f>
      </x:c>
      <x:c r="AB80" t="str">
        <x:f>IF(Calc!$Y$80&gt;'Calc'!$B$8,"",IF('Calc'!$E$15=1,'财富模型'!$E$9,'财富模型'!$M$7+IF(Calc!$Y$80&lt;='财富模型'!$E$11*12,'Calc'!$W$15,'Calc'!$Y$15)-(IF('Calc'!$E$15=1,0,MIN(Calc!$AA$79*(1+'财富模型'!$E$20/12)+'Calc'!$B$6,IF(Calc!$Y$80&lt;='财富模型'!$E$11*12,'Calc'!$W$15,'Calc'!$Y$15))))))</x:f>
      </x:c>
      <x:c r="AC80" t="str">
        <x:f>IF(Calc!$Y$80&gt;'Calc'!$B$8,"",IF('Calc'!$E$15=1,0,MIN(Calc!$AA$79*(1+'财富模型'!$E$20/12)+'Calc'!$B$6,IF(Calc!$Y$80&lt;='财富模型'!$E$11*12,'Calc'!$W$15,'Calc'!$Y$15))))</x:f>
      </x:c>
      <x:c r="AD80" t="str">
        <x:f>IF(Calc!$Y$80&gt;'Calc'!$B$8,"",'Calc'!$B$5-'财富模型'!$E$5-(IF('Calc'!$E$15=1,'财富模型'!$E$9,'财富模型'!$M$7+IF(Calc!$Y$80&lt;='财富模型'!$E$11*12,'Calc'!$W$15,'Calc'!$Y$15)-(IF('Calc'!$E$15=1,0,MIN(Calc!$AA$79*(1+'财富模型'!$E$20/12)+'Calc'!$B$6,IF(Calc!$Y$80&lt;='财富模型'!$E$11*12,'Calc'!$W$15,'Calc'!$Y$15)))))))</x:f>
      </x:c>
      <x:c r="AE80" t="str">
        <x:f>IF(Calc!$Y$80&gt;'Calc'!$B$8,"",IF('Calc'!$E$15=1,0,MAX(Calc!$AE$79*(1+IF(Calc!$Y$80&lt;='财富模型'!$E$11*12,'财富模型'!$E$10,'财富模型'!$E$12)/12)-IF('Calc'!$E$15=1,0,IF(Calc!$Y$80&lt;='财富模型'!$E$11*12,'Calc'!$W$15,'Calc'!$Y$15)),0)))</x:f>
      </x:c>
      <x:c r="AG80" t="n">
        <x:v>59</x:v>
      </x:c>
      <x:c r="AH80" t="str">
        <x:f>IF(Calc!$AG$80&gt;'Calc'!$B$8,"",MAX(Calc!$AH$79*(1+'财富模型'!$E$6/12)+('Calc'!$B$5-'财富模型'!$E$5-(IF('Calc'!$E$16=1,'财富模型'!$E$9,'财富模型'!$M$8+IF(Calc!$AG$80&lt;='财富模型'!$E$11*12,'Calc'!$W$16,'Calc'!$Y$16)-(IF('Calc'!$E$16=1,0,MIN(Calc!$AI$79*(1+'财富模型'!$E$20/12)+'Calc'!$B$6,IF(Calc!$AG$80&lt;='财富模型'!$E$11*12,'Calc'!$W$16,'Calc'!$Y$16))))))),0))</x:f>
      </x:c>
      <x:c r="AI80" t="str">
        <x:f>IF(Calc!$AG$80&gt;'Calc'!$B$8,"",MAX(Calc!$AI$79*(1+'财富模型'!$E$20/12)+'Calc'!$B$6-(IF('Calc'!$E$16=1,0,MIN(Calc!$AI$79*(1+'财富模型'!$E$20/12)+'Calc'!$B$6,IF(Calc!$AG$80&lt;='财富模型'!$E$11*12,'Calc'!$W$16,'Calc'!$Y$16)))),0))</x:f>
      </x:c>
      <x:c r="AJ80" t="str">
        <x:f>IF(Calc!$AG$80&gt;'Calc'!$B$8,"",IF('Calc'!$E$16=1,'财富模型'!$E$9,'财富模型'!$M$8+IF(Calc!$AG$80&lt;='财富模型'!$E$11*12,'Calc'!$W$16,'Calc'!$Y$16)-(IF('Calc'!$E$16=1,0,MIN(Calc!$AI$79*(1+'财富模型'!$E$20/12)+'Calc'!$B$6,IF(Calc!$AG$80&lt;='财富模型'!$E$11*12,'Calc'!$W$16,'Calc'!$Y$16))))))</x:f>
      </x:c>
      <x:c r="AK80" t="str">
        <x:f>IF(Calc!$AG$80&gt;'Calc'!$B$8,"",IF('Calc'!$E$16=1,0,MIN(Calc!$AI$79*(1+'财富模型'!$E$20/12)+'Calc'!$B$6,IF(Calc!$AG$80&lt;='财富模型'!$E$11*12,'Calc'!$W$16,'Calc'!$Y$16))))</x:f>
      </x:c>
      <x:c r="AL80" t="str">
        <x:f>IF(Calc!$AG$80&gt;'Calc'!$B$8,"",'Calc'!$B$5-'财富模型'!$E$5-(IF('Calc'!$E$16=1,'财富模型'!$E$9,'财富模型'!$M$8+IF(Calc!$AG$80&lt;='财富模型'!$E$11*12,'Calc'!$W$16,'Calc'!$Y$16)-(IF('Calc'!$E$16=1,0,MIN(Calc!$AI$79*(1+'财富模型'!$E$20/12)+'Calc'!$B$6,IF(Calc!$AG$80&lt;='财富模型'!$E$11*12,'Calc'!$W$16,'Calc'!$Y$16)))))))</x:f>
      </x:c>
      <x:c r="AM80" t="str">
        <x:f>IF(Calc!$AG$80&gt;'Calc'!$B$8,"",IF('Calc'!$E$16=1,0,MAX(Calc!$AM$79*(1+IF(Calc!$AG$80&lt;='财富模型'!$E$11*12,'财富模型'!$E$10,'财富模型'!$E$12)/12)-IF('Calc'!$E$16=1,0,IF(Calc!$AG$80&lt;='财富模型'!$E$11*12,'Calc'!$W$16,'Calc'!$Y$16)),0)))</x:f>
      </x:c>
      <x:c r="AO80" t="n">
        <x:v>59</x:v>
      </x:c>
      <x:c r="AP80" t="str">
        <x:f>IF(Calc!$AO$80&gt;'Calc'!$B$8,"",MAX(Calc!$AP$79*(1+'财富模型'!$E$6/12)+('Calc'!$B$5-'财富模型'!$E$5-(IF('Calc'!$E$17=1,'财富模型'!$E$9,'财富模型'!$M$9+IF(Calc!$AO$80&lt;='财富模型'!$E$11*12,'Calc'!$W$17,'Calc'!$Y$17)-(IF('Calc'!$E$17=1,0,MIN(Calc!$AQ$79*(1+'财富模型'!$E$20/12)+'Calc'!$B$6,IF(Calc!$AO$80&lt;='财富模型'!$E$11*12,'Calc'!$W$17,'Calc'!$Y$17))))))),0))</x:f>
      </x:c>
      <x:c r="AQ80" t="str">
        <x:f>IF(Calc!$AO$80&gt;'Calc'!$B$8,"",MAX(Calc!$AQ$79*(1+'财富模型'!$E$20/12)+'Calc'!$B$6-(IF('Calc'!$E$17=1,0,MIN(Calc!$AQ$79*(1+'财富模型'!$E$20/12)+'Calc'!$B$6,IF(Calc!$AO$80&lt;='财富模型'!$E$11*12,'Calc'!$W$17,'Calc'!$Y$17)))),0))</x:f>
      </x:c>
      <x:c r="AR80" t="str">
        <x:f>IF(Calc!$AO$80&gt;'Calc'!$B$8,"",IF('Calc'!$E$17=1,'财富模型'!$E$9,'财富模型'!$M$9+IF(Calc!$AO$80&lt;='财富模型'!$E$11*12,'Calc'!$W$17,'Calc'!$Y$17)-(IF('Calc'!$E$17=1,0,MIN(Calc!$AQ$79*(1+'财富模型'!$E$20/12)+'Calc'!$B$6,IF(Calc!$AO$80&lt;='财富模型'!$E$11*12,'Calc'!$W$17,'Calc'!$Y$17))))))</x:f>
      </x:c>
      <x:c r="AS80" t="str">
        <x:f>IF(Calc!$AO$80&gt;'Calc'!$B$8,"",IF('Calc'!$E$17=1,0,MIN(Calc!$AQ$79*(1+'财富模型'!$E$20/12)+'Calc'!$B$6,IF(Calc!$AO$80&lt;='财富模型'!$E$11*12,'Calc'!$W$17,'Calc'!$Y$17))))</x:f>
      </x:c>
      <x:c r="AT80" t="str">
        <x:f>IF(Calc!$AO$80&gt;'Calc'!$B$8,"",'Calc'!$B$5-'财富模型'!$E$5-(IF('Calc'!$E$17=1,'财富模型'!$E$9,'财富模型'!$M$9+IF(Calc!$AO$80&lt;='财富模型'!$E$11*12,'Calc'!$W$17,'Calc'!$Y$17)-(IF('Calc'!$E$17=1,0,MIN(Calc!$AQ$79*(1+'财富模型'!$E$20/12)+'Calc'!$B$6,IF(Calc!$AO$80&lt;='财富模型'!$E$11*12,'Calc'!$W$17,'Calc'!$Y$17)))))))</x:f>
      </x:c>
      <x:c r="AU80" t="str">
        <x:f>IF(Calc!$AO$80&gt;'Calc'!$B$8,"",IF('Calc'!$E$17=1,0,MAX(Calc!$AU$79*(1+IF(Calc!$AO$80&lt;='财富模型'!$E$11*12,'财富模型'!$E$10,'财富模型'!$E$12)/12)-IF('Calc'!$E$17=1,0,IF(Calc!$AO$80&lt;='财富模型'!$E$11*12,'Calc'!$W$17,'Calc'!$Y$17)),0)))</x:f>
      </x:c>
    </x:row>
    <x:row r="81">
      <x:c r="A81" t="n">
        <x:v>60</x:v>
      </x:c>
      <x:c r="B81" t="str">
        <x:f>IF(Calc!$A$81&gt;'Calc'!$B$8,"",MAX(Calc!$B$80*(1+'财富模型'!$E$6/12)+('Calc'!$B$5-'财富模型'!$E$5-(IF('Calc'!$E$12=1,'财富模型'!$E$9,'财富模型'!$M$4+IF(Calc!$A$81&lt;='财富模型'!$E$11*12,'Calc'!$W$12,'Calc'!$Y$12)-(IF('Calc'!$E$12=1,0,MIN(Calc!$C$80*(1+'财富模型'!$E$20/12)+'Calc'!$B$6,IF(Calc!$A$81&lt;='财富模型'!$E$11*12,'Calc'!$W$12,'Calc'!$Y$12))))))),0))</x:f>
      </x:c>
      <x:c r="C81" t="str">
        <x:f>IF(Calc!$A$81&gt;'Calc'!$B$8,"",MAX(Calc!$C$80*(1+'财富模型'!$E$20/12)+'Calc'!$B$6-(IF('Calc'!$E$12=1,0,MIN(Calc!$C$80*(1+'财富模型'!$E$20/12)+'Calc'!$B$6,IF(Calc!$A$81&lt;='财富模型'!$E$11*12,'Calc'!$W$12,'Calc'!$Y$12)))),0))</x:f>
      </x:c>
      <x:c r="D81" t="str">
        <x:f>IF(Calc!$A$81&gt;'Calc'!$B$8,"",IF('Calc'!$E$12=1,'财富模型'!$E$9,'财富模型'!$M$4+IF(Calc!$A$81&lt;='财富模型'!$E$11*12,'Calc'!$W$12,'Calc'!$Y$12)-(IF('Calc'!$E$12=1,0,MIN(Calc!$C$80*(1+'财富模型'!$E$20/12)+'Calc'!$B$6,IF(Calc!$A$81&lt;='财富模型'!$E$11*12,'Calc'!$W$12,'Calc'!$Y$12))))))</x:f>
      </x:c>
      <x:c r="E81" t="str">
        <x:f>IF(Calc!$A$81&gt;'Calc'!$B$8,"",IF('Calc'!$E$12=1,0,MIN(Calc!$C$80*(1+'财富模型'!$E$20/12)+'Calc'!$B$6,IF(Calc!$A$81&lt;='财富模型'!$E$11*12,'Calc'!$W$12,'Calc'!$Y$12))))</x:f>
      </x:c>
      <x:c r="F81" t="str">
        <x:f>IF(Calc!$A$81&gt;'Calc'!$B$8,"",'Calc'!$B$5-'财富模型'!$E$5-(IF('Calc'!$E$12=1,'财富模型'!$E$9,'财富模型'!$M$4+IF(Calc!$A$81&lt;='财富模型'!$E$11*12,'Calc'!$W$12,'Calc'!$Y$12)-(IF('Calc'!$E$12=1,0,MIN(Calc!$C$80*(1+'财富模型'!$E$20/12)+'Calc'!$B$6,IF(Calc!$A$81&lt;='财富模型'!$E$11*12,'Calc'!$W$12,'Calc'!$Y$12)))))))</x:f>
      </x:c>
      <x:c r="G81" t="str">
        <x:f>IF(Calc!$A$81&gt;'Calc'!$B$8,"",IF('Calc'!$E$12=1,0,MAX(Calc!$G$80*(1+IF(Calc!$A$81&lt;='财富模型'!$E$11*12,'财富模型'!$E$10,'财富模型'!$E$12)/12)-IF('Calc'!$E$12=1,0,IF(Calc!$A$81&lt;='财富模型'!$E$11*12,'Calc'!$W$12,'Calc'!$Y$12)),0)))</x:f>
      </x:c>
      <x:c r="I81" t="n">
        <x:v>60</x:v>
      </x:c>
      <x:c r="J81" t="str">
        <x:f>IF(Calc!$I$81&gt;'Calc'!$B$8,"",MAX(Calc!$J$80*(1+'财富模型'!$E$6/12)+('Calc'!$B$5-'财富模型'!$E$5-(IF('Calc'!$E$13=1,'财富模型'!$E$9,'财富模型'!$M$5+IF(Calc!$I$81&lt;='财富模型'!$E$11*12,'Calc'!$W$13,'Calc'!$Y$13)-(IF('Calc'!$E$13=1,0,MIN(Calc!$K$80*(1+'财富模型'!$E$20/12)+'Calc'!$B$6,IF(Calc!$I$81&lt;='财富模型'!$E$11*12,'Calc'!$W$13,'Calc'!$Y$13))))))),0))</x:f>
      </x:c>
      <x:c r="K81" t="str">
        <x:f>IF(Calc!$I$81&gt;'Calc'!$B$8,"",MAX(Calc!$K$80*(1+'财富模型'!$E$20/12)+'Calc'!$B$6-(IF('Calc'!$E$13=1,0,MIN(Calc!$K$80*(1+'财富模型'!$E$20/12)+'Calc'!$B$6,IF(Calc!$I$81&lt;='财富模型'!$E$11*12,'Calc'!$W$13,'Calc'!$Y$13)))),0))</x:f>
      </x:c>
      <x:c r="L81" t="str">
        <x:f>IF(Calc!$I$81&gt;'Calc'!$B$8,"",IF('Calc'!$E$13=1,'财富模型'!$E$9,'财富模型'!$M$5+IF(Calc!$I$81&lt;='财富模型'!$E$11*12,'Calc'!$W$13,'Calc'!$Y$13)-(IF('Calc'!$E$13=1,0,MIN(Calc!$K$80*(1+'财富模型'!$E$20/12)+'Calc'!$B$6,IF(Calc!$I$81&lt;='财富模型'!$E$11*12,'Calc'!$W$13,'Calc'!$Y$13))))))</x:f>
      </x:c>
      <x:c r="M81" t="str">
        <x:f>IF(Calc!$I$81&gt;'Calc'!$B$8,"",IF('Calc'!$E$13=1,0,MIN(Calc!$K$80*(1+'财富模型'!$E$20/12)+'Calc'!$B$6,IF(Calc!$I$81&lt;='财富模型'!$E$11*12,'Calc'!$W$13,'Calc'!$Y$13))))</x:f>
      </x:c>
      <x:c r="N81" t="str">
        <x:f>IF(Calc!$I$81&gt;'Calc'!$B$8,"",'Calc'!$B$5-'财富模型'!$E$5-(IF('Calc'!$E$13=1,'财富模型'!$E$9,'财富模型'!$M$5+IF(Calc!$I$81&lt;='财富模型'!$E$11*12,'Calc'!$W$13,'Calc'!$Y$13)-(IF('Calc'!$E$13=1,0,MIN(Calc!$K$80*(1+'财富模型'!$E$20/12)+'Calc'!$B$6,IF(Calc!$I$81&lt;='财富模型'!$E$11*12,'Calc'!$W$13,'Calc'!$Y$13)))))))</x:f>
      </x:c>
      <x:c r="O81" t="str">
        <x:f>IF(Calc!$I$81&gt;'Calc'!$B$8,"",IF('Calc'!$E$13=1,0,MAX(Calc!$O$80*(1+IF(Calc!$I$81&lt;='财富模型'!$E$11*12,'财富模型'!$E$10,'财富模型'!$E$12)/12)-IF('Calc'!$E$13=1,0,IF(Calc!$I$81&lt;='财富模型'!$E$11*12,'Calc'!$W$13,'Calc'!$Y$13)),0)))</x:f>
      </x:c>
      <x:c r="Q81" t="n">
        <x:v>60</x:v>
      </x:c>
      <x:c r="R81" t="str">
        <x:f>IF(Calc!$Q$81&gt;'Calc'!$B$8,"",MAX(Calc!$R$80*(1+'财富模型'!$E$6/12)+('Calc'!$B$5-'财富模型'!$E$5-(IF('Calc'!$E$14=1,'财富模型'!$E$9,'财富模型'!$M$6+IF(Calc!$Q$81&lt;='财富模型'!$E$11*12,'Calc'!$W$14,'Calc'!$Y$14)-(IF('Calc'!$E$14=1,0,MIN(Calc!$S$80*(1+'财富模型'!$E$20/12)+'Calc'!$B$6,IF(Calc!$Q$81&lt;='财富模型'!$E$11*12,'Calc'!$W$14,'Calc'!$Y$14))))))),0))</x:f>
      </x:c>
      <x:c r="S81" t="str">
        <x:f>IF(Calc!$Q$81&gt;'Calc'!$B$8,"",MAX(Calc!$S$80*(1+'财富模型'!$E$20/12)+'Calc'!$B$6-(IF('Calc'!$E$14=1,0,MIN(Calc!$S$80*(1+'财富模型'!$E$20/12)+'Calc'!$B$6,IF(Calc!$Q$81&lt;='财富模型'!$E$11*12,'Calc'!$W$14,'Calc'!$Y$14)))),0))</x:f>
      </x:c>
      <x:c r="T81" t="str">
        <x:f>IF(Calc!$Q$81&gt;'Calc'!$B$8,"",IF('Calc'!$E$14=1,'财富模型'!$E$9,'财富模型'!$M$6+IF(Calc!$Q$81&lt;='财富模型'!$E$11*12,'Calc'!$W$14,'Calc'!$Y$14)-(IF('Calc'!$E$14=1,0,MIN(Calc!$S$80*(1+'财富模型'!$E$20/12)+'Calc'!$B$6,IF(Calc!$Q$81&lt;='财富模型'!$E$11*12,'Calc'!$W$14,'Calc'!$Y$14))))))</x:f>
      </x:c>
      <x:c r="U81" t="str">
        <x:f>IF(Calc!$Q$81&gt;'Calc'!$B$8,"",IF('Calc'!$E$14=1,0,MIN(Calc!$S$80*(1+'财富模型'!$E$20/12)+'Calc'!$B$6,IF(Calc!$Q$81&lt;='财富模型'!$E$11*12,'Calc'!$W$14,'Calc'!$Y$14))))</x:f>
      </x:c>
      <x:c r="V81" t="str">
        <x:f>IF(Calc!$Q$81&gt;'Calc'!$B$8,"",'Calc'!$B$5-'财富模型'!$E$5-(IF('Calc'!$E$14=1,'财富模型'!$E$9,'财富模型'!$M$6+IF(Calc!$Q$81&lt;='财富模型'!$E$11*12,'Calc'!$W$14,'Calc'!$Y$14)-(IF('Calc'!$E$14=1,0,MIN(Calc!$S$80*(1+'财富模型'!$E$20/12)+'Calc'!$B$6,IF(Calc!$Q$81&lt;='财富模型'!$E$11*12,'Calc'!$W$14,'Calc'!$Y$14)))))))</x:f>
      </x:c>
      <x:c r="W81" t="str">
        <x:f>IF(Calc!$Q$81&gt;'Calc'!$B$8,"",IF('Calc'!$E$14=1,0,MAX(Calc!$W$80*(1+IF(Calc!$Q$81&lt;='财富模型'!$E$11*12,'财富模型'!$E$10,'财富模型'!$E$12)/12)-IF('Calc'!$E$14=1,0,IF(Calc!$Q$81&lt;='财富模型'!$E$11*12,'Calc'!$W$14,'Calc'!$Y$14)),0)))</x:f>
      </x:c>
      <x:c r="Y81" t="n">
        <x:v>60</x:v>
      </x:c>
      <x:c r="Z81" t="str">
        <x:f>IF(Calc!$Y$81&gt;'Calc'!$B$8,"",MAX(Calc!$Z$80*(1+'财富模型'!$E$6/12)+('Calc'!$B$5-'财富模型'!$E$5-(IF('Calc'!$E$15=1,'财富模型'!$E$9,'财富模型'!$M$7+IF(Calc!$Y$81&lt;='财富模型'!$E$11*12,'Calc'!$W$15,'Calc'!$Y$15)-(IF('Calc'!$E$15=1,0,MIN(Calc!$AA$80*(1+'财富模型'!$E$20/12)+'Calc'!$B$6,IF(Calc!$Y$81&lt;='财富模型'!$E$11*12,'Calc'!$W$15,'Calc'!$Y$15))))))),0))</x:f>
      </x:c>
      <x:c r="AA81" t="str">
        <x:f>IF(Calc!$Y$81&gt;'Calc'!$B$8,"",MAX(Calc!$AA$80*(1+'财富模型'!$E$20/12)+'Calc'!$B$6-(IF('Calc'!$E$15=1,0,MIN(Calc!$AA$80*(1+'财富模型'!$E$20/12)+'Calc'!$B$6,IF(Calc!$Y$81&lt;='财富模型'!$E$11*12,'Calc'!$W$15,'Calc'!$Y$15)))),0))</x:f>
      </x:c>
      <x:c r="AB81" t="str">
        <x:f>IF(Calc!$Y$81&gt;'Calc'!$B$8,"",IF('Calc'!$E$15=1,'财富模型'!$E$9,'财富模型'!$M$7+IF(Calc!$Y$81&lt;='财富模型'!$E$11*12,'Calc'!$W$15,'Calc'!$Y$15)-(IF('Calc'!$E$15=1,0,MIN(Calc!$AA$80*(1+'财富模型'!$E$20/12)+'Calc'!$B$6,IF(Calc!$Y$81&lt;='财富模型'!$E$11*12,'Calc'!$W$15,'Calc'!$Y$15))))))</x:f>
      </x:c>
      <x:c r="AC81" t="str">
        <x:f>IF(Calc!$Y$81&gt;'Calc'!$B$8,"",IF('Calc'!$E$15=1,0,MIN(Calc!$AA$80*(1+'财富模型'!$E$20/12)+'Calc'!$B$6,IF(Calc!$Y$81&lt;='财富模型'!$E$11*12,'Calc'!$W$15,'Calc'!$Y$15))))</x:f>
      </x:c>
      <x:c r="AD81" t="str">
        <x:f>IF(Calc!$Y$81&gt;'Calc'!$B$8,"",'Calc'!$B$5-'财富模型'!$E$5-(IF('Calc'!$E$15=1,'财富模型'!$E$9,'财富模型'!$M$7+IF(Calc!$Y$81&lt;='财富模型'!$E$11*12,'Calc'!$W$15,'Calc'!$Y$15)-(IF('Calc'!$E$15=1,0,MIN(Calc!$AA$80*(1+'财富模型'!$E$20/12)+'Calc'!$B$6,IF(Calc!$Y$81&lt;='财富模型'!$E$11*12,'Calc'!$W$15,'Calc'!$Y$15)))))))</x:f>
      </x:c>
      <x:c r="AE81" t="str">
        <x:f>IF(Calc!$Y$81&gt;'Calc'!$B$8,"",IF('Calc'!$E$15=1,0,MAX(Calc!$AE$80*(1+IF(Calc!$Y$81&lt;='财富模型'!$E$11*12,'财富模型'!$E$10,'财富模型'!$E$12)/12)-IF('Calc'!$E$15=1,0,IF(Calc!$Y$81&lt;='财富模型'!$E$11*12,'Calc'!$W$15,'Calc'!$Y$15)),0)))</x:f>
      </x:c>
      <x:c r="AG81" t="n">
        <x:v>60</x:v>
      </x:c>
      <x:c r="AH81" t="str">
        <x:f>IF(Calc!$AG$81&gt;'Calc'!$B$8,"",MAX(Calc!$AH$80*(1+'财富模型'!$E$6/12)+('Calc'!$B$5-'财富模型'!$E$5-(IF('Calc'!$E$16=1,'财富模型'!$E$9,'财富模型'!$M$8+IF(Calc!$AG$81&lt;='财富模型'!$E$11*12,'Calc'!$W$16,'Calc'!$Y$16)-(IF('Calc'!$E$16=1,0,MIN(Calc!$AI$80*(1+'财富模型'!$E$20/12)+'Calc'!$B$6,IF(Calc!$AG$81&lt;='财富模型'!$E$11*12,'Calc'!$W$16,'Calc'!$Y$16))))))),0))</x:f>
      </x:c>
      <x:c r="AI81" t="str">
        <x:f>IF(Calc!$AG$81&gt;'Calc'!$B$8,"",MAX(Calc!$AI$80*(1+'财富模型'!$E$20/12)+'Calc'!$B$6-(IF('Calc'!$E$16=1,0,MIN(Calc!$AI$80*(1+'财富模型'!$E$20/12)+'Calc'!$B$6,IF(Calc!$AG$81&lt;='财富模型'!$E$11*12,'Calc'!$W$16,'Calc'!$Y$16)))),0))</x:f>
      </x:c>
      <x:c r="AJ81" t="str">
        <x:f>IF(Calc!$AG$81&gt;'Calc'!$B$8,"",IF('Calc'!$E$16=1,'财富模型'!$E$9,'财富模型'!$M$8+IF(Calc!$AG$81&lt;='财富模型'!$E$11*12,'Calc'!$W$16,'Calc'!$Y$16)-(IF('Calc'!$E$16=1,0,MIN(Calc!$AI$80*(1+'财富模型'!$E$20/12)+'Calc'!$B$6,IF(Calc!$AG$81&lt;='财富模型'!$E$11*12,'Calc'!$W$16,'Calc'!$Y$16))))))</x:f>
      </x:c>
      <x:c r="AK81" t="str">
        <x:f>IF(Calc!$AG$81&gt;'Calc'!$B$8,"",IF('Calc'!$E$16=1,0,MIN(Calc!$AI$80*(1+'财富模型'!$E$20/12)+'Calc'!$B$6,IF(Calc!$AG$81&lt;='财富模型'!$E$11*12,'Calc'!$W$16,'Calc'!$Y$16))))</x:f>
      </x:c>
      <x:c r="AL81" t="str">
        <x:f>IF(Calc!$AG$81&gt;'Calc'!$B$8,"",'Calc'!$B$5-'财富模型'!$E$5-(IF('Calc'!$E$16=1,'财富模型'!$E$9,'财富模型'!$M$8+IF(Calc!$AG$81&lt;='财富模型'!$E$11*12,'Calc'!$W$16,'Calc'!$Y$16)-(IF('Calc'!$E$16=1,0,MIN(Calc!$AI$80*(1+'财富模型'!$E$20/12)+'Calc'!$B$6,IF(Calc!$AG$81&lt;='财富模型'!$E$11*12,'Calc'!$W$16,'Calc'!$Y$16)))))))</x:f>
      </x:c>
      <x:c r="AM81" t="str">
        <x:f>IF(Calc!$AG$81&gt;'Calc'!$B$8,"",IF('Calc'!$E$16=1,0,MAX(Calc!$AM$80*(1+IF(Calc!$AG$81&lt;='财富模型'!$E$11*12,'财富模型'!$E$10,'财富模型'!$E$12)/12)-IF('Calc'!$E$16=1,0,IF(Calc!$AG$81&lt;='财富模型'!$E$11*12,'Calc'!$W$16,'Calc'!$Y$16)),0)))</x:f>
      </x:c>
      <x:c r="AO81" t="n">
        <x:v>60</x:v>
      </x:c>
      <x:c r="AP81" t="str">
        <x:f>IF(Calc!$AO$81&gt;'Calc'!$B$8,"",MAX(Calc!$AP$80*(1+'财富模型'!$E$6/12)+('Calc'!$B$5-'财富模型'!$E$5-(IF('Calc'!$E$17=1,'财富模型'!$E$9,'财富模型'!$M$9+IF(Calc!$AO$81&lt;='财富模型'!$E$11*12,'Calc'!$W$17,'Calc'!$Y$17)-(IF('Calc'!$E$17=1,0,MIN(Calc!$AQ$80*(1+'财富模型'!$E$20/12)+'Calc'!$B$6,IF(Calc!$AO$81&lt;='财富模型'!$E$11*12,'Calc'!$W$17,'Calc'!$Y$17))))))),0))</x:f>
      </x:c>
      <x:c r="AQ81" t="str">
        <x:f>IF(Calc!$AO$81&gt;'Calc'!$B$8,"",MAX(Calc!$AQ$80*(1+'财富模型'!$E$20/12)+'Calc'!$B$6-(IF('Calc'!$E$17=1,0,MIN(Calc!$AQ$80*(1+'财富模型'!$E$20/12)+'Calc'!$B$6,IF(Calc!$AO$81&lt;='财富模型'!$E$11*12,'Calc'!$W$17,'Calc'!$Y$17)))),0))</x:f>
      </x:c>
      <x:c r="AR81" t="str">
        <x:f>IF(Calc!$AO$81&gt;'Calc'!$B$8,"",IF('Calc'!$E$17=1,'财富模型'!$E$9,'财富模型'!$M$9+IF(Calc!$AO$81&lt;='财富模型'!$E$11*12,'Calc'!$W$17,'Calc'!$Y$17)-(IF('Calc'!$E$17=1,0,MIN(Calc!$AQ$80*(1+'财富模型'!$E$20/12)+'Calc'!$B$6,IF(Calc!$AO$81&lt;='财富模型'!$E$11*12,'Calc'!$W$17,'Calc'!$Y$17))))))</x:f>
      </x:c>
      <x:c r="AS81" t="str">
        <x:f>IF(Calc!$AO$81&gt;'Calc'!$B$8,"",IF('Calc'!$E$17=1,0,MIN(Calc!$AQ$80*(1+'财富模型'!$E$20/12)+'Calc'!$B$6,IF(Calc!$AO$81&lt;='财富模型'!$E$11*12,'Calc'!$W$17,'Calc'!$Y$17))))</x:f>
      </x:c>
      <x:c r="AT81" t="str">
        <x:f>IF(Calc!$AO$81&gt;'Calc'!$B$8,"",'Calc'!$B$5-'财富模型'!$E$5-(IF('Calc'!$E$17=1,'财富模型'!$E$9,'财富模型'!$M$9+IF(Calc!$AO$81&lt;='财富模型'!$E$11*12,'Calc'!$W$17,'Calc'!$Y$17)-(IF('Calc'!$E$17=1,0,MIN(Calc!$AQ$80*(1+'财富模型'!$E$20/12)+'Calc'!$B$6,IF(Calc!$AO$81&lt;='财富模型'!$E$11*12,'Calc'!$W$17,'Calc'!$Y$17)))))))</x:f>
      </x:c>
      <x:c r="AU81" t="str">
        <x:f>IF(Calc!$AO$81&gt;'Calc'!$B$8,"",IF('Calc'!$E$17=1,0,MAX(Calc!$AU$80*(1+IF(Calc!$AO$81&lt;='财富模型'!$E$11*12,'财富模型'!$E$10,'财富模型'!$E$12)/12)-IF('Calc'!$E$17=1,0,IF(Calc!$AO$81&lt;='财富模型'!$E$11*12,'Calc'!$W$17,'Calc'!$Y$17)),0)))</x:f>
      </x:c>
    </x:row>
    <x:row r="82">
      <x:c r="A82" t="n">
        <x:v>61</x:v>
      </x:c>
      <x:c r="B82" t="str">
        <x:f>IF(Calc!$A$82&gt;'Calc'!$B$8,"",MAX(Calc!$B$81*(1+'财富模型'!$E$6/12)+('Calc'!$B$5-'财富模型'!$E$5-(IF('Calc'!$E$12=1,'财富模型'!$E$9,'财富模型'!$M$4+IF(Calc!$A$82&lt;='财富模型'!$E$11*12,'Calc'!$W$12,'Calc'!$Y$12)-(IF('Calc'!$E$12=1,0,MIN(Calc!$C$81*(1+'财富模型'!$E$20/12)+'Calc'!$B$6,IF(Calc!$A$82&lt;='财富模型'!$E$11*12,'Calc'!$W$12,'Calc'!$Y$12))))))),0))</x:f>
      </x:c>
      <x:c r="C82" t="str">
        <x:f>IF(Calc!$A$82&gt;'Calc'!$B$8,"",MAX(Calc!$C$81*(1+'财富模型'!$E$20/12)+'Calc'!$B$6-(IF('Calc'!$E$12=1,0,MIN(Calc!$C$81*(1+'财富模型'!$E$20/12)+'Calc'!$B$6,IF(Calc!$A$82&lt;='财富模型'!$E$11*12,'Calc'!$W$12,'Calc'!$Y$12)))),0))</x:f>
      </x:c>
      <x:c r="D82" t="str">
        <x:f>IF(Calc!$A$82&gt;'Calc'!$B$8,"",IF('Calc'!$E$12=1,'财富模型'!$E$9,'财富模型'!$M$4+IF(Calc!$A$82&lt;='财富模型'!$E$11*12,'Calc'!$W$12,'Calc'!$Y$12)-(IF('Calc'!$E$12=1,0,MIN(Calc!$C$81*(1+'财富模型'!$E$20/12)+'Calc'!$B$6,IF(Calc!$A$82&lt;='财富模型'!$E$11*12,'Calc'!$W$12,'Calc'!$Y$12))))))</x:f>
      </x:c>
      <x:c r="E82" t="str">
        <x:f>IF(Calc!$A$82&gt;'Calc'!$B$8,"",IF('Calc'!$E$12=1,0,MIN(Calc!$C$81*(1+'财富模型'!$E$20/12)+'Calc'!$B$6,IF(Calc!$A$82&lt;='财富模型'!$E$11*12,'Calc'!$W$12,'Calc'!$Y$12))))</x:f>
      </x:c>
      <x:c r="F82" t="str">
        <x:f>IF(Calc!$A$82&gt;'Calc'!$B$8,"",'Calc'!$B$5-'财富模型'!$E$5-(IF('Calc'!$E$12=1,'财富模型'!$E$9,'财富模型'!$M$4+IF(Calc!$A$82&lt;='财富模型'!$E$11*12,'Calc'!$W$12,'Calc'!$Y$12)-(IF('Calc'!$E$12=1,0,MIN(Calc!$C$81*(1+'财富模型'!$E$20/12)+'Calc'!$B$6,IF(Calc!$A$82&lt;='财富模型'!$E$11*12,'Calc'!$W$12,'Calc'!$Y$12)))))))</x:f>
      </x:c>
      <x:c r="G82" t="str">
        <x:f>IF(Calc!$A$82&gt;'Calc'!$B$8,"",IF('Calc'!$E$12=1,0,MAX(Calc!$G$81*(1+IF(Calc!$A$82&lt;='财富模型'!$E$11*12,'财富模型'!$E$10,'财富模型'!$E$12)/12)-IF('Calc'!$E$12=1,0,IF(Calc!$A$82&lt;='财富模型'!$E$11*12,'Calc'!$W$12,'Calc'!$Y$12)),0)))</x:f>
      </x:c>
      <x:c r="I82" t="n">
        <x:v>61</x:v>
      </x:c>
      <x:c r="J82" t="str">
        <x:f>IF(Calc!$I$82&gt;'Calc'!$B$8,"",MAX(Calc!$J$81*(1+'财富模型'!$E$6/12)+('Calc'!$B$5-'财富模型'!$E$5-(IF('Calc'!$E$13=1,'财富模型'!$E$9,'财富模型'!$M$5+IF(Calc!$I$82&lt;='财富模型'!$E$11*12,'Calc'!$W$13,'Calc'!$Y$13)-(IF('Calc'!$E$13=1,0,MIN(Calc!$K$81*(1+'财富模型'!$E$20/12)+'Calc'!$B$6,IF(Calc!$I$82&lt;='财富模型'!$E$11*12,'Calc'!$W$13,'Calc'!$Y$13))))))),0))</x:f>
      </x:c>
      <x:c r="K82" t="str">
        <x:f>IF(Calc!$I$82&gt;'Calc'!$B$8,"",MAX(Calc!$K$81*(1+'财富模型'!$E$20/12)+'Calc'!$B$6-(IF('Calc'!$E$13=1,0,MIN(Calc!$K$81*(1+'财富模型'!$E$20/12)+'Calc'!$B$6,IF(Calc!$I$82&lt;='财富模型'!$E$11*12,'Calc'!$W$13,'Calc'!$Y$13)))),0))</x:f>
      </x:c>
      <x:c r="L82" t="str">
        <x:f>IF(Calc!$I$82&gt;'Calc'!$B$8,"",IF('Calc'!$E$13=1,'财富模型'!$E$9,'财富模型'!$M$5+IF(Calc!$I$82&lt;='财富模型'!$E$11*12,'Calc'!$W$13,'Calc'!$Y$13)-(IF('Calc'!$E$13=1,0,MIN(Calc!$K$81*(1+'财富模型'!$E$20/12)+'Calc'!$B$6,IF(Calc!$I$82&lt;='财富模型'!$E$11*12,'Calc'!$W$13,'Calc'!$Y$13))))))</x:f>
      </x:c>
      <x:c r="M82" t="str">
        <x:f>IF(Calc!$I$82&gt;'Calc'!$B$8,"",IF('Calc'!$E$13=1,0,MIN(Calc!$K$81*(1+'财富模型'!$E$20/12)+'Calc'!$B$6,IF(Calc!$I$82&lt;='财富模型'!$E$11*12,'Calc'!$W$13,'Calc'!$Y$13))))</x:f>
      </x:c>
      <x:c r="N82" t="str">
        <x:f>IF(Calc!$I$82&gt;'Calc'!$B$8,"",'Calc'!$B$5-'财富模型'!$E$5-(IF('Calc'!$E$13=1,'财富模型'!$E$9,'财富模型'!$M$5+IF(Calc!$I$82&lt;='财富模型'!$E$11*12,'Calc'!$W$13,'Calc'!$Y$13)-(IF('Calc'!$E$13=1,0,MIN(Calc!$K$81*(1+'财富模型'!$E$20/12)+'Calc'!$B$6,IF(Calc!$I$82&lt;='财富模型'!$E$11*12,'Calc'!$W$13,'Calc'!$Y$13)))))))</x:f>
      </x:c>
      <x:c r="O82" t="str">
        <x:f>IF(Calc!$I$82&gt;'Calc'!$B$8,"",IF('Calc'!$E$13=1,0,MAX(Calc!$O$81*(1+IF(Calc!$I$82&lt;='财富模型'!$E$11*12,'财富模型'!$E$10,'财富模型'!$E$12)/12)-IF('Calc'!$E$13=1,0,IF(Calc!$I$82&lt;='财富模型'!$E$11*12,'Calc'!$W$13,'Calc'!$Y$13)),0)))</x:f>
      </x:c>
      <x:c r="Q82" t="n">
        <x:v>61</x:v>
      </x:c>
      <x:c r="R82" t="str">
        <x:f>IF(Calc!$Q$82&gt;'Calc'!$B$8,"",MAX(Calc!$R$81*(1+'财富模型'!$E$6/12)+('Calc'!$B$5-'财富模型'!$E$5-(IF('Calc'!$E$14=1,'财富模型'!$E$9,'财富模型'!$M$6+IF(Calc!$Q$82&lt;='财富模型'!$E$11*12,'Calc'!$W$14,'Calc'!$Y$14)-(IF('Calc'!$E$14=1,0,MIN(Calc!$S$81*(1+'财富模型'!$E$20/12)+'Calc'!$B$6,IF(Calc!$Q$82&lt;='财富模型'!$E$11*12,'Calc'!$W$14,'Calc'!$Y$14))))))),0))</x:f>
      </x:c>
      <x:c r="S82" t="str">
        <x:f>IF(Calc!$Q$82&gt;'Calc'!$B$8,"",MAX(Calc!$S$81*(1+'财富模型'!$E$20/12)+'Calc'!$B$6-(IF('Calc'!$E$14=1,0,MIN(Calc!$S$81*(1+'财富模型'!$E$20/12)+'Calc'!$B$6,IF(Calc!$Q$82&lt;='财富模型'!$E$11*12,'Calc'!$W$14,'Calc'!$Y$14)))),0))</x:f>
      </x:c>
      <x:c r="T82" t="str">
        <x:f>IF(Calc!$Q$82&gt;'Calc'!$B$8,"",IF('Calc'!$E$14=1,'财富模型'!$E$9,'财富模型'!$M$6+IF(Calc!$Q$82&lt;='财富模型'!$E$11*12,'Calc'!$W$14,'Calc'!$Y$14)-(IF('Calc'!$E$14=1,0,MIN(Calc!$S$81*(1+'财富模型'!$E$20/12)+'Calc'!$B$6,IF(Calc!$Q$82&lt;='财富模型'!$E$11*12,'Calc'!$W$14,'Calc'!$Y$14))))))</x:f>
      </x:c>
      <x:c r="U82" t="str">
        <x:f>IF(Calc!$Q$82&gt;'Calc'!$B$8,"",IF('Calc'!$E$14=1,0,MIN(Calc!$S$81*(1+'财富模型'!$E$20/12)+'Calc'!$B$6,IF(Calc!$Q$82&lt;='财富模型'!$E$11*12,'Calc'!$W$14,'Calc'!$Y$14))))</x:f>
      </x:c>
      <x:c r="V82" t="str">
        <x:f>IF(Calc!$Q$82&gt;'Calc'!$B$8,"",'Calc'!$B$5-'财富模型'!$E$5-(IF('Calc'!$E$14=1,'财富模型'!$E$9,'财富模型'!$M$6+IF(Calc!$Q$82&lt;='财富模型'!$E$11*12,'Calc'!$W$14,'Calc'!$Y$14)-(IF('Calc'!$E$14=1,0,MIN(Calc!$S$81*(1+'财富模型'!$E$20/12)+'Calc'!$B$6,IF(Calc!$Q$82&lt;='财富模型'!$E$11*12,'Calc'!$W$14,'Calc'!$Y$14)))))))</x:f>
      </x:c>
      <x:c r="W82" t="str">
        <x:f>IF(Calc!$Q$82&gt;'Calc'!$B$8,"",IF('Calc'!$E$14=1,0,MAX(Calc!$W$81*(1+IF(Calc!$Q$82&lt;='财富模型'!$E$11*12,'财富模型'!$E$10,'财富模型'!$E$12)/12)-IF('Calc'!$E$14=1,0,IF(Calc!$Q$82&lt;='财富模型'!$E$11*12,'Calc'!$W$14,'Calc'!$Y$14)),0)))</x:f>
      </x:c>
      <x:c r="Y82" t="n">
        <x:v>61</x:v>
      </x:c>
      <x:c r="Z82" t="str">
        <x:f>IF(Calc!$Y$82&gt;'Calc'!$B$8,"",MAX(Calc!$Z$81*(1+'财富模型'!$E$6/12)+('Calc'!$B$5-'财富模型'!$E$5-(IF('Calc'!$E$15=1,'财富模型'!$E$9,'财富模型'!$M$7+IF(Calc!$Y$82&lt;='财富模型'!$E$11*12,'Calc'!$W$15,'Calc'!$Y$15)-(IF('Calc'!$E$15=1,0,MIN(Calc!$AA$81*(1+'财富模型'!$E$20/12)+'Calc'!$B$6,IF(Calc!$Y$82&lt;='财富模型'!$E$11*12,'Calc'!$W$15,'Calc'!$Y$15))))))),0))</x:f>
      </x:c>
      <x:c r="AA82" t="str">
        <x:f>IF(Calc!$Y$82&gt;'Calc'!$B$8,"",MAX(Calc!$AA$81*(1+'财富模型'!$E$20/12)+'Calc'!$B$6-(IF('Calc'!$E$15=1,0,MIN(Calc!$AA$81*(1+'财富模型'!$E$20/12)+'Calc'!$B$6,IF(Calc!$Y$82&lt;='财富模型'!$E$11*12,'Calc'!$W$15,'Calc'!$Y$15)))),0))</x:f>
      </x:c>
      <x:c r="AB82" t="str">
        <x:f>IF(Calc!$Y$82&gt;'Calc'!$B$8,"",IF('Calc'!$E$15=1,'财富模型'!$E$9,'财富模型'!$M$7+IF(Calc!$Y$82&lt;='财富模型'!$E$11*12,'Calc'!$W$15,'Calc'!$Y$15)-(IF('Calc'!$E$15=1,0,MIN(Calc!$AA$81*(1+'财富模型'!$E$20/12)+'Calc'!$B$6,IF(Calc!$Y$82&lt;='财富模型'!$E$11*12,'Calc'!$W$15,'Calc'!$Y$15))))))</x:f>
      </x:c>
      <x:c r="AC82" t="str">
        <x:f>IF(Calc!$Y$82&gt;'Calc'!$B$8,"",IF('Calc'!$E$15=1,0,MIN(Calc!$AA$81*(1+'财富模型'!$E$20/12)+'Calc'!$B$6,IF(Calc!$Y$82&lt;='财富模型'!$E$11*12,'Calc'!$W$15,'Calc'!$Y$15))))</x:f>
      </x:c>
      <x:c r="AD82" t="str">
        <x:f>IF(Calc!$Y$82&gt;'Calc'!$B$8,"",'Calc'!$B$5-'财富模型'!$E$5-(IF('Calc'!$E$15=1,'财富模型'!$E$9,'财富模型'!$M$7+IF(Calc!$Y$82&lt;='财富模型'!$E$11*12,'Calc'!$W$15,'Calc'!$Y$15)-(IF('Calc'!$E$15=1,0,MIN(Calc!$AA$81*(1+'财富模型'!$E$20/12)+'Calc'!$B$6,IF(Calc!$Y$82&lt;='财富模型'!$E$11*12,'Calc'!$W$15,'Calc'!$Y$15)))))))</x:f>
      </x:c>
      <x:c r="AE82" t="str">
        <x:f>IF(Calc!$Y$82&gt;'Calc'!$B$8,"",IF('Calc'!$E$15=1,0,MAX(Calc!$AE$81*(1+IF(Calc!$Y$82&lt;='财富模型'!$E$11*12,'财富模型'!$E$10,'财富模型'!$E$12)/12)-IF('Calc'!$E$15=1,0,IF(Calc!$Y$82&lt;='财富模型'!$E$11*12,'Calc'!$W$15,'Calc'!$Y$15)),0)))</x:f>
      </x:c>
      <x:c r="AG82" t="n">
        <x:v>61</x:v>
      </x:c>
      <x:c r="AH82" t="str">
        <x:f>IF(Calc!$AG$82&gt;'Calc'!$B$8,"",MAX(Calc!$AH$81*(1+'财富模型'!$E$6/12)+('Calc'!$B$5-'财富模型'!$E$5-(IF('Calc'!$E$16=1,'财富模型'!$E$9,'财富模型'!$M$8+IF(Calc!$AG$82&lt;='财富模型'!$E$11*12,'Calc'!$W$16,'Calc'!$Y$16)-(IF('Calc'!$E$16=1,0,MIN(Calc!$AI$81*(1+'财富模型'!$E$20/12)+'Calc'!$B$6,IF(Calc!$AG$82&lt;='财富模型'!$E$11*12,'Calc'!$W$16,'Calc'!$Y$16))))))),0))</x:f>
      </x:c>
      <x:c r="AI82" t="str">
        <x:f>IF(Calc!$AG$82&gt;'Calc'!$B$8,"",MAX(Calc!$AI$81*(1+'财富模型'!$E$20/12)+'Calc'!$B$6-(IF('Calc'!$E$16=1,0,MIN(Calc!$AI$81*(1+'财富模型'!$E$20/12)+'Calc'!$B$6,IF(Calc!$AG$82&lt;='财富模型'!$E$11*12,'Calc'!$W$16,'Calc'!$Y$16)))),0))</x:f>
      </x:c>
      <x:c r="AJ82" t="str">
        <x:f>IF(Calc!$AG$82&gt;'Calc'!$B$8,"",IF('Calc'!$E$16=1,'财富模型'!$E$9,'财富模型'!$M$8+IF(Calc!$AG$82&lt;='财富模型'!$E$11*12,'Calc'!$W$16,'Calc'!$Y$16)-(IF('Calc'!$E$16=1,0,MIN(Calc!$AI$81*(1+'财富模型'!$E$20/12)+'Calc'!$B$6,IF(Calc!$AG$82&lt;='财富模型'!$E$11*12,'Calc'!$W$16,'Calc'!$Y$16))))))</x:f>
      </x:c>
      <x:c r="AK82" t="str">
        <x:f>IF(Calc!$AG$82&gt;'Calc'!$B$8,"",IF('Calc'!$E$16=1,0,MIN(Calc!$AI$81*(1+'财富模型'!$E$20/12)+'Calc'!$B$6,IF(Calc!$AG$82&lt;='财富模型'!$E$11*12,'Calc'!$W$16,'Calc'!$Y$16))))</x:f>
      </x:c>
      <x:c r="AL82" t="str">
        <x:f>IF(Calc!$AG$82&gt;'Calc'!$B$8,"",'Calc'!$B$5-'财富模型'!$E$5-(IF('Calc'!$E$16=1,'财富模型'!$E$9,'财富模型'!$M$8+IF(Calc!$AG$82&lt;='财富模型'!$E$11*12,'Calc'!$W$16,'Calc'!$Y$16)-(IF('Calc'!$E$16=1,0,MIN(Calc!$AI$81*(1+'财富模型'!$E$20/12)+'Calc'!$B$6,IF(Calc!$AG$82&lt;='财富模型'!$E$11*12,'Calc'!$W$16,'Calc'!$Y$16)))))))</x:f>
      </x:c>
      <x:c r="AM82" t="str">
        <x:f>IF(Calc!$AG$82&gt;'Calc'!$B$8,"",IF('Calc'!$E$16=1,0,MAX(Calc!$AM$81*(1+IF(Calc!$AG$82&lt;='财富模型'!$E$11*12,'财富模型'!$E$10,'财富模型'!$E$12)/12)-IF('Calc'!$E$16=1,0,IF(Calc!$AG$82&lt;='财富模型'!$E$11*12,'Calc'!$W$16,'Calc'!$Y$16)),0)))</x:f>
      </x:c>
      <x:c r="AO82" t="n">
        <x:v>61</x:v>
      </x:c>
      <x:c r="AP82" t="str">
        <x:f>IF(Calc!$AO$82&gt;'Calc'!$B$8,"",MAX(Calc!$AP$81*(1+'财富模型'!$E$6/12)+('Calc'!$B$5-'财富模型'!$E$5-(IF('Calc'!$E$17=1,'财富模型'!$E$9,'财富模型'!$M$9+IF(Calc!$AO$82&lt;='财富模型'!$E$11*12,'Calc'!$W$17,'Calc'!$Y$17)-(IF('Calc'!$E$17=1,0,MIN(Calc!$AQ$81*(1+'财富模型'!$E$20/12)+'Calc'!$B$6,IF(Calc!$AO$82&lt;='财富模型'!$E$11*12,'Calc'!$W$17,'Calc'!$Y$17))))))),0))</x:f>
      </x:c>
      <x:c r="AQ82" t="str">
        <x:f>IF(Calc!$AO$82&gt;'Calc'!$B$8,"",MAX(Calc!$AQ$81*(1+'财富模型'!$E$20/12)+'Calc'!$B$6-(IF('Calc'!$E$17=1,0,MIN(Calc!$AQ$81*(1+'财富模型'!$E$20/12)+'Calc'!$B$6,IF(Calc!$AO$82&lt;='财富模型'!$E$11*12,'Calc'!$W$17,'Calc'!$Y$17)))),0))</x:f>
      </x:c>
      <x:c r="AR82" t="str">
        <x:f>IF(Calc!$AO$82&gt;'Calc'!$B$8,"",IF('Calc'!$E$17=1,'财富模型'!$E$9,'财富模型'!$M$9+IF(Calc!$AO$82&lt;='财富模型'!$E$11*12,'Calc'!$W$17,'Calc'!$Y$17)-(IF('Calc'!$E$17=1,0,MIN(Calc!$AQ$81*(1+'财富模型'!$E$20/12)+'Calc'!$B$6,IF(Calc!$AO$82&lt;='财富模型'!$E$11*12,'Calc'!$W$17,'Calc'!$Y$17))))))</x:f>
      </x:c>
      <x:c r="AS82" t="str">
        <x:f>IF(Calc!$AO$82&gt;'Calc'!$B$8,"",IF('Calc'!$E$17=1,0,MIN(Calc!$AQ$81*(1+'财富模型'!$E$20/12)+'Calc'!$B$6,IF(Calc!$AO$82&lt;='财富模型'!$E$11*12,'Calc'!$W$17,'Calc'!$Y$17))))</x:f>
      </x:c>
      <x:c r="AT82" t="str">
        <x:f>IF(Calc!$AO$82&gt;'Calc'!$B$8,"",'Calc'!$B$5-'财富模型'!$E$5-(IF('Calc'!$E$17=1,'财富模型'!$E$9,'财富模型'!$M$9+IF(Calc!$AO$82&lt;='财富模型'!$E$11*12,'Calc'!$W$17,'Calc'!$Y$17)-(IF('Calc'!$E$17=1,0,MIN(Calc!$AQ$81*(1+'财富模型'!$E$20/12)+'Calc'!$B$6,IF(Calc!$AO$82&lt;='财富模型'!$E$11*12,'Calc'!$W$17,'Calc'!$Y$17)))))))</x:f>
      </x:c>
      <x:c r="AU82" t="str">
        <x:f>IF(Calc!$AO$82&gt;'Calc'!$B$8,"",IF('Calc'!$E$17=1,0,MAX(Calc!$AU$81*(1+IF(Calc!$AO$82&lt;='财富模型'!$E$11*12,'财富模型'!$E$10,'财富模型'!$E$12)/12)-IF('Calc'!$E$17=1,0,IF(Calc!$AO$82&lt;='财富模型'!$E$11*12,'Calc'!$W$17,'Calc'!$Y$17)),0)))</x:f>
      </x:c>
    </x:row>
    <x:row r="83">
      <x:c r="A83" t="n">
        <x:v>62</x:v>
      </x:c>
      <x:c r="B83" t="str">
        <x:f>IF(Calc!$A$83&gt;'Calc'!$B$8,"",MAX(Calc!$B$82*(1+'财富模型'!$E$6/12)+('Calc'!$B$5-'财富模型'!$E$5-(IF('Calc'!$E$12=1,'财富模型'!$E$9,'财富模型'!$M$4+IF(Calc!$A$83&lt;='财富模型'!$E$11*12,'Calc'!$W$12,'Calc'!$Y$12)-(IF('Calc'!$E$12=1,0,MIN(Calc!$C$82*(1+'财富模型'!$E$20/12)+'Calc'!$B$6,IF(Calc!$A$83&lt;='财富模型'!$E$11*12,'Calc'!$W$12,'Calc'!$Y$12))))))),0))</x:f>
      </x:c>
      <x:c r="C83" t="str">
        <x:f>IF(Calc!$A$83&gt;'Calc'!$B$8,"",MAX(Calc!$C$82*(1+'财富模型'!$E$20/12)+'Calc'!$B$6-(IF('Calc'!$E$12=1,0,MIN(Calc!$C$82*(1+'财富模型'!$E$20/12)+'Calc'!$B$6,IF(Calc!$A$83&lt;='财富模型'!$E$11*12,'Calc'!$W$12,'Calc'!$Y$12)))),0))</x:f>
      </x:c>
      <x:c r="D83" t="str">
        <x:f>IF(Calc!$A$83&gt;'Calc'!$B$8,"",IF('Calc'!$E$12=1,'财富模型'!$E$9,'财富模型'!$M$4+IF(Calc!$A$83&lt;='财富模型'!$E$11*12,'Calc'!$W$12,'Calc'!$Y$12)-(IF('Calc'!$E$12=1,0,MIN(Calc!$C$82*(1+'财富模型'!$E$20/12)+'Calc'!$B$6,IF(Calc!$A$83&lt;='财富模型'!$E$11*12,'Calc'!$W$12,'Calc'!$Y$12))))))</x:f>
      </x:c>
      <x:c r="E83" t="str">
        <x:f>IF(Calc!$A$83&gt;'Calc'!$B$8,"",IF('Calc'!$E$12=1,0,MIN(Calc!$C$82*(1+'财富模型'!$E$20/12)+'Calc'!$B$6,IF(Calc!$A$83&lt;='财富模型'!$E$11*12,'Calc'!$W$12,'Calc'!$Y$12))))</x:f>
      </x:c>
      <x:c r="F83" t="str">
        <x:f>IF(Calc!$A$83&gt;'Calc'!$B$8,"",'Calc'!$B$5-'财富模型'!$E$5-(IF('Calc'!$E$12=1,'财富模型'!$E$9,'财富模型'!$M$4+IF(Calc!$A$83&lt;='财富模型'!$E$11*12,'Calc'!$W$12,'Calc'!$Y$12)-(IF('Calc'!$E$12=1,0,MIN(Calc!$C$82*(1+'财富模型'!$E$20/12)+'Calc'!$B$6,IF(Calc!$A$83&lt;='财富模型'!$E$11*12,'Calc'!$W$12,'Calc'!$Y$12)))))))</x:f>
      </x:c>
      <x:c r="G83" t="str">
        <x:f>IF(Calc!$A$83&gt;'Calc'!$B$8,"",IF('Calc'!$E$12=1,0,MAX(Calc!$G$82*(1+IF(Calc!$A$83&lt;='财富模型'!$E$11*12,'财富模型'!$E$10,'财富模型'!$E$12)/12)-IF('Calc'!$E$12=1,0,IF(Calc!$A$83&lt;='财富模型'!$E$11*12,'Calc'!$W$12,'Calc'!$Y$12)),0)))</x:f>
      </x:c>
      <x:c r="I83" t="n">
        <x:v>62</x:v>
      </x:c>
      <x:c r="J83" t="str">
        <x:f>IF(Calc!$I$83&gt;'Calc'!$B$8,"",MAX(Calc!$J$82*(1+'财富模型'!$E$6/12)+('Calc'!$B$5-'财富模型'!$E$5-(IF('Calc'!$E$13=1,'财富模型'!$E$9,'财富模型'!$M$5+IF(Calc!$I$83&lt;='财富模型'!$E$11*12,'Calc'!$W$13,'Calc'!$Y$13)-(IF('Calc'!$E$13=1,0,MIN(Calc!$K$82*(1+'财富模型'!$E$20/12)+'Calc'!$B$6,IF(Calc!$I$83&lt;='财富模型'!$E$11*12,'Calc'!$W$13,'Calc'!$Y$13))))))),0))</x:f>
      </x:c>
      <x:c r="K83" t="str">
        <x:f>IF(Calc!$I$83&gt;'Calc'!$B$8,"",MAX(Calc!$K$82*(1+'财富模型'!$E$20/12)+'Calc'!$B$6-(IF('Calc'!$E$13=1,0,MIN(Calc!$K$82*(1+'财富模型'!$E$20/12)+'Calc'!$B$6,IF(Calc!$I$83&lt;='财富模型'!$E$11*12,'Calc'!$W$13,'Calc'!$Y$13)))),0))</x:f>
      </x:c>
      <x:c r="L83" t="str">
        <x:f>IF(Calc!$I$83&gt;'Calc'!$B$8,"",IF('Calc'!$E$13=1,'财富模型'!$E$9,'财富模型'!$M$5+IF(Calc!$I$83&lt;='财富模型'!$E$11*12,'Calc'!$W$13,'Calc'!$Y$13)-(IF('Calc'!$E$13=1,0,MIN(Calc!$K$82*(1+'财富模型'!$E$20/12)+'Calc'!$B$6,IF(Calc!$I$83&lt;='财富模型'!$E$11*12,'Calc'!$W$13,'Calc'!$Y$13))))))</x:f>
      </x:c>
      <x:c r="M83" t="str">
        <x:f>IF(Calc!$I$83&gt;'Calc'!$B$8,"",IF('Calc'!$E$13=1,0,MIN(Calc!$K$82*(1+'财富模型'!$E$20/12)+'Calc'!$B$6,IF(Calc!$I$83&lt;='财富模型'!$E$11*12,'Calc'!$W$13,'Calc'!$Y$13))))</x:f>
      </x:c>
      <x:c r="N83" t="str">
        <x:f>IF(Calc!$I$83&gt;'Calc'!$B$8,"",'Calc'!$B$5-'财富模型'!$E$5-(IF('Calc'!$E$13=1,'财富模型'!$E$9,'财富模型'!$M$5+IF(Calc!$I$83&lt;='财富模型'!$E$11*12,'Calc'!$W$13,'Calc'!$Y$13)-(IF('Calc'!$E$13=1,0,MIN(Calc!$K$82*(1+'财富模型'!$E$20/12)+'Calc'!$B$6,IF(Calc!$I$83&lt;='财富模型'!$E$11*12,'Calc'!$W$13,'Calc'!$Y$13)))))))</x:f>
      </x:c>
      <x:c r="O83" t="str">
        <x:f>IF(Calc!$I$83&gt;'Calc'!$B$8,"",IF('Calc'!$E$13=1,0,MAX(Calc!$O$82*(1+IF(Calc!$I$83&lt;='财富模型'!$E$11*12,'财富模型'!$E$10,'财富模型'!$E$12)/12)-IF('Calc'!$E$13=1,0,IF(Calc!$I$83&lt;='财富模型'!$E$11*12,'Calc'!$W$13,'Calc'!$Y$13)),0)))</x:f>
      </x:c>
      <x:c r="Q83" t="n">
        <x:v>62</x:v>
      </x:c>
      <x:c r="R83" t="str">
        <x:f>IF(Calc!$Q$83&gt;'Calc'!$B$8,"",MAX(Calc!$R$82*(1+'财富模型'!$E$6/12)+('Calc'!$B$5-'财富模型'!$E$5-(IF('Calc'!$E$14=1,'财富模型'!$E$9,'财富模型'!$M$6+IF(Calc!$Q$83&lt;='财富模型'!$E$11*12,'Calc'!$W$14,'Calc'!$Y$14)-(IF('Calc'!$E$14=1,0,MIN(Calc!$S$82*(1+'财富模型'!$E$20/12)+'Calc'!$B$6,IF(Calc!$Q$83&lt;='财富模型'!$E$11*12,'Calc'!$W$14,'Calc'!$Y$14))))))),0))</x:f>
      </x:c>
      <x:c r="S83" t="str">
        <x:f>IF(Calc!$Q$83&gt;'Calc'!$B$8,"",MAX(Calc!$S$82*(1+'财富模型'!$E$20/12)+'Calc'!$B$6-(IF('Calc'!$E$14=1,0,MIN(Calc!$S$82*(1+'财富模型'!$E$20/12)+'Calc'!$B$6,IF(Calc!$Q$83&lt;='财富模型'!$E$11*12,'Calc'!$W$14,'Calc'!$Y$14)))),0))</x:f>
      </x:c>
      <x:c r="T83" t="str">
        <x:f>IF(Calc!$Q$83&gt;'Calc'!$B$8,"",IF('Calc'!$E$14=1,'财富模型'!$E$9,'财富模型'!$M$6+IF(Calc!$Q$83&lt;='财富模型'!$E$11*12,'Calc'!$W$14,'Calc'!$Y$14)-(IF('Calc'!$E$14=1,0,MIN(Calc!$S$82*(1+'财富模型'!$E$20/12)+'Calc'!$B$6,IF(Calc!$Q$83&lt;='财富模型'!$E$11*12,'Calc'!$W$14,'Calc'!$Y$14))))))</x:f>
      </x:c>
      <x:c r="U83" t="str">
        <x:f>IF(Calc!$Q$83&gt;'Calc'!$B$8,"",IF('Calc'!$E$14=1,0,MIN(Calc!$S$82*(1+'财富模型'!$E$20/12)+'Calc'!$B$6,IF(Calc!$Q$83&lt;='财富模型'!$E$11*12,'Calc'!$W$14,'Calc'!$Y$14))))</x:f>
      </x:c>
      <x:c r="V83" t="str">
        <x:f>IF(Calc!$Q$83&gt;'Calc'!$B$8,"",'Calc'!$B$5-'财富模型'!$E$5-(IF('Calc'!$E$14=1,'财富模型'!$E$9,'财富模型'!$M$6+IF(Calc!$Q$83&lt;='财富模型'!$E$11*12,'Calc'!$W$14,'Calc'!$Y$14)-(IF('Calc'!$E$14=1,0,MIN(Calc!$S$82*(1+'财富模型'!$E$20/12)+'Calc'!$B$6,IF(Calc!$Q$83&lt;='财富模型'!$E$11*12,'Calc'!$W$14,'Calc'!$Y$14)))))))</x:f>
      </x:c>
      <x:c r="W83" t="str">
        <x:f>IF(Calc!$Q$83&gt;'Calc'!$B$8,"",IF('Calc'!$E$14=1,0,MAX(Calc!$W$82*(1+IF(Calc!$Q$83&lt;='财富模型'!$E$11*12,'财富模型'!$E$10,'财富模型'!$E$12)/12)-IF('Calc'!$E$14=1,0,IF(Calc!$Q$83&lt;='财富模型'!$E$11*12,'Calc'!$W$14,'Calc'!$Y$14)),0)))</x:f>
      </x:c>
      <x:c r="Y83" t="n">
        <x:v>62</x:v>
      </x:c>
      <x:c r="Z83" t="str">
        <x:f>IF(Calc!$Y$83&gt;'Calc'!$B$8,"",MAX(Calc!$Z$82*(1+'财富模型'!$E$6/12)+('Calc'!$B$5-'财富模型'!$E$5-(IF('Calc'!$E$15=1,'财富模型'!$E$9,'财富模型'!$M$7+IF(Calc!$Y$83&lt;='财富模型'!$E$11*12,'Calc'!$W$15,'Calc'!$Y$15)-(IF('Calc'!$E$15=1,0,MIN(Calc!$AA$82*(1+'财富模型'!$E$20/12)+'Calc'!$B$6,IF(Calc!$Y$83&lt;='财富模型'!$E$11*12,'Calc'!$W$15,'Calc'!$Y$15))))))),0))</x:f>
      </x:c>
      <x:c r="AA83" t="str">
        <x:f>IF(Calc!$Y$83&gt;'Calc'!$B$8,"",MAX(Calc!$AA$82*(1+'财富模型'!$E$20/12)+'Calc'!$B$6-(IF('Calc'!$E$15=1,0,MIN(Calc!$AA$82*(1+'财富模型'!$E$20/12)+'Calc'!$B$6,IF(Calc!$Y$83&lt;='财富模型'!$E$11*12,'Calc'!$W$15,'Calc'!$Y$15)))),0))</x:f>
      </x:c>
      <x:c r="AB83" t="str">
        <x:f>IF(Calc!$Y$83&gt;'Calc'!$B$8,"",IF('Calc'!$E$15=1,'财富模型'!$E$9,'财富模型'!$M$7+IF(Calc!$Y$83&lt;='财富模型'!$E$11*12,'Calc'!$W$15,'Calc'!$Y$15)-(IF('Calc'!$E$15=1,0,MIN(Calc!$AA$82*(1+'财富模型'!$E$20/12)+'Calc'!$B$6,IF(Calc!$Y$83&lt;='财富模型'!$E$11*12,'Calc'!$W$15,'Calc'!$Y$15))))))</x:f>
      </x:c>
      <x:c r="AC83" t="str">
        <x:f>IF(Calc!$Y$83&gt;'Calc'!$B$8,"",IF('Calc'!$E$15=1,0,MIN(Calc!$AA$82*(1+'财富模型'!$E$20/12)+'Calc'!$B$6,IF(Calc!$Y$83&lt;='财富模型'!$E$11*12,'Calc'!$W$15,'Calc'!$Y$15))))</x:f>
      </x:c>
      <x:c r="AD83" t="str">
        <x:f>IF(Calc!$Y$83&gt;'Calc'!$B$8,"",'Calc'!$B$5-'财富模型'!$E$5-(IF('Calc'!$E$15=1,'财富模型'!$E$9,'财富模型'!$M$7+IF(Calc!$Y$83&lt;='财富模型'!$E$11*12,'Calc'!$W$15,'Calc'!$Y$15)-(IF('Calc'!$E$15=1,0,MIN(Calc!$AA$82*(1+'财富模型'!$E$20/12)+'Calc'!$B$6,IF(Calc!$Y$83&lt;='财富模型'!$E$11*12,'Calc'!$W$15,'Calc'!$Y$15)))))))</x:f>
      </x:c>
      <x:c r="AE83" t="str">
        <x:f>IF(Calc!$Y$83&gt;'Calc'!$B$8,"",IF('Calc'!$E$15=1,0,MAX(Calc!$AE$82*(1+IF(Calc!$Y$83&lt;='财富模型'!$E$11*12,'财富模型'!$E$10,'财富模型'!$E$12)/12)-IF('Calc'!$E$15=1,0,IF(Calc!$Y$83&lt;='财富模型'!$E$11*12,'Calc'!$W$15,'Calc'!$Y$15)),0)))</x:f>
      </x:c>
      <x:c r="AG83" t="n">
        <x:v>62</x:v>
      </x:c>
      <x:c r="AH83" t="str">
        <x:f>IF(Calc!$AG$83&gt;'Calc'!$B$8,"",MAX(Calc!$AH$82*(1+'财富模型'!$E$6/12)+('Calc'!$B$5-'财富模型'!$E$5-(IF('Calc'!$E$16=1,'财富模型'!$E$9,'财富模型'!$M$8+IF(Calc!$AG$83&lt;='财富模型'!$E$11*12,'Calc'!$W$16,'Calc'!$Y$16)-(IF('Calc'!$E$16=1,0,MIN(Calc!$AI$82*(1+'财富模型'!$E$20/12)+'Calc'!$B$6,IF(Calc!$AG$83&lt;='财富模型'!$E$11*12,'Calc'!$W$16,'Calc'!$Y$16))))))),0))</x:f>
      </x:c>
      <x:c r="AI83" t="str">
        <x:f>IF(Calc!$AG$83&gt;'Calc'!$B$8,"",MAX(Calc!$AI$82*(1+'财富模型'!$E$20/12)+'Calc'!$B$6-(IF('Calc'!$E$16=1,0,MIN(Calc!$AI$82*(1+'财富模型'!$E$20/12)+'Calc'!$B$6,IF(Calc!$AG$83&lt;='财富模型'!$E$11*12,'Calc'!$W$16,'Calc'!$Y$16)))),0))</x:f>
      </x:c>
      <x:c r="AJ83" t="str">
        <x:f>IF(Calc!$AG$83&gt;'Calc'!$B$8,"",IF('Calc'!$E$16=1,'财富模型'!$E$9,'财富模型'!$M$8+IF(Calc!$AG$83&lt;='财富模型'!$E$11*12,'Calc'!$W$16,'Calc'!$Y$16)-(IF('Calc'!$E$16=1,0,MIN(Calc!$AI$82*(1+'财富模型'!$E$20/12)+'Calc'!$B$6,IF(Calc!$AG$83&lt;='财富模型'!$E$11*12,'Calc'!$W$16,'Calc'!$Y$16))))))</x:f>
      </x:c>
      <x:c r="AK83" t="str">
        <x:f>IF(Calc!$AG$83&gt;'Calc'!$B$8,"",IF('Calc'!$E$16=1,0,MIN(Calc!$AI$82*(1+'财富模型'!$E$20/12)+'Calc'!$B$6,IF(Calc!$AG$83&lt;='财富模型'!$E$11*12,'Calc'!$W$16,'Calc'!$Y$16))))</x:f>
      </x:c>
      <x:c r="AL83" t="str">
        <x:f>IF(Calc!$AG$83&gt;'Calc'!$B$8,"",'Calc'!$B$5-'财富模型'!$E$5-(IF('Calc'!$E$16=1,'财富模型'!$E$9,'财富模型'!$M$8+IF(Calc!$AG$83&lt;='财富模型'!$E$11*12,'Calc'!$W$16,'Calc'!$Y$16)-(IF('Calc'!$E$16=1,0,MIN(Calc!$AI$82*(1+'财富模型'!$E$20/12)+'Calc'!$B$6,IF(Calc!$AG$83&lt;='财富模型'!$E$11*12,'Calc'!$W$16,'Calc'!$Y$16)))))))</x:f>
      </x:c>
      <x:c r="AM83" t="str">
        <x:f>IF(Calc!$AG$83&gt;'Calc'!$B$8,"",IF('Calc'!$E$16=1,0,MAX(Calc!$AM$82*(1+IF(Calc!$AG$83&lt;='财富模型'!$E$11*12,'财富模型'!$E$10,'财富模型'!$E$12)/12)-IF('Calc'!$E$16=1,0,IF(Calc!$AG$83&lt;='财富模型'!$E$11*12,'Calc'!$W$16,'Calc'!$Y$16)),0)))</x:f>
      </x:c>
      <x:c r="AO83" t="n">
        <x:v>62</x:v>
      </x:c>
      <x:c r="AP83" t="str">
        <x:f>IF(Calc!$AO$83&gt;'Calc'!$B$8,"",MAX(Calc!$AP$82*(1+'财富模型'!$E$6/12)+('Calc'!$B$5-'财富模型'!$E$5-(IF('Calc'!$E$17=1,'财富模型'!$E$9,'财富模型'!$M$9+IF(Calc!$AO$83&lt;='财富模型'!$E$11*12,'Calc'!$W$17,'Calc'!$Y$17)-(IF('Calc'!$E$17=1,0,MIN(Calc!$AQ$82*(1+'财富模型'!$E$20/12)+'Calc'!$B$6,IF(Calc!$AO$83&lt;='财富模型'!$E$11*12,'Calc'!$W$17,'Calc'!$Y$17))))))),0))</x:f>
      </x:c>
      <x:c r="AQ83" t="str">
        <x:f>IF(Calc!$AO$83&gt;'Calc'!$B$8,"",MAX(Calc!$AQ$82*(1+'财富模型'!$E$20/12)+'Calc'!$B$6-(IF('Calc'!$E$17=1,0,MIN(Calc!$AQ$82*(1+'财富模型'!$E$20/12)+'Calc'!$B$6,IF(Calc!$AO$83&lt;='财富模型'!$E$11*12,'Calc'!$W$17,'Calc'!$Y$17)))),0))</x:f>
      </x:c>
      <x:c r="AR83" t="str">
        <x:f>IF(Calc!$AO$83&gt;'Calc'!$B$8,"",IF('Calc'!$E$17=1,'财富模型'!$E$9,'财富模型'!$M$9+IF(Calc!$AO$83&lt;='财富模型'!$E$11*12,'Calc'!$W$17,'Calc'!$Y$17)-(IF('Calc'!$E$17=1,0,MIN(Calc!$AQ$82*(1+'财富模型'!$E$20/12)+'Calc'!$B$6,IF(Calc!$AO$83&lt;='财富模型'!$E$11*12,'Calc'!$W$17,'Calc'!$Y$17))))))</x:f>
      </x:c>
      <x:c r="AS83" t="str">
        <x:f>IF(Calc!$AO$83&gt;'Calc'!$B$8,"",IF('Calc'!$E$17=1,0,MIN(Calc!$AQ$82*(1+'财富模型'!$E$20/12)+'Calc'!$B$6,IF(Calc!$AO$83&lt;='财富模型'!$E$11*12,'Calc'!$W$17,'Calc'!$Y$17))))</x:f>
      </x:c>
      <x:c r="AT83" t="str">
        <x:f>IF(Calc!$AO$83&gt;'Calc'!$B$8,"",'Calc'!$B$5-'财富模型'!$E$5-(IF('Calc'!$E$17=1,'财富模型'!$E$9,'财富模型'!$M$9+IF(Calc!$AO$83&lt;='财富模型'!$E$11*12,'Calc'!$W$17,'Calc'!$Y$17)-(IF('Calc'!$E$17=1,0,MIN(Calc!$AQ$82*(1+'财富模型'!$E$20/12)+'Calc'!$B$6,IF(Calc!$AO$83&lt;='财富模型'!$E$11*12,'Calc'!$W$17,'Calc'!$Y$17)))))))</x:f>
      </x:c>
      <x:c r="AU83" t="str">
        <x:f>IF(Calc!$AO$83&gt;'Calc'!$B$8,"",IF('Calc'!$E$17=1,0,MAX(Calc!$AU$82*(1+IF(Calc!$AO$83&lt;='财富模型'!$E$11*12,'财富模型'!$E$10,'财富模型'!$E$12)/12)-IF('Calc'!$E$17=1,0,IF(Calc!$AO$83&lt;='财富模型'!$E$11*12,'Calc'!$W$17,'Calc'!$Y$17)),0)))</x:f>
      </x:c>
    </x:row>
    <x:row r="84">
      <x:c r="A84" t="n">
        <x:v>63</x:v>
      </x:c>
      <x:c r="B84" t="str">
        <x:f>IF(Calc!$A$84&gt;'Calc'!$B$8,"",MAX(Calc!$B$83*(1+'财富模型'!$E$6/12)+('Calc'!$B$5-'财富模型'!$E$5-(IF('Calc'!$E$12=1,'财富模型'!$E$9,'财富模型'!$M$4+IF(Calc!$A$84&lt;='财富模型'!$E$11*12,'Calc'!$W$12,'Calc'!$Y$12)-(IF('Calc'!$E$12=1,0,MIN(Calc!$C$83*(1+'财富模型'!$E$20/12)+'Calc'!$B$6,IF(Calc!$A$84&lt;='财富模型'!$E$11*12,'Calc'!$W$12,'Calc'!$Y$12))))))),0))</x:f>
      </x:c>
      <x:c r="C84" t="str">
        <x:f>IF(Calc!$A$84&gt;'Calc'!$B$8,"",MAX(Calc!$C$83*(1+'财富模型'!$E$20/12)+'Calc'!$B$6-(IF('Calc'!$E$12=1,0,MIN(Calc!$C$83*(1+'财富模型'!$E$20/12)+'Calc'!$B$6,IF(Calc!$A$84&lt;='财富模型'!$E$11*12,'Calc'!$W$12,'Calc'!$Y$12)))),0))</x:f>
      </x:c>
      <x:c r="D84" t="str">
        <x:f>IF(Calc!$A$84&gt;'Calc'!$B$8,"",IF('Calc'!$E$12=1,'财富模型'!$E$9,'财富模型'!$M$4+IF(Calc!$A$84&lt;='财富模型'!$E$11*12,'Calc'!$W$12,'Calc'!$Y$12)-(IF('Calc'!$E$12=1,0,MIN(Calc!$C$83*(1+'财富模型'!$E$20/12)+'Calc'!$B$6,IF(Calc!$A$84&lt;='财富模型'!$E$11*12,'Calc'!$W$12,'Calc'!$Y$12))))))</x:f>
      </x:c>
      <x:c r="E84" t="str">
        <x:f>IF(Calc!$A$84&gt;'Calc'!$B$8,"",IF('Calc'!$E$12=1,0,MIN(Calc!$C$83*(1+'财富模型'!$E$20/12)+'Calc'!$B$6,IF(Calc!$A$84&lt;='财富模型'!$E$11*12,'Calc'!$W$12,'Calc'!$Y$12))))</x:f>
      </x:c>
      <x:c r="F84" t="str">
        <x:f>IF(Calc!$A$84&gt;'Calc'!$B$8,"",'Calc'!$B$5-'财富模型'!$E$5-(IF('Calc'!$E$12=1,'财富模型'!$E$9,'财富模型'!$M$4+IF(Calc!$A$84&lt;='财富模型'!$E$11*12,'Calc'!$W$12,'Calc'!$Y$12)-(IF('Calc'!$E$12=1,0,MIN(Calc!$C$83*(1+'财富模型'!$E$20/12)+'Calc'!$B$6,IF(Calc!$A$84&lt;='财富模型'!$E$11*12,'Calc'!$W$12,'Calc'!$Y$12)))))))</x:f>
      </x:c>
      <x:c r="G84" t="str">
        <x:f>IF(Calc!$A$84&gt;'Calc'!$B$8,"",IF('Calc'!$E$12=1,0,MAX(Calc!$G$83*(1+IF(Calc!$A$84&lt;='财富模型'!$E$11*12,'财富模型'!$E$10,'财富模型'!$E$12)/12)-IF('Calc'!$E$12=1,0,IF(Calc!$A$84&lt;='财富模型'!$E$11*12,'Calc'!$W$12,'Calc'!$Y$12)),0)))</x:f>
      </x:c>
      <x:c r="I84" t="n">
        <x:v>63</x:v>
      </x:c>
      <x:c r="J84" t="str">
        <x:f>IF(Calc!$I$84&gt;'Calc'!$B$8,"",MAX(Calc!$J$83*(1+'财富模型'!$E$6/12)+('Calc'!$B$5-'财富模型'!$E$5-(IF('Calc'!$E$13=1,'财富模型'!$E$9,'财富模型'!$M$5+IF(Calc!$I$84&lt;='财富模型'!$E$11*12,'Calc'!$W$13,'Calc'!$Y$13)-(IF('Calc'!$E$13=1,0,MIN(Calc!$K$83*(1+'财富模型'!$E$20/12)+'Calc'!$B$6,IF(Calc!$I$84&lt;='财富模型'!$E$11*12,'Calc'!$W$13,'Calc'!$Y$13))))))),0))</x:f>
      </x:c>
      <x:c r="K84" t="str">
        <x:f>IF(Calc!$I$84&gt;'Calc'!$B$8,"",MAX(Calc!$K$83*(1+'财富模型'!$E$20/12)+'Calc'!$B$6-(IF('Calc'!$E$13=1,0,MIN(Calc!$K$83*(1+'财富模型'!$E$20/12)+'Calc'!$B$6,IF(Calc!$I$84&lt;='财富模型'!$E$11*12,'Calc'!$W$13,'Calc'!$Y$13)))),0))</x:f>
      </x:c>
      <x:c r="L84" t="str">
        <x:f>IF(Calc!$I$84&gt;'Calc'!$B$8,"",IF('Calc'!$E$13=1,'财富模型'!$E$9,'财富模型'!$M$5+IF(Calc!$I$84&lt;='财富模型'!$E$11*12,'Calc'!$W$13,'Calc'!$Y$13)-(IF('Calc'!$E$13=1,0,MIN(Calc!$K$83*(1+'财富模型'!$E$20/12)+'Calc'!$B$6,IF(Calc!$I$84&lt;='财富模型'!$E$11*12,'Calc'!$W$13,'Calc'!$Y$13))))))</x:f>
      </x:c>
      <x:c r="M84" t="str">
        <x:f>IF(Calc!$I$84&gt;'Calc'!$B$8,"",IF('Calc'!$E$13=1,0,MIN(Calc!$K$83*(1+'财富模型'!$E$20/12)+'Calc'!$B$6,IF(Calc!$I$84&lt;='财富模型'!$E$11*12,'Calc'!$W$13,'Calc'!$Y$13))))</x:f>
      </x:c>
      <x:c r="N84" t="str">
        <x:f>IF(Calc!$I$84&gt;'Calc'!$B$8,"",'Calc'!$B$5-'财富模型'!$E$5-(IF('Calc'!$E$13=1,'财富模型'!$E$9,'财富模型'!$M$5+IF(Calc!$I$84&lt;='财富模型'!$E$11*12,'Calc'!$W$13,'Calc'!$Y$13)-(IF('Calc'!$E$13=1,0,MIN(Calc!$K$83*(1+'财富模型'!$E$20/12)+'Calc'!$B$6,IF(Calc!$I$84&lt;='财富模型'!$E$11*12,'Calc'!$W$13,'Calc'!$Y$13)))))))</x:f>
      </x:c>
      <x:c r="O84" t="str">
        <x:f>IF(Calc!$I$84&gt;'Calc'!$B$8,"",IF('Calc'!$E$13=1,0,MAX(Calc!$O$83*(1+IF(Calc!$I$84&lt;='财富模型'!$E$11*12,'财富模型'!$E$10,'财富模型'!$E$12)/12)-IF('Calc'!$E$13=1,0,IF(Calc!$I$84&lt;='财富模型'!$E$11*12,'Calc'!$W$13,'Calc'!$Y$13)),0)))</x:f>
      </x:c>
      <x:c r="Q84" t="n">
        <x:v>63</x:v>
      </x:c>
      <x:c r="R84" t="str">
        <x:f>IF(Calc!$Q$84&gt;'Calc'!$B$8,"",MAX(Calc!$R$83*(1+'财富模型'!$E$6/12)+('Calc'!$B$5-'财富模型'!$E$5-(IF('Calc'!$E$14=1,'财富模型'!$E$9,'财富模型'!$M$6+IF(Calc!$Q$84&lt;='财富模型'!$E$11*12,'Calc'!$W$14,'Calc'!$Y$14)-(IF('Calc'!$E$14=1,0,MIN(Calc!$S$83*(1+'财富模型'!$E$20/12)+'Calc'!$B$6,IF(Calc!$Q$84&lt;='财富模型'!$E$11*12,'Calc'!$W$14,'Calc'!$Y$14))))))),0))</x:f>
      </x:c>
      <x:c r="S84" t="str">
        <x:f>IF(Calc!$Q$84&gt;'Calc'!$B$8,"",MAX(Calc!$S$83*(1+'财富模型'!$E$20/12)+'Calc'!$B$6-(IF('Calc'!$E$14=1,0,MIN(Calc!$S$83*(1+'财富模型'!$E$20/12)+'Calc'!$B$6,IF(Calc!$Q$84&lt;='财富模型'!$E$11*12,'Calc'!$W$14,'Calc'!$Y$14)))),0))</x:f>
      </x:c>
      <x:c r="T84" t="str">
        <x:f>IF(Calc!$Q$84&gt;'Calc'!$B$8,"",IF('Calc'!$E$14=1,'财富模型'!$E$9,'财富模型'!$M$6+IF(Calc!$Q$84&lt;='财富模型'!$E$11*12,'Calc'!$W$14,'Calc'!$Y$14)-(IF('Calc'!$E$14=1,0,MIN(Calc!$S$83*(1+'财富模型'!$E$20/12)+'Calc'!$B$6,IF(Calc!$Q$84&lt;='财富模型'!$E$11*12,'Calc'!$W$14,'Calc'!$Y$14))))))</x:f>
      </x:c>
      <x:c r="U84" t="str">
        <x:f>IF(Calc!$Q$84&gt;'Calc'!$B$8,"",IF('Calc'!$E$14=1,0,MIN(Calc!$S$83*(1+'财富模型'!$E$20/12)+'Calc'!$B$6,IF(Calc!$Q$84&lt;='财富模型'!$E$11*12,'Calc'!$W$14,'Calc'!$Y$14))))</x:f>
      </x:c>
      <x:c r="V84" t="str">
        <x:f>IF(Calc!$Q$84&gt;'Calc'!$B$8,"",'Calc'!$B$5-'财富模型'!$E$5-(IF('Calc'!$E$14=1,'财富模型'!$E$9,'财富模型'!$M$6+IF(Calc!$Q$84&lt;='财富模型'!$E$11*12,'Calc'!$W$14,'Calc'!$Y$14)-(IF('Calc'!$E$14=1,0,MIN(Calc!$S$83*(1+'财富模型'!$E$20/12)+'Calc'!$B$6,IF(Calc!$Q$84&lt;='财富模型'!$E$11*12,'Calc'!$W$14,'Calc'!$Y$14)))))))</x:f>
      </x:c>
      <x:c r="W84" t="str">
        <x:f>IF(Calc!$Q$84&gt;'Calc'!$B$8,"",IF('Calc'!$E$14=1,0,MAX(Calc!$W$83*(1+IF(Calc!$Q$84&lt;='财富模型'!$E$11*12,'财富模型'!$E$10,'财富模型'!$E$12)/12)-IF('Calc'!$E$14=1,0,IF(Calc!$Q$84&lt;='财富模型'!$E$11*12,'Calc'!$W$14,'Calc'!$Y$14)),0)))</x:f>
      </x:c>
      <x:c r="Y84" t="n">
        <x:v>63</x:v>
      </x:c>
      <x:c r="Z84" t="str">
        <x:f>IF(Calc!$Y$84&gt;'Calc'!$B$8,"",MAX(Calc!$Z$83*(1+'财富模型'!$E$6/12)+('Calc'!$B$5-'财富模型'!$E$5-(IF('Calc'!$E$15=1,'财富模型'!$E$9,'财富模型'!$M$7+IF(Calc!$Y$84&lt;='财富模型'!$E$11*12,'Calc'!$W$15,'Calc'!$Y$15)-(IF('Calc'!$E$15=1,0,MIN(Calc!$AA$83*(1+'财富模型'!$E$20/12)+'Calc'!$B$6,IF(Calc!$Y$84&lt;='财富模型'!$E$11*12,'Calc'!$W$15,'Calc'!$Y$15))))))),0))</x:f>
      </x:c>
      <x:c r="AA84" t="str">
        <x:f>IF(Calc!$Y$84&gt;'Calc'!$B$8,"",MAX(Calc!$AA$83*(1+'财富模型'!$E$20/12)+'Calc'!$B$6-(IF('Calc'!$E$15=1,0,MIN(Calc!$AA$83*(1+'财富模型'!$E$20/12)+'Calc'!$B$6,IF(Calc!$Y$84&lt;='财富模型'!$E$11*12,'Calc'!$W$15,'Calc'!$Y$15)))),0))</x:f>
      </x:c>
      <x:c r="AB84" t="str">
        <x:f>IF(Calc!$Y$84&gt;'Calc'!$B$8,"",IF('Calc'!$E$15=1,'财富模型'!$E$9,'财富模型'!$M$7+IF(Calc!$Y$84&lt;='财富模型'!$E$11*12,'Calc'!$W$15,'Calc'!$Y$15)-(IF('Calc'!$E$15=1,0,MIN(Calc!$AA$83*(1+'财富模型'!$E$20/12)+'Calc'!$B$6,IF(Calc!$Y$84&lt;='财富模型'!$E$11*12,'Calc'!$W$15,'Calc'!$Y$15))))))</x:f>
      </x:c>
      <x:c r="AC84" t="str">
        <x:f>IF(Calc!$Y$84&gt;'Calc'!$B$8,"",IF('Calc'!$E$15=1,0,MIN(Calc!$AA$83*(1+'财富模型'!$E$20/12)+'Calc'!$B$6,IF(Calc!$Y$84&lt;='财富模型'!$E$11*12,'Calc'!$W$15,'Calc'!$Y$15))))</x:f>
      </x:c>
      <x:c r="AD84" t="str">
        <x:f>IF(Calc!$Y$84&gt;'Calc'!$B$8,"",'Calc'!$B$5-'财富模型'!$E$5-(IF('Calc'!$E$15=1,'财富模型'!$E$9,'财富模型'!$M$7+IF(Calc!$Y$84&lt;='财富模型'!$E$11*12,'Calc'!$W$15,'Calc'!$Y$15)-(IF('Calc'!$E$15=1,0,MIN(Calc!$AA$83*(1+'财富模型'!$E$20/12)+'Calc'!$B$6,IF(Calc!$Y$84&lt;='财富模型'!$E$11*12,'Calc'!$W$15,'Calc'!$Y$15)))))))</x:f>
      </x:c>
      <x:c r="AE84" t="str">
        <x:f>IF(Calc!$Y$84&gt;'Calc'!$B$8,"",IF('Calc'!$E$15=1,0,MAX(Calc!$AE$83*(1+IF(Calc!$Y$84&lt;='财富模型'!$E$11*12,'财富模型'!$E$10,'财富模型'!$E$12)/12)-IF('Calc'!$E$15=1,0,IF(Calc!$Y$84&lt;='财富模型'!$E$11*12,'Calc'!$W$15,'Calc'!$Y$15)),0)))</x:f>
      </x:c>
      <x:c r="AG84" t="n">
        <x:v>63</x:v>
      </x:c>
      <x:c r="AH84" t="str">
        <x:f>IF(Calc!$AG$84&gt;'Calc'!$B$8,"",MAX(Calc!$AH$83*(1+'财富模型'!$E$6/12)+('Calc'!$B$5-'财富模型'!$E$5-(IF('Calc'!$E$16=1,'财富模型'!$E$9,'财富模型'!$M$8+IF(Calc!$AG$84&lt;='财富模型'!$E$11*12,'Calc'!$W$16,'Calc'!$Y$16)-(IF('Calc'!$E$16=1,0,MIN(Calc!$AI$83*(1+'财富模型'!$E$20/12)+'Calc'!$B$6,IF(Calc!$AG$84&lt;='财富模型'!$E$11*12,'Calc'!$W$16,'Calc'!$Y$16))))))),0))</x:f>
      </x:c>
      <x:c r="AI84" t="str">
        <x:f>IF(Calc!$AG$84&gt;'Calc'!$B$8,"",MAX(Calc!$AI$83*(1+'财富模型'!$E$20/12)+'Calc'!$B$6-(IF('Calc'!$E$16=1,0,MIN(Calc!$AI$83*(1+'财富模型'!$E$20/12)+'Calc'!$B$6,IF(Calc!$AG$84&lt;='财富模型'!$E$11*12,'Calc'!$W$16,'Calc'!$Y$16)))),0))</x:f>
      </x:c>
      <x:c r="AJ84" t="str">
        <x:f>IF(Calc!$AG$84&gt;'Calc'!$B$8,"",IF('Calc'!$E$16=1,'财富模型'!$E$9,'财富模型'!$M$8+IF(Calc!$AG$84&lt;='财富模型'!$E$11*12,'Calc'!$W$16,'Calc'!$Y$16)-(IF('Calc'!$E$16=1,0,MIN(Calc!$AI$83*(1+'财富模型'!$E$20/12)+'Calc'!$B$6,IF(Calc!$AG$84&lt;='财富模型'!$E$11*12,'Calc'!$W$16,'Calc'!$Y$16))))))</x:f>
      </x:c>
      <x:c r="AK84" t="str">
        <x:f>IF(Calc!$AG$84&gt;'Calc'!$B$8,"",IF('Calc'!$E$16=1,0,MIN(Calc!$AI$83*(1+'财富模型'!$E$20/12)+'Calc'!$B$6,IF(Calc!$AG$84&lt;='财富模型'!$E$11*12,'Calc'!$W$16,'Calc'!$Y$16))))</x:f>
      </x:c>
      <x:c r="AL84" t="str">
        <x:f>IF(Calc!$AG$84&gt;'Calc'!$B$8,"",'Calc'!$B$5-'财富模型'!$E$5-(IF('Calc'!$E$16=1,'财富模型'!$E$9,'财富模型'!$M$8+IF(Calc!$AG$84&lt;='财富模型'!$E$11*12,'Calc'!$W$16,'Calc'!$Y$16)-(IF('Calc'!$E$16=1,0,MIN(Calc!$AI$83*(1+'财富模型'!$E$20/12)+'Calc'!$B$6,IF(Calc!$AG$84&lt;='财富模型'!$E$11*12,'Calc'!$W$16,'Calc'!$Y$16)))))))</x:f>
      </x:c>
      <x:c r="AM84" t="str">
        <x:f>IF(Calc!$AG$84&gt;'Calc'!$B$8,"",IF('Calc'!$E$16=1,0,MAX(Calc!$AM$83*(1+IF(Calc!$AG$84&lt;='财富模型'!$E$11*12,'财富模型'!$E$10,'财富模型'!$E$12)/12)-IF('Calc'!$E$16=1,0,IF(Calc!$AG$84&lt;='财富模型'!$E$11*12,'Calc'!$W$16,'Calc'!$Y$16)),0)))</x:f>
      </x:c>
      <x:c r="AO84" t="n">
        <x:v>63</x:v>
      </x:c>
      <x:c r="AP84" t="str">
        <x:f>IF(Calc!$AO$84&gt;'Calc'!$B$8,"",MAX(Calc!$AP$83*(1+'财富模型'!$E$6/12)+('Calc'!$B$5-'财富模型'!$E$5-(IF('Calc'!$E$17=1,'财富模型'!$E$9,'财富模型'!$M$9+IF(Calc!$AO$84&lt;='财富模型'!$E$11*12,'Calc'!$W$17,'Calc'!$Y$17)-(IF('Calc'!$E$17=1,0,MIN(Calc!$AQ$83*(1+'财富模型'!$E$20/12)+'Calc'!$B$6,IF(Calc!$AO$84&lt;='财富模型'!$E$11*12,'Calc'!$W$17,'Calc'!$Y$17))))))),0))</x:f>
      </x:c>
      <x:c r="AQ84" t="str">
        <x:f>IF(Calc!$AO$84&gt;'Calc'!$B$8,"",MAX(Calc!$AQ$83*(1+'财富模型'!$E$20/12)+'Calc'!$B$6-(IF('Calc'!$E$17=1,0,MIN(Calc!$AQ$83*(1+'财富模型'!$E$20/12)+'Calc'!$B$6,IF(Calc!$AO$84&lt;='财富模型'!$E$11*12,'Calc'!$W$17,'Calc'!$Y$17)))),0))</x:f>
      </x:c>
      <x:c r="AR84" t="str">
        <x:f>IF(Calc!$AO$84&gt;'Calc'!$B$8,"",IF('Calc'!$E$17=1,'财富模型'!$E$9,'财富模型'!$M$9+IF(Calc!$AO$84&lt;='财富模型'!$E$11*12,'Calc'!$W$17,'Calc'!$Y$17)-(IF('Calc'!$E$17=1,0,MIN(Calc!$AQ$83*(1+'财富模型'!$E$20/12)+'Calc'!$B$6,IF(Calc!$AO$84&lt;='财富模型'!$E$11*12,'Calc'!$W$17,'Calc'!$Y$17))))))</x:f>
      </x:c>
      <x:c r="AS84" t="str">
        <x:f>IF(Calc!$AO$84&gt;'Calc'!$B$8,"",IF('Calc'!$E$17=1,0,MIN(Calc!$AQ$83*(1+'财富模型'!$E$20/12)+'Calc'!$B$6,IF(Calc!$AO$84&lt;='财富模型'!$E$11*12,'Calc'!$W$17,'Calc'!$Y$17))))</x:f>
      </x:c>
      <x:c r="AT84" t="str">
        <x:f>IF(Calc!$AO$84&gt;'Calc'!$B$8,"",'Calc'!$B$5-'财富模型'!$E$5-(IF('Calc'!$E$17=1,'财富模型'!$E$9,'财富模型'!$M$9+IF(Calc!$AO$84&lt;='财富模型'!$E$11*12,'Calc'!$W$17,'Calc'!$Y$17)-(IF('Calc'!$E$17=1,0,MIN(Calc!$AQ$83*(1+'财富模型'!$E$20/12)+'Calc'!$B$6,IF(Calc!$AO$84&lt;='财富模型'!$E$11*12,'Calc'!$W$17,'Calc'!$Y$17)))))))</x:f>
      </x:c>
      <x:c r="AU84" t="str">
        <x:f>IF(Calc!$AO$84&gt;'Calc'!$B$8,"",IF('Calc'!$E$17=1,0,MAX(Calc!$AU$83*(1+IF(Calc!$AO$84&lt;='财富模型'!$E$11*12,'财富模型'!$E$10,'财富模型'!$E$12)/12)-IF('Calc'!$E$17=1,0,IF(Calc!$AO$84&lt;='财富模型'!$E$11*12,'Calc'!$W$17,'Calc'!$Y$17)),0)))</x:f>
      </x:c>
    </x:row>
    <x:row r="85">
      <x:c r="A85" t="n">
        <x:v>64</x:v>
      </x:c>
      <x:c r="B85" t="str">
        <x:f>IF(Calc!$A$85&gt;'Calc'!$B$8,"",MAX(Calc!$B$84*(1+'财富模型'!$E$6/12)+('Calc'!$B$5-'财富模型'!$E$5-(IF('Calc'!$E$12=1,'财富模型'!$E$9,'财富模型'!$M$4+IF(Calc!$A$85&lt;='财富模型'!$E$11*12,'Calc'!$W$12,'Calc'!$Y$12)-(IF('Calc'!$E$12=1,0,MIN(Calc!$C$84*(1+'财富模型'!$E$20/12)+'Calc'!$B$6,IF(Calc!$A$85&lt;='财富模型'!$E$11*12,'Calc'!$W$12,'Calc'!$Y$12))))))),0))</x:f>
      </x:c>
      <x:c r="C85" t="str">
        <x:f>IF(Calc!$A$85&gt;'Calc'!$B$8,"",MAX(Calc!$C$84*(1+'财富模型'!$E$20/12)+'Calc'!$B$6-(IF('Calc'!$E$12=1,0,MIN(Calc!$C$84*(1+'财富模型'!$E$20/12)+'Calc'!$B$6,IF(Calc!$A$85&lt;='财富模型'!$E$11*12,'Calc'!$W$12,'Calc'!$Y$12)))),0))</x:f>
      </x:c>
      <x:c r="D85" t="str">
        <x:f>IF(Calc!$A$85&gt;'Calc'!$B$8,"",IF('Calc'!$E$12=1,'财富模型'!$E$9,'财富模型'!$M$4+IF(Calc!$A$85&lt;='财富模型'!$E$11*12,'Calc'!$W$12,'Calc'!$Y$12)-(IF('Calc'!$E$12=1,0,MIN(Calc!$C$84*(1+'财富模型'!$E$20/12)+'Calc'!$B$6,IF(Calc!$A$85&lt;='财富模型'!$E$11*12,'Calc'!$W$12,'Calc'!$Y$12))))))</x:f>
      </x:c>
      <x:c r="E85" t="str">
        <x:f>IF(Calc!$A$85&gt;'Calc'!$B$8,"",IF('Calc'!$E$12=1,0,MIN(Calc!$C$84*(1+'财富模型'!$E$20/12)+'Calc'!$B$6,IF(Calc!$A$85&lt;='财富模型'!$E$11*12,'Calc'!$W$12,'Calc'!$Y$12))))</x:f>
      </x:c>
      <x:c r="F85" t="str">
        <x:f>IF(Calc!$A$85&gt;'Calc'!$B$8,"",'Calc'!$B$5-'财富模型'!$E$5-(IF('Calc'!$E$12=1,'财富模型'!$E$9,'财富模型'!$M$4+IF(Calc!$A$85&lt;='财富模型'!$E$11*12,'Calc'!$W$12,'Calc'!$Y$12)-(IF('Calc'!$E$12=1,0,MIN(Calc!$C$84*(1+'财富模型'!$E$20/12)+'Calc'!$B$6,IF(Calc!$A$85&lt;='财富模型'!$E$11*12,'Calc'!$W$12,'Calc'!$Y$12)))))))</x:f>
      </x:c>
      <x:c r="G85" t="str">
        <x:f>IF(Calc!$A$85&gt;'Calc'!$B$8,"",IF('Calc'!$E$12=1,0,MAX(Calc!$G$84*(1+IF(Calc!$A$85&lt;='财富模型'!$E$11*12,'财富模型'!$E$10,'财富模型'!$E$12)/12)-IF('Calc'!$E$12=1,0,IF(Calc!$A$85&lt;='财富模型'!$E$11*12,'Calc'!$W$12,'Calc'!$Y$12)),0)))</x:f>
      </x:c>
      <x:c r="I85" t="n">
        <x:v>64</x:v>
      </x:c>
      <x:c r="J85" t="str">
        <x:f>IF(Calc!$I$85&gt;'Calc'!$B$8,"",MAX(Calc!$J$84*(1+'财富模型'!$E$6/12)+('Calc'!$B$5-'财富模型'!$E$5-(IF('Calc'!$E$13=1,'财富模型'!$E$9,'财富模型'!$M$5+IF(Calc!$I$85&lt;='财富模型'!$E$11*12,'Calc'!$W$13,'Calc'!$Y$13)-(IF('Calc'!$E$13=1,0,MIN(Calc!$K$84*(1+'财富模型'!$E$20/12)+'Calc'!$B$6,IF(Calc!$I$85&lt;='财富模型'!$E$11*12,'Calc'!$W$13,'Calc'!$Y$13))))))),0))</x:f>
      </x:c>
      <x:c r="K85" t="str">
        <x:f>IF(Calc!$I$85&gt;'Calc'!$B$8,"",MAX(Calc!$K$84*(1+'财富模型'!$E$20/12)+'Calc'!$B$6-(IF('Calc'!$E$13=1,0,MIN(Calc!$K$84*(1+'财富模型'!$E$20/12)+'Calc'!$B$6,IF(Calc!$I$85&lt;='财富模型'!$E$11*12,'Calc'!$W$13,'Calc'!$Y$13)))),0))</x:f>
      </x:c>
      <x:c r="L85" t="str">
        <x:f>IF(Calc!$I$85&gt;'Calc'!$B$8,"",IF('Calc'!$E$13=1,'财富模型'!$E$9,'财富模型'!$M$5+IF(Calc!$I$85&lt;='财富模型'!$E$11*12,'Calc'!$W$13,'Calc'!$Y$13)-(IF('Calc'!$E$13=1,0,MIN(Calc!$K$84*(1+'财富模型'!$E$20/12)+'Calc'!$B$6,IF(Calc!$I$85&lt;='财富模型'!$E$11*12,'Calc'!$W$13,'Calc'!$Y$13))))))</x:f>
      </x:c>
      <x:c r="M85" t="str">
        <x:f>IF(Calc!$I$85&gt;'Calc'!$B$8,"",IF('Calc'!$E$13=1,0,MIN(Calc!$K$84*(1+'财富模型'!$E$20/12)+'Calc'!$B$6,IF(Calc!$I$85&lt;='财富模型'!$E$11*12,'Calc'!$W$13,'Calc'!$Y$13))))</x:f>
      </x:c>
      <x:c r="N85" t="str">
        <x:f>IF(Calc!$I$85&gt;'Calc'!$B$8,"",'Calc'!$B$5-'财富模型'!$E$5-(IF('Calc'!$E$13=1,'财富模型'!$E$9,'财富模型'!$M$5+IF(Calc!$I$85&lt;='财富模型'!$E$11*12,'Calc'!$W$13,'Calc'!$Y$13)-(IF('Calc'!$E$13=1,0,MIN(Calc!$K$84*(1+'财富模型'!$E$20/12)+'Calc'!$B$6,IF(Calc!$I$85&lt;='财富模型'!$E$11*12,'Calc'!$W$13,'Calc'!$Y$13)))))))</x:f>
      </x:c>
      <x:c r="O85" t="str">
        <x:f>IF(Calc!$I$85&gt;'Calc'!$B$8,"",IF('Calc'!$E$13=1,0,MAX(Calc!$O$84*(1+IF(Calc!$I$85&lt;='财富模型'!$E$11*12,'财富模型'!$E$10,'财富模型'!$E$12)/12)-IF('Calc'!$E$13=1,0,IF(Calc!$I$85&lt;='财富模型'!$E$11*12,'Calc'!$W$13,'Calc'!$Y$13)),0)))</x:f>
      </x:c>
      <x:c r="Q85" t="n">
        <x:v>64</x:v>
      </x:c>
      <x:c r="R85" t="str">
        <x:f>IF(Calc!$Q$85&gt;'Calc'!$B$8,"",MAX(Calc!$R$84*(1+'财富模型'!$E$6/12)+('Calc'!$B$5-'财富模型'!$E$5-(IF('Calc'!$E$14=1,'财富模型'!$E$9,'财富模型'!$M$6+IF(Calc!$Q$85&lt;='财富模型'!$E$11*12,'Calc'!$W$14,'Calc'!$Y$14)-(IF('Calc'!$E$14=1,0,MIN(Calc!$S$84*(1+'财富模型'!$E$20/12)+'Calc'!$B$6,IF(Calc!$Q$85&lt;='财富模型'!$E$11*12,'Calc'!$W$14,'Calc'!$Y$14))))))),0))</x:f>
      </x:c>
      <x:c r="S85" t="str">
        <x:f>IF(Calc!$Q$85&gt;'Calc'!$B$8,"",MAX(Calc!$S$84*(1+'财富模型'!$E$20/12)+'Calc'!$B$6-(IF('Calc'!$E$14=1,0,MIN(Calc!$S$84*(1+'财富模型'!$E$20/12)+'Calc'!$B$6,IF(Calc!$Q$85&lt;='财富模型'!$E$11*12,'Calc'!$W$14,'Calc'!$Y$14)))),0))</x:f>
      </x:c>
      <x:c r="T85" t="str">
        <x:f>IF(Calc!$Q$85&gt;'Calc'!$B$8,"",IF('Calc'!$E$14=1,'财富模型'!$E$9,'财富模型'!$M$6+IF(Calc!$Q$85&lt;='财富模型'!$E$11*12,'Calc'!$W$14,'Calc'!$Y$14)-(IF('Calc'!$E$14=1,0,MIN(Calc!$S$84*(1+'财富模型'!$E$20/12)+'Calc'!$B$6,IF(Calc!$Q$85&lt;='财富模型'!$E$11*12,'Calc'!$W$14,'Calc'!$Y$14))))))</x:f>
      </x:c>
      <x:c r="U85" t="str">
        <x:f>IF(Calc!$Q$85&gt;'Calc'!$B$8,"",IF('Calc'!$E$14=1,0,MIN(Calc!$S$84*(1+'财富模型'!$E$20/12)+'Calc'!$B$6,IF(Calc!$Q$85&lt;='财富模型'!$E$11*12,'Calc'!$W$14,'Calc'!$Y$14))))</x:f>
      </x:c>
      <x:c r="V85" t="str">
        <x:f>IF(Calc!$Q$85&gt;'Calc'!$B$8,"",'Calc'!$B$5-'财富模型'!$E$5-(IF('Calc'!$E$14=1,'财富模型'!$E$9,'财富模型'!$M$6+IF(Calc!$Q$85&lt;='财富模型'!$E$11*12,'Calc'!$W$14,'Calc'!$Y$14)-(IF('Calc'!$E$14=1,0,MIN(Calc!$S$84*(1+'财富模型'!$E$20/12)+'Calc'!$B$6,IF(Calc!$Q$85&lt;='财富模型'!$E$11*12,'Calc'!$W$14,'Calc'!$Y$14)))))))</x:f>
      </x:c>
      <x:c r="W85" t="str">
        <x:f>IF(Calc!$Q$85&gt;'Calc'!$B$8,"",IF('Calc'!$E$14=1,0,MAX(Calc!$W$84*(1+IF(Calc!$Q$85&lt;='财富模型'!$E$11*12,'财富模型'!$E$10,'财富模型'!$E$12)/12)-IF('Calc'!$E$14=1,0,IF(Calc!$Q$85&lt;='财富模型'!$E$11*12,'Calc'!$W$14,'Calc'!$Y$14)),0)))</x:f>
      </x:c>
      <x:c r="Y85" t="n">
        <x:v>64</x:v>
      </x:c>
      <x:c r="Z85" t="str">
        <x:f>IF(Calc!$Y$85&gt;'Calc'!$B$8,"",MAX(Calc!$Z$84*(1+'财富模型'!$E$6/12)+('Calc'!$B$5-'财富模型'!$E$5-(IF('Calc'!$E$15=1,'财富模型'!$E$9,'财富模型'!$M$7+IF(Calc!$Y$85&lt;='财富模型'!$E$11*12,'Calc'!$W$15,'Calc'!$Y$15)-(IF('Calc'!$E$15=1,0,MIN(Calc!$AA$84*(1+'财富模型'!$E$20/12)+'Calc'!$B$6,IF(Calc!$Y$85&lt;='财富模型'!$E$11*12,'Calc'!$W$15,'Calc'!$Y$15))))))),0))</x:f>
      </x:c>
      <x:c r="AA85" t="str">
        <x:f>IF(Calc!$Y$85&gt;'Calc'!$B$8,"",MAX(Calc!$AA$84*(1+'财富模型'!$E$20/12)+'Calc'!$B$6-(IF('Calc'!$E$15=1,0,MIN(Calc!$AA$84*(1+'财富模型'!$E$20/12)+'Calc'!$B$6,IF(Calc!$Y$85&lt;='财富模型'!$E$11*12,'Calc'!$W$15,'Calc'!$Y$15)))),0))</x:f>
      </x:c>
      <x:c r="AB85" t="str">
        <x:f>IF(Calc!$Y$85&gt;'Calc'!$B$8,"",IF('Calc'!$E$15=1,'财富模型'!$E$9,'财富模型'!$M$7+IF(Calc!$Y$85&lt;='财富模型'!$E$11*12,'Calc'!$W$15,'Calc'!$Y$15)-(IF('Calc'!$E$15=1,0,MIN(Calc!$AA$84*(1+'财富模型'!$E$20/12)+'Calc'!$B$6,IF(Calc!$Y$85&lt;='财富模型'!$E$11*12,'Calc'!$W$15,'Calc'!$Y$15))))))</x:f>
      </x:c>
      <x:c r="AC85" t="str">
        <x:f>IF(Calc!$Y$85&gt;'Calc'!$B$8,"",IF('Calc'!$E$15=1,0,MIN(Calc!$AA$84*(1+'财富模型'!$E$20/12)+'Calc'!$B$6,IF(Calc!$Y$85&lt;='财富模型'!$E$11*12,'Calc'!$W$15,'Calc'!$Y$15))))</x:f>
      </x:c>
      <x:c r="AD85" t="str">
        <x:f>IF(Calc!$Y$85&gt;'Calc'!$B$8,"",'Calc'!$B$5-'财富模型'!$E$5-(IF('Calc'!$E$15=1,'财富模型'!$E$9,'财富模型'!$M$7+IF(Calc!$Y$85&lt;='财富模型'!$E$11*12,'Calc'!$W$15,'Calc'!$Y$15)-(IF('Calc'!$E$15=1,0,MIN(Calc!$AA$84*(1+'财富模型'!$E$20/12)+'Calc'!$B$6,IF(Calc!$Y$85&lt;='财富模型'!$E$11*12,'Calc'!$W$15,'Calc'!$Y$15)))))))</x:f>
      </x:c>
      <x:c r="AE85" t="str">
        <x:f>IF(Calc!$Y$85&gt;'Calc'!$B$8,"",IF('Calc'!$E$15=1,0,MAX(Calc!$AE$84*(1+IF(Calc!$Y$85&lt;='财富模型'!$E$11*12,'财富模型'!$E$10,'财富模型'!$E$12)/12)-IF('Calc'!$E$15=1,0,IF(Calc!$Y$85&lt;='财富模型'!$E$11*12,'Calc'!$W$15,'Calc'!$Y$15)),0)))</x:f>
      </x:c>
      <x:c r="AG85" t="n">
        <x:v>64</x:v>
      </x:c>
      <x:c r="AH85" t="str">
        <x:f>IF(Calc!$AG$85&gt;'Calc'!$B$8,"",MAX(Calc!$AH$84*(1+'财富模型'!$E$6/12)+('Calc'!$B$5-'财富模型'!$E$5-(IF('Calc'!$E$16=1,'财富模型'!$E$9,'财富模型'!$M$8+IF(Calc!$AG$85&lt;='财富模型'!$E$11*12,'Calc'!$W$16,'Calc'!$Y$16)-(IF('Calc'!$E$16=1,0,MIN(Calc!$AI$84*(1+'财富模型'!$E$20/12)+'Calc'!$B$6,IF(Calc!$AG$85&lt;='财富模型'!$E$11*12,'Calc'!$W$16,'Calc'!$Y$16))))))),0))</x:f>
      </x:c>
      <x:c r="AI85" t="str">
        <x:f>IF(Calc!$AG$85&gt;'Calc'!$B$8,"",MAX(Calc!$AI$84*(1+'财富模型'!$E$20/12)+'Calc'!$B$6-(IF('Calc'!$E$16=1,0,MIN(Calc!$AI$84*(1+'财富模型'!$E$20/12)+'Calc'!$B$6,IF(Calc!$AG$85&lt;='财富模型'!$E$11*12,'Calc'!$W$16,'Calc'!$Y$16)))),0))</x:f>
      </x:c>
      <x:c r="AJ85" t="str">
        <x:f>IF(Calc!$AG$85&gt;'Calc'!$B$8,"",IF('Calc'!$E$16=1,'财富模型'!$E$9,'财富模型'!$M$8+IF(Calc!$AG$85&lt;='财富模型'!$E$11*12,'Calc'!$W$16,'Calc'!$Y$16)-(IF('Calc'!$E$16=1,0,MIN(Calc!$AI$84*(1+'财富模型'!$E$20/12)+'Calc'!$B$6,IF(Calc!$AG$85&lt;='财富模型'!$E$11*12,'Calc'!$W$16,'Calc'!$Y$16))))))</x:f>
      </x:c>
      <x:c r="AK85" t="str">
        <x:f>IF(Calc!$AG$85&gt;'Calc'!$B$8,"",IF('Calc'!$E$16=1,0,MIN(Calc!$AI$84*(1+'财富模型'!$E$20/12)+'Calc'!$B$6,IF(Calc!$AG$85&lt;='财富模型'!$E$11*12,'Calc'!$W$16,'Calc'!$Y$16))))</x:f>
      </x:c>
      <x:c r="AL85" t="str">
        <x:f>IF(Calc!$AG$85&gt;'Calc'!$B$8,"",'Calc'!$B$5-'财富模型'!$E$5-(IF('Calc'!$E$16=1,'财富模型'!$E$9,'财富模型'!$M$8+IF(Calc!$AG$85&lt;='财富模型'!$E$11*12,'Calc'!$W$16,'Calc'!$Y$16)-(IF('Calc'!$E$16=1,0,MIN(Calc!$AI$84*(1+'财富模型'!$E$20/12)+'Calc'!$B$6,IF(Calc!$AG$85&lt;='财富模型'!$E$11*12,'Calc'!$W$16,'Calc'!$Y$16)))))))</x:f>
      </x:c>
      <x:c r="AM85" t="str">
        <x:f>IF(Calc!$AG$85&gt;'Calc'!$B$8,"",IF('Calc'!$E$16=1,0,MAX(Calc!$AM$84*(1+IF(Calc!$AG$85&lt;='财富模型'!$E$11*12,'财富模型'!$E$10,'财富模型'!$E$12)/12)-IF('Calc'!$E$16=1,0,IF(Calc!$AG$85&lt;='财富模型'!$E$11*12,'Calc'!$W$16,'Calc'!$Y$16)),0)))</x:f>
      </x:c>
      <x:c r="AO85" t="n">
        <x:v>64</x:v>
      </x:c>
      <x:c r="AP85" t="str">
        <x:f>IF(Calc!$AO$85&gt;'Calc'!$B$8,"",MAX(Calc!$AP$84*(1+'财富模型'!$E$6/12)+('Calc'!$B$5-'财富模型'!$E$5-(IF('Calc'!$E$17=1,'财富模型'!$E$9,'财富模型'!$M$9+IF(Calc!$AO$85&lt;='财富模型'!$E$11*12,'Calc'!$W$17,'Calc'!$Y$17)-(IF('Calc'!$E$17=1,0,MIN(Calc!$AQ$84*(1+'财富模型'!$E$20/12)+'Calc'!$B$6,IF(Calc!$AO$85&lt;='财富模型'!$E$11*12,'Calc'!$W$17,'Calc'!$Y$17))))))),0))</x:f>
      </x:c>
      <x:c r="AQ85" t="str">
        <x:f>IF(Calc!$AO$85&gt;'Calc'!$B$8,"",MAX(Calc!$AQ$84*(1+'财富模型'!$E$20/12)+'Calc'!$B$6-(IF('Calc'!$E$17=1,0,MIN(Calc!$AQ$84*(1+'财富模型'!$E$20/12)+'Calc'!$B$6,IF(Calc!$AO$85&lt;='财富模型'!$E$11*12,'Calc'!$W$17,'Calc'!$Y$17)))),0))</x:f>
      </x:c>
      <x:c r="AR85" t="str">
        <x:f>IF(Calc!$AO$85&gt;'Calc'!$B$8,"",IF('Calc'!$E$17=1,'财富模型'!$E$9,'财富模型'!$M$9+IF(Calc!$AO$85&lt;='财富模型'!$E$11*12,'Calc'!$W$17,'Calc'!$Y$17)-(IF('Calc'!$E$17=1,0,MIN(Calc!$AQ$84*(1+'财富模型'!$E$20/12)+'Calc'!$B$6,IF(Calc!$AO$85&lt;='财富模型'!$E$11*12,'Calc'!$W$17,'Calc'!$Y$17))))))</x:f>
      </x:c>
      <x:c r="AS85" t="str">
        <x:f>IF(Calc!$AO$85&gt;'Calc'!$B$8,"",IF('Calc'!$E$17=1,0,MIN(Calc!$AQ$84*(1+'财富模型'!$E$20/12)+'Calc'!$B$6,IF(Calc!$AO$85&lt;='财富模型'!$E$11*12,'Calc'!$W$17,'Calc'!$Y$17))))</x:f>
      </x:c>
      <x:c r="AT85" t="str">
        <x:f>IF(Calc!$AO$85&gt;'Calc'!$B$8,"",'Calc'!$B$5-'财富模型'!$E$5-(IF('Calc'!$E$17=1,'财富模型'!$E$9,'财富模型'!$M$9+IF(Calc!$AO$85&lt;='财富模型'!$E$11*12,'Calc'!$W$17,'Calc'!$Y$17)-(IF('Calc'!$E$17=1,0,MIN(Calc!$AQ$84*(1+'财富模型'!$E$20/12)+'Calc'!$B$6,IF(Calc!$AO$85&lt;='财富模型'!$E$11*12,'Calc'!$W$17,'Calc'!$Y$17)))))))</x:f>
      </x:c>
      <x:c r="AU85" t="str">
        <x:f>IF(Calc!$AO$85&gt;'Calc'!$B$8,"",IF('Calc'!$E$17=1,0,MAX(Calc!$AU$84*(1+IF(Calc!$AO$85&lt;='财富模型'!$E$11*12,'财富模型'!$E$10,'财富模型'!$E$12)/12)-IF('Calc'!$E$17=1,0,IF(Calc!$AO$85&lt;='财富模型'!$E$11*12,'Calc'!$W$17,'Calc'!$Y$17)),0)))</x:f>
      </x:c>
    </x:row>
    <x:row r="86">
      <x:c r="A86" t="n">
        <x:v>65</x:v>
      </x:c>
      <x:c r="B86" t="str">
        <x:f>IF(Calc!$A$86&gt;'Calc'!$B$8,"",MAX(Calc!$B$85*(1+'财富模型'!$E$6/12)+('Calc'!$B$5-'财富模型'!$E$5-(IF('Calc'!$E$12=1,'财富模型'!$E$9,'财富模型'!$M$4+IF(Calc!$A$86&lt;='财富模型'!$E$11*12,'Calc'!$W$12,'Calc'!$Y$12)-(IF('Calc'!$E$12=1,0,MIN(Calc!$C$85*(1+'财富模型'!$E$20/12)+'Calc'!$B$6,IF(Calc!$A$86&lt;='财富模型'!$E$11*12,'Calc'!$W$12,'Calc'!$Y$12))))))),0))</x:f>
      </x:c>
      <x:c r="C86" t="str">
        <x:f>IF(Calc!$A$86&gt;'Calc'!$B$8,"",MAX(Calc!$C$85*(1+'财富模型'!$E$20/12)+'Calc'!$B$6-(IF('Calc'!$E$12=1,0,MIN(Calc!$C$85*(1+'财富模型'!$E$20/12)+'Calc'!$B$6,IF(Calc!$A$86&lt;='财富模型'!$E$11*12,'Calc'!$W$12,'Calc'!$Y$12)))),0))</x:f>
      </x:c>
      <x:c r="D86" t="str">
        <x:f>IF(Calc!$A$86&gt;'Calc'!$B$8,"",IF('Calc'!$E$12=1,'财富模型'!$E$9,'财富模型'!$M$4+IF(Calc!$A$86&lt;='财富模型'!$E$11*12,'Calc'!$W$12,'Calc'!$Y$12)-(IF('Calc'!$E$12=1,0,MIN(Calc!$C$85*(1+'财富模型'!$E$20/12)+'Calc'!$B$6,IF(Calc!$A$86&lt;='财富模型'!$E$11*12,'Calc'!$W$12,'Calc'!$Y$12))))))</x:f>
      </x:c>
      <x:c r="E86" t="str">
        <x:f>IF(Calc!$A$86&gt;'Calc'!$B$8,"",IF('Calc'!$E$12=1,0,MIN(Calc!$C$85*(1+'财富模型'!$E$20/12)+'Calc'!$B$6,IF(Calc!$A$86&lt;='财富模型'!$E$11*12,'Calc'!$W$12,'Calc'!$Y$12))))</x:f>
      </x:c>
      <x:c r="F86" t="str">
        <x:f>IF(Calc!$A$86&gt;'Calc'!$B$8,"",'Calc'!$B$5-'财富模型'!$E$5-(IF('Calc'!$E$12=1,'财富模型'!$E$9,'财富模型'!$M$4+IF(Calc!$A$86&lt;='财富模型'!$E$11*12,'Calc'!$W$12,'Calc'!$Y$12)-(IF('Calc'!$E$12=1,0,MIN(Calc!$C$85*(1+'财富模型'!$E$20/12)+'Calc'!$B$6,IF(Calc!$A$86&lt;='财富模型'!$E$11*12,'Calc'!$W$12,'Calc'!$Y$12)))))))</x:f>
      </x:c>
      <x:c r="G86" t="str">
        <x:f>IF(Calc!$A$86&gt;'Calc'!$B$8,"",IF('Calc'!$E$12=1,0,MAX(Calc!$G$85*(1+IF(Calc!$A$86&lt;='财富模型'!$E$11*12,'财富模型'!$E$10,'财富模型'!$E$12)/12)-IF('Calc'!$E$12=1,0,IF(Calc!$A$86&lt;='财富模型'!$E$11*12,'Calc'!$W$12,'Calc'!$Y$12)),0)))</x:f>
      </x:c>
      <x:c r="I86" t="n">
        <x:v>65</x:v>
      </x:c>
      <x:c r="J86" t="str">
        <x:f>IF(Calc!$I$86&gt;'Calc'!$B$8,"",MAX(Calc!$J$85*(1+'财富模型'!$E$6/12)+('Calc'!$B$5-'财富模型'!$E$5-(IF('Calc'!$E$13=1,'财富模型'!$E$9,'财富模型'!$M$5+IF(Calc!$I$86&lt;='财富模型'!$E$11*12,'Calc'!$W$13,'Calc'!$Y$13)-(IF('Calc'!$E$13=1,0,MIN(Calc!$K$85*(1+'财富模型'!$E$20/12)+'Calc'!$B$6,IF(Calc!$I$86&lt;='财富模型'!$E$11*12,'Calc'!$W$13,'Calc'!$Y$13))))))),0))</x:f>
      </x:c>
      <x:c r="K86" t="str">
        <x:f>IF(Calc!$I$86&gt;'Calc'!$B$8,"",MAX(Calc!$K$85*(1+'财富模型'!$E$20/12)+'Calc'!$B$6-(IF('Calc'!$E$13=1,0,MIN(Calc!$K$85*(1+'财富模型'!$E$20/12)+'Calc'!$B$6,IF(Calc!$I$86&lt;='财富模型'!$E$11*12,'Calc'!$W$13,'Calc'!$Y$13)))),0))</x:f>
      </x:c>
      <x:c r="L86" t="str">
        <x:f>IF(Calc!$I$86&gt;'Calc'!$B$8,"",IF('Calc'!$E$13=1,'财富模型'!$E$9,'财富模型'!$M$5+IF(Calc!$I$86&lt;='财富模型'!$E$11*12,'Calc'!$W$13,'Calc'!$Y$13)-(IF('Calc'!$E$13=1,0,MIN(Calc!$K$85*(1+'财富模型'!$E$20/12)+'Calc'!$B$6,IF(Calc!$I$86&lt;='财富模型'!$E$11*12,'Calc'!$W$13,'Calc'!$Y$13))))))</x:f>
      </x:c>
      <x:c r="M86" t="str">
        <x:f>IF(Calc!$I$86&gt;'Calc'!$B$8,"",IF('Calc'!$E$13=1,0,MIN(Calc!$K$85*(1+'财富模型'!$E$20/12)+'Calc'!$B$6,IF(Calc!$I$86&lt;='财富模型'!$E$11*12,'Calc'!$W$13,'Calc'!$Y$13))))</x:f>
      </x:c>
      <x:c r="N86" t="str">
        <x:f>IF(Calc!$I$86&gt;'Calc'!$B$8,"",'Calc'!$B$5-'财富模型'!$E$5-(IF('Calc'!$E$13=1,'财富模型'!$E$9,'财富模型'!$M$5+IF(Calc!$I$86&lt;='财富模型'!$E$11*12,'Calc'!$W$13,'Calc'!$Y$13)-(IF('Calc'!$E$13=1,0,MIN(Calc!$K$85*(1+'财富模型'!$E$20/12)+'Calc'!$B$6,IF(Calc!$I$86&lt;='财富模型'!$E$11*12,'Calc'!$W$13,'Calc'!$Y$13)))))))</x:f>
      </x:c>
      <x:c r="O86" t="str">
        <x:f>IF(Calc!$I$86&gt;'Calc'!$B$8,"",IF('Calc'!$E$13=1,0,MAX(Calc!$O$85*(1+IF(Calc!$I$86&lt;='财富模型'!$E$11*12,'财富模型'!$E$10,'财富模型'!$E$12)/12)-IF('Calc'!$E$13=1,0,IF(Calc!$I$86&lt;='财富模型'!$E$11*12,'Calc'!$W$13,'Calc'!$Y$13)),0)))</x:f>
      </x:c>
      <x:c r="Q86" t="n">
        <x:v>65</x:v>
      </x:c>
      <x:c r="R86" t="str">
        <x:f>IF(Calc!$Q$86&gt;'Calc'!$B$8,"",MAX(Calc!$R$85*(1+'财富模型'!$E$6/12)+('Calc'!$B$5-'财富模型'!$E$5-(IF('Calc'!$E$14=1,'财富模型'!$E$9,'财富模型'!$M$6+IF(Calc!$Q$86&lt;='财富模型'!$E$11*12,'Calc'!$W$14,'Calc'!$Y$14)-(IF('Calc'!$E$14=1,0,MIN(Calc!$S$85*(1+'财富模型'!$E$20/12)+'Calc'!$B$6,IF(Calc!$Q$86&lt;='财富模型'!$E$11*12,'Calc'!$W$14,'Calc'!$Y$14))))))),0))</x:f>
      </x:c>
      <x:c r="S86" t="str">
        <x:f>IF(Calc!$Q$86&gt;'Calc'!$B$8,"",MAX(Calc!$S$85*(1+'财富模型'!$E$20/12)+'Calc'!$B$6-(IF('Calc'!$E$14=1,0,MIN(Calc!$S$85*(1+'财富模型'!$E$20/12)+'Calc'!$B$6,IF(Calc!$Q$86&lt;='财富模型'!$E$11*12,'Calc'!$W$14,'Calc'!$Y$14)))),0))</x:f>
      </x:c>
      <x:c r="T86" t="str">
        <x:f>IF(Calc!$Q$86&gt;'Calc'!$B$8,"",IF('Calc'!$E$14=1,'财富模型'!$E$9,'财富模型'!$M$6+IF(Calc!$Q$86&lt;='财富模型'!$E$11*12,'Calc'!$W$14,'Calc'!$Y$14)-(IF('Calc'!$E$14=1,0,MIN(Calc!$S$85*(1+'财富模型'!$E$20/12)+'Calc'!$B$6,IF(Calc!$Q$86&lt;='财富模型'!$E$11*12,'Calc'!$W$14,'Calc'!$Y$14))))))</x:f>
      </x:c>
      <x:c r="U86" t="str">
        <x:f>IF(Calc!$Q$86&gt;'Calc'!$B$8,"",IF('Calc'!$E$14=1,0,MIN(Calc!$S$85*(1+'财富模型'!$E$20/12)+'Calc'!$B$6,IF(Calc!$Q$86&lt;='财富模型'!$E$11*12,'Calc'!$W$14,'Calc'!$Y$14))))</x:f>
      </x:c>
      <x:c r="V86" t="str">
        <x:f>IF(Calc!$Q$86&gt;'Calc'!$B$8,"",'Calc'!$B$5-'财富模型'!$E$5-(IF('Calc'!$E$14=1,'财富模型'!$E$9,'财富模型'!$M$6+IF(Calc!$Q$86&lt;='财富模型'!$E$11*12,'Calc'!$W$14,'Calc'!$Y$14)-(IF('Calc'!$E$14=1,0,MIN(Calc!$S$85*(1+'财富模型'!$E$20/12)+'Calc'!$B$6,IF(Calc!$Q$86&lt;='财富模型'!$E$11*12,'Calc'!$W$14,'Calc'!$Y$14)))))))</x:f>
      </x:c>
      <x:c r="W86" t="str">
        <x:f>IF(Calc!$Q$86&gt;'Calc'!$B$8,"",IF('Calc'!$E$14=1,0,MAX(Calc!$W$85*(1+IF(Calc!$Q$86&lt;='财富模型'!$E$11*12,'财富模型'!$E$10,'财富模型'!$E$12)/12)-IF('Calc'!$E$14=1,0,IF(Calc!$Q$86&lt;='财富模型'!$E$11*12,'Calc'!$W$14,'Calc'!$Y$14)),0)))</x:f>
      </x:c>
      <x:c r="Y86" t="n">
        <x:v>65</x:v>
      </x:c>
      <x:c r="Z86" t="str">
        <x:f>IF(Calc!$Y$86&gt;'Calc'!$B$8,"",MAX(Calc!$Z$85*(1+'财富模型'!$E$6/12)+('Calc'!$B$5-'财富模型'!$E$5-(IF('Calc'!$E$15=1,'财富模型'!$E$9,'财富模型'!$M$7+IF(Calc!$Y$86&lt;='财富模型'!$E$11*12,'Calc'!$W$15,'Calc'!$Y$15)-(IF('Calc'!$E$15=1,0,MIN(Calc!$AA$85*(1+'财富模型'!$E$20/12)+'Calc'!$B$6,IF(Calc!$Y$86&lt;='财富模型'!$E$11*12,'Calc'!$W$15,'Calc'!$Y$15))))))),0))</x:f>
      </x:c>
      <x:c r="AA86" t="str">
        <x:f>IF(Calc!$Y$86&gt;'Calc'!$B$8,"",MAX(Calc!$AA$85*(1+'财富模型'!$E$20/12)+'Calc'!$B$6-(IF('Calc'!$E$15=1,0,MIN(Calc!$AA$85*(1+'财富模型'!$E$20/12)+'Calc'!$B$6,IF(Calc!$Y$86&lt;='财富模型'!$E$11*12,'Calc'!$W$15,'Calc'!$Y$15)))),0))</x:f>
      </x:c>
      <x:c r="AB86" t="str">
        <x:f>IF(Calc!$Y$86&gt;'Calc'!$B$8,"",IF('Calc'!$E$15=1,'财富模型'!$E$9,'财富模型'!$M$7+IF(Calc!$Y$86&lt;='财富模型'!$E$11*12,'Calc'!$W$15,'Calc'!$Y$15)-(IF('Calc'!$E$15=1,0,MIN(Calc!$AA$85*(1+'财富模型'!$E$20/12)+'Calc'!$B$6,IF(Calc!$Y$86&lt;='财富模型'!$E$11*12,'Calc'!$W$15,'Calc'!$Y$15))))))</x:f>
      </x:c>
      <x:c r="AC86" t="str">
        <x:f>IF(Calc!$Y$86&gt;'Calc'!$B$8,"",IF('Calc'!$E$15=1,0,MIN(Calc!$AA$85*(1+'财富模型'!$E$20/12)+'Calc'!$B$6,IF(Calc!$Y$86&lt;='财富模型'!$E$11*12,'Calc'!$W$15,'Calc'!$Y$15))))</x:f>
      </x:c>
      <x:c r="AD86" t="str">
        <x:f>IF(Calc!$Y$86&gt;'Calc'!$B$8,"",'Calc'!$B$5-'财富模型'!$E$5-(IF('Calc'!$E$15=1,'财富模型'!$E$9,'财富模型'!$M$7+IF(Calc!$Y$86&lt;='财富模型'!$E$11*12,'Calc'!$W$15,'Calc'!$Y$15)-(IF('Calc'!$E$15=1,0,MIN(Calc!$AA$85*(1+'财富模型'!$E$20/12)+'Calc'!$B$6,IF(Calc!$Y$86&lt;='财富模型'!$E$11*12,'Calc'!$W$15,'Calc'!$Y$15)))))))</x:f>
      </x:c>
      <x:c r="AE86" t="str">
        <x:f>IF(Calc!$Y$86&gt;'Calc'!$B$8,"",IF('Calc'!$E$15=1,0,MAX(Calc!$AE$85*(1+IF(Calc!$Y$86&lt;='财富模型'!$E$11*12,'财富模型'!$E$10,'财富模型'!$E$12)/12)-IF('Calc'!$E$15=1,0,IF(Calc!$Y$86&lt;='财富模型'!$E$11*12,'Calc'!$W$15,'Calc'!$Y$15)),0)))</x:f>
      </x:c>
      <x:c r="AG86" t="n">
        <x:v>65</x:v>
      </x:c>
      <x:c r="AH86" t="str">
        <x:f>IF(Calc!$AG$86&gt;'Calc'!$B$8,"",MAX(Calc!$AH$85*(1+'财富模型'!$E$6/12)+('Calc'!$B$5-'财富模型'!$E$5-(IF('Calc'!$E$16=1,'财富模型'!$E$9,'财富模型'!$M$8+IF(Calc!$AG$86&lt;='财富模型'!$E$11*12,'Calc'!$W$16,'Calc'!$Y$16)-(IF('Calc'!$E$16=1,0,MIN(Calc!$AI$85*(1+'财富模型'!$E$20/12)+'Calc'!$B$6,IF(Calc!$AG$86&lt;='财富模型'!$E$11*12,'Calc'!$W$16,'Calc'!$Y$16))))))),0))</x:f>
      </x:c>
      <x:c r="AI86" t="str">
        <x:f>IF(Calc!$AG$86&gt;'Calc'!$B$8,"",MAX(Calc!$AI$85*(1+'财富模型'!$E$20/12)+'Calc'!$B$6-(IF('Calc'!$E$16=1,0,MIN(Calc!$AI$85*(1+'财富模型'!$E$20/12)+'Calc'!$B$6,IF(Calc!$AG$86&lt;='财富模型'!$E$11*12,'Calc'!$W$16,'Calc'!$Y$16)))),0))</x:f>
      </x:c>
      <x:c r="AJ86" t="str">
        <x:f>IF(Calc!$AG$86&gt;'Calc'!$B$8,"",IF('Calc'!$E$16=1,'财富模型'!$E$9,'财富模型'!$M$8+IF(Calc!$AG$86&lt;='财富模型'!$E$11*12,'Calc'!$W$16,'Calc'!$Y$16)-(IF('Calc'!$E$16=1,0,MIN(Calc!$AI$85*(1+'财富模型'!$E$20/12)+'Calc'!$B$6,IF(Calc!$AG$86&lt;='财富模型'!$E$11*12,'Calc'!$W$16,'Calc'!$Y$16))))))</x:f>
      </x:c>
      <x:c r="AK86" t="str">
        <x:f>IF(Calc!$AG$86&gt;'Calc'!$B$8,"",IF('Calc'!$E$16=1,0,MIN(Calc!$AI$85*(1+'财富模型'!$E$20/12)+'Calc'!$B$6,IF(Calc!$AG$86&lt;='财富模型'!$E$11*12,'Calc'!$W$16,'Calc'!$Y$16))))</x:f>
      </x:c>
      <x:c r="AL86" t="str">
        <x:f>IF(Calc!$AG$86&gt;'Calc'!$B$8,"",'Calc'!$B$5-'财富模型'!$E$5-(IF('Calc'!$E$16=1,'财富模型'!$E$9,'财富模型'!$M$8+IF(Calc!$AG$86&lt;='财富模型'!$E$11*12,'Calc'!$W$16,'Calc'!$Y$16)-(IF('Calc'!$E$16=1,0,MIN(Calc!$AI$85*(1+'财富模型'!$E$20/12)+'Calc'!$B$6,IF(Calc!$AG$86&lt;='财富模型'!$E$11*12,'Calc'!$W$16,'Calc'!$Y$16)))))))</x:f>
      </x:c>
      <x:c r="AM86" t="str">
        <x:f>IF(Calc!$AG$86&gt;'Calc'!$B$8,"",IF('Calc'!$E$16=1,0,MAX(Calc!$AM$85*(1+IF(Calc!$AG$86&lt;='财富模型'!$E$11*12,'财富模型'!$E$10,'财富模型'!$E$12)/12)-IF('Calc'!$E$16=1,0,IF(Calc!$AG$86&lt;='财富模型'!$E$11*12,'Calc'!$W$16,'Calc'!$Y$16)),0)))</x:f>
      </x:c>
      <x:c r="AO86" t="n">
        <x:v>65</x:v>
      </x:c>
      <x:c r="AP86" t="str">
        <x:f>IF(Calc!$AO$86&gt;'Calc'!$B$8,"",MAX(Calc!$AP$85*(1+'财富模型'!$E$6/12)+('Calc'!$B$5-'财富模型'!$E$5-(IF('Calc'!$E$17=1,'财富模型'!$E$9,'财富模型'!$M$9+IF(Calc!$AO$86&lt;='财富模型'!$E$11*12,'Calc'!$W$17,'Calc'!$Y$17)-(IF('Calc'!$E$17=1,0,MIN(Calc!$AQ$85*(1+'财富模型'!$E$20/12)+'Calc'!$B$6,IF(Calc!$AO$86&lt;='财富模型'!$E$11*12,'Calc'!$W$17,'Calc'!$Y$17))))))),0))</x:f>
      </x:c>
      <x:c r="AQ86" t="str">
        <x:f>IF(Calc!$AO$86&gt;'Calc'!$B$8,"",MAX(Calc!$AQ$85*(1+'财富模型'!$E$20/12)+'Calc'!$B$6-(IF('Calc'!$E$17=1,0,MIN(Calc!$AQ$85*(1+'财富模型'!$E$20/12)+'Calc'!$B$6,IF(Calc!$AO$86&lt;='财富模型'!$E$11*12,'Calc'!$W$17,'Calc'!$Y$17)))),0))</x:f>
      </x:c>
      <x:c r="AR86" t="str">
        <x:f>IF(Calc!$AO$86&gt;'Calc'!$B$8,"",IF('Calc'!$E$17=1,'财富模型'!$E$9,'财富模型'!$M$9+IF(Calc!$AO$86&lt;='财富模型'!$E$11*12,'Calc'!$W$17,'Calc'!$Y$17)-(IF('Calc'!$E$17=1,0,MIN(Calc!$AQ$85*(1+'财富模型'!$E$20/12)+'Calc'!$B$6,IF(Calc!$AO$86&lt;='财富模型'!$E$11*12,'Calc'!$W$17,'Calc'!$Y$17))))))</x:f>
      </x:c>
      <x:c r="AS86" t="str">
        <x:f>IF(Calc!$AO$86&gt;'Calc'!$B$8,"",IF('Calc'!$E$17=1,0,MIN(Calc!$AQ$85*(1+'财富模型'!$E$20/12)+'Calc'!$B$6,IF(Calc!$AO$86&lt;='财富模型'!$E$11*12,'Calc'!$W$17,'Calc'!$Y$17))))</x:f>
      </x:c>
      <x:c r="AT86" t="str">
        <x:f>IF(Calc!$AO$86&gt;'Calc'!$B$8,"",'Calc'!$B$5-'财富模型'!$E$5-(IF('Calc'!$E$17=1,'财富模型'!$E$9,'财富模型'!$M$9+IF(Calc!$AO$86&lt;='财富模型'!$E$11*12,'Calc'!$W$17,'Calc'!$Y$17)-(IF('Calc'!$E$17=1,0,MIN(Calc!$AQ$85*(1+'财富模型'!$E$20/12)+'Calc'!$B$6,IF(Calc!$AO$86&lt;='财富模型'!$E$11*12,'Calc'!$W$17,'Calc'!$Y$17)))))))</x:f>
      </x:c>
      <x:c r="AU86" t="str">
        <x:f>IF(Calc!$AO$86&gt;'Calc'!$B$8,"",IF('Calc'!$E$17=1,0,MAX(Calc!$AU$85*(1+IF(Calc!$AO$86&lt;='财富模型'!$E$11*12,'财富模型'!$E$10,'财富模型'!$E$12)/12)-IF('Calc'!$E$17=1,0,IF(Calc!$AO$86&lt;='财富模型'!$E$11*12,'Calc'!$W$17,'Calc'!$Y$17)),0)))</x:f>
      </x:c>
    </x:row>
    <x:row r="87">
      <x:c r="A87" t="n">
        <x:v>66</x:v>
      </x:c>
      <x:c r="B87" t="str">
        <x:f>IF(Calc!$A$87&gt;'Calc'!$B$8,"",MAX(Calc!$B$86*(1+'财富模型'!$E$6/12)+('Calc'!$B$5-'财富模型'!$E$5-(IF('Calc'!$E$12=1,'财富模型'!$E$9,'财富模型'!$M$4+IF(Calc!$A$87&lt;='财富模型'!$E$11*12,'Calc'!$W$12,'Calc'!$Y$12)-(IF('Calc'!$E$12=1,0,MIN(Calc!$C$86*(1+'财富模型'!$E$20/12)+'Calc'!$B$6,IF(Calc!$A$87&lt;='财富模型'!$E$11*12,'Calc'!$W$12,'Calc'!$Y$12))))))),0))</x:f>
      </x:c>
      <x:c r="C87" t="str">
        <x:f>IF(Calc!$A$87&gt;'Calc'!$B$8,"",MAX(Calc!$C$86*(1+'财富模型'!$E$20/12)+'Calc'!$B$6-(IF('Calc'!$E$12=1,0,MIN(Calc!$C$86*(1+'财富模型'!$E$20/12)+'Calc'!$B$6,IF(Calc!$A$87&lt;='财富模型'!$E$11*12,'Calc'!$W$12,'Calc'!$Y$12)))),0))</x:f>
      </x:c>
      <x:c r="D87" t="str">
        <x:f>IF(Calc!$A$87&gt;'Calc'!$B$8,"",IF('Calc'!$E$12=1,'财富模型'!$E$9,'财富模型'!$M$4+IF(Calc!$A$87&lt;='财富模型'!$E$11*12,'Calc'!$W$12,'Calc'!$Y$12)-(IF('Calc'!$E$12=1,0,MIN(Calc!$C$86*(1+'财富模型'!$E$20/12)+'Calc'!$B$6,IF(Calc!$A$87&lt;='财富模型'!$E$11*12,'Calc'!$W$12,'Calc'!$Y$12))))))</x:f>
      </x:c>
      <x:c r="E87" t="str">
        <x:f>IF(Calc!$A$87&gt;'Calc'!$B$8,"",IF('Calc'!$E$12=1,0,MIN(Calc!$C$86*(1+'财富模型'!$E$20/12)+'Calc'!$B$6,IF(Calc!$A$87&lt;='财富模型'!$E$11*12,'Calc'!$W$12,'Calc'!$Y$12))))</x:f>
      </x:c>
      <x:c r="F87" t="str">
        <x:f>IF(Calc!$A$87&gt;'Calc'!$B$8,"",'Calc'!$B$5-'财富模型'!$E$5-(IF('Calc'!$E$12=1,'财富模型'!$E$9,'财富模型'!$M$4+IF(Calc!$A$87&lt;='财富模型'!$E$11*12,'Calc'!$W$12,'Calc'!$Y$12)-(IF('Calc'!$E$12=1,0,MIN(Calc!$C$86*(1+'财富模型'!$E$20/12)+'Calc'!$B$6,IF(Calc!$A$87&lt;='财富模型'!$E$11*12,'Calc'!$W$12,'Calc'!$Y$12)))))))</x:f>
      </x:c>
      <x:c r="G87" t="str">
        <x:f>IF(Calc!$A$87&gt;'Calc'!$B$8,"",IF('Calc'!$E$12=1,0,MAX(Calc!$G$86*(1+IF(Calc!$A$87&lt;='财富模型'!$E$11*12,'财富模型'!$E$10,'财富模型'!$E$12)/12)-IF('Calc'!$E$12=1,0,IF(Calc!$A$87&lt;='财富模型'!$E$11*12,'Calc'!$W$12,'Calc'!$Y$12)),0)))</x:f>
      </x:c>
      <x:c r="I87" t="n">
        <x:v>66</x:v>
      </x:c>
      <x:c r="J87" t="str">
        <x:f>IF(Calc!$I$87&gt;'Calc'!$B$8,"",MAX(Calc!$J$86*(1+'财富模型'!$E$6/12)+('Calc'!$B$5-'财富模型'!$E$5-(IF('Calc'!$E$13=1,'财富模型'!$E$9,'财富模型'!$M$5+IF(Calc!$I$87&lt;='财富模型'!$E$11*12,'Calc'!$W$13,'Calc'!$Y$13)-(IF('Calc'!$E$13=1,0,MIN(Calc!$K$86*(1+'财富模型'!$E$20/12)+'Calc'!$B$6,IF(Calc!$I$87&lt;='财富模型'!$E$11*12,'Calc'!$W$13,'Calc'!$Y$13))))))),0))</x:f>
      </x:c>
      <x:c r="K87" t="str">
        <x:f>IF(Calc!$I$87&gt;'Calc'!$B$8,"",MAX(Calc!$K$86*(1+'财富模型'!$E$20/12)+'Calc'!$B$6-(IF('Calc'!$E$13=1,0,MIN(Calc!$K$86*(1+'财富模型'!$E$20/12)+'Calc'!$B$6,IF(Calc!$I$87&lt;='财富模型'!$E$11*12,'Calc'!$W$13,'Calc'!$Y$13)))),0))</x:f>
      </x:c>
      <x:c r="L87" t="str">
        <x:f>IF(Calc!$I$87&gt;'Calc'!$B$8,"",IF('Calc'!$E$13=1,'财富模型'!$E$9,'财富模型'!$M$5+IF(Calc!$I$87&lt;='财富模型'!$E$11*12,'Calc'!$W$13,'Calc'!$Y$13)-(IF('Calc'!$E$13=1,0,MIN(Calc!$K$86*(1+'财富模型'!$E$20/12)+'Calc'!$B$6,IF(Calc!$I$87&lt;='财富模型'!$E$11*12,'Calc'!$W$13,'Calc'!$Y$13))))))</x:f>
      </x:c>
      <x:c r="M87" t="str">
        <x:f>IF(Calc!$I$87&gt;'Calc'!$B$8,"",IF('Calc'!$E$13=1,0,MIN(Calc!$K$86*(1+'财富模型'!$E$20/12)+'Calc'!$B$6,IF(Calc!$I$87&lt;='财富模型'!$E$11*12,'Calc'!$W$13,'Calc'!$Y$13))))</x:f>
      </x:c>
      <x:c r="N87" t="str">
        <x:f>IF(Calc!$I$87&gt;'Calc'!$B$8,"",'Calc'!$B$5-'财富模型'!$E$5-(IF('Calc'!$E$13=1,'财富模型'!$E$9,'财富模型'!$M$5+IF(Calc!$I$87&lt;='财富模型'!$E$11*12,'Calc'!$W$13,'Calc'!$Y$13)-(IF('Calc'!$E$13=1,0,MIN(Calc!$K$86*(1+'财富模型'!$E$20/12)+'Calc'!$B$6,IF(Calc!$I$87&lt;='财富模型'!$E$11*12,'Calc'!$W$13,'Calc'!$Y$13)))))))</x:f>
      </x:c>
      <x:c r="O87" t="str">
        <x:f>IF(Calc!$I$87&gt;'Calc'!$B$8,"",IF('Calc'!$E$13=1,0,MAX(Calc!$O$86*(1+IF(Calc!$I$87&lt;='财富模型'!$E$11*12,'财富模型'!$E$10,'财富模型'!$E$12)/12)-IF('Calc'!$E$13=1,0,IF(Calc!$I$87&lt;='财富模型'!$E$11*12,'Calc'!$W$13,'Calc'!$Y$13)),0)))</x:f>
      </x:c>
      <x:c r="Q87" t="n">
        <x:v>66</x:v>
      </x:c>
      <x:c r="R87" t="str">
        <x:f>IF(Calc!$Q$87&gt;'Calc'!$B$8,"",MAX(Calc!$R$86*(1+'财富模型'!$E$6/12)+('Calc'!$B$5-'财富模型'!$E$5-(IF('Calc'!$E$14=1,'财富模型'!$E$9,'财富模型'!$M$6+IF(Calc!$Q$87&lt;='财富模型'!$E$11*12,'Calc'!$W$14,'Calc'!$Y$14)-(IF('Calc'!$E$14=1,0,MIN(Calc!$S$86*(1+'财富模型'!$E$20/12)+'Calc'!$B$6,IF(Calc!$Q$87&lt;='财富模型'!$E$11*12,'Calc'!$W$14,'Calc'!$Y$14))))))),0))</x:f>
      </x:c>
      <x:c r="S87" t="str">
        <x:f>IF(Calc!$Q$87&gt;'Calc'!$B$8,"",MAX(Calc!$S$86*(1+'财富模型'!$E$20/12)+'Calc'!$B$6-(IF('Calc'!$E$14=1,0,MIN(Calc!$S$86*(1+'财富模型'!$E$20/12)+'Calc'!$B$6,IF(Calc!$Q$87&lt;='财富模型'!$E$11*12,'Calc'!$W$14,'Calc'!$Y$14)))),0))</x:f>
      </x:c>
      <x:c r="T87" t="str">
        <x:f>IF(Calc!$Q$87&gt;'Calc'!$B$8,"",IF('Calc'!$E$14=1,'财富模型'!$E$9,'财富模型'!$M$6+IF(Calc!$Q$87&lt;='财富模型'!$E$11*12,'Calc'!$W$14,'Calc'!$Y$14)-(IF('Calc'!$E$14=1,0,MIN(Calc!$S$86*(1+'财富模型'!$E$20/12)+'Calc'!$B$6,IF(Calc!$Q$87&lt;='财富模型'!$E$11*12,'Calc'!$W$14,'Calc'!$Y$14))))))</x:f>
      </x:c>
      <x:c r="U87" t="str">
        <x:f>IF(Calc!$Q$87&gt;'Calc'!$B$8,"",IF('Calc'!$E$14=1,0,MIN(Calc!$S$86*(1+'财富模型'!$E$20/12)+'Calc'!$B$6,IF(Calc!$Q$87&lt;='财富模型'!$E$11*12,'Calc'!$W$14,'Calc'!$Y$14))))</x:f>
      </x:c>
      <x:c r="V87" t="str">
        <x:f>IF(Calc!$Q$87&gt;'Calc'!$B$8,"",'Calc'!$B$5-'财富模型'!$E$5-(IF('Calc'!$E$14=1,'财富模型'!$E$9,'财富模型'!$M$6+IF(Calc!$Q$87&lt;='财富模型'!$E$11*12,'Calc'!$W$14,'Calc'!$Y$14)-(IF('Calc'!$E$14=1,0,MIN(Calc!$S$86*(1+'财富模型'!$E$20/12)+'Calc'!$B$6,IF(Calc!$Q$87&lt;='财富模型'!$E$11*12,'Calc'!$W$14,'Calc'!$Y$14)))))))</x:f>
      </x:c>
      <x:c r="W87" t="str">
        <x:f>IF(Calc!$Q$87&gt;'Calc'!$B$8,"",IF('Calc'!$E$14=1,0,MAX(Calc!$W$86*(1+IF(Calc!$Q$87&lt;='财富模型'!$E$11*12,'财富模型'!$E$10,'财富模型'!$E$12)/12)-IF('Calc'!$E$14=1,0,IF(Calc!$Q$87&lt;='财富模型'!$E$11*12,'Calc'!$W$14,'Calc'!$Y$14)),0)))</x:f>
      </x:c>
      <x:c r="Y87" t="n">
        <x:v>66</x:v>
      </x:c>
      <x:c r="Z87" t="str">
        <x:f>IF(Calc!$Y$87&gt;'Calc'!$B$8,"",MAX(Calc!$Z$86*(1+'财富模型'!$E$6/12)+('Calc'!$B$5-'财富模型'!$E$5-(IF('Calc'!$E$15=1,'财富模型'!$E$9,'财富模型'!$M$7+IF(Calc!$Y$87&lt;='财富模型'!$E$11*12,'Calc'!$W$15,'Calc'!$Y$15)-(IF('Calc'!$E$15=1,0,MIN(Calc!$AA$86*(1+'财富模型'!$E$20/12)+'Calc'!$B$6,IF(Calc!$Y$87&lt;='财富模型'!$E$11*12,'Calc'!$W$15,'Calc'!$Y$15))))))),0))</x:f>
      </x:c>
      <x:c r="AA87" t="str">
        <x:f>IF(Calc!$Y$87&gt;'Calc'!$B$8,"",MAX(Calc!$AA$86*(1+'财富模型'!$E$20/12)+'Calc'!$B$6-(IF('Calc'!$E$15=1,0,MIN(Calc!$AA$86*(1+'财富模型'!$E$20/12)+'Calc'!$B$6,IF(Calc!$Y$87&lt;='财富模型'!$E$11*12,'Calc'!$W$15,'Calc'!$Y$15)))),0))</x:f>
      </x:c>
      <x:c r="AB87" t="str">
        <x:f>IF(Calc!$Y$87&gt;'Calc'!$B$8,"",IF('Calc'!$E$15=1,'财富模型'!$E$9,'财富模型'!$M$7+IF(Calc!$Y$87&lt;='财富模型'!$E$11*12,'Calc'!$W$15,'Calc'!$Y$15)-(IF('Calc'!$E$15=1,0,MIN(Calc!$AA$86*(1+'财富模型'!$E$20/12)+'Calc'!$B$6,IF(Calc!$Y$87&lt;='财富模型'!$E$11*12,'Calc'!$W$15,'Calc'!$Y$15))))))</x:f>
      </x:c>
      <x:c r="AC87" t="str">
        <x:f>IF(Calc!$Y$87&gt;'Calc'!$B$8,"",IF('Calc'!$E$15=1,0,MIN(Calc!$AA$86*(1+'财富模型'!$E$20/12)+'Calc'!$B$6,IF(Calc!$Y$87&lt;='财富模型'!$E$11*12,'Calc'!$W$15,'Calc'!$Y$15))))</x:f>
      </x:c>
      <x:c r="AD87" t="str">
        <x:f>IF(Calc!$Y$87&gt;'Calc'!$B$8,"",'Calc'!$B$5-'财富模型'!$E$5-(IF('Calc'!$E$15=1,'财富模型'!$E$9,'财富模型'!$M$7+IF(Calc!$Y$87&lt;='财富模型'!$E$11*12,'Calc'!$W$15,'Calc'!$Y$15)-(IF('Calc'!$E$15=1,0,MIN(Calc!$AA$86*(1+'财富模型'!$E$20/12)+'Calc'!$B$6,IF(Calc!$Y$87&lt;='财富模型'!$E$11*12,'Calc'!$W$15,'Calc'!$Y$15)))))))</x:f>
      </x:c>
      <x:c r="AE87" t="str">
        <x:f>IF(Calc!$Y$87&gt;'Calc'!$B$8,"",IF('Calc'!$E$15=1,0,MAX(Calc!$AE$86*(1+IF(Calc!$Y$87&lt;='财富模型'!$E$11*12,'财富模型'!$E$10,'财富模型'!$E$12)/12)-IF('Calc'!$E$15=1,0,IF(Calc!$Y$87&lt;='财富模型'!$E$11*12,'Calc'!$W$15,'Calc'!$Y$15)),0)))</x:f>
      </x:c>
      <x:c r="AG87" t="n">
        <x:v>66</x:v>
      </x:c>
      <x:c r="AH87" t="str">
        <x:f>IF(Calc!$AG$87&gt;'Calc'!$B$8,"",MAX(Calc!$AH$86*(1+'财富模型'!$E$6/12)+('Calc'!$B$5-'财富模型'!$E$5-(IF('Calc'!$E$16=1,'财富模型'!$E$9,'财富模型'!$M$8+IF(Calc!$AG$87&lt;='财富模型'!$E$11*12,'Calc'!$W$16,'Calc'!$Y$16)-(IF('Calc'!$E$16=1,0,MIN(Calc!$AI$86*(1+'财富模型'!$E$20/12)+'Calc'!$B$6,IF(Calc!$AG$87&lt;='财富模型'!$E$11*12,'Calc'!$W$16,'Calc'!$Y$16))))))),0))</x:f>
      </x:c>
      <x:c r="AI87" t="str">
        <x:f>IF(Calc!$AG$87&gt;'Calc'!$B$8,"",MAX(Calc!$AI$86*(1+'财富模型'!$E$20/12)+'Calc'!$B$6-(IF('Calc'!$E$16=1,0,MIN(Calc!$AI$86*(1+'财富模型'!$E$20/12)+'Calc'!$B$6,IF(Calc!$AG$87&lt;='财富模型'!$E$11*12,'Calc'!$W$16,'Calc'!$Y$16)))),0))</x:f>
      </x:c>
      <x:c r="AJ87" t="str">
        <x:f>IF(Calc!$AG$87&gt;'Calc'!$B$8,"",IF('Calc'!$E$16=1,'财富模型'!$E$9,'财富模型'!$M$8+IF(Calc!$AG$87&lt;='财富模型'!$E$11*12,'Calc'!$W$16,'Calc'!$Y$16)-(IF('Calc'!$E$16=1,0,MIN(Calc!$AI$86*(1+'财富模型'!$E$20/12)+'Calc'!$B$6,IF(Calc!$AG$87&lt;='财富模型'!$E$11*12,'Calc'!$W$16,'Calc'!$Y$16))))))</x:f>
      </x:c>
      <x:c r="AK87" t="str">
        <x:f>IF(Calc!$AG$87&gt;'Calc'!$B$8,"",IF('Calc'!$E$16=1,0,MIN(Calc!$AI$86*(1+'财富模型'!$E$20/12)+'Calc'!$B$6,IF(Calc!$AG$87&lt;='财富模型'!$E$11*12,'Calc'!$W$16,'Calc'!$Y$16))))</x:f>
      </x:c>
      <x:c r="AL87" t="str">
        <x:f>IF(Calc!$AG$87&gt;'Calc'!$B$8,"",'Calc'!$B$5-'财富模型'!$E$5-(IF('Calc'!$E$16=1,'财富模型'!$E$9,'财富模型'!$M$8+IF(Calc!$AG$87&lt;='财富模型'!$E$11*12,'Calc'!$W$16,'Calc'!$Y$16)-(IF('Calc'!$E$16=1,0,MIN(Calc!$AI$86*(1+'财富模型'!$E$20/12)+'Calc'!$B$6,IF(Calc!$AG$87&lt;='财富模型'!$E$11*12,'Calc'!$W$16,'Calc'!$Y$16)))))))</x:f>
      </x:c>
      <x:c r="AM87" t="str">
        <x:f>IF(Calc!$AG$87&gt;'Calc'!$B$8,"",IF('Calc'!$E$16=1,0,MAX(Calc!$AM$86*(1+IF(Calc!$AG$87&lt;='财富模型'!$E$11*12,'财富模型'!$E$10,'财富模型'!$E$12)/12)-IF('Calc'!$E$16=1,0,IF(Calc!$AG$87&lt;='财富模型'!$E$11*12,'Calc'!$W$16,'Calc'!$Y$16)),0)))</x:f>
      </x:c>
      <x:c r="AO87" t="n">
        <x:v>66</x:v>
      </x:c>
      <x:c r="AP87" t="str">
        <x:f>IF(Calc!$AO$87&gt;'Calc'!$B$8,"",MAX(Calc!$AP$86*(1+'财富模型'!$E$6/12)+('Calc'!$B$5-'财富模型'!$E$5-(IF('Calc'!$E$17=1,'财富模型'!$E$9,'财富模型'!$M$9+IF(Calc!$AO$87&lt;='财富模型'!$E$11*12,'Calc'!$W$17,'Calc'!$Y$17)-(IF('Calc'!$E$17=1,0,MIN(Calc!$AQ$86*(1+'财富模型'!$E$20/12)+'Calc'!$B$6,IF(Calc!$AO$87&lt;='财富模型'!$E$11*12,'Calc'!$W$17,'Calc'!$Y$17))))))),0))</x:f>
      </x:c>
      <x:c r="AQ87" t="str">
        <x:f>IF(Calc!$AO$87&gt;'Calc'!$B$8,"",MAX(Calc!$AQ$86*(1+'财富模型'!$E$20/12)+'Calc'!$B$6-(IF('Calc'!$E$17=1,0,MIN(Calc!$AQ$86*(1+'财富模型'!$E$20/12)+'Calc'!$B$6,IF(Calc!$AO$87&lt;='财富模型'!$E$11*12,'Calc'!$W$17,'Calc'!$Y$17)))),0))</x:f>
      </x:c>
      <x:c r="AR87" t="str">
        <x:f>IF(Calc!$AO$87&gt;'Calc'!$B$8,"",IF('Calc'!$E$17=1,'财富模型'!$E$9,'财富模型'!$M$9+IF(Calc!$AO$87&lt;='财富模型'!$E$11*12,'Calc'!$W$17,'Calc'!$Y$17)-(IF('Calc'!$E$17=1,0,MIN(Calc!$AQ$86*(1+'财富模型'!$E$20/12)+'Calc'!$B$6,IF(Calc!$AO$87&lt;='财富模型'!$E$11*12,'Calc'!$W$17,'Calc'!$Y$17))))))</x:f>
      </x:c>
      <x:c r="AS87" t="str">
        <x:f>IF(Calc!$AO$87&gt;'Calc'!$B$8,"",IF('Calc'!$E$17=1,0,MIN(Calc!$AQ$86*(1+'财富模型'!$E$20/12)+'Calc'!$B$6,IF(Calc!$AO$87&lt;='财富模型'!$E$11*12,'Calc'!$W$17,'Calc'!$Y$17))))</x:f>
      </x:c>
      <x:c r="AT87" t="str">
        <x:f>IF(Calc!$AO$87&gt;'Calc'!$B$8,"",'Calc'!$B$5-'财富模型'!$E$5-(IF('Calc'!$E$17=1,'财富模型'!$E$9,'财富模型'!$M$9+IF(Calc!$AO$87&lt;='财富模型'!$E$11*12,'Calc'!$W$17,'Calc'!$Y$17)-(IF('Calc'!$E$17=1,0,MIN(Calc!$AQ$86*(1+'财富模型'!$E$20/12)+'Calc'!$B$6,IF(Calc!$AO$87&lt;='财富模型'!$E$11*12,'Calc'!$W$17,'Calc'!$Y$17)))))))</x:f>
      </x:c>
      <x:c r="AU87" t="str">
        <x:f>IF(Calc!$AO$87&gt;'Calc'!$B$8,"",IF('Calc'!$E$17=1,0,MAX(Calc!$AU$86*(1+IF(Calc!$AO$87&lt;='财富模型'!$E$11*12,'财富模型'!$E$10,'财富模型'!$E$12)/12)-IF('Calc'!$E$17=1,0,IF(Calc!$AO$87&lt;='财富模型'!$E$11*12,'Calc'!$W$17,'Calc'!$Y$17)),0)))</x:f>
      </x:c>
    </x:row>
    <x:row r="88">
      <x:c r="A88" t="n">
        <x:v>67</x:v>
      </x:c>
      <x:c r="B88" t="str">
        <x:f>IF(Calc!$A$88&gt;'Calc'!$B$8,"",MAX(Calc!$B$87*(1+'财富模型'!$E$6/12)+('Calc'!$B$5-'财富模型'!$E$5-(IF('Calc'!$E$12=1,'财富模型'!$E$9,'财富模型'!$M$4+IF(Calc!$A$88&lt;='财富模型'!$E$11*12,'Calc'!$W$12,'Calc'!$Y$12)-(IF('Calc'!$E$12=1,0,MIN(Calc!$C$87*(1+'财富模型'!$E$20/12)+'Calc'!$B$6,IF(Calc!$A$88&lt;='财富模型'!$E$11*12,'Calc'!$W$12,'Calc'!$Y$12))))))),0))</x:f>
      </x:c>
      <x:c r="C88" t="str">
        <x:f>IF(Calc!$A$88&gt;'Calc'!$B$8,"",MAX(Calc!$C$87*(1+'财富模型'!$E$20/12)+'Calc'!$B$6-(IF('Calc'!$E$12=1,0,MIN(Calc!$C$87*(1+'财富模型'!$E$20/12)+'Calc'!$B$6,IF(Calc!$A$88&lt;='财富模型'!$E$11*12,'Calc'!$W$12,'Calc'!$Y$12)))),0))</x:f>
      </x:c>
      <x:c r="D88" t="str">
        <x:f>IF(Calc!$A$88&gt;'Calc'!$B$8,"",IF('Calc'!$E$12=1,'财富模型'!$E$9,'财富模型'!$M$4+IF(Calc!$A$88&lt;='财富模型'!$E$11*12,'Calc'!$W$12,'Calc'!$Y$12)-(IF('Calc'!$E$12=1,0,MIN(Calc!$C$87*(1+'财富模型'!$E$20/12)+'Calc'!$B$6,IF(Calc!$A$88&lt;='财富模型'!$E$11*12,'Calc'!$W$12,'Calc'!$Y$12))))))</x:f>
      </x:c>
      <x:c r="E88" t="str">
        <x:f>IF(Calc!$A$88&gt;'Calc'!$B$8,"",IF('Calc'!$E$12=1,0,MIN(Calc!$C$87*(1+'财富模型'!$E$20/12)+'Calc'!$B$6,IF(Calc!$A$88&lt;='财富模型'!$E$11*12,'Calc'!$W$12,'Calc'!$Y$12))))</x:f>
      </x:c>
      <x:c r="F88" t="str">
        <x:f>IF(Calc!$A$88&gt;'Calc'!$B$8,"",'Calc'!$B$5-'财富模型'!$E$5-(IF('Calc'!$E$12=1,'财富模型'!$E$9,'财富模型'!$M$4+IF(Calc!$A$88&lt;='财富模型'!$E$11*12,'Calc'!$W$12,'Calc'!$Y$12)-(IF('Calc'!$E$12=1,0,MIN(Calc!$C$87*(1+'财富模型'!$E$20/12)+'Calc'!$B$6,IF(Calc!$A$88&lt;='财富模型'!$E$11*12,'Calc'!$W$12,'Calc'!$Y$12)))))))</x:f>
      </x:c>
      <x:c r="G88" t="str">
        <x:f>IF(Calc!$A$88&gt;'Calc'!$B$8,"",IF('Calc'!$E$12=1,0,MAX(Calc!$G$87*(1+IF(Calc!$A$88&lt;='财富模型'!$E$11*12,'财富模型'!$E$10,'财富模型'!$E$12)/12)-IF('Calc'!$E$12=1,0,IF(Calc!$A$88&lt;='财富模型'!$E$11*12,'Calc'!$W$12,'Calc'!$Y$12)),0)))</x:f>
      </x:c>
      <x:c r="I88" t="n">
        <x:v>67</x:v>
      </x:c>
      <x:c r="J88" t="str">
        <x:f>IF(Calc!$I$88&gt;'Calc'!$B$8,"",MAX(Calc!$J$87*(1+'财富模型'!$E$6/12)+('Calc'!$B$5-'财富模型'!$E$5-(IF('Calc'!$E$13=1,'财富模型'!$E$9,'财富模型'!$M$5+IF(Calc!$I$88&lt;='财富模型'!$E$11*12,'Calc'!$W$13,'Calc'!$Y$13)-(IF('Calc'!$E$13=1,0,MIN(Calc!$K$87*(1+'财富模型'!$E$20/12)+'Calc'!$B$6,IF(Calc!$I$88&lt;='财富模型'!$E$11*12,'Calc'!$W$13,'Calc'!$Y$13))))))),0))</x:f>
      </x:c>
      <x:c r="K88" t="str">
        <x:f>IF(Calc!$I$88&gt;'Calc'!$B$8,"",MAX(Calc!$K$87*(1+'财富模型'!$E$20/12)+'Calc'!$B$6-(IF('Calc'!$E$13=1,0,MIN(Calc!$K$87*(1+'财富模型'!$E$20/12)+'Calc'!$B$6,IF(Calc!$I$88&lt;='财富模型'!$E$11*12,'Calc'!$W$13,'Calc'!$Y$13)))),0))</x:f>
      </x:c>
      <x:c r="L88" t="str">
        <x:f>IF(Calc!$I$88&gt;'Calc'!$B$8,"",IF('Calc'!$E$13=1,'财富模型'!$E$9,'财富模型'!$M$5+IF(Calc!$I$88&lt;='财富模型'!$E$11*12,'Calc'!$W$13,'Calc'!$Y$13)-(IF('Calc'!$E$13=1,0,MIN(Calc!$K$87*(1+'财富模型'!$E$20/12)+'Calc'!$B$6,IF(Calc!$I$88&lt;='财富模型'!$E$11*12,'Calc'!$W$13,'Calc'!$Y$13))))))</x:f>
      </x:c>
      <x:c r="M88" t="str">
        <x:f>IF(Calc!$I$88&gt;'Calc'!$B$8,"",IF('Calc'!$E$13=1,0,MIN(Calc!$K$87*(1+'财富模型'!$E$20/12)+'Calc'!$B$6,IF(Calc!$I$88&lt;='财富模型'!$E$11*12,'Calc'!$W$13,'Calc'!$Y$13))))</x:f>
      </x:c>
      <x:c r="N88" t="str">
        <x:f>IF(Calc!$I$88&gt;'Calc'!$B$8,"",'Calc'!$B$5-'财富模型'!$E$5-(IF('Calc'!$E$13=1,'财富模型'!$E$9,'财富模型'!$M$5+IF(Calc!$I$88&lt;='财富模型'!$E$11*12,'Calc'!$W$13,'Calc'!$Y$13)-(IF('Calc'!$E$13=1,0,MIN(Calc!$K$87*(1+'财富模型'!$E$20/12)+'Calc'!$B$6,IF(Calc!$I$88&lt;='财富模型'!$E$11*12,'Calc'!$W$13,'Calc'!$Y$13)))))))</x:f>
      </x:c>
      <x:c r="O88" t="str">
        <x:f>IF(Calc!$I$88&gt;'Calc'!$B$8,"",IF('Calc'!$E$13=1,0,MAX(Calc!$O$87*(1+IF(Calc!$I$88&lt;='财富模型'!$E$11*12,'财富模型'!$E$10,'财富模型'!$E$12)/12)-IF('Calc'!$E$13=1,0,IF(Calc!$I$88&lt;='财富模型'!$E$11*12,'Calc'!$W$13,'Calc'!$Y$13)),0)))</x:f>
      </x:c>
      <x:c r="Q88" t="n">
        <x:v>67</x:v>
      </x:c>
      <x:c r="R88" t="str">
        <x:f>IF(Calc!$Q$88&gt;'Calc'!$B$8,"",MAX(Calc!$R$87*(1+'财富模型'!$E$6/12)+('Calc'!$B$5-'财富模型'!$E$5-(IF('Calc'!$E$14=1,'财富模型'!$E$9,'财富模型'!$M$6+IF(Calc!$Q$88&lt;='财富模型'!$E$11*12,'Calc'!$W$14,'Calc'!$Y$14)-(IF('Calc'!$E$14=1,0,MIN(Calc!$S$87*(1+'财富模型'!$E$20/12)+'Calc'!$B$6,IF(Calc!$Q$88&lt;='财富模型'!$E$11*12,'Calc'!$W$14,'Calc'!$Y$14))))))),0))</x:f>
      </x:c>
      <x:c r="S88" t="str">
        <x:f>IF(Calc!$Q$88&gt;'Calc'!$B$8,"",MAX(Calc!$S$87*(1+'财富模型'!$E$20/12)+'Calc'!$B$6-(IF('Calc'!$E$14=1,0,MIN(Calc!$S$87*(1+'财富模型'!$E$20/12)+'Calc'!$B$6,IF(Calc!$Q$88&lt;='财富模型'!$E$11*12,'Calc'!$W$14,'Calc'!$Y$14)))),0))</x:f>
      </x:c>
      <x:c r="T88" t="str">
        <x:f>IF(Calc!$Q$88&gt;'Calc'!$B$8,"",IF('Calc'!$E$14=1,'财富模型'!$E$9,'财富模型'!$M$6+IF(Calc!$Q$88&lt;='财富模型'!$E$11*12,'Calc'!$W$14,'Calc'!$Y$14)-(IF('Calc'!$E$14=1,0,MIN(Calc!$S$87*(1+'财富模型'!$E$20/12)+'Calc'!$B$6,IF(Calc!$Q$88&lt;='财富模型'!$E$11*12,'Calc'!$W$14,'Calc'!$Y$14))))))</x:f>
      </x:c>
      <x:c r="U88" t="str">
        <x:f>IF(Calc!$Q$88&gt;'Calc'!$B$8,"",IF('Calc'!$E$14=1,0,MIN(Calc!$S$87*(1+'财富模型'!$E$20/12)+'Calc'!$B$6,IF(Calc!$Q$88&lt;='财富模型'!$E$11*12,'Calc'!$W$14,'Calc'!$Y$14))))</x:f>
      </x:c>
      <x:c r="V88" t="str">
        <x:f>IF(Calc!$Q$88&gt;'Calc'!$B$8,"",'Calc'!$B$5-'财富模型'!$E$5-(IF('Calc'!$E$14=1,'财富模型'!$E$9,'财富模型'!$M$6+IF(Calc!$Q$88&lt;='财富模型'!$E$11*12,'Calc'!$W$14,'Calc'!$Y$14)-(IF('Calc'!$E$14=1,0,MIN(Calc!$S$87*(1+'财富模型'!$E$20/12)+'Calc'!$B$6,IF(Calc!$Q$88&lt;='财富模型'!$E$11*12,'Calc'!$W$14,'Calc'!$Y$14)))))))</x:f>
      </x:c>
      <x:c r="W88" t="str">
        <x:f>IF(Calc!$Q$88&gt;'Calc'!$B$8,"",IF('Calc'!$E$14=1,0,MAX(Calc!$W$87*(1+IF(Calc!$Q$88&lt;='财富模型'!$E$11*12,'财富模型'!$E$10,'财富模型'!$E$12)/12)-IF('Calc'!$E$14=1,0,IF(Calc!$Q$88&lt;='财富模型'!$E$11*12,'Calc'!$W$14,'Calc'!$Y$14)),0)))</x:f>
      </x:c>
      <x:c r="Y88" t="n">
        <x:v>67</x:v>
      </x:c>
      <x:c r="Z88" t="str">
        <x:f>IF(Calc!$Y$88&gt;'Calc'!$B$8,"",MAX(Calc!$Z$87*(1+'财富模型'!$E$6/12)+('Calc'!$B$5-'财富模型'!$E$5-(IF('Calc'!$E$15=1,'财富模型'!$E$9,'财富模型'!$M$7+IF(Calc!$Y$88&lt;='财富模型'!$E$11*12,'Calc'!$W$15,'Calc'!$Y$15)-(IF('Calc'!$E$15=1,0,MIN(Calc!$AA$87*(1+'财富模型'!$E$20/12)+'Calc'!$B$6,IF(Calc!$Y$88&lt;='财富模型'!$E$11*12,'Calc'!$W$15,'Calc'!$Y$15))))))),0))</x:f>
      </x:c>
      <x:c r="AA88" t="str">
        <x:f>IF(Calc!$Y$88&gt;'Calc'!$B$8,"",MAX(Calc!$AA$87*(1+'财富模型'!$E$20/12)+'Calc'!$B$6-(IF('Calc'!$E$15=1,0,MIN(Calc!$AA$87*(1+'财富模型'!$E$20/12)+'Calc'!$B$6,IF(Calc!$Y$88&lt;='财富模型'!$E$11*12,'Calc'!$W$15,'Calc'!$Y$15)))),0))</x:f>
      </x:c>
      <x:c r="AB88" t="str">
        <x:f>IF(Calc!$Y$88&gt;'Calc'!$B$8,"",IF('Calc'!$E$15=1,'财富模型'!$E$9,'财富模型'!$M$7+IF(Calc!$Y$88&lt;='财富模型'!$E$11*12,'Calc'!$W$15,'Calc'!$Y$15)-(IF('Calc'!$E$15=1,0,MIN(Calc!$AA$87*(1+'财富模型'!$E$20/12)+'Calc'!$B$6,IF(Calc!$Y$88&lt;='财富模型'!$E$11*12,'Calc'!$W$15,'Calc'!$Y$15))))))</x:f>
      </x:c>
      <x:c r="AC88" t="str">
        <x:f>IF(Calc!$Y$88&gt;'Calc'!$B$8,"",IF('Calc'!$E$15=1,0,MIN(Calc!$AA$87*(1+'财富模型'!$E$20/12)+'Calc'!$B$6,IF(Calc!$Y$88&lt;='财富模型'!$E$11*12,'Calc'!$W$15,'Calc'!$Y$15))))</x:f>
      </x:c>
      <x:c r="AD88" t="str">
        <x:f>IF(Calc!$Y$88&gt;'Calc'!$B$8,"",'Calc'!$B$5-'财富模型'!$E$5-(IF('Calc'!$E$15=1,'财富模型'!$E$9,'财富模型'!$M$7+IF(Calc!$Y$88&lt;='财富模型'!$E$11*12,'Calc'!$W$15,'Calc'!$Y$15)-(IF('Calc'!$E$15=1,0,MIN(Calc!$AA$87*(1+'财富模型'!$E$20/12)+'Calc'!$B$6,IF(Calc!$Y$88&lt;='财富模型'!$E$11*12,'Calc'!$W$15,'Calc'!$Y$15)))))))</x:f>
      </x:c>
      <x:c r="AE88" t="str">
        <x:f>IF(Calc!$Y$88&gt;'Calc'!$B$8,"",IF('Calc'!$E$15=1,0,MAX(Calc!$AE$87*(1+IF(Calc!$Y$88&lt;='财富模型'!$E$11*12,'财富模型'!$E$10,'财富模型'!$E$12)/12)-IF('Calc'!$E$15=1,0,IF(Calc!$Y$88&lt;='财富模型'!$E$11*12,'Calc'!$W$15,'Calc'!$Y$15)),0)))</x:f>
      </x:c>
      <x:c r="AG88" t="n">
        <x:v>67</x:v>
      </x:c>
      <x:c r="AH88" t="str">
        <x:f>IF(Calc!$AG$88&gt;'Calc'!$B$8,"",MAX(Calc!$AH$87*(1+'财富模型'!$E$6/12)+('Calc'!$B$5-'财富模型'!$E$5-(IF('Calc'!$E$16=1,'财富模型'!$E$9,'财富模型'!$M$8+IF(Calc!$AG$88&lt;='财富模型'!$E$11*12,'Calc'!$W$16,'Calc'!$Y$16)-(IF('Calc'!$E$16=1,0,MIN(Calc!$AI$87*(1+'财富模型'!$E$20/12)+'Calc'!$B$6,IF(Calc!$AG$88&lt;='财富模型'!$E$11*12,'Calc'!$W$16,'Calc'!$Y$16))))))),0))</x:f>
      </x:c>
      <x:c r="AI88" t="str">
        <x:f>IF(Calc!$AG$88&gt;'Calc'!$B$8,"",MAX(Calc!$AI$87*(1+'财富模型'!$E$20/12)+'Calc'!$B$6-(IF('Calc'!$E$16=1,0,MIN(Calc!$AI$87*(1+'财富模型'!$E$20/12)+'Calc'!$B$6,IF(Calc!$AG$88&lt;='财富模型'!$E$11*12,'Calc'!$W$16,'Calc'!$Y$16)))),0))</x:f>
      </x:c>
      <x:c r="AJ88" t="str">
        <x:f>IF(Calc!$AG$88&gt;'Calc'!$B$8,"",IF('Calc'!$E$16=1,'财富模型'!$E$9,'财富模型'!$M$8+IF(Calc!$AG$88&lt;='财富模型'!$E$11*12,'Calc'!$W$16,'Calc'!$Y$16)-(IF('Calc'!$E$16=1,0,MIN(Calc!$AI$87*(1+'财富模型'!$E$20/12)+'Calc'!$B$6,IF(Calc!$AG$88&lt;='财富模型'!$E$11*12,'Calc'!$W$16,'Calc'!$Y$16))))))</x:f>
      </x:c>
      <x:c r="AK88" t="str">
        <x:f>IF(Calc!$AG$88&gt;'Calc'!$B$8,"",IF('Calc'!$E$16=1,0,MIN(Calc!$AI$87*(1+'财富模型'!$E$20/12)+'Calc'!$B$6,IF(Calc!$AG$88&lt;='财富模型'!$E$11*12,'Calc'!$W$16,'Calc'!$Y$16))))</x:f>
      </x:c>
      <x:c r="AL88" t="str">
        <x:f>IF(Calc!$AG$88&gt;'Calc'!$B$8,"",'Calc'!$B$5-'财富模型'!$E$5-(IF('Calc'!$E$16=1,'财富模型'!$E$9,'财富模型'!$M$8+IF(Calc!$AG$88&lt;='财富模型'!$E$11*12,'Calc'!$W$16,'Calc'!$Y$16)-(IF('Calc'!$E$16=1,0,MIN(Calc!$AI$87*(1+'财富模型'!$E$20/12)+'Calc'!$B$6,IF(Calc!$AG$88&lt;='财富模型'!$E$11*12,'Calc'!$W$16,'Calc'!$Y$16)))))))</x:f>
      </x:c>
      <x:c r="AM88" t="str">
        <x:f>IF(Calc!$AG$88&gt;'Calc'!$B$8,"",IF('Calc'!$E$16=1,0,MAX(Calc!$AM$87*(1+IF(Calc!$AG$88&lt;='财富模型'!$E$11*12,'财富模型'!$E$10,'财富模型'!$E$12)/12)-IF('Calc'!$E$16=1,0,IF(Calc!$AG$88&lt;='财富模型'!$E$11*12,'Calc'!$W$16,'Calc'!$Y$16)),0)))</x:f>
      </x:c>
      <x:c r="AO88" t="n">
        <x:v>67</x:v>
      </x:c>
      <x:c r="AP88" t="str">
        <x:f>IF(Calc!$AO$88&gt;'Calc'!$B$8,"",MAX(Calc!$AP$87*(1+'财富模型'!$E$6/12)+('Calc'!$B$5-'财富模型'!$E$5-(IF('Calc'!$E$17=1,'财富模型'!$E$9,'财富模型'!$M$9+IF(Calc!$AO$88&lt;='财富模型'!$E$11*12,'Calc'!$W$17,'Calc'!$Y$17)-(IF('Calc'!$E$17=1,0,MIN(Calc!$AQ$87*(1+'财富模型'!$E$20/12)+'Calc'!$B$6,IF(Calc!$AO$88&lt;='财富模型'!$E$11*12,'Calc'!$W$17,'Calc'!$Y$17))))))),0))</x:f>
      </x:c>
      <x:c r="AQ88" t="str">
        <x:f>IF(Calc!$AO$88&gt;'Calc'!$B$8,"",MAX(Calc!$AQ$87*(1+'财富模型'!$E$20/12)+'Calc'!$B$6-(IF('Calc'!$E$17=1,0,MIN(Calc!$AQ$87*(1+'财富模型'!$E$20/12)+'Calc'!$B$6,IF(Calc!$AO$88&lt;='财富模型'!$E$11*12,'Calc'!$W$17,'Calc'!$Y$17)))),0))</x:f>
      </x:c>
      <x:c r="AR88" t="str">
        <x:f>IF(Calc!$AO$88&gt;'Calc'!$B$8,"",IF('Calc'!$E$17=1,'财富模型'!$E$9,'财富模型'!$M$9+IF(Calc!$AO$88&lt;='财富模型'!$E$11*12,'Calc'!$W$17,'Calc'!$Y$17)-(IF('Calc'!$E$17=1,0,MIN(Calc!$AQ$87*(1+'财富模型'!$E$20/12)+'Calc'!$B$6,IF(Calc!$AO$88&lt;='财富模型'!$E$11*12,'Calc'!$W$17,'Calc'!$Y$17))))))</x:f>
      </x:c>
      <x:c r="AS88" t="str">
        <x:f>IF(Calc!$AO$88&gt;'Calc'!$B$8,"",IF('Calc'!$E$17=1,0,MIN(Calc!$AQ$87*(1+'财富模型'!$E$20/12)+'Calc'!$B$6,IF(Calc!$AO$88&lt;='财富模型'!$E$11*12,'Calc'!$W$17,'Calc'!$Y$17))))</x:f>
      </x:c>
      <x:c r="AT88" t="str">
        <x:f>IF(Calc!$AO$88&gt;'Calc'!$B$8,"",'Calc'!$B$5-'财富模型'!$E$5-(IF('Calc'!$E$17=1,'财富模型'!$E$9,'财富模型'!$M$9+IF(Calc!$AO$88&lt;='财富模型'!$E$11*12,'Calc'!$W$17,'Calc'!$Y$17)-(IF('Calc'!$E$17=1,0,MIN(Calc!$AQ$87*(1+'财富模型'!$E$20/12)+'Calc'!$B$6,IF(Calc!$AO$88&lt;='财富模型'!$E$11*12,'Calc'!$W$17,'Calc'!$Y$17)))))))</x:f>
      </x:c>
      <x:c r="AU88" t="str">
        <x:f>IF(Calc!$AO$88&gt;'Calc'!$B$8,"",IF('Calc'!$E$17=1,0,MAX(Calc!$AU$87*(1+IF(Calc!$AO$88&lt;='财富模型'!$E$11*12,'财富模型'!$E$10,'财富模型'!$E$12)/12)-IF('Calc'!$E$17=1,0,IF(Calc!$AO$88&lt;='财富模型'!$E$11*12,'Calc'!$W$17,'Calc'!$Y$17)),0)))</x:f>
      </x:c>
    </x:row>
    <x:row r="89">
      <x:c r="A89" t="n">
        <x:v>68</x:v>
      </x:c>
      <x:c r="B89" t="str">
        <x:f>IF(Calc!$A$89&gt;'Calc'!$B$8,"",MAX(Calc!$B$88*(1+'财富模型'!$E$6/12)+('Calc'!$B$5-'财富模型'!$E$5-(IF('Calc'!$E$12=1,'财富模型'!$E$9,'财富模型'!$M$4+IF(Calc!$A$89&lt;='财富模型'!$E$11*12,'Calc'!$W$12,'Calc'!$Y$12)-(IF('Calc'!$E$12=1,0,MIN(Calc!$C$88*(1+'财富模型'!$E$20/12)+'Calc'!$B$6,IF(Calc!$A$89&lt;='财富模型'!$E$11*12,'Calc'!$W$12,'Calc'!$Y$12))))))),0))</x:f>
      </x:c>
      <x:c r="C89" t="str">
        <x:f>IF(Calc!$A$89&gt;'Calc'!$B$8,"",MAX(Calc!$C$88*(1+'财富模型'!$E$20/12)+'Calc'!$B$6-(IF('Calc'!$E$12=1,0,MIN(Calc!$C$88*(1+'财富模型'!$E$20/12)+'Calc'!$B$6,IF(Calc!$A$89&lt;='财富模型'!$E$11*12,'Calc'!$W$12,'Calc'!$Y$12)))),0))</x:f>
      </x:c>
      <x:c r="D89" t="str">
        <x:f>IF(Calc!$A$89&gt;'Calc'!$B$8,"",IF('Calc'!$E$12=1,'财富模型'!$E$9,'财富模型'!$M$4+IF(Calc!$A$89&lt;='财富模型'!$E$11*12,'Calc'!$W$12,'Calc'!$Y$12)-(IF('Calc'!$E$12=1,0,MIN(Calc!$C$88*(1+'财富模型'!$E$20/12)+'Calc'!$B$6,IF(Calc!$A$89&lt;='财富模型'!$E$11*12,'Calc'!$W$12,'Calc'!$Y$12))))))</x:f>
      </x:c>
      <x:c r="E89" t="str">
        <x:f>IF(Calc!$A$89&gt;'Calc'!$B$8,"",IF('Calc'!$E$12=1,0,MIN(Calc!$C$88*(1+'财富模型'!$E$20/12)+'Calc'!$B$6,IF(Calc!$A$89&lt;='财富模型'!$E$11*12,'Calc'!$W$12,'Calc'!$Y$12))))</x:f>
      </x:c>
      <x:c r="F89" t="str">
        <x:f>IF(Calc!$A$89&gt;'Calc'!$B$8,"",'Calc'!$B$5-'财富模型'!$E$5-(IF('Calc'!$E$12=1,'财富模型'!$E$9,'财富模型'!$M$4+IF(Calc!$A$89&lt;='财富模型'!$E$11*12,'Calc'!$W$12,'Calc'!$Y$12)-(IF('Calc'!$E$12=1,0,MIN(Calc!$C$88*(1+'财富模型'!$E$20/12)+'Calc'!$B$6,IF(Calc!$A$89&lt;='财富模型'!$E$11*12,'Calc'!$W$12,'Calc'!$Y$12)))))))</x:f>
      </x:c>
      <x:c r="G89" t="str">
        <x:f>IF(Calc!$A$89&gt;'Calc'!$B$8,"",IF('Calc'!$E$12=1,0,MAX(Calc!$G$88*(1+IF(Calc!$A$89&lt;='财富模型'!$E$11*12,'财富模型'!$E$10,'财富模型'!$E$12)/12)-IF('Calc'!$E$12=1,0,IF(Calc!$A$89&lt;='财富模型'!$E$11*12,'Calc'!$W$12,'Calc'!$Y$12)),0)))</x:f>
      </x:c>
      <x:c r="I89" t="n">
        <x:v>68</x:v>
      </x:c>
      <x:c r="J89" t="str">
        <x:f>IF(Calc!$I$89&gt;'Calc'!$B$8,"",MAX(Calc!$J$88*(1+'财富模型'!$E$6/12)+('Calc'!$B$5-'财富模型'!$E$5-(IF('Calc'!$E$13=1,'财富模型'!$E$9,'财富模型'!$M$5+IF(Calc!$I$89&lt;='财富模型'!$E$11*12,'Calc'!$W$13,'Calc'!$Y$13)-(IF('Calc'!$E$13=1,0,MIN(Calc!$K$88*(1+'财富模型'!$E$20/12)+'Calc'!$B$6,IF(Calc!$I$89&lt;='财富模型'!$E$11*12,'Calc'!$W$13,'Calc'!$Y$13))))))),0))</x:f>
      </x:c>
      <x:c r="K89" t="str">
        <x:f>IF(Calc!$I$89&gt;'Calc'!$B$8,"",MAX(Calc!$K$88*(1+'财富模型'!$E$20/12)+'Calc'!$B$6-(IF('Calc'!$E$13=1,0,MIN(Calc!$K$88*(1+'财富模型'!$E$20/12)+'Calc'!$B$6,IF(Calc!$I$89&lt;='财富模型'!$E$11*12,'Calc'!$W$13,'Calc'!$Y$13)))),0))</x:f>
      </x:c>
      <x:c r="L89" t="str">
        <x:f>IF(Calc!$I$89&gt;'Calc'!$B$8,"",IF('Calc'!$E$13=1,'财富模型'!$E$9,'财富模型'!$M$5+IF(Calc!$I$89&lt;='财富模型'!$E$11*12,'Calc'!$W$13,'Calc'!$Y$13)-(IF('Calc'!$E$13=1,0,MIN(Calc!$K$88*(1+'财富模型'!$E$20/12)+'Calc'!$B$6,IF(Calc!$I$89&lt;='财富模型'!$E$11*12,'Calc'!$W$13,'Calc'!$Y$13))))))</x:f>
      </x:c>
      <x:c r="M89" t="str">
        <x:f>IF(Calc!$I$89&gt;'Calc'!$B$8,"",IF('Calc'!$E$13=1,0,MIN(Calc!$K$88*(1+'财富模型'!$E$20/12)+'Calc'!$B$6,IF(Calc!$I$89&lt;='财富模型'!$E$11*12,'Calc'!$W$13,'Calc'!$Y$13))))</x:f>
      </x:c>
      <x:c r="N89" t="str">
        <x:f>IF(Calc!$I$89&gt;'Calc'!$B$8,"",'Calc'!$B$5-'财富模型'!$E$5-(IF('Calc'!$E$13=1,'财富模型'!$E$9,'财富模型'!$M$5+IF(Calc!$I$89&lt;='财富模型'!$E$11*12,'Calc'!$W$13,'Calc'!$Y$13)-(IF('Calc'!$E$13=1,0,MIN(Calc!$K$88*(1+'财富模型'!$E$20/12)+'Calc'!$B$6,IF(Calc!$I$89&lt;='财富模型'!$E$11*12,'Calc'!$W$13,'Calc'!$Y$13)))))))</x:f>
      </x:c>
      <x:c r="O89" t="str">
        <x:f>IF(Calc!$I$89&gt;'Calc'!$B$8,"",IF('Calc'!$E$13=1,0,MAX(Calc!$O$88*(1+IF(Calc!$I$89&lt;='财富模型'!$E$11*12,'财富模型'!$E$10,'财富模型'!$E$12)/12)-IF('Calc'!$E$13=1,0,IF(Calc!$I$89&lt;='财富模型'!$E$11*12,'Calc'!$W$13,'Calc'!$Y$13)),0)))</x:f>
      </x:c>
      <x:c r="Q89" t="n">
        <x:v>68</x:v>
      </x:c>
      <x:c r="R89" t="str">
        <x:f>IF(Calc!$Q$89&gt;'Calc'!$B$8,"",MAX(Calc!$R$88*(1+'财富模型'!$E$6/12)+('Calc'!$B$5-'财富模型'!$E$5-(IF('Calc'!$E$14=1,'财富模型'!$E$9,'财富模型'!$M$6+IF(Calc!$Q$89&lt;='财富模型'!$E$11*12,'Calc'!$W$14,'Calc'!$Y$14)-(IF('Calc'!$E$14=1,0,MIN(Calc!$S$88*(1+'财富模型'!$E$20/12)+'Calc'!$B$6,IF(Calc!$Q$89&lt;='财富模型'!$E$11*12,'Calc'!$W$14,'Calc'!$Y$14))))))),0))</x:f>
      </x:c>
      <x:c r="S89" t="str">
        <x:f>IF(Calc!$Q$89&gt;'Calc'!$B$8,"",MAX(Calc!$S$88*(1+'财富模型'!$E$20/12)+'Calc'!$B$6-(IF('Calc'!$E$14=1,0,MIN(Calc!$S$88*(1+'财富模型'!$E$20/12)+'Calc'!$B$6,IF(Calc!$Q$89&lt;='财富模型'!$E$11*12,'Calc'!$W$14,'Calc'!$Y$14)))),0))</x:f>
      </x:c>
      <x:c r="T89" t="str">
        <x:f>IF(Calc!$Q$89&gt;'Calc'!$B$8,"",IF('Calc'!$E$14=1,'财富模型'!$E$9,'财富模型'!$M$6+IF(Calc!$Q$89&lt;='财富模型'!$E$11*12,'Calc'!$W$14,'Calc'!$Y$14)-(IF('Calc'!$E$14=1,0,MIN(Calc!$S$88*(1+'财富模型'!$E$20/12)+'Calc'!$B$6,IF(Calc!$Q$89&lt;='财富模型'!$E$11*12,'Calc'!$W$14,'Calc'!$Y$14))))))</x:f>
      </x:c>
      <x:c r="U89" t="str">
        <x:f>IF(Calc!$Q$89&gt;'Calc'!$B$8,"",IF('Calc'!$E$14=1,0,MIN(Calc!$S$88*(1+'财富模型'!$E$20/12)+'Calc'!$B$6,IF(Calc!$Q$89&lt;='财富模型'!$E$11*12,'Calc'!$W$14,'Calc'!$Y$14))))</x:f>
      </x:c>
      <x:c r="V89" t="str">
        <x:f>IF(Calc!$Q$89&gt;'Calc'!$B$8,"",'Calc'!$B$5-'财富模型'!$E$5-(IF('Calc'!$E$14=1,'财富模型'!$E$9,'财富模型'!$M$6+IF(Calc!$Q$89&lt;='财富模型'!$E$11*12,'Calc'!$W$14,'Calc'!$Y$14)-(IF('Calc'!$E$14=1,0,MIN(Calc!$S$88*(1+'财富模型'!$E$20/12)+'Calc'!$B$6,IF(Calc!$Q$89&lt;='财富模型'!$E$11*12,'Calc'!$W$14,'Calc'!$Y$14)))))))</x:f>
      </x:c>
      <x:c r="W89" t="str">
        <x:f>IF(Calc!$Q$89&gt;'Calc'!$B$8,"",IF('Calc'!$E$14=1,0,MAX(Calc!$W$88*(1+IF(Calc!$Q$89&lt;='财富模型'!$E$11*12,'财富模型'!$E$10,'财富模型'!$E$12)/12)-IF('Calc'!$E$14=1,0,IF(Calc!$Q$89&lt;='财富模型'!$E$11*12,'Calc'!$W$14,'Calc'!$Y$14)),0)))</x:f>
      </x:c>
      <x:c r="Y89" t="n">
        <x:v>68</x:v>
      </x:c>
      <x:c r="Z89" t="str">
        <x:f>IF(Calc!$Y$89&gt;'Calc'!$B$8,"",MAX(Calc!$Z$88*(1+'财富模型'!$E$6/12)+('Calc'!$B$5-'财富模型'!$E$5-(IF('Calc'!$E$15=1,'财富模型'!$E$9,'财富模型'!$M$7+IF(Calc!$Y$89&lt;='财富模型'!$E$11*12,'Calc'!$W$15,'Calc'!$Y$15)-(IF('Calc'!$E$15=1,0,MIN(Calc!$AA$88*(1+'财富模型'!$E$20/12)+'Calc'!$B$6,IF(Calc!$Y$89&lt;='财富模型'!$E$11*12,'Calc'!$W$15,'Calc'!$Y$15))))))),0))</x:f>
      </x:c>
      <x:c r="AA89" t="str">
        <x:f>IF(Calc!$Y$89&gt;'Calc'!$B$8,"",MAX(Calc!$AA$88*(1+'财富模型'!$E$20/12)+'Calc'!$B$6-(IF('Calc'!$E$15=1,0,MIN(Calc!$AA$88*(1+'财富模型'!$E$20/12)+'Calc'!$B$6,IF(Calc!$Y$89&lt;='财富模型'!$E$11*12,'Calc'!$W$15,'Calc'!$Y$15)))),0))</x:f>
      </x:c>
      <x:c r="AB89" t="str">
        <x:f>IF(Calc!$Y$89&gt;'Calc'!$B$8,"",IF('Calc'!$E$15=1,'财富模型'!$E$9,'财富模型'!$M$7+IF(Calc!$Y$89&lt;='财富模型'!$E$11*12,'Calc'!$W$15,'Calc'!$Y$15)-(IF('Calc'!$E$15=1,0,MIN(Calc!$AA$88*(1+'财富模型'!$E$20/12)+'Calc'!$B$6,IF(Calc!$Y$89&lt;='财富模型'!$E$11*12,'Calc'!$W$15,'Calc'!$Y$15))))))</x:f>
      </x:c>
      <x:c r="AC89" t="str">
        <x:f>IF(Calc!$Y$89&gt;'Calc'!$B$8,"",IF('Calc'!$E$15=1,0,MIN(Calc!$AA$88*(1+'财富模型'!$E$20/12)+'Calc'!$B$6,IF(Calc!$Y$89&lt;='财富模型'!$E$11*12,'Calc'!$W$15,'Calc'!$Y$15))))</x:f>
      </x:c>
      <x:c r="AD89" t="str">
        <x:f>IF(Calc!$Y$89&gt;'Calc'!$B$8,"",'Calc'!$B$5-'财富模型'!$E$5-(IF('Calc'!$E$15=1,'财富模型'!$E$9,'财富模型'!$M$7+IF(Calc!$Y$89&lt;='财富模型'!$E$11*12,'Calc'!$W$15,'Calc'!$Y$15)-(IF('Calc'!$E$15=1,0,MIN(Calc!$AA$88*(1+'财富模型'!$E$20/12)+'Calc'!$B$6,IF(Calc!$Y$89&lt;='财富模型'!$E$11*12,'Calc'!$W$15,'Calc'!$Y$15)))))))</x:f>
      </x:c>
      <x:c r="AE89" t="str">
        <x:f>IF(Calc!$Y$89&gt;'Calc'!$B$8,"",IF('Calc'!$E$15=1,0,MAX(Calc!$AE$88*(1+IF(Calc!$Y$89&lt;='财富模型'!$E$11*12,'财富模型'!$E$10,'财富模型'!$E$12)/12)-IF('Calc'!$E$15=1,0,IF(Calc!$Y$89&lt;='财富模型'!$E$11*12,'Calc'!$W$15,'Calc'!$Y$15)),0)))</x:f>
      </x:c>
      <x:c r="AG89" t="n">
        <x:v>68</x:v>
      </x:c>
      <x:c r="AH89" t="str">
        <x:f>IF(Calc!$AG$89&gt;'Calc'!$B$8,"",MAX(Calc!$AH$88*(1+'财富模型'!$E$6/12)+('Calc'!$B$5-'财富模型'!$E$5-(IF('Calc'!$E$16=1,'财富模型'!$E$9,'财富模型'!$M$8+IF(Calc!$AG$89&lt;='财富模型'!$E$11*12,'Calc'!$W$16,'Calc'!$Y$16)-(IF('Calc'!$E$16=1,0,MIN(Calc!$AI$88*(1+'财富模型'!$E$20/12)+'Calc'!$B$6,IF(Calc!$AG$89&lt;='财富模型'!$E$11*12,'Calc'!$W$16,'Calc'!$Y$16))))))),0))</x:f>
      </x:c>
      <x:c r="AI89" t="str">
        <x:f>IF(Calc!$AG$89&gt;'Calc'!$B$8,"",MAX(Calc!$AI$88*(1+'财富模型'!$E$20/12)+'Calc'!$B$6-(IF('Calc'!$E$16=1,0,MIN(Calc!$AI$88*(1+'财富模型'!$E$20/12)+'Calc'!$B$6,IF(Calc!$AG$89&lt;='财富模型'!$E$11*12,'Calc'!$W$16,'Calc'!$Y$16)))),0))</x:f>
      </x:c>
      <x:c r="AJ89" t="str">
        <x:f>IF(Calc!$AG$89&gt;'Calc'!$B$8,"",IF('Calc'!$E$16=1,'财富模型'!$E$9,'财富模型'!$M$8+IF(Calc!$AG$89&lt;='财富模型'!$E$11*12,'Calc'!$W$16,'Calc'!$Y$16)-(IF('Calc'!$E$16=1,0,MIN(Calc!$AI$88*(1+'财富模型'!$E$20/12)+'Calc'!$B$6,IF(Calc!$AG$89&lt;='财富模型'!$E$11*12,'Calc'!$W$16,'Calc'!$Y$16))))))</x:f>
      </x:c>
      <x:c r="AK89" t="str">
        <x:f>IF(Calc!$AG$89&gt;'Calc'!$B$8,"",IF('Calc'!$E$16=1,0,MIN(Calc!$AI$88*(1+'财富模型'!$E$20/12)+'Calc'!$B$6,IF(Calc!$AG$89&lt;='财富模型'!$E$11*12,'Calc'!$W$16,'Calc'!$Y$16))))</x:f>
      </x:c>
      <x:c r="AL89" t="str">
        <x:f>IF(Calc!$AG$89&gt;'Calc'!$B$8,"",'Calc'!$B$5-'财富模型'!$E$5-(IF('Calc'!$E$16=1,'财富模型'!$E$9,'财富模型'!$M$8+IF(Calc!$AG$89&lt;='财富模型'!$E$11*12,'Calc'!$W$16,'Calc'!$Y$16)-(IF('Calc'!$E$16=1,0,MIN(Calc!$AI$88*(1+'财富模型'!$E$20/12)+'Calc'!$B$6,IF(Calc!$AG$89&lt;='财富模型'!$E$11*12,'Calc'!$W$16,'Calc'!$Y$16)))))))</x:f>
      </x:c>
      <x:c r="AM89" t="str">
        <x:f>IF(Calc!$AG$89&gt;'Calc'!$B$8,"",IF('Calc'!$E$16=1,0,MAX(Calc!$AM$88*(1+IF(Calc!$AG$89&lt;='财富模型'!$E$11*12,'财富模型'!$E$10,'财富模型'!$E$12)/12)-IF('Calc'!$E$16=1,0,IF(Calc!$AG$89&lt;='财富模型'!$E$11*12,'Calc'!$W$16,'Calc'!$Y$16)),0)))</x:f>
      </x:c>
      <x:c r="AO89" t="n">
        <x:v>68</x:v>
      </x:c>
      <x:c r="AP89" t="str">
        <x:f>IF(Calc!$AO$89&gt;'Calc'!$B$8,"",MAX(Calc!$AP$88*(1+'财富模型'!$E$6/12)+('Calc'!$B$5-'财富模型'!$E$5-(IF('Calc'!$E$17=1,'财富模型'!$E$9,'财富模型'!$M$9+IF(Calc!$AO$89&lt;='财富模型'!$E$11*12,'Calc'!$W$17,'Calc'!$Y$17)-(IF('Calc'!$E$17=1,0,MIN(Calc!$AQ$88*(1+'财富模型'!$E$20/12)+'Calc'!$B$6,IF(Calc!$AO$89&lt;='财富模型'!$E$11*12,'Calc'!$W$17,'Calc'!$Y$17))))))),0))</x:f>
      </x:c>
      <x:c r="AQ89" t="str">
        <x:f>IF(Calc!$AO$89&gt;'Calc'!$B$8,"",MAX(Calc!$AQ$88*(1+'财富模型'!$E$20/12)+'Calc'!$B$6-(IF('Calc'!$E$17=1,0,MIN(Calc!$AQ$88*(1+'财富模型'!$E$20/12)+'Calc'!$B$6,IF(Calc!$AO$89&lt;='财富模型'!$E$11*12,'Calc'!$W$17,'Calc'!$Y$17)))),0))</x:f>
      </x:c>
      <x:c r="AR89" t="str">
        <x:f>IF(Calc!$AO$89&gt;'Calc'!$B$8,"",IF('Calc'!$E$17=1,'财富模型'!$E$9,'财富模型'!$M$9+IF(Calc!$AO$89&lt;='财富模型'!$E$11*12,'Calc'!$W$17,'Calc'!$Y$17)-(IF('Calc'!$E$17=1,0,MIN(Calc!$AQ$88*(1+'财富模型'!$E$20/12)+'Calc'!$B$6,IF(Calc!$AO$89&lt;='财富模型'!$E$11*12,'Calc'!$W$17,'Calc'!$Y$17))))))</x:f>
      </x:c>
      <x:c r="AS89" t="str">
        <x:f>IF(Calc!$AO$89&gt;'Calc'!$B$8,"",IF('Calc'!$E$17=1,0,MIN(Calc!$AQ$88*(1+'财富模型'!$E$20/12)+'Calc'!$B$6,IF(Calc!$AO$89&lt;='财富模型'!$E$11*12,'Calc'!$W$17,'Calc'!$Y$17))))</x:f>
      </x:c>
      <x:c r="AT89" t="str">
        <x:f>IF(Calc!$AO$89&gt;'Calc'!$B$8,"",'Calc'!$B$5-'财富模型'!$E$5-(IF('Calc'!$E$17=1,'财富模型'!$E$9,'财富模型'!$M$9+IF(Calc!$AO$89&lt;='财富模型'!$E$11*12,'Calc'!$W$17,'Calc'!$Y$17)-(IF('Calc'!$E$17=1,0,MIN(Calc!$AQ$88*(1+'财富模型'!$E$20/12)+'Calc'!$B$6,IF(Calc!$AO$89&lt;='财富模型'!$E$11*12,'Calc'!$W$17,'Calc'!$Y$17)))))))</x:f>
      </x:c>
      <x:c r="AU89" t="str">
        <x:f>IF(Calc!$AO$89&gt;'Calc'!$B$8,"",IF('Calc'!$E$17=1,0,MAX(Calc!$AU$88*(1+IF(Calc!$AO$89&lt;='财富模型'!$E$11*12,'财富模型'!$E$10,'财富模型'!$E$12)/12)-IF('Calc'!$E$17=1,0,IF(Calc!$AO$89&lt;='财富模型'!$E$11*12,'Calc'!$W$17,'Calc'!$Y$17)),0)))</x:f>
      </x:c>
    </x:row>
    <x:row r="90">
      <x:c r="A90" t="n">
        <x:v>69</x:v>
      </x:c>
      <x:c r="B90" t="str">
        <x:f>IF(Calc!$A$90&gt;'Calc'!$B$8,"",MAX(Calc!$B$89*(1+'财富模型'!$E$6/12)+('Calc'!$B$5-'财富模型'!$E$5-(IF('Calc'!$E$12=1,'财富模型'!$E$9,'财富模型'!$M$4+IF(Calc!$A$90&lt;='财富模型'!$E$11*12,'Calc'!$W$12,'Calc'!$Y$12)-(IF('Calc'!$E$12=1,0,MIN(Calc!$C$89*(1+'财富模型'!$E$20/12)+'Calc'!$B$6,IF(Calc!$A$90&lt;='财富模型'!$E$11*12,'Calc'!$W$12,'Calc'!$Y$12))))))),0))</x:f>
      </x:c>
      <x:c r="C90" t="str">
        <x:f>IF(Calc!$A$90&gt;'Calc'!$B$8,"",MAX(Calc!$C$89*(1+'财富模型'!$E$20/12)+'Calc'!$B$6-(IF('Calc'!$E$12=1,0,MIN(Calc!$C$89*(1+'财富模型'!$E$20/12)+'Calc'!$B$6,IF(Calc!$A$90&lt;='财富模型'!$E$11*12,'Calc'!$W$12,'Calc'!$Y$12)))),0))</x:f>
      </x:c>
      <x:c r="D90" t="str">
        <x:f>IF(Calc!$A$90&gt;'Calc'!$B$8,"",IF('Calc'!$E$12=1,'财富模型'!$E$9,'财富模型'!$M$4+IF(Calc!$A$90&lt;='财富模型'!$E$11*12,'Calc'!$W$12,'Calc'!$Y$12)-(IF('Calc'!$E$12=1,0,MIN(Calc!$C$89*(1+'财富模型'!$E$20/12)+'Calc'!$B$6,IF(Calc!$A$90&lt;='财富模型'!$E$11*12,'Calc'!$W$12,'Calc'!$Y$12))))))</x:f>
      </x:c>
      <x:c r="E90" t="str">
        <x:f>IF(Calc!$A$90&gt;'Calc'!$B$8,"",IF('Calc'!$E$12=1,0,MIN(Calc!$C$89*(1+'财富模型'!$E$20/12)+'Calc'!$B$6,IF(Calc!$A$90&lt;='财富模型'!$E$11*12,'Calc'!$W$12,'Calc'!$Y$12))))</x:f>
      </x:c>
      <x:c r="F90" t="str">
        <x:f>IF(Calc!$A$90&gt;'Calc'!$B$8,"",'Calc'!$B$5-'财富模型'!$E$5-(IF('Calc'!$E$12=1,'财富模型'!$E$9,'财富模型'!$M$4+IF(Calc!$A$90&lt;='财富模型'!$E$11*12,'Calc'!$W$12,'Calc'!$Y$12)-(IF('Calc'!$E$12=1,0,MIN(Calc!$C$89*(1+'财富模型'!$E$20/12)+'Calc'!$B$6,IF(Calc!$A$90&lt;='财富模型'!$E$11*12,'Calc'!$W$12,'Calc'!$Y$12)))))))</x:f>
      </x:c>
      <x:c r="G90" t="str">
        <x:f>IF(Calc!$A$90&gt;'Calc'!$B$8,"",IF('Calc'!$E$12=1,0,MAX(Calc!$G$89*(1+IF(Calc!$A$90&lt;='财富模型'!$E$11*12,'财富模型'!$E$10,'财富模型'!$E$12)/12)-IF('Calc'!$E$12=1,0,IF(Calc!$A$90&lt;='财富模型'!$E$11*12,'Calc'!$W$12,'Calc'!$Y$12)),0)))</x:f>
      </x:c>
      <x:c r="I90" t="n">
        <x:v>69</x:v>
      </x:c>
      <x:c r="J90" t="str">
        <x:f>IF(Calc!$I$90&gt;'Calc'!$B$8,"",MAX(Calc!$J$89*(1+'财富模型'!$E$6/12)+('Calc'!$B$5-'财富模型'!$E$5-(IF('Calc'!$E$13=1,'财富模型'!$E$9,'财富模型'!$M$5+IF(Calc!$I$90&lt;='财富模型'!$E$11*12,'Calc'!$W$13,'Calc'!$Y$13)-(IF('Calc'!$E$13=1,0,MIN(Calc!$K$89*(1+'财富模型'!$E$20/12)+'Calc'!$B$6,IF(Calc!$I$90&lt;='财富模型'!$E$11*12,'Calc'!$W$13,'Calc'!$Y$13))))))),0))</x:f>
      </x:c>
      <x:c r="K90" t="str">
        <x:f>IF(Calc!$I$90&gt;'Calc'!$B$8,"",MAX(Calc!$K$89*(1+'财富模型'!$E$20/12)+'Calc'!$B$6-(IF('Calc'!$E$13=1,0,MIN(Calc!$K$89*(1+'财富模型'!$E$20/12)+'Calc'!$B$6,IF(Calc!$I$90&lt;='财富模型'!$E$11*12,'Calc'!$W$13,'Calc'!$Y$13)))),0))</x:f>
      </x:c>
      <x:c r="L90" t="str">
        <x:f>IF(Calc!$I$90&gt;'Calc'!$B$8,"",IF('Calc'!$E$13=1,'财富模型'!$E$9,'财富模型'!$M$5+IF(Calc!$I$90&lt;='财富模型'!$E$11*12,'Calc'!$W$13,'Calc'!$Y$13)-(IF('Calc'!$E$13=1,0,MIN(Calc!$K$89*(1+'财富模型'!$E$20/12)+'Calc'!$B$6,IF(Calc!$I$90&lt;='财富模型'!$E$11*12,'Calc'!$W$13,'Calc'!$Y$13))))))</x:f>
      </x:c>
      <x:c r="M90" t="str">
        <x:f>IF(Calc!$I$90&gt;'Calc'!$B$8,"",IF('Calc'!$E$13=1,0,MIN(Calc!$K$89*(1+'财富模型'!$E$20/12)+'Calc'!$B$6,IF(Calc!$I$90&lt;='财富模型'!$E$11*12,'Calc'!$W$13,'Calc'!$Y$13))))</x:f>
      </x:c>
      <x:c r="N90" t="str">
        <x:f>IF(Calc!$I$90&gt;'Calc'!$B$8,"",'Calc'!$B$5-'财富模型'!$E$5-(IF('Calc'!$E$13=1,'财富模型'!$E$9,'财富模型'!$M$5+IF(Calc!$I$90&lt;='财富模型'!$E$11*12,'Calc'!$W$13,'Calc'!$Y$13)-(IF('Calc'!$E$13=1,0,MIN(Calc!$K$89*(1+'财富模型'!$E$20/12)+'Calc'!$B$6,IF(Calc!$I$90&lt;='财富模型'!$E$11*12,'Calc'!$W$13,'Calc'!$Y$13)))))))</x:f>
      </x:c>
      <x:c r="O90" t="str">
        <x:f>IF(Calc!$I$90&gt;'Calc'!$B$8,"",IF('Calc'!$E$13=1,0,MAX(Calc!$O$89*(1+IF(Calc!$I$90&lt;='财富模型'!$E$11*12,'财富模型'!$E$10,'财富模型'!$E$12)/12)-IF('Calc'!$E$13=1,0,IF(Calc!$I$90&lt;='财富模型'!$E$11*12,'Calc'!$W$13,'Calc'!$Y$13)),0)))</x:f>
      </x:c>
      <x:c r="Q90" t="n">
        <x:v>69</x:v>
      </x:c>
      <x:c r="R90" t="str">
        <x:f>IF(Calc!$Q$90&gt;'Calc'!$B$8,"",MAX(Calc!$R$89*(1+'财富模型'!$E$6/12)+('Calc'!$B$5-'财富模型'!$E$5-(IF('Calc'!$E$14=1,'财富模型'!$E$9,'财富模型'!$M$6+IF(Calc!$Q$90&lt;='财富模型'!$E$11*12,'Calc'!$W$14,'Calc'!$Y$14)-(IF('Calc'!$E$14=1,0,MIN(Calc!$S$89*(1+'财富模型'!$E$20/12)+'Calc'!$B$6,IF(Calc!$Q$90&lt;='财富模型'!$E$11*12,'Calc'!$W$14,'Calc'!$Y$14))))))),0))</x:f>
      </x:c>
      <x:c r="S90" t="str">
        <x:f>IF(Calc!$Q$90&gt;'Calc'!$B$8,"",MAX(Calc!$S$89*(1+'财富模型'!$E$20/12)+'Calc'!$B$6-(IF('Calc'!$E$14=1,0,MIN(Calc!$S$89*(1+'财富模型'!$E$20/12)+'Calc'!$B$6,IF(Calc!$Q$90&lt;='财富模型'!$E$11*12,'Calc'!$W$14,'Calc'!$Y$14)))),0))</x:f>
      </x:c>
      <x:c r="T90" t="str">
        <x:f>IF(Calc!$Q$90&gt;'Calc'!$B$8,"",IF('Calc'!$E$14=1,'财富模型'!$E$9,'财富模型'!$M$6+IF(Calc!$Q$90&lt;='财富模型'!$E$11*12,'Calc'!$W$14,'Calc'!$Y$14)-(IF('Calc'!$E$14=1,0,MIN(Calc!$S$89*(1+'财富模型'!$E$20/12)+'Calc'!$B$6,IF(Calc!$Q$90&lt;='财富模型'!$E$11*12,'Calc'!$W$14,'Calc'!$Y$14))))))</x:f>
      </x:c>
      <x:c r="U90" t="str">
        <x:f>IF(Calc!$Q$90&gt;'Calc'!$B$8,"",IF('Calc'!$E$14=1,0,MIN(Calc!$S$89*(1+'财富模型'!$E$20/12)+'Calc'!$B$6,IF(Calc!$Q$90&lt;='财富模型'!$E$11*12,'Calc'!$W$14,'Calc'!$Y$14))))</x:f>
      </x:c>
      <x:c r="V90" t="str">
        <x:f>IF(Calc!$Q$90&gt;'Calc'!$B$8,"",'Calc'!$B$5-'财富模型'!$E$5-(IF('Calc'!$E$14=1,'财富模型'!$E$9,'财富模型'!$M$6+IF(Calc!$Q$90&lt;='财富模型'!$E$11*12,'Calc'!$W$14,'Calc'!$Y$14)-(IF('Calc'!$E$14=1,0,MIN(Calc!$S$89*(1+'财富模型'!$E$20/12)+'Calc'!$B$6,IF(Calc!$Q$90&lt;='财富模型'!$E$11*12,'Calc'!$W$14,'Calc'!$Y$14)))))))</x:f>
      </x:c>
      <x:c r="W90" t="str">
        <x:f>IF(Calc!$Q$90&gt;'Calc'!$B$8,"",IF('Calc'!$E$14=1,0,MAX(Calc!$W$89*(1+IF(Calc!$Q$90&lt;='财富模型'!$E$11*12,'财富模型'!$E$10,'财富模型'!$E$12)/12)-IF('Calc'!$E$14=1,0,IF(Calc!$Q$90&lt;='财富模型'!$E$11*12,'Calc'!$W$14,'Calc'!$Y$14)),0)))</x:f>
      </x:c>
      <x:c r="Y90" t="n">
        <x:v>69</x:v>
      </x:c>
      <x:c r="Z90" t="str">
        <x:f>IF(Calc!$Y$90&gt;'Calc'!$B$8,"",MAX(Calc!$Z$89*(1+'财富模型'!$E$6/12)+('Calc'!$B$5-'财富模型'!$E$5-(IF('Calc'!$E$15=1,'财富模型'!$E$9,'财富模型'!$M$7+IF(Calc!$Y$90&lt;='财富模型'!$E$11*12,'Calc'!$W$15,'Calc'!$Y$15)-(IF('Calc'!$E$15=1,0,MIN(Calc!$AA$89*(1+'财富模型'!$E$20/12)+'Calc'!$B$6,IF(Calc!$Y$90&lt;='财富模型'!$E$11*12,'Calc'!$W$15,'Calc'!$Y$15))))))),0))</x:f>
      </x:c>
      <x:c r="AA90" t="str">
        <x:f>IF(Calc!$Y$90&gt;'Calc'!$B$8,"",MAX(Calc!$AA$89*(1+'财富模型'!$E$20/12)+'Calc'!$B$6-(IF('Calc'!$E$15=1,0,MIN(Calc!$AA$89*(1+'财富模型'!$E$20/12)+'Calc'!$B$6,IF(Calc!$Y$90&lt;='财富模型'!$E$11*12,'Calc'!$W$15,'Calc'!$Y$15)))),0))</x:f>
      </x:c>
      <x:c r="AB90" t="str">
        <x:f>IF(Calc!$Y$90&gt;'Calc'!$B$8,"",IF('Calc'!$E$15=1,'财富模型'!$E$9,'财富模型'!$M$7+IF(Calc!$Y$90&lt;='财富模型'!$E$11*12,'Calc'!$W$15,'Calc'!$Y$15)-(IF('Calc'!$E$15=1,0,MIN(Calc!$AA$89*(1+'财富模型'!$E$20/12)+'Calc'!$B$6,IF(Calc!$Y$90&lt;='财富模型'!$E$11*12,'Calc'!$W$15,'Calc'!$Y$15))))))</x:f>
      </x:c>
      <x:c r="AC90" t="str">
        <x:f>IF(Calc!$Y$90&gt;'Calc'!$B$8,"",IF('Calc'!$E$15=1,0,MIN(Calc!$AA$89*(1+'财富模型'!$E$20/12)+'Calc'!$B$6,IF(Calc!$Y$90&lt;='财富模型'!$E$11*12,'Calc'!$W$15,'Calc'!$Y$15))))</x:f>
      </x:c>
      <x:c r="AD90" t="str">
        <x:f>IF(Calc!$Y$90&gt;'Calc'!$B$8,"",'Calc'!$B$5-'财富模型'!$E$5-(IF('Calc'!$E$15=1,'财富模型'!$E$9,'财富模型'!$M$7+IF(Calc!$Y$90&lt;='财富模型'!$E$11*12,'Calc'!$W$15,'Calc'!$Y$15)-(IF('Calc'!$E$15=1,0,MIN(Calc!$AA$89*(1+'财富模型'!$E$20/12)+'Calc'!$B$6,IF(Calc!$Y$90&lt;='财富模型'!$E$11*12,'Calc'!$W$15,'Calc'!$Y$15)))))))</x:f>
      </x:c>
      <x:c r="AE90" t="str">
        <x:f>IF(Calc!$Y$90&gt;'Calc'!$B$8,"",IF('Calc'!$E$15=1,0,MAX(Calc!$AE$89*(1+IF(Calc!$Y$90&lt;='财富模型'!$E$11*12,'财富模型'!$E$10,'财富模型'!$E$12)/12)-IF('Calc'!$E$15=1,0,IF(Calc!$Y$90&lt;='财富模型'!$E$11*12,'Calc'!$W$15,'Calc'!$Y$15)),0)))</x:f>
      </x:c>
      <x:c r="AG90" t="n">
        <x:v>69</x:v>
      </x:c>
      <x:c r="AH90" t="str">
        <x:f>IF(Calc!$AG$90&gt;'Calc'!$B$8,"",MAX(Calc!$AH$89*(1+'财富模型'!$E$6/12)+('Calc'!$B$5-'财富模型'!$E$5-(IF('Calc'!$E$16=1,'财富模型'!$E$9,'财富模型'!$M$8+IF(Calc!$AG$90&lt;='财富模型'!$E$11*12,'Calc'!$W$16,'Calc'!$Y$16)-(IF('Calc'!$E$16=1,0,MIN(Calc!$AI$89*(1+'财富模型'!$E$20/12)+'Calc'!$B$6,IF(Calc!$AG$90&lt;='财富模型'!$E$11*12,'Calc'!$W$16,'Calc'!$Y$16))))))),0))</x:f>
      </x:c>
      <x:c r="AI90" t="str">
        <x:f>IF(Calc!$AG$90&gt;'Calc'!$B$8,"",MAX(Calc!$AI$89*(1+'财富模型'!$E$20/12)+'Calc'!$B$6-(IF('Calc'!$E$16=1,0,MIN(Calc!$AI$89*(1+'财富模型'!$E$20/12)+'Calc'!$B$6,IF(Calc!$AG$90&lt;='财富模型'!$E$11*12,'Calc'!$W$16,'Calc'!$Y$16)))),0))</x:f>
      </x:c>
      <x:c r="AJ90" t="str">
        <x:f>IF(Calc!$AG$90&gt;'Calc'!$B$8,"",IF('Calc'!$E$16=1,'财富模型'!$E$9,'财富模型'!$M$8+IF(Calc!$AG$90&lt;='财富模型'!$E$11*12,'Calc'!$W$16,'Calc'!$Y$16)-(IF('Calc'!$E$16=1,0,MIN(Calc!$AI$89*(1+'财富模型'!$E$20/12)+'Calc'!$B$6,IF(Calc!$AG$90&lt;='财富模型'!$E$11*12,'Calc'!$W$16,'Calc'!$Y$16))))))</x:f>
      </x:c>
      <x:c r="AK90" t="str">
        <x:f>IF(Calc!$AG$90&gt;'Calc'!$B$8,"",IF('Calc'!$E$16=1,0,MIN(Calc!$AI$89*(1+'财富模型'!$E$20/12)+'Calc'!$B$6,IF(Calc!$AG$90&lt;='财富模型'!$E$11*12,'Calc'!$W$16,'Calc'!$Y$16))))</x:f>
      </x:c>
      <x:c r="AL90" t="str">
        <x:f>IF(Calc!$AG$90&gt;'Calc'!$B$8,"",'Calc'!$B$5-'财富模型'!$E$5-(IF('Calc'!$E$16=1,'财富模型'!$E$9,'财富模型'!$M$8+IF(Calc!$AG$90&lt;='财富模型'!$E$11*12,'Calc'!$W$16,'Calc'!$Y$16)-(IF('Calc'!$E$16=1,0,MIN(Calc!$AI$89*(1+'财富模型'!$E$20/12)+'Calc'!$B$6,IF(Calc!$AG$90&lt;='财富模型'!$E$11*12,'Calc'!$W$16,'Calc'!$Y$16)))))))</x:f>
      </x:c>
      <x:c r="AM90" t="str">
        <x:f>IF(Calc!$AG$90&gt;'Calc'!$B$8,"",IF('Calc'!$E$16=1,0,MAX(Calc!$AM$89*(1+IF(Calc!$AG$90&lt;='财富模型'!$E$11*12,'财富模型'!$E$10,'财富模型'!$E$12)/12)-IF('Calc'!$E$16=1,0,IF(Calc!$AG$90&lt;='财富模型'!$E$11*12,'Calc'!$W$16,'Calc'!$Y$16)),0)))</x:f>
      </x:c>
      <x:c r="AO90" t="n">
        <x:v>69</x:v>
      </x:c>
      <x:c r="AP90" t="str">
        <x:f>IF(Calc!$AO$90&gt;'Calc'!$B$8,"",MAX(Calc!$AP$89*(1+'财富模型'!$E$6/12)+('Calc'!$B$5-'财富模型'!$E$5-(IF('Calc'!$E$17=1,'财富模型'!$E$9,'财富模型'!$M$9+IF(Calc!$AO$90&lt;='财富模型'!$E$11*12,'Calc'!$W$17,'Calc'!$Y$17)-(IF('Calc'!$E$17=1,0,MIN(Calc!$AQ$89*(1+'财富模型'!$E$20/12)+'Calc'!$B$6,IF(Calc!$AO$90&lt;='财富模型'!$E$11*12,'Calc'!$W$17,'Calc'!$Y$17))))))),0))</x:f>
      </x:c>
      <x:c r="AQ90" t="str">
        <x:f>IF(Calc!$AO$90&gt;'Calc'!$B$8,"",MAX(Calc!$AQ$89*(1+'财富模型'!$E$20/12)+'Calc'!$B$6-(IF('Calc'!$E$17=1,0,MIN(Calc!$AQ$89*(1+'财富模型'!$E$20/12)+'Calc'!$B$6,IF(Calc!$AO$90&lt;='财富模型'!$E$11*12,'Calc'!$W$17,'Calc'!$Y$17)))),0))</x:f>
      </x:c>
      <x:c r="AR90" t="str">
        <x:f>IF(Calc!$AO$90&gt;'Calc'!$B$8,"",IF('Calc'!$E$17=1,'财富模型'!$E$9,'财富模型'!$M$9+IF(Calc!$AO$90&lt;='财富模型'!$E$11*12,'Calc'!$W$17,'Calc'!$Y$17)-(IF('Calc'!$E$17=1,0,MIN(Calc!$AQ$89*(1+'财富模型'!$E$20/12)+'Calc'!$B$6,IF(Calc!$AO$90&lt;='财富模型'!$E$11*12,'Calc'!$W$17,'Calc'!$Y$17))))))</x:f>
      </x:c>
      <x:c r="AS90" t="str">
        <x:f>IF(Calc!$AO$90&gt;'Calc'!$B$8,"",IF('Calc'!$E$17=1,0,MIN(Calc!$AQ$89*(1+'财富模型'!$E$20/12)+'Calc'!$B$6,IF(Calc!$AO$90&lt;='财富模型'!$E$11*12,'Calc'!$W$17,'Calc'!$Y$17))))</x:f>
      </x:c>
      <x:c r="AT90" t="str">
        <x:f>IF(Calc!$AO$90&gt;'Calc'!$B$8,"",'Calc'!$B$5-'财富模型'!$E$5-(IF('Calc'!$E$17=1,'财富模型'!$E$9,'财富模型'!$M$9+IF(Calc!$AO$90&lt;='财富模型'!$E$11*12,'Calc'!$W$17,'Calc'!$Y$17)-(IF('Calc'!$E$17=1,0,MIN(Calc!$AQ$89*(1+'财富模型'!$E$20/12)+'Calc'!$B$6,IF(Calc!$AO$90&lt;='财富模型'!$E$11*12,'Calc'!$W$17,'Calc'!$Y$17)))))))</x:f>
      </x:c>
      <x:c r="AU90" t="str">
        <x:f>IF(Calc!$AO$90&gt;'Calc'!$B$8,"",IF('Calc'!$E$17=1,0,MAX(Calc!$AU$89*(1+IF(Calc!$AO$90&lt;='财富模型'!$E$11*12,'财富模型'!$E$10,'财富模型'!$E$12)/12)-IF('Calc'!$E$17=1,0,IF(Calc!$AO$90&lt;='财富模型'!$E$11*12,'Calc'!$W$17,'Calc'!$Y$17)),0)))</x:f>
      </x:c>
    </x:row>
    <x:row r="91">
      <x:c r="A91" t="n">
        <x:v>70</x:v>
      </x:c>
      <x:c r="B91" t="str">
        <x:f>IF(Calc!$A$91&gt;'Calc'!$B$8,"",MAX(Calc!$B$90*(1+'财富模型'!$E$6/12)+('Calc'!$B$5-'财富模型'!$E$5-(IF('Calc'!$E$12=1,'财富模型'!$E$9,'财富模型'!$M$4+IF(Calc!$A$91&lt;='财富模型'!$E$11*12,'Calc'!$W$12,'Calc'!$Y$12)-(IF('Calc'!$E$12=1,0,MIN(Calc!$C$90*(1+'财富模型'!$E$20/12)+'Calc'!$B$6,IF(Calc!$A$91&lt;='财富模型'!$E$11*12,'Calc'!$W$12,'Calc'!$Y$12))))))),0))</x:f>
      </x:c>
      <x:c r="C91" t="str">
        <x:f>IF(Calc!$A$91&gt;'Calc'!$B$8,"",MAX(Calc!$C$90*(1+'财富模型'!$E$20/12)+'Calc'!$B$6-(IF('Calc'!$E$12=1,0,MIN(Calc!$C$90*(1+'财富模型'!$E$20/12)+'Calc'!$B$6,IF(Calc!$A$91&lt;='财富模型'!$E$11*12,'Calc'!$W$12,'Calc'!$Y$12)))),0))</x:f>
      </x:c>
      <x:c r="D91" t="str">
        <x:f>IF(Calc!$A$91&gt;'Calc'!$B$8,"",IF('Calc'!$E$12=1,'财富模型'!$E$9,'财富模型'!$M$4+IF(Calc!$A$91&lt;='财富模型'!$E$11*12,'Calc'!$W$12,'Calc'!$Y$12)-(IF('Calc'!$E$12=1,0,MIN(Calc!$C$90*(1+'财富模型'!$E$20/12)+'Calc'!$B$6,IF(Calc!$A$91&lt;='财富模型'!$E$11*12,'Calc'!$W$12,'Calc'!$Y$12))))))</x:f>
      </x:c>
      <x:c r="E91" t="str">
        <x:f>IF(Calc!$A$91&gt;'Calc'!$B$8,"",IF('Calc'!$E$12=1,0,MIN(Calc!$C$90*(1+'财富模型'!$E$20/12)+'Calc'!$B$6,IF(Calc!$A$91&lt;='财富模型'!$E$11*12,'Calc'!$W$12,'Calc'!$Y$12))))</x:f>
      </x:c>
      <x:c r="F91" t="str">
        <x:f>IF(Calc!$A$91&gt;'Calc'!$B$8,"",'Calc'!$B$5-'财富模型'!$E$5-(IF('Calc'!$E$12=1,'财富模型'!$E$9,'财富模型'!$M$4+IF(Calc!$A$91&lt;='财富模型'!$E$11*12,'Calc'!$W$12,'Calc'!$Y$12)-(IF('Calc'!$E$12=1,0,MIN(Calc!$C$90*(1+'财富模型'!$E$20/12)+'Calc'!$B$6,IF(Calc!$A$91&lt;='财富模型'!$E$11*12,'Calc'!$W$12,'Calc'!$Y$12)))))))</x:f>
      </x:c>
      <x:c r="G91" t="str">
        <x:f>IF(Calc!$A$91&gt;'Calc'!$B$8,"",IF('Calc'!$E$12=1,0,MAX(Calc!$G$90*(1+IF(Calc!$A$91&lt;='财富模型'!$E$11*12,'财富模型'!$E$10,'财富模型'!$E$12)/12)-IF('Calc'!$E$12=1,0,IF(Calc!$A$91&lt;='财富模型'!$E$11*12,'Calc'!$W$12,'Calc'!$Y$12)),0)))</x:f>
      </x:c>
      <x:c r="I91" t="n">
        <x:v>70</x:v>
      </x:c>
      <x:c r="J91" t="str">
        <x:f>IF(Calc!$I$91&gt;'Calc'!$B$8,"",MAX(Calc!$J$90*(1+'财富模型'!$E$6/12)+('Calc'!$B$5-'财富模型'!$E$5-(IF('Calc'!$E$13=1,'财富模型'!$E$9,'财富模型'!$M$5+IF(Calc!$I$91&lt;='财富模型'!$E$11*12,'Calc'!$W$13,'Calc'!$Y$13)-(IF('Calc'!$E$13=1,0,MIN(Calc!$K$90*(1+'财富模型'!$E$20/12)+'Calc'!$B$6,IF(Calc!$I$91&lt;='财富模型'!$E$11*12,'Calc'!$W$13,'Calc'!$Y$13))))))),0))</x:f>
      </x:c>
      <x:c r="K91" t="str">
        <x:f>IF(Calc!$I$91&gt;'Calc'!$B$8,"",MAX(Calc!$K$90*(1+'财富模型'!$E$20/12)+'Calc'!$B$6-(IF('Calc'!$E$13=1,0,MIN(Calc!$K$90*(1+'财富模型'!$E$20/12)+'Calc'!$B$6,IF(Calc!$I$91&lt;='财富模型'!$E$11*12,'Calc'!$W$13,'Calc'!$Y$13)))),0))</x:f>
      </x:c>
      <x:c r="L91" t="str">
        <x:f>IF(Calc!$I$91&gt;'Calc'!$B$8,"",IF('Calc'!$E$13=1,'财富模型'!$E$9,'财富模型'!$M$5+IF(Calc!$I$91&lt;='财富模型'!$E$11*12,'Calc'!$W$13,'Calc'!$Y$13)-(IF('Calc'!$E$13=1,0,MIN(Calc!$K$90*(1+'财富模型'!$E$20/12)+'Calc'!$B$6,IF(Calc!$I$91&lt;='财富模型'!$E$11*12,'Calc'!$W$13,'Calc'!$Y$13))))))</x:f>
      </x:c>
      <x:c r="M91" t="str">
        <x:f>IF(Calc!$I$91&gt;'Calc'!$B$8,"",IF('Calc'!$E$13=1,0,MIN(Calc!$K$90*(1+'财富模型'!$E$20/12)+'Calc'!$B$6,IF(Calc!$I$91&lt;='财富模型'!$E$11*12,'Calc'!$W$13,'Calc'!$Y$13))))</x:f>
      </x:c>
      <x:c r="N91" t="str">
        <x:f>IF(Calc!$I$91&gt;'Calc'!$B$8,"",'Calc'!$B$5-'财富模型'!$E$5-(IF('Calc'!$E$13=1,'财富模型'!$E$9,'财富模型'!$M$5+IF(Calc!$I$91&lt;='财富模型'!$E$11*12,'Calc'!$W$13,'Calc'!$Y$13)-(IF('Calc'!$E$13=1,0,MIN(Calc!$K$90*(1+'财富模型'!$E$20/12)+'Calc'!$B$6,IF(Calc!$I$91&lt;='财富模型'!$E$11*12,'Calc'!$W$13,'Calc'!$Y$13)))))))</x:f>
      </x:c>
      <x:c r="O91" t="str">
        <x:f>IF(Calc!$I$91&gt;'Calc'!$B$8,"",IF('Calc'!$E$13=1,0,MAX(Calc!$O$90*(1+IF(Calc!$I$91&lt;='财富模型'!$E$11*12,'财富模型'!$E$10,'财富模型'!$E$12)/12)-IF('Calc'!$E$13=1,0,IF(Calc!$I$91&lt;='财富模型'!$E$11*12,'Calc'!$W$13,'Calc'!$Y$13)),0)))</x:f>
      </x:c>
      <x:c r="Q91" t="n">
        <x:v>70</x:v>
      </x:c>
      <x:c r="R91" t="str">
        <x:f>IF(Calc!$Q$91&gt;'Calc'!$B$8,"",MAX(Calc!$R$90*(1+'财富模型'!$E$6/12)+('Calc'!$B$5-'财富模型'!$E$5-(IF('Calc'!$E$14=1,'财富模型'!$E$9,'财富模型'!$M$6+IF(Calc!$Q$91&lt;='财富模型'!$E$11*12,'Calc'!$W$14,'Calc'!$Y$14)-(IF('Calc'!$E$14=1,0,MIN(Calc!$S$90*(1+'财富模型'!$E$20/12)+'Calc'!$B$6,IF(Calc!$Q$91&lt;='财富模型'!$E$11*12,'Calc'!$W$14,'Calc'!$Y$14))))))),0))</x:f>
      </x:c>
      <x:c r="S91" t="str">
        <x:f>IF(Calc!$Q$91&gt;'Calc'!$B$8,"",MAX(Calc!$S$90*(1+'财富模型'!$E$20/12)+'Calc'!$B$6-(IF('Calc'!$E$14=1,0,MIN(Calc!$S$90*(1+'财富模型'!$E$20/12)+'Calc'!$B$6,IF(Calc!$Q$91&lt;='财富模型'!$E$11*12,'Calc'!$W$14,'Calc'!$Y$14)))),0))</x:f>
      </x:c>
      <x:c r="T91" t="str">
        <x:f>IF(Calc!$Q$91&gt;'Calc'!$B$8,"",IF('Calc'!$E$14=1,'财富模型'!$E$9,'财富模型'!$M$6+IF(Calc!$Q$91&lt;='财富模型'!$E$11*12,'Calc'!$W$14,'Calc'!$Y$14)-(IF('Calc'!$E$14=1,0,MIN(Calc!$S$90*(1+'财富模型'!$E$20/12)+'Calc'!$B$6,IF(Calc!$Q$91&lt;='财富模型'!$E$11*12,'Calc'!$W$14,'Calc'!$Y$14))))))</x:f>
      </x:c>
      <x:c r="U91" t="str">
        <x:f>IF(Calc!$Q$91&gt;'Calc'!$B$8,"",IF('Calc'!$E$14=1,0,MIN(Calc!$S$90*(1+'财富模型'!$E$20/12)+'Calc'!$B$6,IF(Calc!$Q$91&lt;='财富模型'!$E$11*12,'Calc'!$W$14,'Calc'!$Y$14))))</x:f>
      </x:c>
      <x:c r="V91" t="str">
        <x:f>IF(Calc!$Q$91&gt;'Calc'!$B$8,"",'Calc'!$B$5-'财富模型'!$E$5-(IF('Calc'!$E$14=1,'财富模型'!$E$9,'财富模型'!$M$6+IF(Calc!$Q$91&lt;='财富模型'!$E$11*12,'Calc'!$W$14,'Calc'!$Y$14)-(IF('Calc'!$E$14=1,0,MIN(Calc!$S$90*(1+'财富模型'!$E$20/12)+'Calc'!$B$6,IF(Calc!$Q$91&lt;='财富模型'!$E$11*12,'Calc'!$W$14,'Calc'!$Y$14)))))))</x:f>
      </x:c>
      <x:c r="W91" t="str">
        <x:f>IF(Calc!$Q$91&gt;'Calc'!$B$8,"",IF('Calc'!$E$14=1,0,MAX(Calc!$W$90*(1+IF(Calc!$Q$91&lt;='财富模型'!$E$11*12,'财富模型'!$E$10,'财富模型'!$E$12)/12)-IF('Calc'!$E$14=1,0,IF(Calc!$Q$91&lt;='财富模型'!$E$11*12,'Calc'!$W$14,'Calc'!$Y$14)),0)))</x:f>
      </x:c>
      <x:c r="Y91" t="n">
        <x:v>70</x:v>
      </x:c>
      <x:c r="Z91" t="str">
        <x:f>IF(Calc!$Y$91&gt;'Calc'!$B$8,"",MAX(Calc!$Z$90*(1+'财富模型'!$E$6/12)+('Calc'!$B$5-'财富模型'!$E$5-(IF('Calc'!$E$15=1,'财富模型'!$E$9,'财富模型'!$M$7+IF(Calc!$Y$91&lt;='财富模型'!$E$11*12,'Calc'!$W$15,'Calc'!$Y$15)-(IF('Calc'!$E$15=1,0,MIN(Calc!$AA$90*(1+'财富模型'!$E$20/12)+'Calc'!$B$6,IF(Calc!$Y$91&lt;='财富模型'!$E$11*12,'Calc'!$W$15,'Calc'!$Y$15))))))),0))</x:f>
      </x:c>
      <x:c r="AA91" t="str">
        <x:f>IF(Calc!$Y$91&gt;'Calc'!$B$8,"",MAX(Calc!$AA$90*(1+'财富模型'!$E$20/12)+'Calc'!$B$6-(IF('Calc'!$E$15=1,0,MIN(Calc!$AA$90*(1+'财富模型'!$E$20/12)+'Calc'!$B$6,IF(Calc!$Y$91&lt;='财富模型'!$E$11*12,'Calc'!$W$15,'Calc'!$Y$15)))),0))</x:f>
      </x:c>
      <x:c r="AB91" t="str">
        <x:f>IF(Calc!$Y$91&gt;'Calc'!$B$8,"",IF('Calc'!$E$15=1,'财富模型'!$E$9,'财富模型'!$M$7+IF(Calc!$Y$91&lt;='财富模型'!$E$11*12,'Calc'!$W$15,'Calc'!$Y$15)-(IF('Calc'!$E$15=1,0,MIN(Calc!$AA$90*(1+'财富模型'!$E$20/12)+'Calc'!$B$6,IF(Calc!$Y$91&lt;='财富模型'!$E$11*12,'Calc'!$W$15,'Calc'!$Y$15))))))</x:f>
      </x:c>
      <x:c r="AC91" t="str">
        <x:f>IF(Calc!$Y$91&gt;'Calc'!$B$8,"",IF('Calc'!$E$15=1,0,MIN(Calc!$AA$90*(1+'财富模型'!$E$20/12)+'Calc'!$B$6,IF(Calc!$Y$91&lt;='财富模型'!$E$11*12,'Calc'!$W$15,'Calc'!$Y$15))))</x:f>
      </x:c>
      <x:c r="AD91" t="str">
        <x:f>IF(Calc!$Y$91&gt;'Calc'!$B$8,"",'Calc'!$B$5-'财富模型'!$E$5-(IF('Calc'!$E$15=1,'财富模型'!$E$9,'财富模型'!$M$7+IF(Calc!$Y$91&lt;='财富模型'!$E$11*12,'Calc'!$W$15,'Calc'!$Y$15)-(IF('Calc'!$E$15=1,0,MIN(Calc!$AA$90*(1+'财富模型'!$E$20/12)+'Calc'!$B$6,IF(Calc!$Y$91&lt;='财富模型'!$E$11*12,'Calc'!$W$15,'Calc'!$Y$15)))))))</x:f>
      </x:c>
      <x:c r="AE91" t="str">
        <x:f>IF(Calc!$Y$91&gt;'Calc'!$B$8,"",IF('Calc'!$E$15=1,0,MAX(Calc!$AE$90*(1+IF(Calc!$Y$91&lt;='财富模型'!$E$11*12,'财富模型'!$E$10,'财富模型'!$E$12)/12)-IF('Calc'!$E$15=1,0,IF(Calc!$Y$91&lt;='财富模型'!$E$11*12,'Calc'!$W$15,'Calc'!$Y$15)),0)))</x:f>
      </x:c>
      <x:c r="AG91" t="n">
        <x:v>70</x:v>
      </x:c>
      <x:c r="AH91" t="str">
        <x:f>IF(Calc!$AG$91&gt;'Calc'!$B$8,"",MAX(Calc!$AH$90*(1+'财富模型'!$E$6/12)+('Calc'!$B$5-'财富模型'!$E$5-(IF('Calc'!$E$16=1,'财富模型'!$E$9,'财富模型'!$M$8+IF(Calc!$AG$91&lt;='财富模型'!$E$11*12,'Calc'!$W$16,'Calc'!$Y$16)-(IF('Calc'!$E$16=1,0,MIN(Calc!$AI$90*(1+'财富模型'!$E$20/12)+'Calc'!$B$6,IF(Calc!$AG$91&lt;='财富模型'!$E$11*12,'Calc'!$W$16,'Calc'!$Y$16))))))),0))</x:f>
      </x:c>
      <x:c r="AI91" t="str">
        <x:f>IF(Calc!$AG$91&gt;'Calc'!$B$8,"",MAX(Calc!$AI$90*(1+'财富模型'!$E$20/12)+'Calc'!$B$6-(IF('Calc'!$E$16=1,0,MIN(Calc!$AI$90*(1+'财富模型'!$E$20/12)+'Calc'!$B$6,IF(Calc!$AG$91&lt;='财富模型'!$E$11*12,'Calc'!$W$16,'Calc'!$Y$16)))),0))</x:f>
      </x:c>
      <x:c r="AJ91" t="str">
        <x:f>IF(Calc!$AG$91&gt;'Calc'!$B$8,"",IF('Calc'!$E$16=1,'财富模型'!$E$9,'财富模型'!$M$8+IF(Calc!$AG$91&lt;='财富模型'!$E$11*12,'Calc'!$W$16,'Calc'!$Y$16)-(IF('Calc'!$E$16=1,0,MIN(Calc!$AI$90*(1+'财富模型'!$E$20/12)+'Calc'!$B$6,IF(Calc!$AG$91&lt;='财富模型'!$E$11*12,'Calc'!$W$16,'Calc'!$Y$16))))))</x:f>
      </x:c>
      <x:c r="AK91" t="str">
        <x:f>IF(Calc!$AG$91&gt;'Calc'!$B$8,"",IF('Calc'!$E$16=1,0,MIN(Calc!$AI$90*(1+'财富模型'!$E$20/12)+'Calc'!$B$6,IF(Calc!$AG$91&lt;='财富模型'!$E$11*12,'Calc'!$W$16,'Calc'!$Y$16))))</x:f>
      </x:c>
      <x:c r="AL91" t="str">
        <x:f>IF(Calc!$AG$91&gt;'Calc'!$B$8,"",'Calc'!$B$5-'财富模型'!$E$5-(IF('Calc'!$E$16=1,'财富模型'!$E$9,'财富模型'!$M$8+IF(Calc!$AG$91&lt;='财富模型'!$E$11*12,'Calc'!$W$16,'Calc'!$Y$16)-(IF('Calc'!$E$16=1,0,MIN(Calc!$AI$90*(1+'财富模型'!$E$20/12)+'Calc'!$B$6,IF(Calc!$AG$91&lt;='财富模型'!$E$11*12,'Calc'!$W$16,'Calc'!$Y$16)))))))</x:f>
      </x:c>
      <x:c r="AM91" t="str">
        <x:f>IF(Calc!$AG$91&gt;'Calc'!$B$8,"",IF('Calc'!$E$16=1,0,MAX(Calc!$AM$90*(1+IF(Calc!$AG$91&lt;='财富模型'!$E$11*12,'财富模型'!$E$10,'财富模型'!$E$12)/12)-IF('Calc'!$E$16=1,0,IF(Calc!$AG$91&lt;='财富模型'!$E$11*12,'Calc'!$W$16,'Calc'!$Y$16)),0)))</x:f>
      </x:c>
      <x:c r="AO91" t="n">
        <x:v>70</x:v>
      </x:c>
      <x:c r="AP91" t="str">
        <x:f>IF(Calc!$AO$91&gt;'Calc'!$B$8,"",MAX(Calc!$AP$90*(1+'财富模型'!$E$6/12)+('Calc'!$B$5-'财富模型'!$E$5-(IF('Calc'!$E$17=1,'财富模型'!$E$9,'财富模型'!$M$9+IF(Calc!$AO$91&lt;='财富模型'!$E$11*12,'Calc'!$W$17,'Calc'!$Y$17)-(IF('Calc'!$E$17=1,0,MIN(Calc!$AQ$90*(1+'财富模型'!$E$20/12)+'Calc'!$B$6,IF(Calc!$AO$91&lt;='财富模型'!$E$11*12,'Calc'!$W$17,'Calc'!$Y$17))))))),0))</x:f>
      </x:c>
      <x:c r="AQ91" t="str">
        <x:f>IF(Calc!$AO$91&gt;'Calc'!$B$8,"",MAX(Calc!$AQ$90*(1+'财富模型'!$E$20/12)+'Calc'!$B$6-(IF('Calc'!$E$17=1,0,MIN(Calc!$AQ$90*(1+'财富模型'!$E$20/12)+'Calc'!$B$6,IF(Calc!$AO$91&lt;='财富模型'!$E$11*12,'Calc'!$W$17,'Calc'!$Y$17)))),0))</x:f>
      </x:c>
      <x:c r="AR91" t="str">
        <x:f>IF(Calc!$AO$91&gt;'Calc'!$B$8,"",IF('Calc'!$E$17=1,'财富模型'!$E$9,'财富模型'!$M$9+IF(Calc!$AO$91&lt;='财富模型'!$E$11*12,'Calc'!$W$17,'Calc'!$Y$17)-(IF('Calc'!$E$17=1,0,MIN(Calc!$AQ$90*(1+'财富模型'!$E$20/12)+'Calc'!$B$6,IF(Calc!$AO$91&lt;='财富模型'!$E$11*12,'Calc'!$W$17,'Calc'!$Y$17))))))</x:f>
      </x:c>
      <x:c r="AS91" t="str">
        <x:f>IF(Calc!$AO$91&gt;'Calc'!$B$8,"",IF('Calc'!$E$17=1,0,MIN(Calc!$AQ$90*(1+'财富模型'!$E$20/12)+'Calc'!$B$6,IF(Calc!$AO$91&lt;='财富模型'!$E$11*12,'Calc'!$W$17,'Calc'!$Y$17))))</x:f>
      </x:c>
      <x:c r="AT91" t="str">
        <x:f>IF(Calc!$AO$91&gt;'Calc'!$B$8,"",'Calc'!$B$5-'财富模型'!$E$5-(IF('Calc'!$E$17=1,'财富模型'!$E$9,'财富模型'!$M$9+IF(Calc!$AO$91&lt;='财富模型'!$E$11*12,'Calc'!$W$17,'Calc'!$Y$17)-(IF('Calc'!$E$17=1,0,MIN(Calc!$AQ$90*(1+'财富模型'!$E$20/12)+'Calc'!$B$6,IF(Calc!$AO$91&lt;='财富模型'!$E$11*12,'Calc'!$W$17,'Calc'!$Y$17)))))))</x:f>
      </x:c>
      <x:c r="AU91" t="str">
        <x:f>IF(Calc!$AO$91&gt;'Calc'!$B$8,"",IF('Calc'!$E$17=1,0,MAX(Calc!$AU$90*(1+IF(Calc!$AO$91&lt;='财富模型'!$E$11*12,'财富模型'!$E$10,'财富模型'!$E$12)/12)-IF('Calc'!$E$17=1,0,IF(Calc!$AO$91&lt;='财富模型'!$E$11*12,'Calc'!$W$17,'Calc'!$Y$17)),0)))</x:f>
      </x:c>
    </x:row>
    <x:row r="92">
      <x:c r="A92" t="n">
        <x:v>71</x:v>
      </x:c>
      <x:c r="B92" t="str">
        <x:f>IF(Calc!$A$92&gt;'Calc'!$B$8,"",MAX(Calc!$B$91*(1+'财富模型'!$E$6/12)+('Calc'!$B$5-'财富模型'!$E$5-(IF('Calc'!$E$12=1,'财富模型'!$E$9,'财富模型'!$M$4+IF(Calc!$A$92&lt;='财富模型'!$E$11*12,'Calc'!$W$12,'Calc'!$Y$12)-(IF('Calc'!$E$12=1,0,MIN(Calc!$C$91*(1+'财富模型'!$E$20/12)+'Calc'!$B$6,IF(Calc!$A$92&lt;='财富模型'!$E$11*12,'Calc'!$W$12,'Calc'!$Y$12))))))),0))</x:f>
      </x:c>
      <x:c r="C92" t="str">
        <x:f>IF(Calc!$A$92&gt;'Calc'!$B$8,"",MAX(Calc!$C$91*(1+'财富模型'!$E$20/12)+'Calc'!$B$6-(IF('Calc'!$E$12=1,0,MIN(Calc!$C$91*(1+'财富模型'!$E$20/12)+'Calc'!$B$6,IF(Calc!$A$92&lt;='财富模型'!$E$11*12,'Calc'!$W$12,'Calc'!$Y$12)))),0))</x:f>
      </x:c>
      <x:c r="D92" t="str">
        <x:f>IF(Calc!$A$92&gt;'Calc'!$B$8,"",IF('Calc'!$E$12=1,'财富模型'!$E$9,'财富模型'!$M$4+IF(Calc!$A$92&lt;='财富模型'!$E$11*12,'Calc'!$W$12,'Calc'!$Y$12)-(IF('Calc'!$E$12=1,0,MIN(Calc!$C$91*(1+'财富模型'!$E$20/12)+'Calc'!$B$6,IF(Calc!$A$92&lt;='财富模型'!$E$11*12,'Calc'!$W$12,'Calc'!$Y$12))))))</x:f>
      </x:c>
      <x:c r="E92" t="str">
        <x:f>IF(Calc!$A$92&gt;'Calc'!$B$8,"",IF('Calc'!$E$12=1,0,MIN(Calc!$C$91*(1+'财富模型'!$E$20/12)+'Calc'!$B$6,IF(Calc!$A$92&lt;='财富模型'!$E$11*12,'Calc'!$W$12,'Calc'!$Y$12))))</x:f>
      </x:c>
      <x:c r="F92" t="str">
        <x:f>IF(Calc!$A$92&gt;'Calc'!$B$8,"",'Calc'!$B$5-'财富模型'!$E$5-(IF('Calc'!$E$12=1,'财富模型'!$E$9,'财富模型'!$M$4+IF(Calc!$A$92&lt;='财富模型'!$E$11*12,'Calc'!$W$12,'Calc'!$Y$12)-(IF('Calc'!$E$12=1,0,MIN(Calc!$C$91*(1+'财富模型'!$E$20/12)+'Calc'!$B$6,IF(Calc!$A$92&lt;='财富模型'!$E$11*12,'Calc'!$W$12,'Calc'!$Y$12)))))))</x:f>
      </x:c>
      <x:c r="G92" t="str">
        <x:f>IF(Calc!$A$92&gt;'Calc'!$B$8,"",IF('Calc'!$E$12=1,0,MAX(Calc!$G$91*(1+IF(Calc!$A$92&lt;='财富模型'!$E$11*12,'财富模型'!$E$10,'财富模型'!$E$12)/12)-IF('Calc'!$E$12=1,0,IF(Calc!$A$92&lt;='财富模型'!$E$11*12,'Calc'!$W$12,'Calc'!$Y$12)),0)))</x:f>
      </x:c>
      <x:c r="I92" t="n">
        <x:v>71</x:v>
      </x:c>
      <x:c r="J92" t="str">
        <x:f>IF(Calc!$I$92&gt;'Calc'!$B$8,"",MAX(Calc!$J$91*(1+'财富模型'!$E$6/12)+('Calc'!$B$5-'财富模型'!$E$5-(IF('Calc'!$E$13=1,'财富模型'!$E$9,'财富模型'!$M$5+IF(Calc!$I$92&lt;='财富模型'!$E$11*12,'Calc'!$W$13,'Calc'!$Y$13)-(IF('Calc'!$E$13=1,0,MIN(Calc!$K$91*(1+'财富模型'!$E$20/12)+'Calc'!$B$6,IF(Calc!$I$92&lt;='财富模型'!$E$11*12,'Calc'!$W$13,'Calc'!$Y$13))))))),0))</x:f>
      </x:c>
      <x:c r="K92" t="str">
        <x:f>IF(Calc!$I$92&gt;'Calc'!$B$8,"",MAX(Calc!$K$91*(1+'财富模型'!$E$20/12)+'Calc'!$B$6-(IF('Calc'!$E$13=1,0,MIN(Calc!$K$91*(1+'财富模型'!$E$20/12)+'Calc'!$B$6,IF(Calc!$I$92&lt;='财富模型'!$E$11*12,'Calc'!$W$13,'Calc'!$Y$13)))),0))</x:f>
      </x:c>
      <x:c r="L92" t="str">
        <x:f>IF(Calc!$I$92&gt;'Calc'!$B$8,"",IF('Calc'!$E$13=1,'财富模型'!$E$9,'财富模型'!$M$5+IF(Calc!$I$92&lt;='财富模型'!$E$11*12,'Calc'!$W$13,'Calc'!$Y$13)-(IF('Calc'!$E$13=1,0,MIN(Calc!$K$91*(1+'财富模型'!$E$20/12)+'Calc'!$B$6,IF(Calc!$I$92&lt;='财富模型'!$E$11*12,'Calc'!$W$13,'Calc'!$Y$13))))))</x:f>
      </x:c>
      <x:c r="M92" t="str">
        <x:f>IF(Calc!$I$92&gt;'Calc'!$B$8,"",IF('Calc'!$E$13=1,0,MIN(Calc!$K$91*(1+'财富模型'!$E$20/12)+'Calc'!$B$6,IF(Calc!$I$92&lt;='财富模型'!$E$11*12,'Calc'!$W$13,'Calc'!$Y$13))))</x:f>
      </x:c>
      <x:c r="N92" t="str">
        <x:f>IF(Calc!$I$92&gt;'Calc'!$B$8,"",'Calc'!$B$5-'财富模型'!$E$5-(IF('Calc'!$E$13=1,'财富模型'!$E$9,'财富模型'!$M$5+IF(Calc!$I$92&lt;='财富模型'!$E$11*12,'Calc'!$W$13,'Calc'!$Y$13)-(IF('Calc'!$E$13=1,0,MIN(Calc!$K$91*(1+'财富模型'!$E$20/12)+'Calc'!$B$6,IF(Calc!$I$92&lt;='财富模型'!$E$11*12,'Calc'!$W$13,'Calc'!$Y$13)))))))</x:f>
      </x:c>
      <x:c r="O92" t="str">
        <x:f>IF(Calc!$I$92&gt;'Calc'!$B$8,"",IF('Calc'!$E$13=1,0,MAX(Calc!$O$91*(1+IF(Calc!$I$92&lt;='财富模型'!$E$11*12,'财富模型'!$E$10,'财富模型'!$E$12)/12)-IF('Calc'!$E$13=1,0,IF(Calc!$I$92&lt;='财富模型'!$E$11*12,'Calc'!$W$13,'Calc'!$Y$13)),0)))</x:f>
      </x:c>
      <x:c r="Q92" t="n">
        <x:v>71</x:v>
      </x:c>
      <x:c r="R92" t="str">
        <x:f>IF(Calc!$Q$92&gt;'Calc'!$B$8,"",MAX(Calc!$R$91*(1+'财富模型'!$E$6/12)+('Calc'!$B$5-'财富模型'!$E$5-(IF('Calc'!$E$14=1,'财富模型'!$E$9,'财富模型'!$M$6+IF(Calc!$Q$92&lt;='财富模型'!$E$11*12,'Calc'!$W$14,'Calc'!$Y$14)-(IF('Calc'!$E$14=1,0,MIN(Calc!$S$91*(1+'财富模型'!$E$20/12)+'Calc'!$B$6,IF(Calc!$Q$92&lt;='财富模型'!$E$11*12,'Calc'!$W$14,'Calc'!$Y$14))))))),0))</x:f>
      </x:c>
      <x:c r="S92" t="str">
        <x:f>IF(Calc!$Q$92&gt;'Calc'!$B$8,"",MAX(Calc!$S$91*(1+'财富模型'!$E$20/12)+'Calc'!$B$6-(IF('Calc'!$E$14=1,0,MIN(Calc!$S$91*(1+'财富模型'!$E$20/12)+'Calc'!$B$6,IF(Calc!$Q$92&lt;='财富模型'!$E$11*12,'Calc'!$W$14,'Calc'!$Y$14)))),0))</x:f>
      </x:c>
      <x:c r="T92" t="str">
        <x:f>IF(Calc!$Q$92&gt;'Calc'!$B$8,"",IF('Calc'!$E$14=1,'财富模型'!$E$9,'财富模型'!$M$6+IF(Calc!$Q$92&lt;='财富模型'!$E$11*12,'Calc'!$W$14,'Calc'!$Y$14)-(IF('Calc'!$E$14=1,0,MIN(Calc!$S$91*(1+'财富模型'!$E$20/12)+'Calc'!$B$6,IF(Calc!$Q$92&lt;='财富模型'!$E$11*12,'Calc'!$W$14,'Calc'!$Y$14))))))</x:f>
      </x:c>
      <x:c r="U92" t="str">
        <x:f>IF(Calc!$Q$92&gt;'Calc'!$B$8,"",IF('Calc'!$E$14=1,0,MIN(Calc!$S$91*(1+'财富模型'!$E$20/12)+'Calc'!$B$6,IF(Calc!$Q$92&lt;='财富模型'!$E$11*12,'Calc'!$W$14,'Calc'!$Y$14))))</x:f>
      </x:c>
      <x:c r="V92" t="str">
        <x:f>IF(Calc!$Q$92&gt;'Calc'!$B$8,"",'Calc'!$B$5-'财富模型'!$E$5-(IF('Calc'!$E$14=1,'财富模型'!$E$9,'财富模型'!$M$6+IF(Calc!$Q$92&lt;='财富模型'!$E$11*12,'Calc'!$W$14,'Calc'!$Y$14)-(IF('Calc'!$E$14=1,0,MIN(Calc!$S$91*(1+'财富模型'!$E$20/12)+'Calc'!$B$6,IF(Calc!$Q$92&lt;='财富模型'!$E$11*12,'Calc'!$W$14,'Calc'!$Y$14)))))))</x:f>
      </x:c>
      <x:c r="W92" t="str">
        <x:f>IF(Calc!$Q$92&gt;'Calc'!$B$8,"",IF('Calc'!$E$14=1,0,MAX(Calc!$W$91*(1+IF(Calc!$Q$92&lt;='财富模型'!$E$11*12,'财富模型'!$E$10,'财富模型'!$E$12)/12)-IF('Calc'!$E$14=1,0,IF(Calc!$Q$92&lt;='财富模型'!$E$11*12,'Calc'!$W$14,'Calc'!$Y$14)),0)))</x:f>
      </x:c>
      <x:c r="Y92" t="n">
        <x:v>71</x:v>
      </x:c>
      <x:c r="Z92" t="str">
        <x:f>IF(Calc!$Y$92&gt;'Calc'!$B$8,"",MAX(Calc!$Z$91*(1+'财富模型'!$E$6/12)+('Calc'!$B$5-'财富模型'!$E$5-(IF('Calc'!$E$15=1,'财富模型'!$E$9,'财富模型'!$M$7+IF(Calc!$Y$92&lt;='财富模型'!$E$11*12,'Calc'!$W$15,'Calc'!$Y$15)-(IF('Calc'!$E$15=1,0,MIN(Calc!$AA$91*(1+'财富模型'!$E$20/12)+'Calc'!$B$6,IF(Calc!$Y$92&lt;='财富模型'!$E$11*12,'Calc'!$W$15,'Calc'!$Y$15))))))),0))</x:f>
      </x:c>
      <x:c r="AA92" t="str">
        <x:f>IF(Calc!$Y$92&gt;'Calc'!$B$8,"",MAX(Calc!$AA$91*(1+'财富模型'!$E$20/12)+'Calc'!$B$6-(IF('Calc'!$E$15=1,0,MIN(Calc!$AA$91*(1+'财富模型'!$E$20/12)+'Calc'!$B$6,IF(Calc!$Y$92&lt;='财富模型'!$E$11*12,'Calc'!$W$15,'Calc'!$Y$15)))),0))</x:f>
      </x:c>
      <x:c r="AB92" t="str">
        <x:f>IF(Calc!$Y$92&gt;'Calc'!$B$8,"",IF('Calc'!$E$15=1,'财富模型'!$E$9,'财富模型'!$M$7+IF(Calc!$Y$92&lt;='财富模型'!$E$11*12,'Calc'!$W$15,'Calc'!$Y$15)-(IF('Calc'!$E$15=1,0,MIN(Calc!$AA$91*(1+'财富模型'!$E$20/12)+'Calc'!$B$6,IF(Calc!$Y$92&lt;='财富模型'!$E$11*12,'Calc'!$W$15,'Calc'!$Y$15))))))</x:f>
      </x:c>
      <x:c r="AC92" t="str">
        <x:f>IF(Calc!$Y$92&gt;'Calc'!$B$8,"",IF('Calc'!$E$15=1,0,MIN(Calc!$AA$91*(1+'财富模型'!$E$20/12)+'Calc'!$B$6,IF(Calc!$Y$92&lt;='财富模型'!$E$11*12,'Calc'!$W$15,'Calc'!$Y$15))))</x:f>
      </x:c>
      <x:c r="AD92" t="str">
        <x:f>IF(Calc!$Y$92&gt;'Calc'!$B$8,"",'Calc'!$B$5-'财富模型'!$E$5-(IF('Calc'!$E$15=1,'财富模型'!$E$9,'财富模型'!$M$7+IF(Calc!$Y$92&lt;='财富模型'!$E$11*12,'Calc'!$W$15,'Calc'!$Y$15)-(IF('Calc'!$E$15=1,0,MIN(Calc!$AA$91*(1+'财富模型'!$E$20/12)+'Calc'!$B$6,IF(Calc!$Y$92&lt;='财富模型'!$E$11*12,'Calc'!$W$15,'Calc'!$Y$15)))))))</x:f>
      </x:c>
      <x:c r="AE92" t="str">
        <x:f>IF(Calc!$Y$92&gt;'Calc'!$B$8,"",IF('Calc'!$E$15=1,0,MAX(Calc!$AE$91*(1+IF(Calc!$Y$92&lt;='财富模型'!$E$11*12,'财富模型'!$E$10,'财富模型'!$E$12)/12)-IF('Calc'!$E$15=1,0,IF(Calc!$Y$92&lt;='财富模型'!$E$11*12,'Calc'!$W$15,'Calc'!$Y$15)),0)))</x:f>
      </x:c>
      <x:c r="AG92" t="n">
        <x:v>71</x:v>
      </x:c>
      <x:c r="AH92" t="str">
        <x:f>IF(Calc!$AG$92&gt;'Calc'!$B$8,"",MAX(Calc!$AH$91*(1+'财富模型'!$E$6/12)+('Calc'!$B$5-'财富模型'!$E$5-(IF('Calc'!$E$16=1,'财富模型'!$E$9,'财富模型'!$M$8+IF(Calc!$AG$92&lt;='财富模型'!$E$11*12,'Calc'!$W$16,'Calc'!$Y$16)-(IF('Calc'!$E$16=1,0,MIN(Calc!$AI$91*(1+'财富模型'!$E$20/12)+'Calc'!$B$6,IF(Calc!$AG$92&lt;='财富模型'!$E$11*12,'Calc'!$W$16,'Calc'!$Y$16))))))),0))</x:f>
      </x:c>
      <x:c r="AI92" t="str">
        <x:f>IF(Calc!$AG$92&gt;'Calc'!$B$8,"",MAX(Calc!$AI$91*(1+'财富模型'!$E$20/12)+'Calc'!$B$6-(IF('Calc'!$E$16=1,0,MIN(Calc!$AI$91*(1+'财富模型'!$E$20/12)+'Calc'!$B$6,IF(Calc!$AG$92&lt;='财富模型'!$E$11*12,'Calc'!$W$16,'Calc'!$Y$16)))),0))</x:f>
      </x:c>
      <x:c r="AJ92" t="str">
        <x:f>IF(Calc!$AG$92&gt;'Calc'!$B$8,"",IF('Calc'!$E$16=1,'财富模型'!$E$9,'财富模型'!$M$8+IF(Calc!$AG$92&lt;='财富模型'!$E$11*12,'Calc'!$W$16,'Calc'!$Y$16)-(IF('Calc'!$E$16=1,0,MIN(Calc!$AI$91*(1+'财富模型'!$E$20/12)+'Calc'!$B$6,IF(Calc!$AG$92&lt;='财富模型'!$E$11*12,'Calc'!$W$16,'Calc'!$Y$16))))))</x:f>
      </x:c>
      <x:c r="AK92" t="str">
        <x:f>IF(Calc!$AG$92&gt;'Calc'!$B$8,"",IF('Calc'!$E$16=1,0,MIN(Calc!$AI$91*(1+'财富模型'!$E$20/12)+'Calc'!$B$6,IF(Calc!$AG$92&lt;='财富模型'!$E$11*12,'Calc'!$W$16,'Calc'!$Y$16))))</x:f>
      </x:c>
      <x:c r="AL92" t="str">
        <x:f>IF(Calc!$AG$92&gt;'Calc'!$B$8,"",'Calc'!$B$5-'财富模型'!$E$5-(IF('Calc'!$E$16=1,'财富模型'!$E$9,'财富模型'!$M$8+IF(Calc!$AG$92&lt;='财富模型'!$E$11*12,'Calc'!$W$16,'Calc'!$Y$16)-(IF('Calc'!$E$16=1,0,MIN(Calc!$AI$91*(1+'财富模型'!$E$20/12)+'Calc'!$B$6,IF(Calc!$AG$92&lt;='财富模型'!$E$11*12,'Calc'!$W$16,'Calc'!$Y$16)))))))</x:f>
      </x:c>
      <x:c r="AM92" t="str">
        <x:f>IF(Calc!$AG$92&gt;'Calc'!$B$8,"",IF('Calc'!$E$16=1,0,MAX(Calc!$AM$91*(1+IF(Calc!$AG$92&lt;='财富模型'!$E$11*12,'财富模型'!$E$10,'财富模型'!$E$12)/12)-IF('Calc'!$E$16=1,0,IF(Calc!$AG$92&lt;='财富模型'!$E$11*12,'Calc'!$W$16,'Calc'!$Y$16)),0)))</x:f>
      </x:c>
      <x:c r="AO92" t="n">
        <x:v>71</x:v>
      </x:c>
      <x:c r="AP92" t="str">
        <x:f>IF(Calc!$AO$92&gt;'Calc'!$B$8,"",MAX(Calc!$AP$91*(1+'财富模型'!$E$6/12)+('Calc'!$B$5-'财富模型'!$E$5-(IF('Calc'!$E$17=1,'财富模型'!$E$9,'财富模型'!$M$9+IF(Calc!$AO$92&lt;='财富模型'!$E$11*12,'Calc'!$W$17,'Calc'!$Y$17)-(IF('Calc'!$E$17=1,0,MIN(Calc!$AQ$91*(1+'财富模型'!$E$20/12)+'Calc'!$B$6,IF(Calc!$AO$92&lt;='财富模型'!$E$11*12,'Calc'!$W$17,'Calc'!$Y$17))))))),0))</x:f>
      </x:c>
      <x:c r="AQ92" t="str">
        <x:f>IF(Calc!$AO$92&gt;'Calc'!$B$8,"",MAX(Calc!$AQ$91*(1+'财富模型'!$E$20/12)+'Calc'!$B$6-(IF('Calc'!$E$17=1,0,MIN(Calc!$AQ$91*(1+'财富模型'!$E$20/12)+'Calc'!$B$6,IF(Calc!$AO$92&lt;='财富模型'!$E$11*12,'Calc'!$W$17,'Calc'!$Y$17)))),0))</x:f>
      </x:c>
      <x:c r="AR92" t="str">
        <x:f>IF(Calc!$AO$92&gt;'Calc'!$B$8,"",IF('Calc'!$E$17=1,'财富模型'!$E$9,'财富模型'!$M$9+IF(Calc!$AO$92&lt;='财富模型'!$E$11*12,'Calc'!$W$17,'Calc'!$Y$17)-(IF('Calc'!$E$17=1,0,MIN(Calc!$AQ$91*(1+'财富模型'!$E$20/12)+'Calc'!$B$6,IF(Calc!$AO$92&lt;='财富模型'!$E$11*12,'Calc'!$W$17,'Calc'!$Y$17))))))</x:f>
      </x:c>
      <x:c r="AS92" t="str">
        <x:f>IF(Calc!$AO$92&gt;'Calc'!$B$8,"",IF('Calc'!$E$17=1,0,MIN(Calc!$AQ$91*(1+'财富模型'!$E$20/12)+'Calc'!$B$6,IF(Calc!$AO$92&lt;='财富模型'!$E$11*12,'Calc'!$W$17,'Calc'!$Y$17))))</x:f>
      </x:c>
      <x:c r="AT92" t="str">
        <x:f>IF(Calc!$AO$92&gt;'Calc'!$B$8,"",'Calc'!$B$5-'财富模型'!$E$5-(IF('Calc'!$E$17=1,'财富模型'!$E$9,'财富模型'!$M$9+IF(Calc!$AO$92&lt;='财富模型'!$E$11*12,'Calc'!$W$17,'Calc'!$Y$17)-(IF('Calc'!$E$17=1,0,MIN(Calc!$AQ$91*(1+'财富模型'!$E$20/12)+'Calc'!$B$6,IF(Calc!$AO$92&lt;='财富模型'!$E$11*12,'Calc'!$W$17,'Calc'!$Y$17)))))))</x:f>
      </x:c>
      <x:c r="AU92" t="str">
        <x:f>IF(Calc!$AO$92&gt;'Calc'!$B$8,"",IF('Calc'!$E$17=1,0,MAX(Calc!$AU$91*(1+IF(Calc!$AO$92&lt;='财富模型'!$E$11*12,'财富模型'!$E$10,'财富模型'!$E$12)/12)-IF('Calc'!$E$17=1,0,IF(Calc!$AO$92&lt;='财富模型'!$E$11*12,'Calc'!$W$17,'Calc'!$Y$17)),0)))</x:f>
      </x:c>
    </x:row>
    <x:row r="93">
      <x:c r="A93" t="n">
        <x:v>72</x:v>
      </x:c>
      <x:c r="B93" t="str">
        <x:f>IF(Calc!$A$93&gt;'Calc'!$B$8,"",MAX(Calc!$B$92*(1+'财富模型'!$E$6/12)+('Calc'!$B$5-'财富模型'!$E$5-(IF('Calc'!$E$12=1,'财富模型'!$E$9,'财富模型'!$M$4+IF(Calc!$A$93&lt;='财富模型'!$E$11*12,'Calc'!$W$12,'Calc'!$Y$12)-(IF('Calc'!$E$12=1,0,MIN(Calc!$C$92*(1+'财富模型'!$E$20/12)+'Calc'!$B$6,IF(Calc!$A$93&lt;='财富模型'!$E$11*12,'Calc'!$W$12,'Calc'!$Y$12))))))),0))</x:f>
      </x:c>
      <x:c r="C93" t="str">
        <x:f>IF(Calc!$A$93&gt;'Calc'!$B$8,"",MAX(Calc!$C$92*(1+'财富模型'!$E$20/12)+'Calc'!$B$6-(IF('Calc'!$E$12=1,0,MIN(Calc!$C$92*(1+'财富模型'!$E$20/12)+'Calc'!$B$6,IF(Calc!$A$93&lt;='财富模型'!$E$11*12,'Calc'!$W$12,'Calc'!$Y$12)))),0))</x:f>
      </x:c>
      <x:c r="D93" t="str">
        <x:f>IF(Calc!$A$93&gt;'Calc'!$B$8,"",IF('Calc'!$E$12=1,'财富模型'!$E$9,'财富模型'!$M$4+IF(Calc!$A$93&lt;='财富模型'!$E$11*12,'Calc'!$W$12,'Calc'!$Y$12)-(IF('Calc'!$E$12=1,0,MIN(Calc!$C$92*(1+'财富模型'!$E$20/12)+'Calc'!$B$6,IF(Calc!$A$93&lt;='财富模型'!$E$11*12,'Calc'!$W$12,'Calc'!$Y$12))))))</x:f>
      </x:c>
      <x:c r="E93" t="str">
        <x:f>IF(Calc!$A$93&gt;'Calc'!$B$8,"",IF('Calc'!$E$12=1,0,MIN(Calc!$C$92*(1+'财富模型'!$E$20/12)+'Calc'!$B$6,IF(Calc!$A$93&lt;='财富模型'!$E$11*12,'Calc'!$W$12,'Calc'!$Y$12))))</x:f>
      </x:c>
      <x:c r="F93" t="str">
        <x:f>IF(Calc!$A$93&gt;'Calc'!$B$8,"",'Calc'!$B$5-'财富模型'!$E$5-(IF('Calc'!$E$12=1,'财富模型'!$E$9,'财富模型'!$M$4+IF(Calc!$A$93&lt;='财富模型'!$E$11*12,'Calc'!$W$12,'Calc'!$Y$12)-(IF('Calc'!$E$12=1,0,MIN(Calc!$C$92*(1+'财富模型'!$E$20/12)+'Calc'!$B$6,IF(Calc!$A$93&lt;='财富模型'!$E$11*12,'Calc'!$W$12,'Calc'!$Y$12)))))))</x:f>
      </x:c>
      <x:c r="G93" t="str">
        <x:f>IF(Calc!$A$93&gt;'Calc'!$B$8,"",IF('Calc'!$E$12=1,0,MAX(Calc!$G$92*(1+IF(Calc!$A$93&lt;='财富模型'!$E$11*12,'财富模型'!$E$10,'财富模型'!$E$12)/12)-IF('Calc'!$E$12=1,0,IF(Calc!$A$93&lt;='财富模型'!$E$11*12,'Calc'!$W$12,'Calc'!$Y$12)),0)))</x:f>
      </x:c>
      <x:c r="I93" t="n">
        <x:v>72</x:v>
      </x:c>
      <x:c r="J93" t="str">
        <x:f>IF(Calc!$I$93&gt;'Calc'!$B$8,"",MAX(Calc!$J$92*(1+'财富模型'!$E$6/12)+('Calc'!$B$5-'财富模型'!$E$5-(IF('Calc'!$E$13=1,'财富模型'!$E$9,'财富模型'!$M$5+IF(Calc!$I$93&lt;='财富模型'!$E$11*12,'Calc'!$W$13,'Calc'!$Y$13)-(IF('Calc'!$E$13=1,0,MIN(Calc!$K$92*(1+'财富模型'!$E$20/12)+'Calc'!$B$6,IF(Calc!$I$93&lt;='财富模型'!$E$11*12,'Calc'!$W$13,'Calc'!$Y$13))))))),0))</x:f>
      </x:c>
      <x:c r="K93" t="str">
        <x:f>IF(Calc!$I$93&gt;'Calc'!$B$8,"",MAX(Calc!$K$92*(1+'财富模型'!$E$20/12)+'Calc'!$B$6-(IF('Calc'!$E$13=1,0,MIN(Calc!$K$92*(1+'财富模型'!$E$20/12)+'Calc'!$B$6,IF(Calc!$I$93&lt;='财富模型'!$E$11*12,'Calc'!$W$13,'Calc'!$Y$13)))),0))</x:f>
      </x:c>
      <x:c r="L93" t="str">
        <x:f>IF(Calc!$I$93&gt;'Calc'!$B$8,"",IF('Calc'!$E$13=1,'财富模型'!$E$9,'财富模型'!$M$5+IF(Calc!$I$93&lt;='财富模型'!$E$11*12,'Calc'!$W$13,'Calc'!$Y$13)-(IF('Calc'!$E$13=1,0,MIN(Calc!$K$92*(1+'财富模型'!$E$20/12)+'Calc'!$B$6,IF(Calc!$I$93&lt;='财富模型'!$E$11*12,'Calc'!$W$13,'Calc'!$Y$13))))))</x:f>
      </x:c>
      <x:c r="M93" t="str">
        <x:f>IF(Calc!$I$93&gt;'Calc'!$B$8,"",IF('Calc'!$E$13=1,0,MIN(Calc!$K$92*(1+'财富模型'!$E$20/12)+'Calc'!$B$6,IF(Calc!$I$93&lt;='财富模型'!$E$11*12,'Calc'!$W$13,'Calc'!$Y$13))))</x:f>
      </x:c>
      <x:c r="N93" t="str">
        <x:f>IF(Calc!$I$93&gt;'Calc'!$B$8,"",'Calc'!$B$5-'财富模型'!$E$5-(IF('Calc'!$E$13=1,'财富模型'!$E$9,'财富模型'!$M$5+IF(Calc!$I$93&lt;='财富模型'!$E$11*12,'Calc'!$W$13,'Calc'!$Y$13)-(IF('Calc'!$E$13=1,0,MIN(Calc!$K$92*(1+'财富模型'!$E$20/12)+'Calc'!$B$6,IF(Calc!$I$93&lt;='财富模型'!$E$11*12,'Calc'!$W$13,'Calc'!$Y$13)))))))</x:f>
      </x:c>
      <x:c r="O93" t="str">
        <x:f>IF(Calc!$I$93&gt;'Calc'!$B$8,"",IF('Calc'!$E$13=1,0,MAX(Calc!$O$92*(1+IF(Calc!$I$93&lt;='财富模型'!$E$11*12,'财富模型'!$E$10,'财富模型'!$E$12)/12)-IF('Calc'!$E$13=1,0,IF(Calc!$I$93&lt;='财富模型'!$E$11*12,'Calc'!$W$13,'Calc'!$Y$13)),0)))</x:f>
      </x:c>
      <x:c r="Q93" t="n">
        <x:v>72</x:v>
      </x:c>
      <x:c r="R93" t="str">
        <x:f>IF(Calc!$Q$93&gt;'Calc'!$B$8,"",MAX(Calc!$R$92*(1+'财富模型'!$E$6/12)+('Calc'!$B$5-'财富模型'!$E$5-(IF('Calc'!$E$14=1,'财富模型'!$E$9,'财富模型'!$M$6+IF(Calc!$Q$93&lt;='财富模型'!$E$11*12,'Calc'!$W$14,'Calc'!$Y$14)-(IF('Calc'!$E$14=1,0,MIN(Calc!$S$92*(1+'财富模型'!$E$20/12)+'Calc'!$B$6,IF(Calc!$Q$93&lt;='财富模型'!$E$11*12,'Calc'!$W$14,'Calc'!$Y$14))))))),0))</x:f>
      </x:c>
      <x:c r="S93" t="str">
        <x:f>IF(Calc!$Q$93&gt;'Calc'!$B$8,"",MAX(Calc!$S$92*(1+'财富模型'!$E$20/12)+'Calc'!$B$6-(IF('Calc'!$E$14=1,0,MIN(Calc!$S$92*(1+'财富模型'!$E$20/12)+'Calc'!$B$6,IF(Calc!$Q$93&lt;='财富模型'!$E$11*12,'Calc'!$W$14,'Calc'!$Y$14)))),0))</x:f>
      </x:c>
      <x:c r="T93" t="str">
        <x:f>IF(Calc!$Q$93&gt;'Calc'!$B$8,"",IF('Calc'!$E$14=1,'财富模型'!$E$9,'财富模型'!$M$6+IF(Calc!$Q$93&lt;='财富模型'!$E$11*12,'Calc'!$W$14,'Calc'!$Y$14)-(IF('Calc'!$E$14=1,0,MIN(Calc!$S$92*(1+'财富模型'!$E$20/12)+'Calc'!$B$6,IF(Calc!$Q$93&lt;='财富模型'!$E$11*12,'Calc'!$W$14,'Calc'!$Y$14))))))</x:f>
      </x:c>
      <x:c r="U93" t="str">
        <x:f>IF(Calc!$Q$93&gt;'Calc'!$B$8,"",IF('Calc'!$E$14=1,0,MIN(Calc!$S$92*(1+'财富模型'!$E$20/12)+'Calc'!$B$6,IF(Calc!$Q$93&lt;='财富模型'!$E$11*12,'Calc'!$W$14,'Calc'!$Y$14))))</x:f>
      </x:c>
      <x:c r="V93" t="str">
        <x:f>IF(Calc!$Q$93&gt;'Calc'!$B$8,"",'Calc'!$B$5-'财富模型'!$E$5-(IF('Calc'!$E$14=1,'财富模型'!$E$9,'财富模型'!$M$6+IF(Calc!$Q$93&lt;='财富模型'!$E$11*12,'Calc'!$W$14,'Calc'!$Y$14)-(IF('Calc'!$E$14=1,0,MIN(Calc!$S$92*(1+'财富模型'!$E$20/12)+'Calc'!$B$6,IF(Calc!$Q$93&lt;='财富模型'!$E$11*12,'Calc'!$W$14,'Calc'!$Y$14)))))))</x:f>
      </x:c>
      <x:c r="W93" t="str">
        <x:f>IF(Calc!$Q$93&gt;'Calc'!$B$8,"",IF('Calc'!$E$14=1,0,MAX(Calc!$W$92*(1+IF(Calc!$Q$93&lt;='财富模型'!$E$11*12,'财富模型'!$E$10,'财富模型'!$E$12)/12)-IF('Calc'!$E$14=1,0,IF(Calc!$Q$93&lt;='财富模型'!$E$11*12,'Calc'!$W$14,'Calc'!$Y$14)),0)))</x:f>
      </x:c>
      <x:c r="Y93" t="n">
        <x:v>72</x:v>
      </x:c>
      <x:c r="Z93" t="str">
        <x:f>IF(Calc!$Y$93&gt;'Calc'!$B$8,"",MAX(Calc!$Z$92*(1+'财富模型'!$E$6/12)+('Calc'!$B$5-'财富模型'!$E$5-(IF('Calc'!$E$15=1,'财富模型'!$E$9,'财富模型'!$M$7+IF(Calc!$Y$93&lt;='财富模型'!$E$11*12,'Calc'!$W$15,'Calc'!$Y$15)-(IF('Calc'!$E$15=1,0,MIN(Calc!$AA$92*(1+'财富模型'!$E$20/12)+'Calc'!$B$6,IF(Calc!$Y$93&lt;='财富模型'!$E$11*12,'Calc'!$W$15,'Calc'!$Y$15))))))),0))</x:f>
      </x:c>
      <x:c r="AA93" t="str">
        <x:f>IF(Calc!$Y$93&gt;'Calc'!$B$8,"",MAX(Calc!$AA$92*(1+'财富模型'!$E$20/12)+'Calc'!$B$6-(IF('Calc'!$E$15=1,0,MIN(Calc!$AA$92*(1+'财富模型'!$E$20/12)+'Calc'!$B$6,IF(Calc!$Y$93&lt;='财富模型'!$E$11*12,'Calc'!$W$15,'Calc'!$Y$15)))),0))</x:f>
      </x:c>
      <x:c r="AB93" t="str">
        <x:f>IF(Calc!$Y$93&gt;'Calc'!$B$8,"",IF('Calc'!$E$15=1,'财富模型'!$E$9,'财富模型'!$M$7+IF(Calc!$Y$93&lt;='财富模型'!$E$11*12,'Calc'!$W$15,'Calc'!$Y$15)-(IF('Calc'!$E$15=1,0,MIN(Calc!$AA$92*(1+'财富模型'!$E$20/12)+'Calc'!$B$6,IF(Calc!$Y$93&lt;='财富模型'!$E$11*12,'Calc'!$W$15,'Calc'!$Y$15))))))</x:f>
      </x:c>
      <x:c r="AC93" t="str">
        <x:f>IF(Calc!$Y$93&gt;'Calc'!$B$8,"",IF('Calc'!$E$15=1,0,MIN(Calc!$AA$92*(1+'财富模型'!$E$20/12)+'Calc'!$B$6,IF(Calc!$Y$93&lt;='财富模型'!$E$11*12,'Calc'!$W$15,'Calc'!$Y$15))))</x:f>
      </x:c>
      <x:c r="AD93" t="str">
        <x:f>IF(Calc!$Y$93&gt;'Calc'!$B$8,"",'Calc'!$B$5-'财富模型'!$E$5-(IF('Calc'!$E$15=1,'财富模型'!$E$9,'财富模型'!$M$7+IF(Calc!$Y$93&lt;='财富模型'!$E$11*12,'Calc'!$W$15,'Calc'!$Y$15)-(IF('Calc'!$E$15=1,0,MIN(Calc!$AA$92*(1+'财富模型'!$E$20/12)+'Calc'!$B$6,IF(Calc!$Y$93&lt;='财富模型'!$E$11*12,'Calc'!$W$15,'Calc'!$Y$15)))))))</x:f>
      </x:c>
      <x:c r="AE93" t="str">
        <x:f>IF(Calc!$Y$93&gt;'Calc'!$B$8,"",IF('Calc'!$E$15=1,0,MAX(Calc!$AE$92*(1+IF(Calc!$Y$93&lt;='财富模型'!$E$11*12,'财富模型'!$E$10,'财富模型'!$E$12)/12)-IF('Calc'!$E$15=1,0,IF(Calc!$Y$93&lt;='财富模型'!$E$11*12,'Calc'!$W$15,'Calc'!$Y$15)),0)))</x:f>
      </x:c>
      <x:c r="AG93" t="n">
        <x:v>72</x:v>
      </x:c>
      <x:c r="AH93" t="str">
        <x:f>IF(Calc!$AG$93&gt;'Calc'!$B$8,"",MAX(Calc!$AH$92*(1+'财富模型'!$E$6/12)+('Calc'!$B$5-'财富模型'!$E$5-(IF('Calc'!$E$16=1,'财富模型'!$E$9,'财富模型'!$M$8+IF(Calc!$AG$93&lt;='财富模型'!$E$11*12,'Calc'!$W$16,'Calc'!$Y$16)-(IF('Calc'!$E$16=1,0,MIN(Calc!$AI$92*(1+'财富模型'!$E$20/12)+'Calc'!$B$6,IF(Calc!$AG$93&lt;='财富模型'!$E$11*12,'Calc'!$W$16,'Calc'!$Y$16))))))),0))</x:f>
      </x:c>
      <x:c r="AI93" t="str">
        <x:f>IF(Calc!$AG$93&gt;'Calc'!$B$8,"",MAX(Calc!$AI$92*(1+'财富模型'!$E$20/12)+'Calc'!$B$6-(IF('Calc'!$E$16=1,0,MIN(Calc!$AI$92*(1+'财富模型'!$E$20/12)+'Calc'!$B$6,IF(Calc!$AG$93&lt;='财富模型'!$E$11*12,'Calc'!$W$16,'Calc'!$Y$16)))),0))</x:f>
      </x:c>
      <x:c r="AJ93" t="str">
        <x:f>IF(Calc!$AG$93&gt;'Calc'!$B$8,"",IF('Calc'!$E$16=1,'财富模型'!$E$9,'财富模型'!$M$8+IF(Calc!$AG$93&lt;='财富模型'!$E$11*12,'Calc'!$W$16,'Calc'!$Y$16)-(IF('Calc'!$E$16=1,0,MIN(Calc!$AI$92*(1+'财富模型'!$E$20/12)+'Calc'!$B$6,IF(Calc!$AG$93&lt;='财富模型'!$E$11*12,'Calc'!$W$16,'Calc'!$Y$16))))))</x:f>
      </x:c>
      <x:c r="AK93" t="str">
        <x:f>IF(Calc!$AG$93&gt;'Calc'!$B$8,"",IF('Calc'!$E$16=1,0,MIN(Calc!$AI$92*(1+'财富模型'!$E$20/12)+'Calc'!$B$6,IF(Calc!$AG$93&lt;='财富模型'!$E$11*12,'Calc'!$W$16,'Calc'!$Y$16))))</x:f>
      </x:c>
      <x:c r="AL93" t="str">
        <x:f>IF(Calc!$AG$93&gt;'Calc'!$B$8,"",'Calc'!$B$5-'财富模型'!$E$5-(IF('Calc'!$E$16=1,'财富模型'!$E$9,'财富模型'!$M$8+IF(Calc!$AG$93&lt;='财富模型'!$E$11*12,'Calc'!$W$16,'Calc'!$Y$16)-(IF('Calc'!$E$16=1,0,MIN(Calc!$AI$92*(1+'财富模型'!$E$20/12)+'Calc'!$B$6,IF(Calc!$AG$93&lt;='财富模型'!$E$11*12,'Calc'!$W$16,'Calc'!$Y$16)))))))</x:f>
      </x:c>
      <x:c r="AM93" t="str">
        <x:f>IF(Calc!$AG$93&gt;'Calc'!$B$8,"",IF('Calc'!$E$16=1,0,MAX(Calc!$AM$92*(1+IF(Calc!$AG$93&lt;='财富模型'!$E$11*12,'财富模型'!$E$10,'财富模型'!$E$12)/12)-IF('Calc'!$E$16=1,0,IF(Calc!$AG$93&lt;='财富模型'!$E$11*12,'Calc'!$W$16,'Calc'!$Y$16)),0)))</x:f>
      </x:c>
      <x:c r="AO93" t="n">
        <x:v>72</x:v>
      </x:c>
      <x:c r="AP93" t="str">
        <x:f>IF(Calc!$AO$93&gt;'Calc'!$B$8,"",MAX(Calc!$AP$92*(1+'财富模型'!$E$6/12)+('Calc'!$B$5-'财富模型'!$E$5-(IF('Calc'!$E$17=1,'财富模型'!$E$9,'财富模型'!$M$9+IF(Calc!$AO$93&lt;='财富模型'!$E$11*12,'Calc'!$W$17,'Calc'!$Y$17)-(IF('Calc'!$E$17=1,0,MIN(Calc!$AQ$92*(1+'财富模型'!$E$20/12)+'Calc'!$B$6,IF(Calc!$AO$93&lt;='财富模型'!$E$11*12,'Calc'!$W$17,'Calc'!$Y$17))))))),0))</x:f>
      </x:c>
      <x:c r="AQ93" t="str">
        <x:f>IF(Calc!$AO$93&gt;'Calc'!$B$8,"",MAX(Calc!$AQ$92*(1+'财富模型'!$E$20/12)+'Calc'!$B$6-(IF('Calc'!$E$17=1,0,MIN(Calc!$AQ$92*(1+'财富模型'!$E$20/12)+'Calc'!$B$6,IF(Calc!$AO$93&lt;='财富模型'!$E$11*12,'Calc'!$W$17,'Calc'!$Y$17)))),0))</x:f>
      </x:c>
      <x:c r="AR93" t="str">
        <x:f>IF(Calc!$AO$93&gt;'Calc'!$B$8,"",IF('Calc'!$E$17=1,'财富模型'!$E$9,'财富模型'!$M$9+IF(Calc!$AO$93&lt;='财富模型'!$E$11*12,'Calc'!$W$17,'Calc'!$Y$17)-(IF('Calc'!$E$17=1,0,MIN(Calc!$AQ$92*(1+'财富模型'!$E$20/12)+'Calc'!$B$6,IF(Calc!$AO$93&lt;='财富模型'!$E$11*12,'Calc'!$W$17,'Calc'!$Y$17))))))</x:f>
      </x:c>
      <x:c r="AS93" t="str">
        <x:f>IF(Calc!$AO$93&gt;'Calc'!$B$8,"",IF('Calc'!$E$17=1,0,MIN(Calc!$AQ$92*(1+'财富模型'!$E$20/12)+'Calc'!$B$6,IF(Calc!$AO$93&lt;='财富模型'!$E$11*12,'Calc'!$W$17,'Calc'!$Y$17))))</x:f>
      </x:c>
      <x:c r="AT93" t="str">
        <x:f>IF(Calc!$AO$93&gt;'Calc'!$B$8,"",'Calc'!$B$5-'财富模型'!$E$5-(IF('Calc'!$E$17=1,'财富模型'!$E$9,'财富模型'!$M$9+IF(Calc!$AO$93&lt;='财富模型'!$E$11*12,'Calc'!$W$17,'Calc'!$Y$17)-(IF('Calc'!$E$17=1,0,MIN(Calc!$AQ$92*(1+'财富模型'!$E$20/12)+'Calc'!$B$6,IF(Calc!$AO$93&lt;='财富模型'!$E$11*12,'Calc'!$W$17,'Calc'!$Y$17)))))))</x:f>
      </x:c>
      <x:c r="AU93" t="str">
        <x:f>IF(Calc!$AO$93&gt;'Calc'!$B$8,"",IF('Calc'!$E$17=1,0,MAX(Calc!$AU$92*(1+IF(Calc!$AO$93&lt;='财富模型'!$E$11*12,'财富模型'!$E$10,'财富模型'!$E$12)/12)-IF('Calc'!$E$17=1,0,IF(Calc!$AO$93&lt;='财富模型'!$E$11*12,'Calc'!$W$17,'Calc'!$Y$17)),0)))</x:f>
      </x:c>
    </x:row>
    <x:row r="94">
      <x:c r="A94" t="n">
        <x:v>73</x:v>
      </x:c>
      <x:c r="B94" t="str">
        <x:f>IF(Calc!$A$94&gt;'Calc'!$B$8,"",MAX(Calc!$B$93*(1+'财富模型'!$E$6/12)+('Calc'!$B$5-'财富模型'!$E$5-(IF('Calc'!$E$12=1,'财富模型'!$E$9,'财富模型'!$M$4+IF(Calc!$A$94&lt;='财富模型'!$E$11*12,'Calc'!$W$12,'Calc'!$Y$12)-(IF('Calc'!$E$12=1,0,MIN(Calc!$C$93*(1+'财富模型'!$E$20/12)+'Calc'!$B$6,IF(Calc!$A$94&lt;='财富模型'!$E$11*12,'Calc'!$W$12,'Calc'!$Y$12))))))),0))</x:f>
      </x:c>
      <x:c r="C94" t="str">
        <x:f>IF(Calc!$A$94&gt;'Calc'!$B$8,"",MAX(Calc!$C$93*(1+'财富模型'!$E$20/12)+'Calc'!$B$6-(IF('Calc'!$E$12=1,0,MIN(Calc!$C$93*(1+'财富模型'!$E$20/12)+'Calc'!$B$6,IF(Calc!$A$94&lt;='财富模型'!$E$11*12,'Calc'!$W$12,'Calc'!$Y$12)))),0))</x:f>
      </x:c>
      <x:c r="D94" t="str">
        <x:f>IF(Calc!$A$94&gt;'Calc'!$B$8,"",IF('Calc'!$E$12=1,'财富模型'!$E$9,'财富模型'!$M$4+IF(Calc!$A$94&lt;='财富模型'!$E$11*12,'Calc'!$W$12,'Calc'!$Y$12)-(IF('Calc'!$E$12=1,0,MIN(Calc!$C$93*(1+'财富模型'!$E$20/12)+'Calc'!$B$6,IF(Calc!$A$94&lt;='财富模型'!$E$11*12,'Calc'!$W$12,'Calc'!$Y$12))))))</x:f>
      </x:c>
      <x:c r="E94" t="str">
        <x:f>IF(Calc!$A$94&gt;'Calc'!$B$8,"",IF('Calc'!$E$12=1,0,MIN(Calc!$C$93*(1+'财富模型'!$E$20/12)+'Calc'!$B$6,IF(Calc!$A$94&lt;='财富模型'!$E$11*12,'Calc'!$W$12,'Calc'!$Y$12))))</x:f>
      </x:c>
      <x:c r="F94" t="str">
        <x:f>IF(Calc!$A$94&gt;'Calc'!$B$8,"",'Calc'!$B$5-'财富模型'!$E$5-(IF('Calc'!$E$12=1,'财富模型'!$E$9,'财富模型'!$M$4+IF(Calc!$A$94&lt;='财富模型'!$E$11*12,'Calc'!$W$12,'Calc'!$Y$12)-(IF('Calc'!$E$12=1,0,MIN(Calc!$C$93*(1+'财富模型'!$E$20/12)+'Calc'!$B$6,IF(Calc!$A$94&lt;='财富模型'!$E$11*12,'Calc'!$W$12,'Calc'!$Y$12)))))))</x:f>
      </x:c>
      <x:c r="G94" t="str">
        <x:f>IF(Calc!$A$94&gt;'Calc'!$B$8,"",IF('Calc'!$E$12=1,0,MAX(Calc!$G$93*(1+IF(Calc!$A$94&lt;='财富模型'!$E$11*12,'财富模型'!$E$10,'财富模型'!$E$12)/12)-IF('Calc'!$E$12=1,0,IF(Calc!$A$94&lt;='财富模型'!$E$11*12,'Calc'!$W$12,'Calc'!$Y$12)),0)))</x:f>
      </x:c>
      <x:c r="I94" t="n">
        <x:v>73</x:v>
      </x:c>
      <x:c r="J94" t="str">
        <x:f>IF(Calc!$I$94&gt;'Calc'!$B$8,"",MAX(Calc!$J$93*(1+'财富模型'!$E$6/12)+('Calc'!$B$5-'财富模型'!$E$5-(IF('Calc'!$E$13=1,'财富模型'!$E$9,'财富模型'!$M$5+IF(Calc!$I$94&lt;='财富模型'!$E$11*12,'Calc'!$W$13,'Calc'!$Y$13)-(IF('Calc'!$E$13=1,0,MIN(Calc!$K$93*(1+'财富模型'!$E$20/12)+'Calc'!$B$6,IF(Calc!$I$94&lt;='财富模型'!$E$11*12,'Calc'!$W$13,'Calc'!$Y$13))))))),0))</x:f>
      </x:c>
      <x:c r="K94" t="str">
        <x:f>IF(Calc!$I$94&gt;'Calc'!$B$8,"",MAX(Calc!$K$93*(1+'财富模型'!$E$20/12)+'Calc'!$B$6-(IF('Calc'!$E$13=1,0,MIN(Calc!$K$93*(1+'财富模型'!$E$20/12)+'Calc'!$B$6,IF(Calc!$I$94&lt;='财富模型'!$E$11*12,'Calc'!$W$13,'Calc'!$Y$13)))),0))</x:f>
      </x:c>
      <x:c r="L94" t="str">
        <x:f>IF(Calc!$I$94&gt;'Calc'!$B$8,"",IF('Calc'!$E$13=1,'财富模型'!$E$9,'财富模型'!$M$5+IF(Calc!$I$94&lt;='财富模型'!$E$11*12,'Calc'!$W$13,'Calc'!$Y$13)-(IF('Calc'!$E$13=1,0,MIN(Calc!$K$93*(1+'财富模型'!$E$20/12)+'Calc'!$B$6,IF(Calc!$I$94&lt;='财富模型'!$E$11*12,'Calc'!$W$13,'Calc'!$Y$13))))))</x:f>
      </x:c>
      <x:c r="M94" t="str">
        <x:f>IF(Calc!$I$94&gt;'Calc'!$B$8,"",IF('Calc'!$E$13=1,0,MIN(Calc!$K$93*(1+'财富模型'!$E$20/12)+'Calc'!$B$6,IF(Calc!$I$94&lt;='财富模型'!$E$11*12,'Calc'!$W$13,'Calc'!$Y$13))))</x:f>
      </x:c>
      <x:c r="N94" t="str">
        <x:f>IF(Calc!$I$94&gt;'Calc'!$B$8,"",'Calc'!$B$5-'财富模型'!$E$5-(IF('Calc'!$E$13=1,'财富模型'!$E$9,'财富模型'!$M$5+IF(Calc!$I$94&lt;='财富模型'!$E$11*12,'Calc'!$W$13,'Calc'!$Y$13)-(IF('Calc'!$E$13=1,0,MIN(Calc!$K$93*(1+'财富模型'!$E$20/12)+'Calc'!$B$6,IF(Calc!$I$94&lt;='财富模型'!$E$11*12,'Calc'!$W$13,'Calc'!$Y$13)))))))</x:f>
      </x:c>
      <x:c r="O94" t="str">
        <x:f>IF(Calc!$I$94&gt;'Calc'!$B$8,"",IF('Calc'!$E$13=1,0,MAX(Calc!$O$93*(1+IF(Calc!$I$94&lt;='财富模型'!$E$11*12,'财富模型'!$E$10,'财富模型'!$E$12)/12)-IF('Calc'!$E$13=1,0,IF(Calc!$I$94&lt;='财富模型'!$E$11*12,'Calc'!$W$13,'Calc'!$Y$13)),0)))</x:f>
      </x:c>
      <x:c r="Q94" t="n">
        <x:v>73</x:v>
      </x:c>
      <x:c r="R94" t="str">
        <x:f>IF(Calc!$Q$94&gt;'Calc'!$B$8,"",MAX(Calc!$R$93*(1+'财富模型'!$E$6/12)+('Calc'!$B$5-'财富模型'!$E$5-(IF('Calc'!$E$14=1,'财富模型'!$E$9,'财富模型'!$M$6+IF(Calc!$Q$94&lt;='财富模型'!$E$11*12,'Calc'!$W$14,'Calc'!$Y$14)-(IF('Calc'!$E$14=1,0,MIN(Calc!$S$93*(1+'财富模型'!$E$20/12)+'Calc'!$B$6,IF(Calc!$Q$94&lt;='财富模型'!$E$11*12,'Calc'!$W$14,'Calc'!$Y$14))))))),0))</x:f>
      </x:c>
      <x:c r="S94" t="str">
        <x:f>IF(Calc!$Q$94&gt;'Calc'!$B$8,"",MAX(Calc!$S$93*(1+'财富模型'!$E$20/12)+'Calc'!$B$6-(IF('Calc'!$E$14=1,0,MIN(Calc!$S$93*(1+'财富模型'!$E$20/12)+'Calc'!$B$6,IF(Calc!$Q$94&lt;='财富模型'!$E$11*12,'Calc'!$W$14,'Calc'!$Y$14)))),0))</x:f>
      </x:c>
      <x:c r="T94" t="str">
        <x:f>IF(Calc!$Q$94&gt;'Calc'!$B$8,"",IF('Calc'!$E$14=1,'财富模型'!$E$9,'财富模型'!$M$6+IF(Calc!$Q$94&lt;='财富模型'!$E$11*12,'Calc'!$W$14,'Calc'!$Y$14)-(IF('Calc'!$E$14=1,0,MIN(Calc!$S$93*(1+'财富模型'!$E$20/12)+'Calc'!$B$6,IF(Calc!$Q$94&lt;='财富模型'!$E$11*12,'Calc'!$W$14,'Calc'!$Y$14))))))</x:f>
      </x:c>
      <x:c r="U94" t="str">
        <x:f>IF(Calc!$Q$94&gt;'Calc'!$B$8,"",IF('Calc'!$E$14=1,0,MIN(Calc!$S$93*(1+'财富模型'!$E$20/12)+'Calc'!$B$6,IF(Calc!$Q$94&lt;='财富模型'!$E$11*12,'Calc'!$W$14,'Calc'!$Y$14))))</x:f>
      </x:c>
      <x:c r="V94" t="str">
        <x:f>IF(Calc!$Q$94&gt;'Calc'!$B$8,"",'Calc'!$B$5-'财富模型'!$E$5-(IF('Calc'!$E$14=1,'财富模型'!$E$9,'财富模型'!$M$6+IF(Calc!$Q$94&lt;='财富模型'!$E$11*12,'Calc'!$W$14,'Calc'!$Y$14)-(IF('Calc'!$E$14=1,0,MIN(Calc!$S$93*(1+'财富模型'!$E$20/12)+'Calc'!$B$6,IF(Calc!$Q$94&lt;='财富模型'!$E$11*12,'Calc'!$W$14,'Calc'!$Y$14)))))))</x:f>
      </x:c>
      <x:c r="W94" t="str">
        <x:f>IF(Calc!$Q$94&gt;'Calc'!$B$8,"",IF('Calc'!$E$14=1,0,MAX(Calc!$W$93*(1+IF(Calc!$Q$94&lt;='财富模型'!$E$11*12,'财富模型'!$E$10,'财富模型'!$E$12)/12)-IF('Calc'!$E$14=1,0,IF(Calc!$Q$94&lt;='财富模型'!$E$11*12,'Calc'!$W$14,'Calc'!$Y$14)),0)))</x:f>
      </x:c>
      <x:c r="Y94" t="n">
        <x:v>73</x:v>
      </x:c>
      <x:c r="Z94" t="str">
        <x:f>IF(Calc!$Y$94&gt;'Calc'!$B$8,"",MAX(Calc!$Z$93*(1+'财富模型'!$E$6/12)+('Calc'!$B$5-'财富模型'!$E$5-(IF('Calc'!$E$15=1,'财富模型'!$E$9,'财富模型'!$M$7+IF(Calc!$Y$94&lt;='财富模型'!$E$11*12,'Calc'!$W$15,'Calc'!$Y$15)-(IF('Calc'!$E$15=1,0,MIN(Calc!$AA$93*(1+'财富模型'!$E$20/12)+'Calc'!$B$6,IF(Calc!$Y$94&lt;='财富模型'!$E$11*12,'Calc'!$W$15,'Calc'!$Y$15))))))),0))</x:f>
      </x:c>
      <x:c r="AA94" t="str">
        <x:f>IF(Calc!$Y$94&gt;'Calc'!$B$8,"",MAX(Calc!$AA$93*(1+'财富模型'!$E$20/12)+'Calc'!$B$6-(IF('Calc'!$E$15=1,0,MIN(Calc!$AA$93*(1+'财富模型'!$E$20/12)+'Calc'!$B$6,IF(Calc!$Y$94&lt;='财富模型'!$E$11*12,'Calc'!$W$15,'Calc'!$Y$15)))),0))</x:f>
      </x:c>
      <x:c r="AB94" t="str">
        <x:f>IF(Calc!$Y$94&gt;'Calc'!$B$8,"",IF('Calc'!$E$15=1,'财富模型'!$E$9,'财富模型'!$M$7+IF(Calc!$Y$94&lt;='财富模型'!$E$11*12,'Calc'!$W$15,'Calc'!$Y$15)-(IF('Calc'!$E$15=1,0,MIN(Calc!$AA$93*(1+'财富模型'!$E$20/12)+'Calc'!$B$6,IF(Calc!$Y$94&lt;='财富模型'!$E$11*12,'Calc'!$W$15,'Calc'!$Y$15))))))</x:f>
      </x:c>
      <x:c r="AC94" t="str">
        <x:f>IF(Calc!$Y$94&gt;'Calc'!$B$8,"",IF('Calc'!$E$15=1,0,MIN(Calc!$AA$93*(1+'财富模型'!$E$20/12)+'Calc'!$B$6,IF(Calc!$Y$94&lt;='财富模型'!$E$11*12,'Calc'!$W$15,'Calc'!$Y$15))))</x:f>
      </x:c>
      <x:c r="AD94" t="str">
        <x:f>IF(Calc!$Y$94&gt;'Calc'!$B$8,"",'Calc'!$B$5-'财富模型'!$E$5-(IF('Calc'!$E$15=1,'财富模型'!$E$9,'财富模型'!$M$7+IF(Calc!$Y$94&lt;='财富模型'!$E$11*12,'Calc'!$W$15,'Calc'!$Y$15)-(IF('Calc'!$E$15=1,0,MIN(Calc!$AA$93*(1+'财富模型'!$E$20/12)+'Calc'!$B$6,IF(Calc!$Y$94&lt;='财富模型'!$E$11*12,'Calc'!$W$15,'Calc'!$Y$15)))))))</x:f>
      </x:c>
      <x:c r="AE94" t="str">
        <x:f>IF(Calc!$Y$94&gt;'Calc'!$B$8,"",IF('Calc'!$E$15=1,0,MAX(Calc!$AE$93*(1+IF(Calc!$Y$94&lt;='财富模型'!$E$11*12,'财富模型'!$E$10,'财富模型'!$E$12)/12)-IF('Calc'!$E$15=1,0,IF(Calc!$Y$94&lt;='财富模型'!$E$11*12,'Calc'!$W$15,'Calc'!$Y$15)),0)))</x:f>
      </x:c>
      <x:c r="AG94" t="n">
        <x:v>73</x:v>
      </x:c>
      <x:c r="AH94" t="str">
        <x:f>IF(Calc!$AG$94&gt;'Calc'!$B$8,"",MAX(Calc!$AH$93*(1+'财富模型'!$E$6/12)+('Calc'!$B$5-'财富模型'!$E$5-(IF('Calc'!$E$16=1,'财富模型'!$E$9,'财富模型'!$M$8+IF(Calc!$AG$94&lt;='财富模型'!$E$11*12,'Calc'!$W$16,'Calc'!$Y$16)-(IF('Calc'!$E$16=1,0,MIN(Calc!$AI$93*(1+'财富模型'!$E$20/12)+'Calc'!$B$6,IF(Calc!$AG$94&lt;='财富模型'!$E$11*12,'Calc'!$W$16,'Calc'!$Y$16))))))),0))</x:f>
      </x:c>
      <x:c r="AI94" t="str">
        <x:f>IF(Calc!$AG$94&gt;'Calc'!$B$8,"",MAX(Calc!$AI$93*(1+'财富模型'!$E$20/12)+'Calc'!$B$6-(IF('Calc'!$E$16=1,0,MIN(Calc!$AI$93*(1+'财富模型'!$E$20/12)+'Calc'!$B$6,IF(Calc!$AG$94&lt;='财富模型'!$E$11*12,'Calc'!$W$16,'Calc'!$Y$16)))),0))</x:f>
      </x:c>
      <x:c r="AJ94" t="str">
        <x:f>IF(Calc!$AG$94&gt;'Calc'!$B$8,"",IF('Calc'!$E$16=1,'财富模型'!$E$9,'财富模型'!$M$8+IF(Calc!$AG$94&lt;='财富模型'!$E$11*12,'Calc'!$W$16,'Calc'!$Y$16)-(IF('Calc'!$E$16=1,0,MIN(Calc!$AI$93*(1+'财富模型'!$E$20/12)+'Calc'!$B$6,IF(Calc!$AG$94&lt;='财富模型'!$E$11*12,'Calc'!$W$16,'Calc'!$Y$16))))))</x:f>
      </x:c>
      <x:c r="AK94" t="str">
        <x:f>IF(Calc!$AG$94&gt;'Calc'!$B$8,"",IF('Calc'!$E$16=1,0,MIN(Calc!$AI$93*(1+'财富模型'!$E$20/12)+'Calc'!$B$6,IF(Calc!$AG$94&lt;='财富模型'!$E$11*12,'Calc'!$W$16,'Calc'!$Y$16))))</x:f>
      </x:c>
      <x:c r="AL94" t="str">
        <x:f>IF(Calc!$AG$94&gt;'Calc'!$B$8,"",'Calc'!$B$5-'财富模型'!$E$5-(IF('Calc'!$E$16=1,'财富模型'!$E$9,'财富模型'!$M$8+IF(Calc!$AG$94&lt;='财富模型'!$E$11*12,'Calc'!$W$16,'Calc'!$Y$16)-(IF('Calc'!$E$16=1,0,MIN(Calc!$AI$93*(1+'财富模型'!$E$20/12)+'Calc'!$B$6,IF(Calc!$AG$94&lt;='财富模型'!$E$11*12,'Calc'!$W$16,'Calc'!$Y$16)))))))</x:f>
      </x:c>
      <x:c r="AM94" t="str">
        <x:f>IF(Calc!$AG$94&gt;'Calc'!$B$8,"",IF('Calc'!$E$16=1,0,MAX(Calc!$AM$93*(1+IF(Calc!$AG$94&lt;='财富模型'!$E$11*12,'财富模型'!$E$10,'财富模型'!$E$12)/12)-IF('Calc'!$E$16=1,0,IF(Calc!$AG$94&lt;='财富模型'!$E$11*12,'Calc'!$W$16,'Calc'!$Y$16)),0)))</x:f>
      </x:c>
      <x:c r="AO94" t="n">
        <x:v>73</x:v>
      </x:c>
      <x:c r="AP94" t="str">
        <x:f>IF(Calc!$AO$94&gt;'Calc'!$B$8,"",MAX(Calc!$AP$93*(1+'财富模型'!$E$6/12)+('Calc'!$B$5-'财富模型'!$E$5-(IF('Calc'!$E$17=1,'财富模型'!$E$9,'财富模型'!$M$9+IF(Calc!$AO$94&lt;='财富模型'!$E$11*12,'Calc'!$W$17,'Calc'!$Y$17)-(IF('Calc'!$E$17=1,0,MIN(Calc!$AQ$93*(1+'财富模型'!$E$20/12)+'Calc'!$B$6,IF(Calc!$AO$94&lt;='财富模型'!$E$11*12,'Calc'!$W$17,'Calc'!$Y$17))))))),0))</x:f>
      </x:c>
      <x:c r="AQ94" t="str">
        <x:f>IF(Calc!$AO$94&gt;'Calc'!$B$8,"",MAX(Calc!$AQ$93*(1+'财富模型'!$E$20/12)+'Calc'!$B$6-(IF('Calc'!$E$17=1,0,MIN(Calc!$AQ$93*(1+'财富模型'!$E$20/12)+'Calc'!$B$6,IF(Calc!$AO$94&lt;='财富模型'!$E$11*12,'Calc'!$W$17,'Calc'!$Y$17)))),0))</x:f>
      </x:c>
      <x:c r="AR94" t="str">
        <x:f>IF(Calc!$AO$94&gt;'Calc'!$B$8,"",IF('Calc'!$E$17=1,'财富模型'!$E$9,'财富模型'!$M$9+IF(Calc!$AO$94&lt;='财富模型'!$E$11*12,'Calc'!$W$17,'Calc'!$Y$17)-(IF('Calc'!$E$17=1,0,MIN(Calc!$AQ$93*(1+'财富模型'!$E$20/12)+'Calc'!$B$6,IF(Calc!$AO$94&lt;='财富模型'!$E$11*12,'Calc'!$W$17,'Calc'!$Y$17))))))</x:f>
      </x:c>
      <x:c r="AS94" t="str">
        <x:f>IF(Calc!$AO$94&gt;'Calc'!$B$8,"",IF('Calc'!$E$17=1,0,MIN(Calc!$AQ$93*(1+'财富模型'!$E$20/12)+'Calc'!$B$6,IF(Calc!$AO$94&lt;='财富模型'!$E$11*12,'Calc'!$W$17,'Calc'!$Y$17))))</x:f>
      </x:c>
      <x:c r="AT94" t="str">
        <x:f>IF(Calc!$AO$94&gt;'Calc'!$B$8,"",'Calc'!$B$5-'财富模型'!$E$5-(IF('Calc'!$E$17=1,'财富模型'!$E$9,'财富模型'!$M$9+IF(Calc!$AO$94&lt;='财富模型'!$E$11*12,'Calc'!$W$17,'Calc'!$Y$17)-(IF('Calc'!$E$17=1,0,MIN(Calc!$AQ$93*(1+'财富模型'!$E$20/12)+'Calc'!$B$6,IF(Calc!$AO$94&lt;='财富模型'!$E$11*12,'Calc'!$W$17,'Calc'!$Y$17)))))))</x:f>
      </x:c>
      <x:c r="AU94" t="str">
        <x:f>IF(Calc!$AO$94&gt;'Calc'!$B$8,"",IF('Calc'!$E$17=1,0,MAX(Calc!$AU$93*(1+IF(Calc!$AO$94&lt;='财富模型'!$E$11*12,'财富模型'!$E$10,'财富模型'!$E$12)/12)-IF('Calc'!$E$17=1,0,IF(Calc!$AO$94&lt;='财富模型'!$E$11*12,'Calc'!$W$17,'Calc'!$Y$17)),0)))</x:f>
      </x:c>
    </x:row>
    <x:row r="95">
      <x:c r="A95" t="n">
        <x:v>74</x:v>
      </x:c>
      <x:c r="B95" t="str">
        <x:f>IF(Calc!$A$95&gt;'Calc'!$B$8,"",MAX(Calc!$B$94*(1+'财富模型'!$E$6/12)+('Calc'!$B$5-'财富模型'!$E$5-(IF('Calc'!$E$12=1,'财富模型'!$E$9,'财富模型'!$M$4+IF(Calc!$A$95&lt;='财富模型'!$E$11*12,'Calc'!$W$12,'Calc'!$Y$12)-(IF('Calc'!$E$12=1,0,MIN(Calc!$C$94*(1+'财富模型'!$E$20/12)+'Calc'!$B$6,IF(Calc!$A$95&lt;='财富模型'!$E$11*12,'Calc'!$W$12,'Calc'!$Y$12))))))),0))</x:f>
      </x:c>
      <x:c r="C95" t="str">
        <x:f>IF(Calc!$A$95&gt;'Calc'!$B$8,"",MAX(Calc!$C$94*(1+'财富模型'!$E$20/12)+'Calc'!$B$6-(IF('Calc'!$E$12=1,0,MIN(Calc!$C$94*(1+'财富模型'!$E$20/12)+'Calc'!$B$6,IF(Calc!$A$95&lt;='财富模型'!$E$11*12,'Calc'!$W$12,'Calc'!$Y$12)))),0))</x:f>
      </x:c>
      <x:c r="D95" t="str">
        <x:f>IF(Calc!$A$95&gt;'Calc'!$B$8,"",IF('Calc'!$E$12=1,'财富模型'!$E$9,'财富模型'!$M$4+IF(Calc!$A$95&lt;='财富模型'!$E$11*12,'Calc'!$W$12,'Calc'!$Y$12)-(IF('Calc'!$E$12=1,0,MIN(Calc!$C$94*(1+'财富模型'!$E$20/12)+'Calc'!$B$6,IF(Calc!$A$95&lt;='财富模型'!$E$11*12,'Calc'!$W$12,'Calc'!$Y$12))))))</x:f>
      </x:c>
      <x:c r="E95" t="str">
        <x:f>IF(Calc!$A$95&gt;'Calc'!$B$8,"",IF('Calc'!$E$12=1,0,MIN(Calc!$C$94*(1+'财富模型'!$E$20/12)+'Calc'!$B$6,IF(Calc!$A$95&lt;='财富模型'!$E$11*12,'Calc'!$W$12,'Calc'!$Y$12))))</x:f>
      </x:c>
      <x:c r="F95" t="str">
        <x:f>IF(Calc!$A$95&gt;'Calc'!$B$8,"",'Calc'!$B$5-'财富模型'!$E$5-(IF('Calc'!$E$12=1,'财富模型'!$E$9,'财富模型'!$M$4+IF(Calc!$A$95&lt;='财富模型'!$E$11*12,'Calc'!$W$12,'Calc'!$Y$12)-(IF('Calc'!$E$12=1,0,MIN(Calc!$C$94*(1+'财富模型'!$E$20/12)+'Calc'!$B$6,IF(Calc!$A$95&lt;='财富模型'!$E$11*12,'Calc'!$W$12,'Calc'!$Y$12)))))))</x:f>
      </x:c>
      <x:c r="G95" t="str">
        <x:f>IF(Calc!$A$95&gt;'Calc'!$B$8,"",IF('Calc'!$E$12=1,0,MAX(Calc!$G$94*(1+IF(Calc!$A$95&lt;='财富模型'!$E$11*12,'财富模型'!$E$10,'财富模型'!$E$12)/12)-IF('Calc'!$E$12=1,0,IF(Calc!$A$95&lt;='财富模型'!$E$11*12,'Calc'!$W$12,'Calc'!$Y$12)),0)))</x:f>
      </x:c>
      <x:c r="I95" t="n">
        <x:v>74</x:v>
      </x:c>
      <x:c r="J95" t="str">
        <x:f>IF(Calc!$I$95&gt;'Calc'!$B$8,"",MAX(Calc!$J$94*(1+'财富模型'!$E$6/12)+('Calc'!$B$5-'财富模型'!$E$5-(IF('Calc'!$E$13=1,'财富模型'!$E$9,'财富模型'!$M$5+IF(Calc!$I$95&lt;='财富模型'!$E$11*12,'Calc'!$W$13,'Calc'!$Y$13)-(IF('Calc'!$E$13=1,0,MIN(Calc!$K$94*(1+'财富模型'!$E$20/12)+'Calc'!$B$6,IF(Calc!$I$95&lt;='财富模型'!$E$11*12,'Calc'!$W$13,'Calc'!$Y$13))))))),0))</x:f>
      </x:c>
      <x:c r="K95" t="str">
        <x:f>IF(Calc!$I$95&gt;'Calc'!$B$8,"",MAX(Calc!$K$94*(1+'财富模型'!$E$20/12)+'Calc'!$B$6-(IF('Calc'!$E$13=1,0,MIN(Calc!$K$94*(1+'财富模型'!$E$20/12)+'Calc'!$B$6,IF(Calc!$I$95&lt;='财富模型'!$E$11*12,'Calc'!$W$13,'Calc'!$Y$13)))),0))</x:f>
      </x:c>
      <x:c r="L95" t="str">
        <x:f>IF(Calc!$I$95&gt;'Calc'!$B$8,"",IF('Calc'!$E$13=1,'财富模型'!$E$9,'财富模型'!$M$5+IF(Calc!$I$95&lt;='财富模型'!$E$11*12,'Calc'!$W$13,'Calc'!$Y$13)-(IF('Calc'!$E$13=1,0,MIN(Calc!$K$94*(1+'财富模型'!$E$20/12)+'Calc'!$B$6,IF(Calc!$I$95&lt;='财富模型'!$E$11*12,'Calc'!$W$13,'Calc'!$Y$13))))))</x:f>
      </x:c>
      <x:c r="M95" t="str">
        <x:f>IF(Calc!$I$95&gt;'Calc'!$B$8,"",IF('Calc'!$E$13=1,0,MIN(Calc!$K$94*(1+'财富模型'!$E$20/12)+'Calc'!$B$6,IF(Calc!$I$95&lt;='财富模型'!$E$11*12,'Calc'!$W$13,'Calc'!$Y$13))))</x:f>
      </x:c>
      <x:c r="N95" t="str">
        <x:f>IF(Calc!$I$95&gt;'Calc'!$B$8,"",'Calc'!$B$5-'财富模型'!$E$5-(IF('Calc'!$E$13=1,'财富模型'!$E$9,'财富模型'!$M$5+IF(Calc!$I$95&lt;='财富模型'!$E$11*12,'Calc'!$W$13,'Calc'!$Y$13)-(IF('Calc'!$E$13=1,0,MIN(Calc!$K$94*(1+'财富模型'!$E$20/12)+'Calc'!$B$6,IF(Calc!$I$95&lt;='财富模型'!$E$11*12,'Calc'!$W$13,'Calc'!$Y$13)))))))</x:f>
      </x:c>
      <x:c r="O95" t="str">
        <x:f>IF(Calc!$I$95&gt;'Calc'!$B$8,"",IF('Calc'!$E$13=1,0,MAX(Calc!$O$94*(1+IF(Calc!$I$95&lt;='财富模型'!$E$11*12,'财富模型'!$E$10,'财富模型'!$E$12)/12)-IF('Calc'!$E$13=1,0,IF(Calc!$I$95&lt;='财富模型'!$E$11*12,'Calc'!$W$13,'Calc'!$Y$13)),0)))</x:f>
      </x:c>
      <x:c r="Q95" t="n">
        <x:v>74</x:v>
      </x:c>
      <x:c r="R95" t="str">
        <x:f>IF(Calc!$Q$95&gt;'Calc'!$B$8,"",MAX(Calc!$R$94*(1+'财富模型'!$E$6/12)+('Calc'!$B$5-'财富模型'!$E$5-(IF('Calc'!$E$14=1,'财富模型'!$E$9,'财富模型'!$M$6+IF(Calc!$Q$95&lt;='财富模型'!$E$11*12,'Calc'!$W$14,'Calc'!$Y$14)-(IF('Calc'!$E$14=1,0,MIN(Calc!$S$94*(1+'财富模型'!$E$20/12)+'Calc'!$B$6,IF(Calc!$Q$95&lt;='财富模型'!$E$11*12,'Calc'!$W$14,'Calc'!$Y$14))))))),0))</x:f>
      </x:c>
      <x:c r="S95" t="str">
        <x:f>IF(Calc!$Q$95&gt;'Calc'!$B$8,"",MAX(Calc!$S$94*(1+'财富模型'!$E$20/12)+'Calc'!$B$6-(IF('Calc'!$E$14=1,0,MIN(Calc!$S$94*(1+'财富模型'!$E$20/12)+'Calc'!$B$6,IF(Calc!$Q$95&lt;='财富模型'!$E$11*12,'Calc'!$W$14,'Calc'!$Y$14)))),0))</x:f>
      </x:c>
      <x:c r="T95" t="str">
        <x:f>IF(Calc!$Q$95&gt;'Calc'!$B$8,"",IF('Calc'!$E$14=1,'财富模型'!$E$9,'财富模型'!$M$6+IF(Calc!$Q$95&lt;='财富模型'!$E$11*12,'Calc'!$W$14,'Calc'!$Y$14)-(IF('Calc'!$E$14=1,0,MIN(Calc!$S$94*(1+'财富模型'!$E$20/12)+'Calc'!$B$6,IF(Calc!$Q$95&lt;='财富模型'!$E$11*12,'Calc'!$W$14,'Calc'!$Y$14))))))</x:f>
      </x:c>
      <x:c r="U95" t="str">
        <x:f>IF(Calc!$Q$95&gt;'Calc'!$B$8,"",IF('Calc'!$E$14=1,0,MIN(Calc!$S$94*(1+'财富模型'!$E$20/12)+'Calc'!$B$6,IF(Calc!$Q$95&lt;='财富模型'!$E$11*12,'Calc'!$W$14,'Calc'!$Y$14))))</x:f>
      </x:c>
      <x:c r="V95" t="str">
        <x:f>IF(Calc!$Q$95&gt;'Calc'!$B$8,"",'Calc'!$B$5-'财富模型'!$E$5-(IF('Calc'!$E$14=1,'财富模型'!$E$9,'财富模型'!$M$6+IF(Calc!$Q$95&lt;='财富模型'!$E$11*12,'Calc'!$W$14,'Calc'!$Y$14)-(IF('Calc'!$E$14=1,0,MIN(Calc!$S$94*(1+'财富模型'!$E$20/12)+'Calc'!$B$6,IF(Calc!$Q$95&lt;='财富模型'!$E$11*12,'Calc'!$W$14,'Calc'!$Y$14)))))))</x:f>
      </x:c>
      <x:c r="W95" t="str">
        <x:f>IF(Calc!$Q$95&gt;'Calc'!$B$8,"",IF('Calc'!$E$14=1,0,MAX(Calc!$W$94*(1+IF(Calc!$Q$95&lt;='财富模型'!$E$11*12,'财富模型'!$E$10,'财富模型'!$E$12)/12)-IF('Calc'!$E$14=1,0,IF(Calc!$Q$95&lt;='财富模型'!$E$11*12,'Calc'!$W$14,'Calc'!$Y$14)),0)))</x:f>
      </x:c>
      <x:c r="Y95" t="n">
        <x:v>74</x:v>
      </x:c>
      <x:c r="Z95" t="str">
        <x:f>IF(Calc!$Y$95&gt;'Calc'!$B$8,"",MAX(Calc!$Z$94*(1+'财富模型'!$E$6/12)+('Calc'!$B$5-'财富模型'!$E$5-(IF('Calc'!$E$15=1,'财富模型'!$E$9,'财富模型'!$M$7+IF(Calc!$Y$95&lt;='财富模型'!$E$11*12,'Calc'!$W$15,'Calc'!$Y$15)-(IF('Calc'!$E$15=1,0,MIN(Calc!$AA$94*(1+'财富模型'!$E$20/12)+'Calc'!$B$6,IF(Calc!$Y$95&lt;='财富模型'!$E$11*12,'Calc'!$W$15,'Calc'!$Y$15))))))),0))</x:f>
      </x:c>
      <x:c r="AA95" t="str">
        <x:f>IF(Calc!$Y$95&gt;'Calc'!$B$8,"",MAX(Calc!$AA$94*(1+'财富模型'!$E$20/12)+'Calc'!$B$6-(IF('Calc'!$E$15=1,0,MIN(Calc!$AA$94*(1+'财富模型'!$E$20/12)+'Calc'!$B$6,IF(Calc!$Y$95&lt;='财富模型'!$E$11*12,'Calc'!$W$15,'Calc'!$Y$15)))),0))</x:f>
      </x:c>
      <x:c r="AB95" t="str">
        <x:f>IF(Calc!$Y$95&gt;'Calc'!$B$8,"",IF('Calc'!$E$15=1,'财富模型'!$E$9,'财富模型'!$M$7+IF(Calc!$Y$95&lt;='财富模型'!$E$11*12,'Calc'!$W$15,'Calc'!$Y$15)-(IF('Calc'!$E$15=1,0,MIN(Calc!$AA$94*(1+'财富模型'!$E$20/12)+'Calc'!$B$6,IF(Calc!$Y$95&lt;='财富模型'!$E$11*12,'Calc'!$W$15,'Calc'!$Y$15))))))</x:f>
      </x:c>
      <x:c r="AC95" t="str">
        <x:f>IF(Calc!$Y$95&gt;'Calc'!$B$8,"",IF('Calc'!$E$15=1,0,MIN(Calc!$AA$94*(1+'财富模型'!$E$20/12)+'Calc'!$B$6,IF(Calc!$Y$95&lt;='财富模型'!$E$11*12,'Calc'!$W$15,'Calc'!$Y$15))))</x:f>
      </x:c>
      <x:c r="AD95" t="str">
        <x:f>IF(Calc!$Y$95&gt;'Calc'!$B$8,"",'Calc'!$B$5-'财富模型'!$E$5-(IF('Calc'!$E$15=1,'财富模型'!$E$9,'财富模型'!$M$7+IF(Calc!$Y$95&lt;='财富模型'!$E$11*12,'Calc'!$W$15,'Calc'!$Y$15)-(IF('Calc'!$E$15=1,0,MIN(Calc!$AA$94*(1+'财富模型'!$E$20/12)+'Calc'!$B$6,IF(Calc!$Y$95&lt;='财富模型'!$E$11*12,'Calc'!$W$15,'Calc'!$Y$15)))))))</x:f>
      </x:c>
      <x:c r="AE95" t="str">
        <x:f>IF(Calc!$Y$95&gt;'Calc'!$B$8,"",IF('Calc'!$E$15=1,0,MAX(Calc!$AE$94*(1+IF(Calc!$Y$95&lt;='财富模型'!$E$11*12,'财富模型'!$E$10,'财富模型'!$E$12)/12)-IF('Calc'!$E$15=1,0,IF(Calc!$Y$95&lt;='财富模型'!$E$11*12,'Calc'!$W$15,'Calc'!$Y$15)),0)))</x:f>
      </x:c>
      <x:c r="AG95" t="n">
        <x:v>74</x:v>
      </x:c>
      <x:c r="AH95" t="str">
        <x:f>IF(Calc!$AG$95&gt;'Calc'!$B$8,"",MAX(Calc!$AH$94*(1+'财富模型'!$E$6/12)+('Calc'!$B$5-'财富模型'!$E$5-(IF('Calc'!$E$16=1,'财富模型'!$E$9,'财富模型'!$M$8+IF(Calc!$AG$95&lt;='财富模型'!$E$11*12,'Calc'!$W$16,'Calc'!$Y$16)-(IF('Calc'!$E$16=1,0,MIN(Calc!$AI$94*(1+'财富模型'!$E$20/12)+'Calc'!$B$6,IF(Calc!$AG$95&lt;='财富模型'!$E$11*12,'Calc'!$W$16,'Calc'!$Y$16))))))),0))</x:f>
      </x:c>
      <x:c r="AI95" t="str">
        <x:f>IF(Calc!$AG$95&gt;'Calc'!$B$8,"",MAX(Calc!$AI$94*(1+'财富模型'!$E$20/12)+'Calc'!$B$6-(IF('Calc'!$E$16=1,0,MIN(Calc!$AI$94*(1+'财富模型'!$E$20/12)+'Calc'!$B$6,IF(Calc!$AG$95&lt;='财富模型'!$E$11*12,'Calc'!$W$16,'Calc'!$Y$16)))),0))</x:f>
      </x:c>
      <x:c r="AJ95" t="str">
        <x:f>IF(Calc!$AG$95&gt;'Calc'!$B$8,"",IF('Calc'!$E$16=1,'财富模型'!$E$9,'财富模型'!$M$8+IF(Calc!$AG$95&lt;='财富模型'!$E$11*12,'Calc'!$W$16,'Calc'!$Y$16)-(IF('Calc'!$E$16=1,0,MIN(Calc!$AI$94*(1+'财富模型'!$E$20/12)+'Calc'!$B$6,IF(Calc!$AG$95&lt;='财富模型'!$E$11*12,'Calc'!$W$16,'Calc'!$Y$16))))))</x:f>
      </x:c>
      <x:c r="AK95" t="str">
        <x:f>IF(Calc!$AG$95&gt;'Calc'!$B$8,"",IF('Calc'!$E$16=1,0,MIN(Calc!$AI$94*(1+'财富模型'!$E$20/12)+'Calc'!$B$6,IF(Calc!$AG$95&lt;='财富模型'!$E$11*12,'Calc'!$W$16,'Calc'!$Y$16))))</x:f>
      </x:c>
      <x:c r="AL95" t="str">
        <x:f>IF(Calc!$AG$95&gt;'Calc'!$B$8,"",'Calc'!$B$5-'财富模型'!$E$5-(IF('Calc'!$E$16=1,'财富模型'!$E$9,'财富模型'!$M$8+IF(Calc!$AG$95&lt;='财富模型'!$E$11*12,'Calc'!$W$16,'Calc'!$Y$16)-(IF('Calc'!$E$16=1,0,MIN(Calc!$AI$94*(1+'财富模型'!$E$20/12)+'Calc'!$B$6,IF(Calc!$AG$95&lt;='财富模型'!$E$11*12,'Calc'!$W$16,'Calc'!$Y$16)))))))</x:f>
      </x:c>
      <x:c r="AM95" t="str">
        <x:f>IF(Calc!$AG$95&gt;'Calc'!$B$8,"",IF('Calc'!$E$16=1,0,MAX(Calc!$AM$94*(1+IF(Calc!$AG$95&lt;='财富模型'!$E$11*12,'财富模型'!$E$10,'财富模型'!$E$12)/12)-IF('Calc'!$E$16=1,0,IF(Calc!$AG$95&lt;='财富模型'!$E$11*12,'Calc'!$W$16,'Calc'!$Y$16)),0)))</x:f>
      </x:c>
      <x:c r="AO95" t="n">
        <x:v>74</x:v>
      </x:c>
      <x:c r="AP95" t="str">
        <x:f>IF(Calc!$AO$95&gt;'Calc'!$B$8,"",MAX(Calc!$AP$94*(1+'财富模型'!$E$6/12)+('Calc'!$B$5-'财富模型'!$E$5-(IF('Calc'!$E$17=1,'财富模型'!$E$9,'财富模型'!$M$9+IF(Calc!$AO$95&lt;='财富模型'!$E$11*12,'Calc'!$W$17,'Calc'!$Y$17)-(IF('Calc'!$E$17=1,0,MIN(Calc!$AQ$94*(1+'财富模型'!$E$20/12)+'Calc'!$B$6,IF(Calc!$AO$95&lt;='财富模型'!$E$11*12,'Calc'!$W$17,'Calc'!$Y$17))))))),0))</x:f>
      </x:c>
      <x:c r="AQ95" t="str">
        <x:f>IF(Calc!$AO$95&gt;'Calc'!$B$8,"",MAX(Calc!$AQ$94*(1+'财富模型'!$E$20/12)+'Calc'!$B$6-(IF('Calc'!$E$17=1,0,MIN(Calc!$AQ$94*(1+'财富模型'!$E$20/12)+'Calc'!$B$6,IF(Calc!$AO$95&lt;='财富模型'!$E$11*12,'Calc'!$W$17,'Calc'!$Y$17)))),0))</x:f>
      </x:c>
      <x:c r="AR95" t="str">
        <x:f>IF(Calc!$AO$95&gt;'Calc'!$B$8,"",IF('Calc'!$E$17=1,'财富模型'!$E$9,'财富模型'!$M$9+IF(Calc!$AO$95&lt;='财富模型'!$E$11*12,'Calc'!$W$17,'Calc'!$Y$17)-(IF('Calc'!$E$17=1,0,MIN(Calc!$AQ$94*(1+'财富模型'!$E$20/12)+'Calc'!$B$6,IF(Calc!$AO$95&lt;='财富模型'!$E$11*12,'Calc'!$W$17,'Calc'!$Y$17))))))</x:f>
      </x:c>
      <x:c r="AS95" t="str">
        <x:f>IF(Calc!$AO$95&gt;'Calc'!$B$8,"",IF('Calc'!$E$17=1,0,MIN(Calc!$AQ$94*(1+'财富模型'!$E$20/12)+'Calc'!$B$6,IF(Calc!$AO$95&lt;='财富模型'!$E$11*12,'Calc'!$W$17,'Calc'!$Y$17))))</x:f>
      </x:c>
      <x:c r="AT95" t="str">
        <x:f>IF(Calc!$AO$95&gt;'Calc'!$B$8,"",'Calc'!$B$5-'财富模型'!$E$5-(IF('Calc'!$E$17=1,'财富模型'!$E$9,'财富模型'!$M$9+IF(Calc!$AO$95&lt;='财富模型'!$E$11*12,'Calc'!$W$17,'Calc'!$Y$17)-(IF('Calc'!$E$17=1,0,MIN(Calc!$AQ$94*(1+'财富模型'!$E$20/12)+'Calc'!$B$6,IF(Calc!$AO$95&lt;='财富模型'!$E$11*12,'Calc'!$W$17,'Calc'!$Y$17)))))))</x:f>
      </x:c>
      <x:c r="AU95" t="str">
        <x:f>IF(Calc!$AO$95&gt;'Calc'!$B$8,"",IF('Calc'!$E$17=1,0,MAX(Calc!$AU$94*(1+IF(Calc!$AO$95&lt;='财富模型'!$E$11*12,'财富模型'!$E$10,'财富模型'!$E$12)/12)-IF('Calc'!$E$17=1,0,IF(Calc!$AO$95&lt;='财富模型'!$E$11*12,'Calc'!$W$17,'Calc'!$Y$17)),0)))</x:f>
      </x:c>
    </x:row>
    <x:row r="96">
      <x:c r="A96" t="n">
        <x:v>75</x:v>
      </x:c>
      <x:c r="B96" t="str">
        <x:f>IF(Calc!$A$96&gt;'Calc'!$B$8,"",MAX(Calc!$B$95*(1+'财富模型'!$E$6/12)+('Calc'!$B$5-'财富模型'!$E$5-(IF('Calc'!$E$12=1,'财富模型'!$E$9,'财富模型'!$M$4+IF(Calc!$A$96&lt;='财富模型'!$E$11*12,'Calc'!$W$12,'Calc'!$Y$12)-(IF('Calc'!$E$12=1,0,MIN(Calc!$C$95*(1+'财富模型'!$E$20/12)+'Calc'!$B$6,IF(Calc!$A$96&lt;='财富模型'!$E$11*12,'Calc'!$W$12,'Calc'!$Y$12))))))),0))</x:f>
      </x:c>
      <x:c r="C96" t="str">
        <x:f>IF(Calc!$A$96&gt;'Calc'!$B$8,"",MAX(Calc!$C$95*(1+'财富模型'!$E$20/12)+'Calc'!$B$6-(IF('Calc'!$E$12=1,0,MIN(Calc!$C$95*(1+'财富模型'!$E$20/12)+'Calc'!$B$6,IF(Calc!$A$96&lt;='财富模型'!$E$11*12,'Calc'!$W$12,'Calc'!$Y$12)))),0))</x:f>
      </x:c>
      <x:c r="D96" t="str">
        <x:f>IF(Calc!$A$96&gt;'Calc'!$B$8,"",IF('Calc'!$E$12=1,'财富模型'!$E$9,'财富模型'!$M$4+IF(Calc!$A$96&lt;='财富模型'!$E$11*12,'Calc'!$W$12,'Calc'!$Y$12)-(IF('Calc'!$E$12=1,0,MIN(Calc!$C$95*(1+'财富模型'!$E$20/12)+'Calc'!$B$6,IF(Calc!$A$96&lt;='财富模型'!$E$11*12,'Calc'!$W$12,'Calc'!$Y$12))))))</x:f>
      </x:c>
      <x:c r="E96" t="str">
        <x:f>IF(Calc!$A$96&gt;'Calc'!$B$8,"",IF('Calc'!$E$12=1,0,MIN(Calc!$C$95*(1+'财富模型'!$E$20/12)+'Calc'!$B$6,IF(Calc!$A$96&lt;='财富模型'!$E$11*12,'Calc'!$W$12,'Calc'!$Y$12))))</x:f>
      </x:c>
      <x:c r="F96" t="str">
        <x:f>IF(Calc!$A$96&gt;'Calc'!$B$8,"",'Calc'!$B$5-'财富模型'!$E$5-(IF('Calc'!$E$12=1,'财富模型'!$E$9,'财富模型'!$M$4+IF(Calc!$A$96&lt;='财富模型'!$E$11*12,'Calc'!$W$12,'Calc'!$Y$12)-(IF('Calc'!$E$12=1,0,MIN(Calc!$C$95*(1+'财富模型'!$E$20/12)+'Calc'!$B$6,IF(Calc!$A$96&lt;='财富模型'!$E$11*12,'Calc'!$W$12,'Calc'!$Y$12)))))))</x:f>
      </x:c>
      <x:c r="G96" t="str">
        <x:f>IF(Calc!$A$96&gt;'Calc'!$B$8,"",IF('Calc'!$E$12=1,0,MAX(Calc!$G$95*(1+IF(Calc!$A$96&lt;='财富模型'!$E$11*12,'财富模型'!$E$10,'财富模型'!$E$12)/12)-IF('Calc'!$E$12=1,0,IF(Calc!$A$96&lt;='财富模型'!$E$11*12,'Calc'!$W$12,'Calc'!$Y$12)),0)))</x:f>
      </x:c>
      <x:c r="I96" t="n">
        <x:v>75</x:v>
      </x:c>
      <x:c r="J96" t="str">
        <x:f>IF(Calc!$I$96&gt;'Calc'!$B$8,"",MAX(Calc!$J$95*(1+'财富模型'!$E$6/12)+('Calc'!$B$5-'财富模型'!$E$5-(IF('Calc'!$E$13=1,'财富模型'!$E$9,'财富模型'!$M$5+IF(Calc!$I$96&lt;='财富模型'!$E$11*12,'Calc'!$W$13,'Calc'!$Y$13)-(IF('Calc'!$E$13=1,0,MIN(Calc!$K$95*(1+'财富模型'!$E$20/12)+'Calc'!$B$6,IF(Calc!$I$96&lt;='财富模型'!$E$11*12,'Calc'!$W$13,'Calc'!$Y$13))))))),0))</x:f>
      </x:c>
      <x:c r="K96" t="str">
        <x:f>IF(Calc!$I$96&gt;'Calc'!$B$8,"",MAX(Calc!$K$95*(1+'财富模型'!$E$20/12)+'Calc'!$B$6-(IF('Calc'!$E$13=1,0,MIN(Calc!$K$95*(1+'财富模型'!$E$20/12)+'Calc'!$B$6,IF(Calc!$I$96&lt;='财富模型'!$E$11*12,'Calc'!$W$13,'Calc'!$Y$13)))),0))</x:f>
      </x:c>
      <x:c r="L96" t="str">
        <x:f>IF(Calc!$I$96&gt;'Calc'!$B$8,"",IF('Calc'!$E$13=1,'财富模型'!$E$9,'财富模型'!$M$5+IF(Calc!$I$96&lt;='财富模型'!$E$11*12,'Calc'!$W$13,'Calc'!$Y$13)-(IF('Calc'!$E$13=1,0,MIN(Calc!$K$95*(1+'财富模型'!$E$20/12)+'Calc'!$B$6,IF(Calc!$I$96&lt;='财富模型'!$E$11*12,'Calc'!$W$13,'Calc'!$Y$13))))))</x:f>
      </x:c>
      <x:c r="M96" t="str">
        <x:f>IF(Calc!$I$96&gt;'Calc'!$B$8,"",IF('Calc'!$E$13=1,0,MIN(Calc!$K$95*(1+'财富模型'!$E$20/12)+'Calc'!$B$6,IF(Calc!$I$96&lt;='财富模型'!$E$11*12,'Calc'!$W$13,'Calc'!$Y$13))))</x:f>
      </x:c>
      <x:c r="N96" t="str">
        <x:f>IF(Calc!$I$96&gt;'Calc'!$B$8,"",'Calc'!$B$5-'财富模型'!$E$5-(IF('Calc'!$E$13=1,'财富模型'!$E$9,'财富模型'!$M$5+IF(Calc!$I$96&lt;='财富模型'!$E$11*12,'Calc'!$W$13,'Calc'!$Y$13)-(IF('Calc'!$E$13=1,0,MIN(Calc!$K$95*(1+'财富模型'!$E$20/12)+'Calc'!$B$6,IF(Calc!$I$96&lt;='财富模型'!$E$11*12,'Calc'!$W$13,'Calc'!$Y$13)))))))</x:f>
      </x:c>
      <x:c r="O96" t="str">
        <x:f>IF(Calc!$I$96&gt;'Calc'!$B$8,"",IF('Calc'!$E$13=1,0,MAX(Calc!$O$95*(1+IF(Calc!$I$96&lt;='财富模型'!$E$11*12,'财富模型'!$E$10,'财富模型'!$E$12)/12)-IF('Calc'!$E$13=1,0,IF(Calc!$I$96&lt;='财富模型'!$E$11*12,'Calc'!$W$13,'Calc'!$Y$13)),0)))</x:f>
      </x:c>
      <x:c r="Q96" t="n">
        <x:v>75</x:v>
      </x:c>
      <x:c r="R96" t="str">
        <x:f>IF(Calc!$Q$96&gt;'Calc'!$B$8,"",MAX(Calc!$R$95*(1+'财富模型'!$E$6/12)+('Calc'!$B$5-'财富模型'!$E$5-(IF('Calc'!$E$14=1,'财富模型'!$E$9,'财富模型'!$M$6+IF(Calc!$Q$96&lt;='财富模型'!$E$11*12,'Calc'!$W$14,'Calc'!$Y$14)-(IF('Calc'!$E$14=1,0,MIN(Calc!$S$95*(1+'财富模型'!$E$20/12)+'Calc'!$B$6,IF(Calc!$Q$96&lt;='财富模型'!$E$11*12,'Calc'!$W$14,'Calc'!$Y$14))))))),0))</x:f>
      </x:c>
      <x:c r="S96" t="str">
        <x:f>IF(Calc!$Q$96&gt;'Calc'!$B$8,"",MAX(Calc!$S$95*(1+'财富模型'!$E$20/12)+'Calc'!$B$6-(IF('Calc'!$E$14=1,0,MIN(Calc!$S$95*(1+'财富模型'!$E$20/12)+'Calc'!$B$6,IF(Calc!$Q$96&lt;='财富模型'!$E$11*12,'Calc'!$W$14,'Calc'!$Y$14)))),0))</x:f>
      </x:c>
      <x:c r="T96" t="str">
        <x:f>IF(Calc!$Q$96&gt;'Calc'!$B$8,"",IF('Calc'!$E$14=1,'财富模型'!$E$9,'财富模型'!$M$6+IF(Calc!$Q$96&lt;='财富模型'!$E$11*12,'Calc'!$W$14,'Calc'!$Y$14)-(IF('Calc'!$E$14=1,0,MIN(Calc!$S$95*(1+'财富模型'!$E$20/12)+'Calc'!$B$6,IF(Calc!$Q$96&lt;='财富模型'!$E$11*12,'Calc'!$W$14,'Calc'!$Y$14))))))</x:f>
      </x:c>
      <x:c r="U96" t="str">
        <x:f>IF(Calc!$Q$96&gt;'Calc'!$B$8,"",IF('Calc'!$E$14=1,0,MIN(Calc!$S$95*(1+'财富模型'!$E$20/12)+'Calc'!$B$6,IF(Calc!$Q$96&lt;='财富模型'!$E$11*12,'Calc'!$W$14,'Calc'!$Y$14))))</x:f>
      </x:c>
      <x:c r="V96" t="str">
        <x:f>IF(Calc!$Q$96&gt;'Calc'!$B$8,"",'Calc'!$B$5-'财富模型'!$E$5-(IF('Calc'!$E$14=1,'财富模型'!$E$9,'财富模型'!$M$6+IF(Calc!$Q$96&lt;='财富模型'!$E$11*12,'Calc'!$W$14,'Calc'!$Y$14)-(IF('Calc'!$E$14=1,0,MIN(Calc!$S$95*(1+'财富模型'!$E$20/12)+'Calc'!$B$6,IF(Calc!$Q$96&lt;='财富模型'!$E$11*12,'Calc'!$W$14,'Calc'!$Y$14)))))))</x:f>
      </x:c>
      <x:c r="W96" t="str">
        <x:f>IF(Calc!$Q$96&gt;'Calc'!$B$8,"",IF('Calc'!$E$14=1,0,MAX(Calc!$W$95*(1+IF(Calc!$Q$96&lt;='财富模型'!$E$11*12,'财富模型'!$E$10,'财富模型'!$E$12)/12)-IF('Calc'!$E$14=1,0,IF(Calc!$Q$96&lt;='财富模型'!$E$11*12,'Calc'!$W$14,'Calc'!$Y$14)),0)))</x:f>
      </x:c>
      <x:c r="Y96" t="n">
        <x:v>75</x:v>
      </x:c>
      <x:c r="Z96" t="str">
        <x:f>IF(Calc!$Y$96&gt;'Calc'!$B$8,"",MAX(Calc!$Z$95*(1+'财富模型'!$E$6/12)+('Calc'!$B$5-'财富模型'!$E$5-(IF('Calc'!$E$15=1,'财富模型'!$E$9,'财富模型'!$M$7+IF(Calc!$Y$96&lt;='财富模型'!$E$11*12,'Calc'!$W$15,'Calc'!$Y$15)-(IF('Calc'!$E$15=1,0,MIN(Calc!$AA$95*(1+'财富模型'!$E$20/12)+'Calc'!$B$6,IF(Calc!$Y$96&lt;='财富模型'!$E$11*12,'Calc'!$W$15,'Calc'!$Y$15))))))),0))</x:f>
      </x:c>
      <x:c r="AA96" t="str">
        <x:f>IF(Calc!$Y$96&gt;'Calc'!$B$8,"",MAX(Calc!$AA$95*(1+'财富模型'!$E$20/12)+'Calc'!$B$6-(IF('Calc'!$E$15=1,0,MIN(Calc!$AA$95*(1+'财富模型'!$E$20/12)+'Calc'!$B$6,IF(Calc!$Y$96&lt;='财富模型'!$E$11*12,'Calc'!$W$15,'Calc'!$Y$15)))),0))</x:f>
      </x:c>
      <x:c r="AB96" t="str">
        <x:f>IF(Calc!$Y$96&gt;'Calc'!$B$8,"",IF('Calc'!$E$15=1,'财富模型'!$E$9,'财富模型'!$M$7+IF(Calc!$Y$96&lt;='财富模型'!$E$11*12,'Calc'!$W$15,'Calc'!$Y$15)-(IF('Calc'!$E$15=1,0,MIN(Calc!$AA$95*(1+'财富模型'!$E$20/12)+'Calc'!$B$6,IF(Calc!$Y$96&lt;='财富模型'!$E$11*12,'Calc'!$W$15,'Calc'!$Y$15))))))</x:f>
      </x:c>
      <x:c r="AC96" t="str">
        <x:f>IF(Calc!$Y$96&gt;'Calc'!$B$8,"",IF('Calc'!$E$15=1,0,MIN(Calc!$AA$95*(1+'财富模型'!$E$20/12)+'Calc'!$B$6,IF(Calc!$Y$96&lt;='财富模型'!$E$11*12,'Calc'!$W$15,'Calc'!$Y$15))))</x:f>
      </x:c>
      <x:c r="AD96" t="str">
        <x:f>IF(Calc!$Y$96&gt;'Calc'!$B$8,"",'Calc'!$B$5-'财富模型'!$E$5-(IF('Calc'!$E$15=1,'财富模型'!$E$9,'财富模型'!$M$7+IF(Calc!$Y$96&lt;='财富模型'!$E$11*12,'Calc'!$W$15,'Calc'!$Y$15)-(IF('Calc'!$E$15=1,0,MIN(Calc!$AA$95*(1+'财富模型'!$E$20/12)+'Calc'!$B$6,IF(Calc!$Y$96&lt;='财富模型'!$E$11*12,'Calc'!$W$15,'Calc'!$Y$15)))))))</x:f>
      </x:c>
      <x:c r="AE96" t="str">
        <x:f>IF(Calc!$Y$96&gt;'Calc'!$B$8,"",IF('Calc'!$E$15=1,0,MAX(Calc!$AE$95*(1+IF(Calc!$Y$96&lt;='财富模型'!$E$11*12,'财富模型'!$E$10,'财富模型'!$E$12)/12)-IF('Calc'!$E$15=1,0,IF(Calc!$Y$96&lt;='财富模型'!$E$11*12,'Calc'!$W$15,'Calc'!$Y$15)),0)))</x:f>
      </x:c>
      <x:c r="AG96" t="n">
        <x:v>75</x:v>
      </x:c>
      <x:c r="AH96" t="str">
        <x:f>IF(Calc!$AG$96&gt;'Calc'!$B$8,"",MAX(Calc!$AH$95*(1+'财富模型'!$E$6/12)+('Calc'!$B$5-'财富模型'!$E$5-(IF('Calc'!$E$16=1,'财富模型'!$E$9,'财富模型'!$M$8+IF(Calc!$AG$96&lt;='财富模型'!$E$11*12,'Calc'!$W$16,'Calc'!$Y$16)-(IF('Calc'!$E$16=1,0,MIN(Calc!$AI$95*(1+'财富模型'!$E$20/12)+'Calc'!$B$6,IF(Calc!$AG$96&lt;='财富模型'!$E$11*12,'Calc'!$W$16,'Calc'!$Y$16))))))),0))</x:f>
      </x:c>
      <x:c r="AI96" t="str">
        <x:f>IF(Calc!$AG$96&gt;'Calc'!$B$8,"",MAX(Calc!$AI$95*(1+'财富模型'!$E$20/12)+'Calc'!$B$6-(IF('Calc'!$E$16=1,0,MIN(Calc!$AI$95*(1+'财富模型'!$E$20/12)+'Calc'!$B$6,IF(Calc!$AG$96&lt;='财富模型'!$E$11*12,'Calc'!$W$16,'Calc'!$Y$16)))),0))</x:f>
      </x:c>
      <x:c r="AJ96" t="str">
        <x:f>IF(Calc!$AG$96&gt;'Calc'!$B$8,"",IF('Calc'!$E$16=1,'财富模型'!$E$9,'财富模型'!$M$8+IF(Calc!$AG$96&lt;='财富模型'!$E$11*12,'Calc'!$W$16,'Calc'!$Y$16)-(IF('Calc'!$E$16=1,0,MIN(Calc!$AI$95*(1+'财富模型'!$E$20/12)+'Calc'!$B$6,IF(Calc!$AG$96&lt;='财富模型'!$E$11*12,'Calc'!$W$16,'Calc'!$Y$16))))))</x:f>
      </x:c>
      <x:c r="AK96" t="str">
        <x:f>IF(Calc!$AG$96&gt;'Calc'!$B$8,"",IF('Calc'!$E$16=1,0,MIN(Calc!$AI$95*(1+'财富模型'!$E$20/12)+'Calc'!$B$6,IF(Calc!$AG$96&lt;='财富模型'!$E$11*12,'Calc'!$W$16,'Calc'!$Y$16))))</x:f>
      </x:c>
      <x:c r="AL96" t="str">
        <x:f>IF(Calc!$AG$96&gt;'Calc'!$B$8,"",'Calc'!$B$5-'财富模型'!$E$5-(IF('Calc'!$E$16=1,'财富模型'!$E$9,'财富模型'!$M$8+IF(Calc!$AG$96&lt;='财富模型'!$E$11*12,'Calc'!$W$16,'Calc'!$Y$16)-(IF('Calc'!$E$16=1,0,MIN(Calc!$AI$95*(1+'财富模型'!$E$20/12)+'Calc'!$B$6,IF(Calc!$AG$96&lt;='财富模型'!$E$11*12,'Calc'!$W$16,'Calc'!$Y$16)))))))</x:f>
      </x:c>
      <x:c r="AM96" t="str">
        <x:f>IF(Calc!$AG$96&gt;'Calc'!$B$8,"",IF('Calc'!$E$16=1,0,MAX(Calc!$AM$95*(1+IF(Calc!$AG$96&lt;='财富模型'!$E$11*12,'财富模型'!$E$10,'财富模型'!$E$12)/12)-IF('Calc'!$E$16=1,0,IF(Calc!$AG$96&lt;='财富模型'!$E$11*12,'Calc'!$W$16,'Calc'!$Y$16)),0)))</x:f>
      </x:c>
      <x:c r="AO96" t="n">
        <x:v>75</x:v>
      </x:c>
      <x:c r="AP96" t="str">
        <x:f>IF(Calc!$AO$96&gt;'Calc'!$B$8,"",MAX(Calc!$AP$95*(1+'财富模型'!$E$6/12)+('Calc'!$B$5-'财富模型'!$E$5-(IF('Calc'!$E$17=1,'财富模型'!$E$9,'财富模型'!$M$9+IF(Calc!$AO$96&lt;='财富模型'!$E$11*12,'Calc'!$W$17,'Calc'!$Y$17)-(IF('Calc'!$E$17=1,0,MIN(Calc!$AQ$95*(1+'财富模型'!$E$20/12)+'Calc'!$B$6,IF(Calc!$AO$96&lt;='财富模型'!$E$11*12,'Calc'!$W$17,'Calc'!$Y$17))))))),0))</x:f>
      </x:c>
      <x:c r="AQ96" t="str">
        <x:f>IF(Calc!$AO$96&gt;'Calc'!$B$8,"",MAX(Calc!$AQ$95*(1+'财富模型'!$E$20/12)+'Calc'!$B$6-(IF('Calc'!$E$17=1,0,MIN(Calc!$AQ$95*(1+'财富模型'!$E$20/12)+'Calc'!$B$6,IF(Calc!$AO$96&lt;='财富模型'!$E$11*12,'Calc'!$W$17,'Calc'!$Y$17)))),0))</x:f>
      </x:c>
      <x:c r="AR96" t="str">
        <x:f>IF(Calc!$AO$96&gt;'Calc'!$B$8,"",IF('Calc'!$E$17=1,'财富模型'!$E$9,'财富模型'!$M$9+IF(Calc!$AO$96&lt;='财富模型'!$E$11*12,'Calc'!$W$17,'Calc'!$Y$17)-(IF('Calc'!$E$17=1,0,MIN(Calc!$AQ$95*(1+'财富模型'!$E$20/12)+'Calc'!$B$6,IF(Calc!$AO$96&lt;='财富模型'!$E$11*12,'Calc'!$W$17,'Calc'!$Y$17))))))</x:f>
      </x:c>
      <x:c r="AS96" t="str">
        <x:f>IF(Calc!$AO$96&gt;'Calc'!$B$8,"",IF('Calc'!$E$17=1,0,MIN(Calc!$AQ$95*(1+'财富模型'!$E$20/12)+'Calc'!$B$6,IF(Calc!$AO$96&lt;='财富模型'!$E$11*12,'Calc'!$W$17,'Calc'!$Y$17))))</x:f>
      </x:c>
      <x:c r="AT96" t="str">
        <x:f>IF(Calc!$AO$96&gt;'Calc'!$B$8,"",'Calc'!$B$5-'财富模型'!$E$5-(IF('Calc'!$E$17=1,'财富模型'!$E$9,'财富模型'!$M$9+IF(Calc!$AO$96&lt;='财富模型'!$E$11*12,'Calc'!$W$17,'Calc'!$Y$17)-(IF('Calc'!$E$17=1,0,MIN(Calc!$AQ$95*(1+'财富模型'!$E$20/12)+'Calc'!$B$6,IF(Calc!$AO$96&lt;='财富模型'!$E$11*12,'Calc'!$W$17,'Calc'!$Y$17)))))))</x:f>
      </x:c>
      <x:c r="AU96" t="str">
        <x:f>IF(Calc!$AO$96&gt;'Calc'!$B$8,"",IF('Calc'!$E$17=1,0,MAX(Calc!$AU$95*(1+IF(Calc!$AO$96&lt;='财富模型'!$E$11*12,'财富模型'!$E$10,'财富模型'!$E$12)/12)-IF('Calc'!$E$17=1,0,IF(Calc!$AO$96&lt;='财富模型'!$E$11*12,'Calc'!$W$17,'Calc'!$Y$17)),0)))</x:f>
      </x:c>
    </x:row>
    <x:row r="97">
      <x:c r="A97" t="n">
        <x:v>76</x:v>
      </x:c>
      <x:c r="B97" t="str">
        <x:f>IF(Calc!$A$97&gt;'Calc'!$B$8,"",MAX(Calc!$B$96*(1+'财富模型'!$E$6/12)+('Calc'!$B$5-'财富模型'!$E$5-(IF('Calc'!$E$12=1,'财富模型'!$E$9,'财富模型'!$M$4+IF(Calc!$A$97&lt;='财富模型'!$E$11*12,'Calc'!$W$12,'Calc'!$Y$12)-(IF('Calc'!$E$12=1,0,MIN(Calc!$C$96*(1+'财富模型'!$E$20/12)+'Calc'!$B$6,IF(Calc!$A$97&lt;='财富模型'!$E$11*12,'Calc'!$W$12,'Calc'!$Y$12))))))),0))</x:f>
      </x:c>
      <x:c r="C97" t="str">
        <x:f>IF(Calc!$A$97&gt;'Calc'!$B$8,"",MAX(Calc!$C$96*(1+'财富模型'!$E$20/12)+'Calc'!$B$6-(IF('Calc'!$E$12=1,0,MIN(Calc!$C$96*(1+'财富模型'!$E$20/12)+'Calc'!$B$6,IF(Calc!$A$97&lt;='财富模型'!$E$11*12,'Calc'!$W$12,'Calc'!$Y$12)))),0))</x:f>
      </x:c>
      <x:c r="D97" t="str">
        <x:f>IF(Calc!$A$97&gt;'Calc'!$B$8,"",IF('Calc'!$E$12=1,'财富模型'!$E$9,'财富模型'!$M$4+IF(Calc!$A$97&lt;='财富模型'!$E$11*12,'Calc'!$W$12,'Calc'!$Y$12)-(IF('Calc'!$E$12=1,0,MIN(Calc!$C$96*(1+'财富模型'!$E$20/12)+'Calc'!$B$6,IF(Calc!$A$97&lt;='财富模型'!$E$11*12,'Calc'!$W$12,'Calc'!$Y$12))))))</x:f>
      </x:c>
      <x:c r="E97" t="str">
        <x:f>IF(Calc!$A$97&gt;'Calc'!$B$8,"",IF('Calc'!$E$12=1,0,MIN(Calc!$C$96*(1+'财富模型'!$E$20/12)+'Calc'!$B$6,IF(Calc!$A$97&lt;='财富模型'!$E$11*12,'Calc'!$W$12,'Calc'!$Y$12))))</x:f>
      </x:c>
      <x:c r="F97" t="str">
        <x:f>IF(Calc!$A$97&gt;'Calc'!$B$8,"",'Calc'!$B$5-'财富模型'!$E$5-(IF('Calc'!$E$12=1,'财富模型'!$E$9,'财富模型'!$M$4+IF(Calc!$A$97&lt;='财富模型'!$E$11*12,'Calc'!$W$12,'Calc'!$Y$12)-(IF('Calc'!$E$12=1,0,MIN(Calc!$C$96*(1+'财富模型'!$E$20/12)+'Calc'!$B$6,IF(Calc!$A$97&lt;='财富模型'!$E$11*12,'Calc'!$W$12,'Calc'!$Y$12)))))))</x:f>
      </x:c>
      <x:c r="G97" t="str">
        <x:f>IF(Calc!$A$97&gt;'Calc'!$B$8,"",IF('Calc'!$E$12=1,0,MAX(Calc!$G$96*(1+IF(Calc!$A$97&lt;='财富模型'!$E$11*12,'财富模型'!$E$10,'财富模型'!$E$12)/12)-IF('Calc'!$E$12=1,0,IF(Calc!$A$97&lt;='财富模型'!$E$11*12,'Calc'!$W$12,'Calc'!$Y$12)),0)))</x:f>
      </x:c>
      <x:c r="I97" t="n">
        <x:v>76</x:v>
      </x:c>
      <x:c r="J97" t="str">
        <x:f>IF(Calc!$I$97&gt;'Calc'!$B$8,"",MAX(Calc!$J$96*(1+'财富模型'!$E$6/12)+('Calc'!$B$5-'财富模型'!$E$5-(IF('Calc'!$E$13=1,'财富模型'!$E$9,'财富模型'!$M$5+IF(Calc!$I$97&lt;='财富模型'!$E$11*12,'Calc'!$W$13,'Calc'!$Y$13)-(IF('Calc'!$E$13=1,0,MIN(Calc!$K$96*(1+'财富模型'!$E$20/12)+'Calc'!$B$6,IF(Calc!$I$97&lt;='财富模型'!$E$11*12,'Calc'!$W$13,'Calc'!$Y$13))))))),0))</x:f>
      </x:c>
      <x:c r="K97" t="str">
        <x:f>IF(Calc!$I$97&gt;'Calc'!$B$8,"",MAX(Calc!$K$96*(1+'财富模型'!$E$20/12)+'Calc'!$B$6-(IF('Calc'!$E$13=1,0,MIN(Calc!$K$96*(1+'财富模型'!$E$20/12)+'Calc'!$B$6,IF(Calc!$I$97&lt;='财富模型'!$E$11*12,'Calc'!$W$13,'Calc'!$Y$13)))),0))</x:f>
      </x:c>
      <x:c r="L97" t="str">
        <x:f>IF(Calc!$I$97&gt;'Calc'!$B$8,"",IF('Calc'!$E$13=1,'财富模型'!$E$9,'财富模型'!$M$5+IF(Calc!$I$97&lt;='财富模型'!$E$11*12,'Calc'!$W$13,'Calc'!$Y$13)-(IF('Calc'!$E$13=1,0,MIN(Calc!$K$96*(1+'财富模型'!$E$20/12)+'Calc'!$B$6,IF(Calc!$I$97&lt;='财富模型'!$E$11*12,'Calc'!$W$13,'Calc'!$Y$13))))))</x:f>
      </x:c>
      <x:c r="M97" t="str">
        <x:f>IF(Calc!$I$97&gt;'Calc'!$B$8,"",IF('Calc'!$E$13=1,0,MIN(Calc!$K$96*(1+'财富模型'!$E$20/12)+'Calc'!$B$6,IF(Calc!$I$97&lt;='财富模型'!$E$11*12,'Calc'!$W$13,'Calc'!$Y$13))))</x:f>
      </x:c>
      <x:c r="N97" t="str">
        <x:f>IF(Calc!$I$97&gt;'Calc'!$B$8,"",'Calc'!$B$5-'财富模型'!$E$5-(IF('Calc'!$E$13=1,'财富模型'!$E$9,'财富模型'!$M$5+IF(Calc!$I$97&lt;='财富模型'!$E$11*12,'Calc'!$W$13,'Calc'!$Y$13)-(IF('Calc'!$E$13=1,0,MIN(Calc!$K$96*(1+'财富模型'!$E$20/12)+'Calc'!$B$6,IF(Calc!$I$97&lt;='财富模型'!$E$11*12,'Calc'!$W$13,'Calc'!$Y$13)))))))</x:f>
      </x:c>
      <x:c r="O97" t="str">
        <x:f>IF(Calc!$I$97&gt;'Calc'!$B$8,"",IF('Calc'!$E$13=1,0,MAX(Calc!$O$96*(1+IF(Calc!$I$97&lt;='财富模型'!$E$11*12,'财富模型'!$E$10,'财富模型'!$E$12)/12)-IF('Calc'!$E$13=1,0,IF(Calc!$I$97&lt;='财富模型'!$E$11*12,'Calc'!$W$13,'Calc'!$Y$13)),0)))</x:f>
      </x:c>
      <x:c r="Q97" t="n">
        <x:v>76</x:v>
      </x:c>
      <x:c r="R97" t="str">
        <x:f>IF(Calc!$Q$97&gt;'Calc'!$B$8,"",MAX(Calc!$R$96*(1+'财富模型'!$E$6/12)+('Calc'!$B$5-'财富模型'!$E$5-(IF('Calc'!$E$14=1,'财富模型'!$E$9,'财富模型'!$M$6+IF(Calc!$Q$97&lt;='财富模型'!$E$11*12,'Calc'!$W$14,'Calc'!$Y$14)-(IF('Calc'!$E$14=1,0,MIN(Calc!$S$96*(1+'财富模型'!$E$20/12)+'Calc'!$B$6,IF(Calc!$Q$97&lt;='财富模型'!$E$11*12,'Calc'!$W$14,'Calc'!$Y$14))))))),0))</x:f>
      </x:c>
      <x:c r="S97" t="str">
        <x:f>IF(Calc!$Q$97&gt;'Calc'!$B$8,"",MAX(Calc!$S$96*(1+'财富模型'!$E$20/12)+'Calc'!$B$6-(IF('Calc'!$E$14=1,0,MIN(Calc!$S$96*(1+'财富模型'!$E$20/12)+'Calc'!$B$6,IF(Calc!$Q$97&lt;='财富模型'!$E$11*12,'Calc'!$W$14,'Calc'!$Y$14)))),0))</x:f>
      </x:c>
      <x:c r="T97" t="str">
        <x:f>IF(Calc!$Q$97&gt;'Calc'!$B$8,"",IF('Calc'!$E$14=1,'财富模型'!$E$9,'财富模型'!$M$6+IF(Calc!$Q$97&lt;='财富模型'!$E$11*12,'Calc'!$W$14,'Calc'!$Y$14)-(IF('Calc'!$E$14=1,0,MIN(Calc!$S$96*(1+'财富模型'!$E$20/12)+'Calc'!$B$6,IF(Calc!$Q$97&lt;='财富模型'!$E$11*12,'Calc'!$W$14,'Calc'!$Y$14))))))</x:f>
      </x:c>
      <x:c r="U97" t="str">
        <x:f>IF(Calc!$Q$97&gt;'Calc'!$B$8,"",IF('Calc'!$E$14=1,0,MIN(Calc!$S$96*(1+'财富模型'!$E$20/12)+'Calc'!$B$6,IF(Calc!$Q$97&lt;='财富模型'!$E$11*12,'Calc'!$W$14,'Calc'!$Y$14))))</x:f>
      </x:c>
      <x:c r="V97" t="str">
        <x:f>IF(Calc!$Q$97&gt;'Calc'!$B$8,"",'Calc'!$B$5-'财富模型'!$E$5-(IF('Calc'!$E$14=1,'财富模型'!$E$9,'财富模型'!$M$6+IF(Calc!$Q$97&lt;='财富模型'!$E$11*12,'Calc'!$W$14,'Calc'!$Y$14)-(IF('Calc'!$E$14=1,0,MIN(Calc!$S$96*(1+'财富模型'!$E$20/12)+'Calc'!$B$6,IF(Calc!$Q$97&lt;='财富模型'!$E$11*12,'Calc'!$W$14,'Calc'!$Y$14)))))))</x:f>
      </x:c>
      <x:c r="W97" t="str">
        <x:f>IF(Calc!$Q$97&gt;'Calc'!$B$8,"",IF('Calc'!$E$14=1,0,MAX(Calc!$W$96*(1+IF(Calc!$Q$97&lt;='财富模型'!$E$11*12,'财富模型'!$E$10,'财富模型'!$E$12)/12)-IF('Calc'!$E$14=1,0,IF(Calc!$Q$97&lt;='财富模型'!$E$11*12,'Calc'!$W$14,'Calc'!$Y$14)),0)))</x:f>
      </x:c>
      <x:c r="Y97" t="n">
        <x:v>76</x:v>
      </x:c>
      <x:c r="Z97" t="str">
        <x:f>IF(Calc!$Y$97&gt;'Calc'!$B$8,"",MAX(Calc!$Z$96*(1+'财富模型'!$E$6/12)+('Calc'!$B$5-'财富模型'!$E$5-(IF('Calc'!$E$15=1,'财富模型'!$E$9,'财富模型'!$M$7+IF(Calc!$Y$97&lt;='财富模型'!$E$11*12,'Calc'!$W$15,'Calc'!$Y$15)-(IF('Calc'!$E$15=1,0,MIN(Calc!$AA$96*(1+'财富模型'!$E$20/12)+'Calc'!$B$6,IF(Calc!$Y$97&lt;='财富模型'!$E$11*12,'Calc'!$W$15,'Calc'!$Y$15))))))),0))</x:f>
      </x:c>
      <x:c r="AA97" t="str">
        <x:f>IF(Calc!$Y$97&gt;'Calc'!$B$8,"",MAX(Calc!$AA$96*(1+'财富模型'!$E$20/12)+'Calc'!$B$6-(IF('Calc'!$E$15=1,0,MIN(Calc!$AA$96*(1+'财富模型'!$E$20/12)+'Calc'!$B$6,IF(Calc!$Y$97&lt;='财富模型'!$E$11*12,'Calc'!$W$15,'Calc'!$Y$15)))),0))</x:f>
      </x:c>
      <x:c r="AB97" t="str">
        <x:f>IF(Calc!$Y$97&gt;'Calc'!$B$8,"",IF('Calc'!$E$15=1,'财富模型'!$E$9,'财富模型'!$M$7+IF(Calc!$Y$97&lt;='财富模型'!$E$11*12,'Calc'!$W$15,'Calc'!$Y$15)-(IF('Calc'!$E$15=1,0,MIN(Calc!$AA$96*(1+'财富模型'!$E$20/12)+'Calc'!$B$6,IF(Calc!$Y$97&lt;='财富模型'!$E$11*12,'Calc'!$W$15,'Calc'!$Y$15))))))</x:f>
      </x:c>
      <x:c r="AC97" t="str">
        <x:f>IF(Calc!$Y$97&gt;'Calc'!$B$8,"",IF('Calc'!$E$15=1,0,MIN(Calc!$AA$96*(1+'财富模型'!$E$20/12)+'Calc'!$B$6,IF(Calc!$Y$97&lt;='财富模型'!$E$11*12,'Calc'!$W$15,'Calc'!$Y$15))))</x:f>
      </x:c>
      <x:c r="AD97" t="str">
        <x:f>IF(Calc!$Y$97&gt;'Calc'!$B$8,"",'Calc'!$B$5-'财富模型'!$E$5-(IF('Calc'!$E$15=1,'财富模型'!$E$9,'财富模型'!$M$7+IF(Calc!$Y$97&lt;='财富模型'!$E$11*12,'Calc'!$W$15,'Calc'!$Y$15)-(IF('Calc'!$E$15=1,0,MIN(Calc!$AA$96*(1+'财富模型'!$E$20/12)+'Calc'!$B$6,IF(Calc!$Y$97&lt;='财富模型'!$E$11*12,'Calc'!$W$15,'Calc'!$Y$15)))))))</x:f>
      </x:c>
      <x:c r="AE97" t="str">
        <x:f>IF(Calc!$Y$97&gt;'Calc'!$B$8,"",IF('Calc'!$E$15=1,0,MAX(Calc!$AE$96*(1+IF(Calc!$Y$97&lt;='财富模型'!$E$11*12,'财富模型'!$E$10,'财富模型'!$E$12)/12)-IF('Calc'!$E$15=1,0,IF(Calc!$Y$97&lt;='财富模型'!$E$11*12,'Calc'!$W$15,'Calc'!$Y$15)),0)))</x:f>
      </x:c>
      <x:c r="AG97" t="n">
        <x:v>76</x:v>
      </x:c>
      <x:c r="AH97" t="str">
        <x:f>IF(Calc!$AG$97&gt;'Calc'!$B$8,"",MAX(Calc!$AH$96*(1+'财富模型'!$E$6/12)+('Calc'!$B$5-'财富模型'!$E$5-(IF('Calc'!$E$16=1,'财富模型'!$E$9,'财富模型'!$M$8+IF(Calc!$AG$97&lt;='财富模型'!$E$11*12,'Calc'!$W$16,'Calc'!$Y$16)-(IF('Calc'!$E$16=1,0,MIN(Calc!$AI$96*(1+'财富模型'!$E$20/12)+'Calc'!$B$6,IF(Calc!$AG$97&lt;='财富模型'!$E$11*12,'Calc'!$W$16,'Calc'!$Y$16))))))),0))</x:f>
      </x:c>
      <x:c r="AI97" t="str">
        <x:f>IF(Calc!$AG$97&gt;'Calc'!$B$8,"",MAX(Calc!$AI$96*(1+'财富模型'!$E$20/12)+'Calc'!$B$6-(IF('Calc'!$E$16=1,0,MIN(Calc!$AI$96*(1+'财富模型'!$E$20/12)+'Calc'!$B$6,IF(Calc!$AG$97&lt;='财富模型'!$E$11*12,'Calc'!$W$16,'Calc'!$Y$16)))),0))</x:f>
      </x:c>
      <x:c r="AJ97" t="str">
        <x:f>IF(Calc!$AG$97&gt;'Calc'!$B$8,"",IF('Calc'!$E$16=1,'财富模型'!$E$9,'财富模型'!$M$8+IF(Calc!$AG$97&lt;='财富模型'!$E$11*12,'Calc'!$W$16,'Calc'!$Y$16)-(IF('Calc'!$E$16=1,0,MIN(Calc!$AI$96*(1+'财富模型'!$E$20/12)+'Calc'!$B$6,IF(Calc!$AG$97&lt;='财富模型'!$E$11*12,'Calc'!$W$16,'Calc'!$Y$16))))))</x:f>
      </x:c>
      <x:c r="AK97" t="str">
        <x:f>IF(Calc!$AG$97&gt;'Calc'!$B$8,"",IF('Calc'!$E$16=1,0,MIN(Calc!$AI$96*(1+'财富模型'!$E$20/12)+'Calc'!$B$6,IF(Calc!$AG$97&lt;='财富模型'!$E$11*12,'Calc'!$W$16,'Calc'!$Y$16))))</x:f>
      </x:c>
      <x:c r="AL97" t="str">
        <x:f>IF(Calc!$AG$97&gt;'Calc'!$B$8,"",'Calc'!$B$5-'财富模型'!$E$5-(IF('Calc'!$E$16=1,'财富模型'!$E$9,'财富模型'!$M$8+IF(Calc!$AG$97&lt;='财富模型'!$E$11*12,'Calc'!$W$16,'Calc'!$Y$16)-(IF('Calc'!$E$16=1,0,MIN(Calc!$AI$96*(1+'财富模型'!$E$20/12)+'Calc'!$B$6,IF(Calc!$AG$97&lt;='财富模型'!$E$11*12,'Calc'!$W$16,'Calc'!$Y$16)))))))</x:f>
      </x:c>
      <x:c r="AM97" t="str">
        <x:f>IF(Calc!$AG$97&gt;'Calc'!$B$8,"",IF('Calc'!$E$16=1,0,MAX(Calc!$AM$96*(1+IF(Calc!$AG$97&lt;='财富模型'!$E$11*12,'财富模型'!$E$10,'财富模型'!$E$12)/12)-IF('Calc'!$E$16=1,0,IF(Calc!$AG$97&lt;='财富模型'!$E$11*12,'Calc'!$W$16,'Calc'!$Y$16)),0)))</x:f>
      </x:c>
      <x:c r="AO97" t="n">
        <x:v>76</x:v>
      </x:c>
      <x:c r="AP97" t="str">
        <x:f>IF(Calc!$AO$97&gt;'Calc'!$B$8,"",MAX(Calc!$AP$96*(1+'财富模型'!$E$6/12)+('Calc'!$B$5-'财富模型'!$E$5-(IF('Calc'!$E$17=1,'财富模型'!$E$9,'财富模型'!$M$9+IF(Calc!$AO$97&lt;='财富模型'!$E$11*12,'Calc'!$W$17,'Calc'!$Y$17)-(IF('Calc'!$E$17=1,0,MIN(Calc!$AQ$96*(1+'财富模型'!$E$20/12)+'Calc'!$B$6,IF(Calc!$AO$97&lt;='财富模型'!$E$11*12,'Calc'!$W$17,'Calc'!$Y$17))))))),0))</x:f>
      </x:c>
      <x:c r="AQ97" t="str">
        <x:f>IF(Calc!$AO$97&gt;'Calc'!$B$8,"",MAX(Calc!$AQ$96*(1+'财富模型'!$E$20/12)+'Calc'!$B$6-(IF('Calc'!$E$17=1,0,MIN(Calc!$AQ$96*(1+'财富模型'!$E$20/12)+'Calc'!$B$6,IF(Calc!$AO$97&lt;='财富模型'!$E$11*12,'Calc'!$W$17,'Calc'!$Y$17)))),0))</x:f>
      </x:c>
      <x:c r="AR97" t="str">
        <x:f>IF(Calc!$AO$97&gt;'Calc'!$B$8,"",IF('Calc'!$E$17=1,'财富模型'!$E$9,'财富模型'!$M$9+IF(Calc!$AO$97&lt;='财富模型'!$E$11*12,'Calc'!$W$17,'Calc'!$Y$17)-(IF('Calc'!$E$17=1,0,MIN(Calc!$AQ$96*(1+'财富模型'!$E$20/12)+'Calc'!$B$6,IF(Calc!$AO$97&lt;='财富模型'!$E$11*12,'Calc'!$W$17,'Calc'!$Y$17))))))</x:f>
      </x:c>
      <x:c r="AS97" t="str">
        <x:f>IF(Calc!$AO$97&gt;'Calc'!$B$8,"",IF('Calc'!$E$17=1,0,MIN(Calc!$AQ$96*(1+'财富模型'!$E$20/12)+'Calc'!$B$6,IF(Calc!$AO$97&lt;='财富模型'!$E$11*12,'Calc'!$W$17,'Calc'!$Y$17))))</x:f>
      </x:c>
      <x:c r="AT97" t="str">
        <x:f>IF(Calc!$AO$97&gt;'Calc'!$B$8,"",'Calc'!$B$5-'财富模型'!$E$5-(IF('Calc'!$E$17=1,'财富模型'!$E$9,'财富模型'!$M$9+IF(Calc!$AO$97&lt;='财富模型'!$E$11*12,'Calc'!$W$17,'Calc'!$Y$17)-(IF('Calc'!$E$17=1,0,MIN(Calc!$AQ$96*(1+'财富模型'!$E$20/12)+'Calc'!$B$6,IF(Calc!$AO$97&lt;='财富模型'!$E$11*12,'Calc'!$W$17,'Calc'!$Y$17)))))))</x:f>
      </x:c>
      <x:c r="AU97" t="str">
        <x:f>IF(Calc!$AO$97&gt;'Calc'!$B$8,"",IF('Calc'!$E$17=1,0,MAX(Calc!$AU$96*(1+IF(Calc!$AO$97&lt;='财富模型'!$E$11*12,'财富模型'!$E$10,'财富模型'!$E$12)/12)-IF('Calc'!$E$17=1,0,IF(Calc!$AO$97&lt;='财富模型'!$E$11*12,'Calc'!$W$17,'Calc'!$Y$17)),0)))</x:f>
      </x:c>
    </x:row>
    <x:row r="98">
      <x:c r="A98" t="n">
        <x:v>77</x:v>
      </x:c>
      <x:c r="B98" t="str">
        <x:f>IF(Calc!$A$98&gt;'Calc'!$B$8,"",MAX(Calc!$B$97*(1+'财富模型'!$E$6/12)+('Calc'!$B$5-'财富模型'!$E$5-(IF('Calc'!$E$12=1,'财富模型'!$E$9,'财富模型'!$M$4+IF(Calc!$A$98&lt;='财富模型'!$E$11*12,'Calc'!$W$12,'Calc'!$Y$12)-(IF('Calc'!$E$12=1,0,MIN(Calc!$C$97*(1+'财富模型'!$E$20/12)+'Calc'!$B$6,IF(Calc!$A$98&lt;='财富模型'!$E$11*12,'Calc'!$W$12,'Calc'!$Y$12))))))),0))</x:f>
      </x:c>
      <x:c r="C98" t="str">
        <x:f>IF(Calc!$A$98&gt;'Calc'!$B$8,"",MAX(Calc!$C$97*(1+'财富模型'!$E$20/12)+'Calc'!$B$6-(IF('Calc'!$E$12=1,0,MIN(Calc!$C$97*(1+'财富模型'!$E$20/12)+'Calc'!$B$6,IF(Calc!$A$98&lt;='财富模型'!$E$11*12,'Calc'!$W$12,'Calc'!$Y$12)))),0))</x:f>
      </x:c>
      <x:c r="D98" t="str">
        <x:f>IF(Calc!$A$98&gt;'Calc'!$B$8,"",IF('Calc'!$E$12=1,'财富模型'!$E$9,'财富模型'!$M$4+IF(Calc!$A$98&lt;='财富模型'!$E$11*12,'Calc'!$W$12,'Calc'!$Y$12)-(IF('Calc'!$E$12=1,0,MIN(Calc!$C$97*(1+'财富模型'!$E$20/12)+'Calc'!$B$6,IF(Calc!$A$98&lt;='财富模型'!$E$11*12,'Calc'!$W$12,'Calc'!$Y$12))))))</x:f>
      </x:c>
      <x:c r="E98" t="str">
        <x:f>IF(Calc!$A$98&gt;'Calc'!$B$8,"",IF('Calc'!$E$12=1,0,MIN(Calc!$C$97*(1+'财富模型'!$E$20/12)+'Calc'!$B$6,IF(Calc!$A$98&lt;='财富模型'!$E$11*12,'Calc'!$W$12,'Calc'!$Y$12))))</x:f>
      </x:c>
      <x:c r="F98" t="str">
        <x:f>IF(Calc!$A$98&gt;'Calc'!$B$8,"",'Calc'!$B$5-'财富模型'!$E$5-(IF('Calc'!$E$12=1,'财富模型'!$E$9,'财富模型'!$M$4+IF(Calc!$A$98&lt;='财富模型'!$E$11*12,'Calc'!$W$12,'Calc'!$Y$12)-(IF('Calc'!$E$12=1,0,MIN(Calc!$C$97*(1+'财富模型'!$E$20/12)+'Calc'!$B$6,IF(Calc!$A$98&lt;='财富模型'!$E$11*12,'Calc'!$W$12,'Calc'!$Y$12)))))))</x:f>
      </x:c>
      <x:c r="G98" t="str">
        <x:f>IF(Calc!$A$98&gt;'Calc'!$B$8,"",IF('Calc'!$E$12=1,0,MAX(Calc!$G$97*(1+IF(Calc!$A$98&lt;='财富模型'!$E$11*12,'财富模型'!$E$10,'财富模型'!$E$12)/12)-IF('Calc'!$E$12=1,0,IF(Calc!$A$98&lt;='财富模型'!$E$11*12,'Calc'!$W$12,'Calc'!$Y$12)),0)))</x:f>
      </x:c>
      <x:c r="I98" t="n">
        <x:v>77</x:v>
      </x:c>
      <x:c r="J98" t="str">
        <x:f>IF(Calc!$I$98&gt;'Calc'!$B$8,"",MAX(Calc!$J$97*(1+'财富模型'!$E$6/12)+('Calc'!$B$5-'财富模型'!$E$5-(IF('Calc'!$E$13=1,'财富模型'!$E$9,'财富模型'!$M$5+IF(Calc!$I$98&lt;='财富模型'!$E$11*12,'Calc'!$W$13,'Calc'!$Y$13)-(IF('Calc'!$E$13=1,0,MIN(Calc!$K$97*(1+'财富模型'!$E$20/12)+'Calc'!$B$6,IF(Calc!$I$98&lt;='财富模型'!$E$11*12,'Calc'!$W$13,'Calc'!$Y$13))))))),0))</x:f>
      </x:c>
      <x:c r="K98" t="str">
        <x:f>IF(Calc!$I$98&gt;'Calc'!$B$8,"",MAX(Calc!$K$97*(1+'财富模型'!$E$20/12)+'Calc'!$B$6-(IF('Calc'!$E$13=1,0,MIN(Calc!$K$97*(1+'财富模型'!$E$20/12)+'Calc'!$B$6,IF(Calc!$I$98&lt;='财富模型'!$E$11*12,'Calc'!$W$13,'Calc'!$Y$13)))),0))</x:f>
      </x:c>
      <x:c r="L98" t="str">
        <x:f>IF(Calc!$I$98&gt;'Calc'!$B$8,"",IF('Calc'!$E$13=1,'财富模型'!$E$9,'财富模型'!$M$5+IF(Calc!$I$98&lt;='财富模型'!$E$11*12,'Calc'!$W$13,'Calc'!$Y$13)-(IF('Calc'!$E$13=1,0,MIN(Calc!$K$97*(1+'财富模型'!$E$20/12)+'Calc'!$B$6,IF(Calc!$I$98&lt;='财富模型'!$E$11*12,'Calc'!$W$13,'Calc'!$Y$13))))))</x:f>
      </x:c>
      <x:c r="M98" t="str">
        <x:f>IF(Calc!$I$98&gt;'Calc'!$B$8,"",IF('Calc'!$E$13=1,0,MIN(Calc!$K$97*(1+'财富模型'!$E$20/12)+'Calc'!$B$6,IF(Calc!$I$98&lt;='财富模型'!$E$11*12,'Calc'!$W$13,'Calc'!$Y$13))))</x:f>
      </x:c>
      <x:c r="N98" t="str">
        <x:f>IF(Calc!$I$98&gt;'Calc'!$B$8,"",'Calc'!$B$5-'财富模型'!$E$5-(IF('Calc'!$E$13=1,'财富模型'!$E$9,'财富模型'!$M$5+IF(Calc!$I$98&lt;='财富模型'!$E$11*12,'Calc'!$W$13,'Calc'!$Y$13)-(IF('Calc'!$E$13=1,0,MIN(Calc!$K$97*(1+'财富模型'!$E$20/12)+'Calc'!$B$6,IF(Calc!$I$98&lt;='财富模型'!$E$11*12,'Calc'!$W$13,'Calc'!$Y$13)))))))</x:f>
      </x:c>
      <x:c r="O98" t="str">
        <x:f>IF(Calc!$I$98&gt;'Calc'!$B$8,"",IF('Calc'!$E$13=1,0,MAX(Calc!$O$97*(1+IF(Calc!$I$98&lt;='财富模型'!$E$11*12,'财富模型'!$E$10,'财富模型'!$E$12)/12)-IF('Calc'!$E$13=1,0,IF(Calc!$I$98&lt;='财富模型'!$E$11*12,'Calc'!$W$13,'Calc'!$Y$13)),0)))</x:f>
      </x:c>
      <x:c r="Q98" t="n">
        <x:v>77</x:v>
      </x:c>
      <x:c r="R98" t="str">
        <x:f>IF(Calc!$Q$98&gt;'Calc'!$B$8,"",MAX(Calc!$R$97*(1+'财富模型'!$E$6/12)+('Calc'!$B$5-'财富模型'!$E$5-(IF('Calc'!$E$14=1,'财富模型'!$E$9,'财富模型'!$M$6+IF(Calc!$Q$98&lt;='财富模型'!$E$11*12,'Calc'!$W$14,'Calc'!$Y$14)-(IF('Calc'!$E$14=1,0,MIN(Calc!$S$97*(1+'财富模型'!$E$20/12)+'Calc'!$B$6,IF(Calc!$Q$98&lt;='财富模型'!$E$11*12,'Calc'!$W$14,'Calc'!$Y$14))))))),0))</x:f>
      </x:c>
      <x:c r="S98" t="str">
        <x:f>IF(Calc!$Q$98&gt;'Calc'!$B$8,"",MAX(Calc!$S$97*(1+'财富模型'!$E$20/12)+'Calc'!$B$6-(IF('Calc'!$E$14=1,0,MIN(Calc!$S$97*(1+'财富模型'!$E$20/12)+'Calc'!$B$6,IF(Calc!$Q$98&lt;='财富模型'!$E$11*12,'Calc'!$W$14,'Calc'!$Y$14)))),0))</x:f>
      </x:c>
      <x:c r="T98" t="str">
        <x:f>IF(Calc!$Q$98&gt;'Calc'!$B$8,"",IF('Calc'!$E$14=1,'财富模型'!$E$9,'财富模型'!$M$6+IF(Calc!$Q$98&lt;='财富模型'!$E$11*12,'Calc'!$W$14,'Calc'!$Y$14)-(IF('Calc'!$E$14=1,0,MIN(Calc!$S$97*(1+'财富模型'!$E$20/12)+'Calc'!$B$6,IF(Calc!$Q$98&lt;='财富模型'!$E$11*12,'Calc'!$W$14,'Calc'!$Y$14))))))</x:f>
      </x:c>
      <x:c r="U98" t="str">
        <x:f>IF(Calc!$Q$98&gt;'Calc'!$B$8,"",IF('Calc'!$E$14=1,0,MIN(Calc!$S$97*(1+'财富模型'!$E$20/12)+'Calc'!$B$6,IF(Calc!$Q$98&lt;='财富模型'!$E$11*12,'Calc'!$W$14,'Calc'!$Y$14))))</x:f>
      </x:c>
      <x:c r="V98" t="str">
        <x:f>IF(Calc!$Q$98&gt;'Calc'!$B$8,"",'Calc'!$B$5-'财富模型'!$E$5-(IF('Calc'!$E$14=1,'财富模型'!$E$9,'财富模型'!$M$6+IF(Calc!$Q$98&lt;='财富模型'!$E$11*12,'Calc'!$W$14,'Calc'!$Y$14)-(IF('Calc'!$E$14=1,0,MIN(Calc!$S$97*(1+'财富模型'!$E$20/12)+'Calc'!$B$6,IF(Calc!$Q$98&lt;='财富模型'!$E$11*12,'Calc'!$W$14,'Calc'!$Y$14)))))))</x:f>
      </x:c>
      <x:c r="W98" t="str">
        <x:f>IF(Calc!$Q$98&gt;'Calc'!$B$8,"",IF('Calc'!$E$14=1,0,MAX(Calc!$W$97*(1+IF(Calc!$Q$98&lt;='财富模型'!$E$11*12,'财富模型'!$E$10,'财富模型'!$E$12)/12)-IF('Calc'!$E$14=1,0,IF(Calc!$Q$98&lt;='财富模型'!$E$11*12,'Calc'!$W$14,'Calc'!$Y$14)),0)))</x:f>
      </x:c>
      <x:c r="Y98" t="n">
        <x:v>77</x:v>
      </x:c>
      <x:c r="Z98" t="str">
        <x:f>IF(Calc!$Y$98&gt;'Calc'!$B$8,"",MAX(Calc!$Z$97*(1+'财富模型'!$E$6/12)+('Calc'!$B$5-'财富模型'!$E$5-(IF('Calc'!$E$15=1,'财富模型'!$E$9,'财富模型'!$M$7+IF(Calc!$Y$98&lt;='财富模型'!$E$11*12,'Calc'!$W$15,'Calc'!$Y$15)-(IF('Calc'!$E$15=1,0,MIN(Calc!$AA$97*(1+'财富模型'!$E$20/12)+'Calc'!$B$6,IF(Calc!$Y$98&lt;='财富模型'!$E$11*12,'Calc'!$W$15,'Calc'!$Y$15))))))),0))</x:f>
      </x:c>
      <x:c r="AA98" t="str">
        <x:f>IF(Calc!$Y$98&gt;'Calc'!$B$8,"",MAX(Calc!$AA$97*(1+'财富模型'!$E$20/12)+'Calc'!$B$6-(IF('Calc'!$E$15=1,0,MIN(Calc!$AA$97*(1+'财富模型'!$E$20/12)+'Calc'!$B$6,IF(Calc!$Y$98&lt;='财富模型'!$E$11*12,'Calc'!$W$15,'Calc'!$Y$15)))),0))</x:f>
      </x:c>
      <x:c r="AB98" t="str">
        <x:f>IF(Calc!$Y$98&gt;'Calc'!$B$8,"",IF('Calc'!$E$15=1,'财富模型'!$E$9,'财富模型'!$M$7+IF(Calc!$Y$98&lt;='财富模型'!$E$11*12,'Calc'!$W$15,'Calc'!$Y$15)-(IF('Calc'!$E$15=1,0,MIN(Calc!$AA$97*(1+'财富模型'!$E$20/12)+'Calc'!$B$6,IF(Calc!$Y$98&lt;='财富模型'!$E$11*12,'Calc'!$W$15,'Calc'!$Y$15))))))</x:f>
      </x:c>
      <x:c r="AC98" t="str">
        <x:f>IF(Calc!$Y$98&gt;'Calc'!$B$8,"",IF('Calc'!$E$15=1,0,MIN(Calc!$AA$97*(1+'财富模型'!$E$20/12)+'Calc'!$B$6,IF(Calc!$Y$98&lt;='财富模型'!$E$11*12,'Calc'!$W$15,'Calc'!$Y$15))))</x:f>
      </x:c>
      <x:c r="AD98" t="str">
        <x:f>IF(Calc!$Y$98&gt;'Calc'!$B$8,"",'Calc'!$B$5-'财富模型'!$E$5-(IF('Calc'!$E$15=1,'财富模型'!$E$9,'财富模型'!$M$7+IF(Calc!$Y$98&lt;='财富模型'!$E$11*12,'Calc'!$W$15,'Calc'!$Y$15)-(IF('Calc'!$E$15=1,0,MIN(Calc!$AA$97*(1+'财富模型'!$E$20/12)+'Calc'!$B$6,IF(Calc!$Y$98&lt;='财富模型'!$E$11*12,'Calc'!$W$15,'Calc'!$Y$15)))))))</x:f>
      </x:c>
      <x:c r="AE98" t="str">
        <x:f>IF(Calc!$Y$98&gt;'Calc'!$B$8,"",IF('Calc'!$E$15=1,0,MAX(Calc!$AE$97*(1+IF(Calc!$Y$98&lt;='财富模型'!$E$11*12,'财富模型'!$E$10,'财富模型'!$E$12)/12)-IF('Calc'!$E$15=1,0,IF(Calc!$Y$98&lt;='财富模型'!$E$11*12,'Calc'!$W$15,'Calc'!$Y$15)),0)))</x:f>
      </x:c>
      <x:c r="AG98" t="n">
        <x:v>77</x:v>
      </x:c>
      <x:c r="AH98" t="str">
        <x:f>IF(Calc!$AG$98&gt;'Calc'!$B$8,"",MAX(Calc!$AH$97*(1+'财富模型'!$E$6/12)+('Calc'!$B$5-'财富模型'!$E$5-(IF('Calc'!$E$16=1,'财富模型'!$E$9,'财富模型'!$M$8+IF(Calc!$AG$98&lt;='财富模型'!$E$11*12,'Calc'!$W$16,'Calc'!$Y$16)-(IF('Calc'!$E$16=1,0,MIN(Calc!$AI$97*(1+'财富模型'!$E$20/12)+'Calc'!$B$6,IF(Calc!$AG$98&lt;='财富模型'!$E$11*12,'Calc'!$W$16,'Calc'!$Y$16))))))),0))</x:f>
      </x:c>
      <x:c r="AI98" t="str">
        <x:f>IF(Calc!$AG$98&gt;'Calc'!$B$8,"",MAX(Calc!$AI$97*(1+'财富模型'!$E$20/12)+'Calc'!$B$6-(IF('Calc'!$E$16=1,0,MIN(Calc!$AI$97*(1+'财富模型'!$E$20/12)+'Calc'!$B$6,IF(Calc!$AG$98&lt;='财富模型'!$E$11*12,'Calc'!$W$16,'Calc'!$Y$16)))),0))</x:f>
      </x:c>
      <x:c r="AJ98" t="str">
        <x:f>IF(Calc!$AG$98&gt;'Calc'!$B$8,"",IF('Calc'!$E$16=1,'财富模型'!$E$9,'财富模型'!$M$8+IF(Calc!$AG$98&lt;='财富模型'!$E$11*12,'Calc'!$W$16,'Calc'!$Y$16)-(IF('Calc'!$E$16=1,0,MIN(Calc!$AI$97*(1+'财富模型'!$E$20/12)+'Calc'!$B$6,IF(Calc!$AG$98&lt;='财富模型'!$E$11*12,'Calc'!$W$16,'Calc'!$Y$16))))))</x:f>
      </x:c>
      <x:c r="AK98" t="str">
        <x:f>IF(Calc!$AG$98&gt;'Calc'!$B$8,"",IF('Calc'!$E$16=1,0,MIN(Calc!$AI$97*(1+'财富模型'!$E$20/12)+'Calc'!$B$6,IF(Calc!$AG$98&lt;='财富模型'!$E$11*12,'Calc'!$W$16,'Calc'!$Y$16))))</x:f>
      </x:c>
      <x:c r="AL98" t="str">
        <x:f>IF(Calc!$AG$98&gt;'Calc'!$B$8,"",'Calc'!$B$5-'财富模型'!$E$5-(IF('Calc'!$E$16=1,'财富模型'!$E$9,'财富模型'!$M$8+IF(Calc!$AG$98&lt;='财富模型'!$E$11*12,'Calc'!$W$16,'Calc'!$Y$16)-(IF('Calc'!$E$16=1,0,MIN(Calc!$AI$97*(1+'财富模型'!$E$20/12)+'Calc'!$B$6,IF(Calc!$AG$98&lt;='财富模型'!$E$11*12,'Calc'!$W$16,'Calc'!$Y$16)))))))</x:f>
      </x:c>
      <x:c r="AM98" t="str">
        <x:f>IF(Calc!$AG$98&gt;'Calc'!$B$8,"",IF('Calc'!$E$16=1,0,MAX(Calc!$AM$97*(1+IF(Calc!$AG$98&lt;='财富模型'!$E$11*12,'财富模型'!$E$10,'财富模型'!$E$12)/12)-IF('Calc'!$E$16=1,0,IF(Calc!$AG$98&lt;='财富模型'!$E$11*12,'Calc'!$W$16,'Calc'!$Y$16)),0)))</x:f>
      </x:c>
      <x:c r="AO98" t="n">
        <x:v>77</x:v>
      </x:c>
      <x:c r="AP98" t="str">
        <x:f>IF(Calc!$AO$98&gt;'Calc'!$B$8,"",MAX(Calc!$AP$97*(1+'财富模型'!$E$6/12)+('Calc'!$B$5-'财富模型'!$E$5-(IF('Calc'!$E$17=1,'财富模型'!$E$9,'财富模型'!$M$9+IF(Calc!$AO$98&lt;='财富模型'!$E$11*12,'Calc'!$W$17,'Calc'!$Y$17)-(IF('Calc'!$E$17=1,0,MIN(Calc!$AQ$97*(1+'财富模型'!$E$20/12)+'Calc'!$B$6,IF(Calc!$AO$98&lt;='财富模型'!$E$11*12,'Calc'!$W$17,'Calc'!$Y$17))))))),0))</x:f>
      </x:c>
      <x:c r="AQ98" t="str">
        <x:f>IF(Calc!$AO$98&gt;'Calc'!$B$8,"",MAX(Calc!$AQ$97*(1+'财富模型'!$E$20/12)+'Calc'!$B$6-(IF('Calc'!$E$17=1,0,MIN(Calc!$AQ$97*(1+'财富模型'!$E$20/12)+'Calc'!$B$6,IF(Calc!$AO$98&lt;='财富模型'!$E$11*12,'Calc'!$W$17,'Calc'!$Y$17)))),0))</x:f>
      </x:c>
      <x:c r="AR98" t="str">
        <x:f>IF(Calc!$AO$98&gt;'Calc'!$B$8,"",IF('Calc'!$E$17=1,'财富模型'!$E$9,'财富模型'!$M$9+IF(Calc!$AO$98&lt;='财富模型'!$E$11*12,'Calc'!$W$17,'Calc'!$Y$17)-(IF('Calc'!$E$17=1,0,MIN(Calc!$AQ$97*(1+'财富模型'!$E$20/12)+'Calc'!$B$6,IF(Calc!$AO$98&lt;='财富模型'!$E$11*12,'Calc'!$W$17,'Calc'!$Y$17))))))</x:f>
      </x:c>
      <x:c r="AS98" t="str">
        <x:f>IF(Calc!$AO$98&gt;'Calc'!$B$8,"",IF('Calc'!$E$17=1,0,MIN(Calc!$AQ$97*(1+'财富模型'!$E$20/12)+'Calc'!$B$6,IF(Calc!$AO$98&lt;='财富模型'!$E$11*12,'Calc'!$W$17,'Calc'!$Y$17))))</x:f>
      </x:c>
      <x:c r="AT98" t="str">
        <x:f>IF(Calc!$AO$98&gt;'Calc'!$B$8,"",'Calc'!$B$5-'财富模型'!$E$5-(IF('Calc'!$E$17=1,'财富模型'!$E$9,'财富模型'!$M$9+IF(Calc!$AO$98&lt;='财富模型'!$E$11*12,'Calc'!$W$17,'Calc'!$Y$17)-(IF('Calc'!$E$17=1,0,MIN(Calc!$AQ$97*(1+'财富模型'!$E$20/12)+'Calc'!$B$6,IF(Calc!$AO$98&lt;='财富模型'!$E$11*12,'Calc'!$W$17,'Calc'!$Y$17)))))))</x:f>
      </x:c>
      <x:c r="AU98" t="str">
        <x:f>IF(Calc!$AO$98&gt;'Calc'!$B$8,"",IF('Calc'!$E$17=1,0,MAX(Calc!$AU$97*(1+IF(Calc!$AO$98&lt;='财富模型'!$E$11*12,'财富模型'!$E$10,'财富模型'!$E$12)/12)-IF('Calc'!$E$17=1,0,IF(Calc!$AO$98&lt;='财富模型'!$E$11*12,'Calc'!$W$17,'Calc'!$Y$17)),0)))</x:f>
      </x:c>
    </x:row>
    <x:row r="99">
      <x:c r="A99" t="n">
        <x:v>78</x:v>
      </x:c>
      <x:c r="B99" t="str">
        <x:f>IF(Calc!$A$99&gt;'Calc'!$B$8,"",MAX(Calc!$B$98*(1+'财富模型'!$E$6/12)+('Calc'!$B$5-'财富模型'!$E$5-(IF('Calc'!$E$12=1,'财富模型'!$E$9,'财富模型'!$M$4+IF(Calc!$A$99&lt;='财富模型'!$E$11*12,'Calc'!$W$12,'Calc'!$Y$12)-(IF('Calc'!$E$12=1,0,MIN(Calc!$C$98*(1+'财富模型'!$E$20/12)+'Calc'!$B$6,IF(Calc!$A$99&lt;='财富模型'!$E$11*12,'Calc'!$W$12,'Calc'!$Y$12))))))),0))</x:f>
      </x:c>
      <x:c r="C99" t="str">
        <x:f>IF(Calc!$A$99&gt;'Calc'!$B$8,"",MAX(Calc!$C$98*(1+'财富模型'!$E$20/12)+'Calc'!$B$6-(IF('Calc'!$E$12=1,0,MIN(Calc!$C$98*(1+'财富模型'!$E$20/12)+'Calc'!$B$6,IF(Calc!$A$99&lt;='财富模型'!$E$11*12,'Calc'!$W$12,'Calc'!$Y$12)))),0))</x:f>
      </x:c>
      <x:c r="D99" t="str">
        <x:f>IF(Calc!$A$99&gt;'Calc'!$B$8,"",IF('Calc'!$E$12=1,'财富模型'!$E$9,'财富模型'!$M$4+IF(Calc!$A$99&lt;='财富模型'!$E$11*12,'Calc'!$W$12,'Calc'!$Y$12)-(IF('Calc'!$E$12=1,0,MIN(Calc!$C$98*(1+'财富模型'!$E$20/12)+'Calc'!$B$6,IF(Calc!$A$99&lt;='财富模型'!$E$11*12,'Calc'!$W$12,'Calc'!$Y$12))))))</x:f>
      </x:c>
      <x:c r="E99" t="str">
        <x:f>IF(Calc!$A$99&gt;'Calc'!$B$8,"",IF('Calc'!$E$12=1,0,MIN(Calc!$C$98*(1+'财富模型'!$E$20/12)+'Calc'!$B$6,IF(Calc!$A$99&lt;='财富模型'!$E$11*12,'Calc'!$W$12,'Calc'!$Y$12))))</x:f>
      </x:c>
      <x:c r="F99" t="str">
        <x:f>IF(Calc!$A$99&gt;'Calc'!$B$8,"",'Calc'!$B$5-'财富模型'!$E$5-(IF('Calc'!$E$12=1,'财富模型'!$E$9,'财富模型'!$M$4+IF(Calc!$A$99&lt;='财富模型'!$E$11*12,'Calc'!$W$12,'Calc'!$Y$12)-(IF('Calc'!$E$12=1,0,MIN(Calc!$C$98*(1+'财富模型'!$E$20/12)+'Calc'!$B$6,IF(Calc!$A$99&lt;='财富模型'!$E$11*12,'Calc'!$W$12,'Calc'!$Y$12)))))))</x:f>
      </x:c>
      <x:c r="G99" t="str">
        <x:f>IF(Calc!$A$99&gt;'Calc'!$B$8,"",IF('Calc'!$E$12=1,0,MAX(Calc!$G$98*(1+IF(Calc!$A$99&lt;='财富模型'!$E$11*12,'财富模型'!$E$10,'财富模型'!$E$12)/12)-IF('Calc'!$E$12=1,0,IF(Calc!$A$99&lt;='财富模型'!$E$11*12,'Calc'!$W$12,'Calc'!$Y$12)),0)))</x:f>
      </x:c>
      <x:c r="I99" t="n">
        <x:v>78</x:v>
      </x:c>
      <x:c r="J99" t="str">
        <x:f>IF(Calc!$I$99&gt;'Calc'!$B$8,"",MAX(Calc!$J$98*(1+'财富模型'!$E$6/12)+('Calc'!$B$5-'财富模型'!$E$5-(IF('Calc'!$E$13=1,'财富模型'!$E$9,'财富模型'!$M$5+IF(Calc!$I$99&lt;='财富模型'!$E$11*12,'Calc'!$W$13,'Calc'!$Y$13)-(IF('Calc'!$E$13=1,0,MIN(Calc!$K$98*(1+'财富模型'!$E$20/12)+'Calc'!$B$6,IF(Calc!$I$99&lt;='财富模型'!$E$11*12,'Calc'!$W$13,'Calc'!$Y$13))))))),0))</x:f>
      </x:c>
      <x:c r="K99" t="str">
        <x:f>IF(Calc!$I$99&gt;'Calc'!$B$8,"",MAX(Calc!$K$98*(1+'财富模型'!$E$20/12)+'Calc'!$B$6-(IF('Calc'!$E$13=1,0,MIN(Calc!$K$98*(1+'财富模型'!$E$20/12)+'Calc'!$B$6,IF(Calc!$I$99&lt;='财富模型'!$E$11*12,'Calc'!$W$13,'Calc'!$Y$13)))),0))</x:f>
      </x:c>
      <x:c r="L99" t="str">
        <x:f>IF(Calc!$I$99&gt;'Calc'!$B$8,"",IF('Calc'!$E$13=1,'财富模型'!$E$9,'财富模型'!$M$5+IF(Calc!$I$99&lt;='财富模型'!$E$11*12,'Calc'!$W$13,'Calc'!$Y$13)-(IF('Calc'!$E$13=1,0,MIN(Calc!$K$98*(1+'财富模型'!$E$20/12)+'Calc'!$B$6,IF(Calc!$I$99&lt;='财富模型'!$E$11*12,'Calc'!$W$13,'Calc'!$Y$13))))))</x:f>
      </x:c>
      <x:c r="M99" t="str">
        <x:f>IF(Calc!$I$99&gt;'Calc'!$B$8,"",IF('Calc'!$E$13=1,0,MIN(Calc!$K$98*(1+'财富模型'!$E$20/12)+'Calc'!$B$6,IF(Calc!$I$99&lt;='财富模型'!$E$11*12,'Calc'!$W$13,'Calc'!$Y$13))))</x:f>
      </x:c>
      <x:c r="N99" t="str">
        <x:f>IF(Calc!$I$99&gt;'Calc'!$B$8,"",'Calc'!$B$5-'财富模型'!$E$5-(IF('Calc'!$E$13=1,'财富模型'!$E$9,'财富模型'!$M$5+IF(Calc!$I$99&lt;='财富模型'!$E$11*12,'Calc'!$W$13,'Calc'!$Y$13)-(IF('Calc'!$E$13=1,0,MIN(Calc!$K$98*(1+'财富模型'!$E$20/12)+'Calc'!$B$6,IF(Calc!$I$99&lt;='财富模型'!$E$11*12,'Calc'!$W$13,'Calc'!$Y$13)))))))</x:f>
      </x:c>
      <x:c r="O99" t="str">
        <x:f>IF(Calc!$I$99&gt;'Calc'!$B$8,"",IF('Calc'!$E$13=1,0,MAX(Calc!$O$98*(1+IF(Calc!$I$99&lt;='财富模型'!$E$11*12,'财富模型'!$E$10,'财富模型'!$E$12)/12)-IF('Calc'!$E$13=1,0,IF(Calc!$I$99&lt;='财富模型'!$E$11*12,'Calc'!$W$13,'Calc'!$Y$13)),0)))</x:f>
      </x:c>
      <x:c r="Q99" t="n">
        <x:v>78</x:v>
      </x:c>
      <x:c r="R99" t="str">
        <x:f>IF(Calc!$Q$99&gt;'Calc'!$B$8,"",MAX(Calc!$R$98*(1+'财富模型'!$E$6/12)+('Calc'!$B$5-'财富模型'!$E$5-(IF('Calc'!$E$14=1,'财富模型'!$E$9,'财富模型'!$M$6+IF(Calc!$Q$99&lt;='财富模型'!$E$11*12,'Calc'!$W$14,'Calc'!$Y$14)-(IF('Calc'!$E$14=1,0,MIN(Calc!$S$98*(1+'财富模型'!$E$20/12)+'Calc'!$B$6,IF(Calc!$Q$99&lt;='财富模型'!$E$11*12,'Calc'!$W$14,'Calc'!$Y$14))))))),0))</x:f>
      </x:c>
      <x:c r="S99" t="str">
        <x:f>IF(Calc!$Q$99&gt;'Calc'!$B$8,"",MAX(Calc!$S$98*(1+'财富模型'!$E$20/12)+'Calc'!$B$6-(IF('Calc'!$E$14=1,0,MIN(Calc!$S$98*(1+'财富模型'!$E$20/12)+'Calc'!$B$6,IF(Calc!$Q$99&lt;='财富模型'!$E$11*12,'Calc'!$W$14,'Calc'!$Y$14)))),0))</x:f>
      </x:c>
      <x:c r="T99" t="str">
        <x:f>IF(Calc!$Q$99&gt;'Calc'!$B$8,"",IF('Calc'!$E$14=1,'财富模型'!$E$9,'财富模型'!$M$6+IF(Calc!$Q$99&lt;='财富模型'!$E$11*12,'Calc'!$W$14,'Calc'!$Y$14)-(IF('Calc'!$E$14=1,0,MIN(Calc!$S$98*(1+'财富模型'!$E$20/12)+'Calc'!$B$6,IF(Calc!$Q$99&lt;='财富模型'!$E$11*12,'Calc'!$W$14,'Calc'!$Y$14))))))</x:f>
      </x:c>
      <x:c r="U99" t="str">
        <x:f>IF(Calc!$Q$99&gt;'Calc'!$B$8,"",IF('Calc'!$E$14=1,0,MIN(Calc!$S$98*(1+'财富模型'!$E$20/12)+'Calc'!$B$6,IF(Calc!$Q$99&lt;='财富模型'!$E$11*12,'Calc'!$W$14,'Calc'!$Y$14))))</x:f>
      </x:c>
      <x:c r="V99" t="str">
        <x:f>IF(Calc!$Q$99&gt;'Calc'!$B$8,"",'Calc'!$B$5-'财富模型'!$E$5-(IF('Calc'!$E$14=1,'财富模型'!$E$9,'财富模型'!$M$6+IF(Calc!$Q$99&lt;='财富模型'!$E$11*12,'Calc'!$W$14,'Calc'!$Y$14)-(IF('Calc'!$E$14=1,0,MIN(Calc!$S$98*(1+'财富模型'!$E$20/12)+'Calc'!$B$6,IF(Calc!$Q$99&lt;='财富模型'!$E$11*12,'Calc'!$W$14,'Calc'!$Y$14)))))))</x:f>
      </x:c>
      <x:c r="W99" t="str">
        <x:f>IF(Calc!$Q$99&gt;'Calc'!$B$8,"",IF('Calc'!$E$14=1,0,MAX(Calc!$W$98*(1+IF(Calc!$Q$99&lt;='财富模型'!$E$11*12,'财富模型'!$E$10,'财富模型'!$E$12)/12)-IF('Calc'!$E$14=1,0,IF(Calc!$Q$99&lt;='财富模型'!$E$11*12,'Calc'!$W$14,'Calc'!$Y$14)),0)))</x:f>
      </x:c>
      <x:c r="Y99" t="n">
        <x:v>78</x:v>
      </x:c>
      <x:c r="Z99" t="str">
        <x:f>IF(Calc!$Y$99&gt;'Calc'!$B$8,"",MAX(Calc!$Z$98*(1+'财富模型'!$E$6/12)+('Calc'!$B$5-'财富模型'!$E$5-(IF('Calc'!$E$15=1,'财富模型'!$E$9,'财富模型'!$M$7+IF(Calc!$Y$99&lt;='财富模型'!$E$11*12,'Calc'!$W$15,'Calc'!$Y$15)-(IF('Calc'!$E$15=1,0,MIN(Calc!$AA$98*(1+'财富模型'!$E$20/12)+'Calc'!$B$6,IF(Calc!$Y$99&lt;='财富模型'!$E$11*12,'Calc'!$W$15,'Calc'!$Y$15))))))),0))</x:f>
      </x:c>
      <x:c r="AA99" t="str">
        <x:f>IF(Calc!$Y$99&gt;'Calc'!$B$8,"",MAX(Calc!$AA$98*(1+'财富模型'!$E$20/12)+'Calc'!$B$6-(IF('Calc'!$E$15=1,0,MIN(Calc!$AA$98*(1+'财富模型'!$E$20/12)+'Calc'!$B$6,IF(Calc!$Y$99&lt;='财富模型'!$E$11*12,'Calc'!$W$15,'Calc'!$Y$15)))),0))</x:f>
      </x:c>
      <x:c r="AB99" t="str">
        <x:f>IF(Calc!$Y$99&gt;'Calc'!$B$8,"",IF('Calc'!$E$15=1,'财富模型'!$E$9,'财富模型'!$M$7+IF(Calc!$Y$99&lt;='财富模型'!$E$11*12,'Calc'!$W$15,'Calc'!$Y$15)-(IF('Calc'!$E$15=1,0,MIN(Calc!$AA$98*(1+'财富模型'!$E$20/12)+'Calc'!$B$6,IF(Calc!$Y$99&lt;='财富模型'!$E$11*12,'Calc'!$W$15,'Calc'!$Y$15))))))</x:f>
      </x:c>
      <x:c r="AC99" t="str">
        <x:f>IF(Calc!$Y$99&gt;'Calc'!$B$8,"",IF('Calc'!$E$15=1,0,MIN(Calc!$AA$98*(1+'财富模型'!$E$20/12)+'Calc'!$B$6,IF(Calc!$Y$99&lt;='财富模型'!$E$11*12,'Calc'!$W$15,'Calc'!$Y$15))))</x:f>
      </x:c>
      <x:c r="AD99" t="str">
        <x:f>IF(Calc!$Y$99&gt;'Calc'!$B$8,"",'Calc'!$B$5-'财富模型'!$E$5-(IF('Calc'!$E$15=1,'财富模型'!$E$9,'财富模型'!$M$7+IF(Calc!$Y$99&lt;='财富模型'!$E$11*12,'Calc'!$W$15,'Calc'!$Y$15)-(IF('Calc'!$E$15=1,0,MIN(Calc!$AA$98*(1+'财富模型'!$E$20/12)+'Calc'!$B$6,IF(Calc!$Y$99&lt;='财富模型'!$E$11*12,'Calc'!$W$15,'Calc'!$Y$15)))))))</x:f>
      </x:c>
      <x:c r="AE99" t="str">
        <x:f>IF(Calc!$Y$99&gt;'Calc'!$B$8,"",IF('Calc'!$E$15=1,0,MAX(Calc!$AE$98*(1+IF(Calc!$Y$99&lt;='财富模型'!$E$11*12,'财富模型'!$E$10,'财富模型'!$E$12)/12)-IF('Calc'!$E$15=1,0,IF(Calc!$Y$99&lt;='财富模型'!$E$11*12,'Calc'!$W$15,'Calc'!$Y$15)),0)))</x:f>
      </x:c>
      <x:c r="AG99" t="n">
        <x:v>78</x:v>
      </x:c>
      <x:c r="AH99" t="str">
        <x:f>IF(Calc!$AG$99&gt;'Calc'!$B$8,"",MAX(Calc!$AH$98*(1+'财富模型'!$E$6/12)+('Calc'!$B$5-'财富模型'!$E$5-(IF('Calc'!$E$16=1,'财富模型'!$E$9,'财富模型'!$M$8+IF(Calc!$AG$99&lt;='财富模型'!$E$11*12,'Calc'!$W$16,'Calc'!$Y$16)-(IF('Calc'!$E$16=1,0,MIN(Calc!$AI$98*(1+'财富模型'!$E$20/12)+'Calc'!$B$6,IF(Calc!$AG$99&lt;='财富模型'!$E$11*12,'Calc'!$W$16,'Calc'!$Y$16))))))),0))</x:f>
      </x:c>
      <x:c r="AI99" t="str">
        <x:f>IF(Calc!$AG$99&gt;'Calc'!$B$8,"",MAX(Calc!$AI$98*(1+'财富模型'!$E$20/12)+'Calc'!$B$6-(IF('Calc'!$E$16=1,0,MIN(Calc!$AI$98*(1+'财富模型'!$E$20/12)+'Calc'!$B$6,IF(Calc!$AG$99&lt;='财富模型'!$E$11*12,'Calc'!$W$16,'Calc'!$Y$16)))),0))</x:f>
      </x:c>
      <x:c r="AJ99" t="str">
        <x:f>IF(Calc!$AG$99&gt;'Calc'!$B$8,"",IF('Calc'!$E$16=1,'财富模型'!$E$9,'财富模型'!$M$8+IF(Calc!$AG$99&lt;='财富模型'!$E$11*12,'Calc'!$W$16,'Calc'!$Y$16)-(IF('Calc'!$E$16=1,0,MIN(Calc!$AI$98*(1+'财富模型'!$E$20/12)+'Calc'!$B$6,IF(Calc!$AG$99&lt;='财富模型'!$E$11*12,'Calc'!$W$16,'Calc'!$Y$16))))))</x:f>
      </x:c>
      <x:c r="AK99" t="str">
        <x:f>IF(Calc!$AG$99&gt;'Calc'!$B$8,"",IF('Calc'!$E$16=1,0,MIN(Calc!$AI$98*(1+'财富模型'!$E$20/12)+'Calc'!$B$6,IF(Calc!$AG$99&lt;='财富模型'!$E$11*12,'Calc'!$W$16,'Calc'!$Y$16))))</x:f>
      </x:c>
      <x:c r="AL99" t="str">
        <x:f>IF(Calc!$AG$99&gt;'Calc'!$B$8,"",'Calc'!$B$5-'财富模型'!$E$5-(IF('Calc'!$E$16=1,'财富模型'!$E$9,'财富模型'!$M$8+IF(Calc!$AG$99&lt;='财富模型'!$E$11*12,'Calc'!$W$16,'Calc'!$Y$16)-(IF('Calc'!$E$16=1,0,MIN(Calc!$AI$98*(1+'财富模型'!$E$20/12)+'Calc'!$B$6,IF(Calc!$AG$99&lt;='财富模型'!$E$11*12,'Calc'!$W$16,'Calc'!$Y$16)))))))</x:f>
      </x:c>
      <x:c r="AM99" t="str">
        <x:f>IF(Calc!$AG$99&gt;'Calc'!$B$8,"",IF('Calc'!$E$16=1,0,MAX(Calc!$AM$98*(1+IF(Calc!$AG$99&lt;='财富模型'!$E$11*12,'财富模型'!$E$10,'财富模型'!$E$12)/12)-IF('Calc'!$E$16=1,0,IF(Calc!$AG$99&lt;='财富模型'!$E$11*12,'Calc'!$W$16,'Calc'!$Y$16)),0)))</x:f>
      </x:c>
      <x:c r="AO99" t="n">
        <x:v>78</x:v>
      </x:c>
      <x:c r="AP99" t="str">
        <x:f>IF(Calc!$AO$99&gt;'Calc'!$B$8,"",MAX(Calc!$AP$98*(1+'财富模型'!$E$6/12)+('Calc'!$B$5-'财富模型'!$E$5-(IF('Calc'!$E$17=1,'财富模型'!$E$9,'财富模型'!$M$9+IF(Calc!$AO$99&lt;='财富模型'!$E$11*12,'Calc'!$W$17,'Calc'!$Y$17)-(IF('Calc'!$E$17=1,0,MIN(Calc!$AQ$98*(1+'财富模型'!$E$20/12)+'Calc'!$B$6,IF(Calc!$AO$99&lt;='财富模型'!$E$11*12,'Calc'!$W$17,'Calc'!$Y$17))))))),0))</x:f>
      </x:c>
      <x:c r="AQ99" t="str">
        <x:f>IF(Calc!$AO$99&gt;'Calc'!$B$8,"",MAX(Calc!$AQ$98*(1+'财富模型'!$E$20/12)+'Calc'!$B$6-(IF('Calc'!$E$17=1,0,MIN(Calc!$AQ$98*(1+'财富模型'!$E$20/12)+'Calc'!$B$6,IF(Calc!$AO$99&lt;='财富模型'!$E$11*12,'Calc'!$W$17,'Calc'!$Y$17)))),0))</x:f>
      </x:c>
      <x:c r="AR99" t="str">
        <x:f>IF(Calc!$AO$99&gt;'Calc'!$B$8,"",IF('Calc'!$E$17=1,'财富模型'!$E$9,'财富模型'!$M$9+IF(Calc!$AO$99&lt;='财富模型'!$E$11*12,'Calc'!$W$17,'Calc'!$Y$17)-(IF('Calc'!$E$17=1,0,MIN(Calc!$AQ$98*(1+'财富模型'!$E$20/12)+'Calc'!$B$6,IF(Calc!$AO$99&lt;='财富模型'!$E$11*12,'Calc'!$W$17,'Calc'!$Y$17))))))</x:f>
      </x:c>
      <x:c r="AS99" t="str">
        <x:f>IF(Calc!$AO$99&gt;'Calc'!$B$8,"",IF('Calc'!$E$17=1,0,MIN(Calc!$AQ$98*(1+'财富模型'!$E$20/12)+'Calc'!$B$6,IF(Calc!$AO$99&lt;='财富模型'!$E$11*12,'Calc'!$W$17,'Calc'!$Y$17))))</x:f>
      </x:c>
      <x:c r="AT99" t="str">
        <x:f>IF(Calc!$AO$99&gt;'Calc'!$B$8,"",'Calc'!$B$5-'财富模型'!$E$5-(IF('Calc'!$E$17=1,'财富模型'!$E$9,'财富模型'!$M$9+IF(Calc!$AO$99&lt;='财富模型'!$E$11*12,'Calc'!$W$17,'Calc'!$Y$17)-(IF('Calc'!$E$17=1,0,MIN(Calc!$AQ$98*(1+'财富模型'!$E$20/12)+'Calc'!$B$6,IF(Calc!$AO$99&lt;='财富模型'!$E$11*12,'Calc'!$W$17,'Calc'!$Y$17)))))))</x:f>
      </x:c>
      <x:c r="AU99" t="str">
        <x:f>IF(Calc!$AO$99&gt;'Calc'!$B$8,"",IF('Calc'!$E$17=1,0,MAX(Calc!$AU$98*(1+IF(Calc!$AO$99&lt;='财富模型'!$E$11*12,'财富模型'!$E$10,'财富模型'!$E$12)/12)-IF('Calc'!$E$17=1,0,IF(Calc!$AO$99&lt;='财富模型'!$E$11*12,'Calc'!$W$17,'Calc'!$Y$17)),0)))</x:f>
      </x:c>
    </x:row>
    <x:row r="100">
      <x:c r="A100" t="n">
        <x:v>79</x:v>
      </x:c>
      <x:c r="B100" t="str">
        <x:f>IF(Calc!$A$100&gt;'Calc'!$B$8,"",MAX(Calc!$B$99*(1+'财富模型'!$E$6/12)+('Calc'!$B$5-'财富模型'!$E$5-(IF('Calc'!$E$12=1,'财富模型'!$E$9,'财富模型'!$M$4+IF(Calc!$A$100&lt;='财富模型'!$E$11*12,'Calc'!$W$12,'Calc'!$Y$12)-(IF('Calc'!$E$12=1,0,MIN(Calc!$C$99*(1+'财富模型'!$E$20/12)+'Calc'!$B$6,IF(Calc!$A$100&lt;='财富模型'!$E$11*12,'Calc'!$W$12,'Calc'!$Y$12))))))),0))</x:f>
      </x:c>
      <x:c r="C100" t="str">
        <x:f>IF(Calc!$A$100&gt;'Calc'!$B$8,"",MAX(Calc!$C$99*(1+'财富模型'!$E$20/12)+'Calc'!$B$6-(IF('Calc'!$E$12=1,0,MIN(Calc!$C$99*(1+'财富模型'!$E$20/12)+'Calc'!$B$6,IF(Calc!$A$100&lt;='财富模型'!$E$11*12,'Calc'!$W$12,'Calc'!$Y$12)))),0))</x:f>
      </x:c>
      <x:c r="D100" t="str">
        <x:f>IF(Calc!$A$100&gt;'Calc'!$B$8,"",IF('Calc'!$E$12=1,'财富模型'!$E$9,'财富模型'!$M$4+IF(Calc!$A$100&lt;='财富模型'!$E$11*12,'Calc'!$W$12,'Calc'!$Y$12)-(IF('Calc'!$E$12=1,0,MIN(Calc!$C$99*(1+'财富模型'!$E$20/12)+'Calc'!$B$6,IF(Calc!$A$100&lt;='财富模型'!$E$11*12,'Calc'!$W$12,'Calc'!$Y$12))))))</x:f>
      </x:c>
      <x:c r="E100" t="str">
        <x:f>IF(Calc!$A$100&gt;'Calc'!$B$8,"",IF('Calc'!$E$12=1,0,MIN(Calc!$C$99*(1+'财富模型'!$E$20/12)+'Calc'!$B$6,IF(Calc!$A$100&lt;='财富模型'!$E$11*12,'Calc'!$W$12,'Calc'!$Y$12))))</x:f>
      </x:c>
      <x:c r="F100" t="str">
        <x:f>IF(Calc!$A$100&gt;'Calc'!$B$8,"",'Calc'!$B$5-'财富模型'!$E$5-(IF('Calc'!$E$12=1,'财富模型'!$E$9,'财富模型'!$M$4+IF(Calc!$A$100&lt;='财富模型'!$E$11*12,'Calc'!$W$12,'Calc'!$Y$12)-(IF('Calc'!$E$12=1,0,MIN(Calc!$C$99*(1+'财富模型'!$E$20/12)+'Calc'!$B$6,IF(Calc!$A$100&lt;='财富模型'!$E$11*12,'Calc'!$W$12,'Calc'!$Y$12)))))))</x:f>
      </x:c>
      <x:c r="G100" t="str">
        <x:f>IF(Calc!$A$100&gt;'Calc'!$B$8,"",IF('Calc'!$E$12=1,0,MAX(Calc!$G$99*(1+IF(Calc!$A$100&lt;='财富模型'!$E$11*12,'财富模型'!$E$10,'财富模型'!$E$12)/12)-IF('Calc'!$E$12=1,0,IF(Calc!$A$100&lt;='财富模型'!$E$11*12,'Calc'!$W$12,'Calc'!$Y$12)),0)))</x:f>
      </x:c>
      <x:c r="I100" t="n">
        <x:v>79</x:v>
      </x:c>
      <x:c r="J100" t="str">
        <x:f>IF(Calc!$I$100&gt;'Calc'!$B$8,"",MAX(Calc!$J$99*(1+'财富模型'!$E$6/12)+('Calc'!$B$5-'财富模型'!$E$5-(IF('Calc'!$E$13=1,'财富模型'!$E$9,'财富模型'!$M$5+IF(Calc!$I$100&lt;='财富模型'!$E$11*12,'Calc'!$W$13,'Calc'!$Y$13)-(IF('Calc'!$E$13=1,0,MIN(Calc!$K$99*(1+'财富模型'!$E$20/12)+'Calc'!$B$6,IF(Calc!$I$100&lt;='财富模型'!$E$11*12,'Calc'!$W$13,'Calc'!$Y$13))))))),0))</x:f>
      </x:c>
      <x:c r="K100" t="str">
        <x:f>IF(Calc!$I$100&gt;'Calc'!$B$8,"",MAX(Calc!$K$99*(1+'财富模型'!$E$20/12)+'Calc'!$B$6-(IF('Calc'!$E$13=1,0,MIN(Calc!$K$99*(1+'财富模型'!$E$20/12)+'Calc'!$B$6,IF(Calc!$I$100&lt;='财富模型'!$E$11*12,'Calc'!$W$13,'Calc'!$Y$13)))),0))</x:f>
      </x:c>
      <x:c r="L100" t="str">
        <x:f>IF(Calc!$I$100&gt;'Calc'!$B$8,"",IF('Calc'!$E$13=1,'财富模型'!$E$9,'财富模型'!$M$5+IF(Calc!$I$100&lt;='财富模型'!$E$11*12,'Calc'!$W$13,'Calc'!$Y$13)-(IF('Calc'!$E$13=1,0,MIN(Calc!$K$99*(1+'财富模型'!$E$20/12)+'Calc'!$B$6,IF(Calc!$I$100&lt;='财富模型'!$E$11*12,'Calc'!$W$13,'Calc'!$Y$13))))))</x:f>
      </x:c>
      <x:c r="M100" t="str">
        <x:f>IF(Calc!$I$100&gt;'Calc'!$B$8,"",IF('Calc'!$E$13=1,0,MIN(Calc!$K$99*(1+'财富模型'!$E$20/12)+'Calc'!$B$6,IF(Calc!$I$100&lt;='财富模型'!$E$11*12,'Calc'!$W$13,'Calc'!$Y$13))))</x:f>
      </x:c>
      <x:c r="N100" t="str">
        <x:f>IF(Calc!$I$100&gt;'Calc'!$B$8,"",'Calc'!$B$5-'财富模型'!$E$5-(IF('Calc'!$E$13=1,'财富模型'!$E$9,'财富模型'!$M$5+IF(Calc!$I$100&lt;='财富模型'!$E$11*12,'Calc'!$W$13,'Calc'!$Y$13)-(IF('Calc'!$E$13=1,0,MIN(Calc!$K$99*(1+'财富模型'!$E$20/12)+'Calc'!$B$6,IF(Calc!$I$100&lt;='财富模型'!$E$11*12,'Calc'!$W$13,'Calc'!$Y$13)))))))</x:f>
      </x:c>
      <x:c r="O100" t="str">
        <x:f>IF(Calc!$I$100&gt;'Calc'!$B$8,"",IF('Calc'!$E$13=1,0,MAX(Calc!$O$99*(1+IF(Calc!$I$100&lt;='财富模型'!$E$11*12,'财富模型'!$E$10,'财富模型'!$E$12)/12)-IF('Calc'!$E$13=1,0,IF(Calc!$I$100&lt;='财富模型'!$E$11*12,'Calc'!$W$13,'Calc'!$Y$13)),0)))</x:f>
      </x:c>
      <x:c r="Q100" t="n">
        <x:v>79</x:v>
      </x:c>
      <x:c r="R100" t="str">
        <x:f>IF(Calc!$Q$100&gt;'Calc'!$B$8,"",MAX(Calc!$R$99*(1+'财富模型'!$E$6/12)+('Calc'!$B$5-'财富模型'!$E$5-(IF('Calc'!$E$14=1,'财富模型'!$E$9,'财富模型'!$M$6+IF(Calc!$Q$100&lt;='财富模型'!$E$11*12,'Calc'!$W$14,'Calc'!$Y$14)-(IF('Calc'!$E$14=1,0,MIN(Calc!$S$99*(1+'财富模型'!$E$20/12)+'Calc'!$B$6,IF(Calc!$Q$100&lt;='财富模型'!$E$11*12,'Calc'!$W$14,'Calc'!$Y$14))))))),0))</x:f>
      </x:c>
      <x:c r="S100" t="str">
        <x:f>IF(Calc!$Q$100&gt;'Calc'!$B$8,"",MAX(Calc!$S$99*(1+'财富模型'!$E$20/12)+'Calc'!$B$6-(IF('Calc'!$E$14=1,0,MIN(Calc!$S$99*(1+'财富模型'!$E$20/12)+'Calc'!$B$6,IF(Calc!$Q$100&lt;='财富模型'!$E$11*12,'Calc'!$W$14,'Calc'!$Y$14)))),0))</x:f>
      </x:c>
      <x:c r="T100" t="str">
        <x:f>IF(Calc!$Q$100&gt;'Calc'!$B$8,"",IF('Calc'!$E$14=1,'财富模型'!$E$9,'财富模型'!$M$6+IF(Calc!$Q$100&lt;='财富模型'!$E$11*12,'Calc'!$W$14,'Calc'!$Y$14)-(IF('Calc'!$E$14=1,0,MIN(Calc!$S$99*(1+'财富模型'!$E$20/12)+'Calc'!$B$6,IF(Calc!$Q$100&lt;='财富模型'!$E$11*12,'Calc'!$W$14,'Calc'!$Y$14))))))</x:f>
      </x:c>
      <x:c r="U100" t="str">
        <x:f>IF(Calc!$Q$100&gt;'Calc'!$B$8,"",IF('Calc'!$E$14=1,0,MIN(Calc!$S$99*(1+'财富模型'!$E$20/12)+'Calc'!$B$6,IF(Calc!$Q$100&lt;='财富模型'!$E$11*12,'Calc'!$W$14,'Calc'!$Y$14))))</x:f>
      </x:c>
      <x:c r="V100" t="str">
        <x:f>IF(Calc!$Q$100&gt;'Calc'!$B$8,"",'Calc'!$B$5-'财富模型'!$E$5-(IF('Calc'!$E$14=1,'财富模型'!$E$9,'财富模型'!$M$6+IF(Calc!$Q$100&lt;='财富模型'!$E$11*12,'Calc'!$W$14,'Calc'!$Y$14)-(IF('Calc'!$E$14=1,0,MIN(Calc!$S$99*(1+'财富模型'!$E$20/12)+'Calc'!$B$6,IF(Calc!$Q$100&lt;='财富模型'!$E$11*12,'Calc'!$W$14,'Calc'!$Y$14)))))))</x:f>
      </x:c>
      <x:c r="W100" t="str">
        <x:f>IF(Calc!$Q$100&gt;'Calc'!$B$8,"",IF('Calc'!$E$14=1,0,MAX(Calc!$W$99*(1+IF(Calc!$Q$100&lt;='财富模型'!$E$11*12,'财富模型'!$E$10,'财富模型'!$E$12)/12)-IF('Calc'!$E$14=1,0,IF(Calc!$Q$100&lt;='财富模型'!$E$11*12,'Calc'!$W$14,'Calc'!$Y$14)),0)))</x:f>
      </x:c>
      <x:c r="Y100" t="n">
        <x:v>79</x:v>
      </x:c>
      <x:c r="Z100" t="str">
        <x:f>IF(Calc!$Y$100&gt;'Calc'!$B$8,"",MAX(Calc!$Z$99*(1+'财富模型'!$E$6/12)+('Calc'!$B$5-'财富模型'!$E$5-(IF('Calc'!$E$15=1,'财富模型'!$E$9,'财富模型'!$M$7+IF(Calc!$Y$100&lt;='财富模型'!$E$11*12,'Calc'!$W$15,'Calc'!$Y$15)-(IF('Calc'!$E$15=1,0,MIN(Calc!$AA$99*(1+'财富模型'!$E$20/12)+'Calc'!$B$6,IF(Calc!$Y$100&lt;='财富模型'!$E$11*12,'Calc'!$W$15,'Calc'!$Y$15))))))),0))</x:f>
      </x:c>
      <x:c r="AA100" t="str">
        <x:f>IF(Calc!$Y$100&gt;'Calc'!$B$8,"",MAX(Calc!$AA$99*(1+'财富模型'!$E$20/12)+'Calc'!$B$6-(IF('Calc'!$E$15=1,0,MIN(Calc!$AA$99*(1+'财富模型'!$E$20/12)+'Calc'!$B$6,IF(Calc!$Y$100&lt;='财富模型'!$E$11*12,'Calc'!$W$15,'Calc'!$Y$15)))),0))</x:f>
      </x:c>
      <x:c r="AB100" t="str">
        <x:f>IF(Calc!$Y$100&gt;'Calc'!$B$8,"",IF('Calc'!$E$15=1,'财富模型'!$E$9,'财富模型'!$M$7+IF(Calc!$Y$100&lt;='财富模型'!$E$11*12,'Calc'!$W$15,'Calc'!$Y$15)-(IF('Calc'!$E$15=1,0,MIN(Calc!$AA$99*(1+'财富模型'!$E$20/12)+'Calc'!$B$6,IF(Calc!$Y$100&lt;='财富模型'!$E$11*12,'Calc'!$W$15,'Calc'!$Y$15))))))</x:f>
      </x:c>
      <x:c r="AC100" t="str">
        <x:f>IF(Calc!$Y$100&gt;'Calc'!$B$8,"",IF('Calc'!$E$15=1,0,MIN(Calc!$AA$99*(1+'财富模型'!$E$20/12)+'Calc'!$B$6,IF(Calc!$Y$100&lt;='财富模型'!$E$11*12,'Calc'!$W$15,'Calc'!$Y$15))))</x:f>
      </x:c>
      <x:c r="AD100" t="str">
        <x:f>IF(Calc!$Y$100&gt;'Calc'!$B$8,"",'Calc'!$B$5-'财富模型'!$E$5-(IF('Calc'!$E$15=1,'财富模型'!$E$9,'财富模型'!$M$7+IF(Calc!$Y$100&lt;='财富模型'!$E$11*12,'Calc'!$W$15,'Calc'!$Y$15)-(IF('Calc'!$E$15=1,0,MIN(Calc!$AA$99*(1+'财富模型'!$E$20/12)+'Calc'!$B$6,IF(Calc!$Y$100&lt;='财富模型'!$E$11*12,'Calc'!$W$15,'Calc'!$Y$15)))))))</x:f>
      </x:c>
      <x:c r="AE100" t="str">
        <x:f>IF(Calc!$Y$100&gt;'Calc'!$B$8,"",IF('Calc'!$E$15=1,0,MAX(Calc!$AE$99*(1+IF(Calc!$Y$100&lt;='财富模型'!$E$11*12,'财富模型'!$E$10,'财富模型'!$E$12)/12)-IF('Calc'!$E$15=1,0,IF(Calc!$Y$100&lt;='财富模型'!$E$11*12,'Calc'!$W$15,'Calc'!$Y$15)),0)))</x:f>
      </x:c>
      <x:c r="AG100" t="n">
        <x:v>79</x:v>
      </x:c>
      <x:c r="AH100" t="str">
        <x:f>IF(Calc!$AG$100&gt;'Calc'!$B$8,"",MAX(Calc!$AH$99*(1+'财富模型'!$E$6/12)+('Calc'!$B$5-'财富模型'!$E$5-(IF('Calc'!$E$16=1,'财富模型'!$E$9,'财富模型'!$M$8+IF(Calc!$AG$100&lt;='财富模型'!$E$11*12,'Calc'!$W$16,'Calc'!$Y$16)-(IF('Calc'!$E$16=1,0,MIN(Calc!$AI$99*(1+'财富模型'!$E$20/12)+'Calc'!$B$6,IF(Calc!$AG$100&lt;='财富模型'!$E$11*12,'Calc'!$W$16,'Calc'!$Y$16))))))),0))</x:f>
      </x:c>
      <x:c r="AI100" t="str">
        <x:f>IF(Calc!$AG$100&gt;'Calc'!$B$8,"",MAX(Calc!$AI$99*(1+'财富模型'!$E$20/12)+'Calc'!$B$6-(IF('Calc'!$E$16=1,0,MIN(Calc!$AI$99*(1+'财富模型'!$E$20/12)+'Calc'!$B$6,IF(Calc!$AG$100&lt;='财富模型'!$E$11*12,'Calc'!$W$16,'Calc'!$Y$16)))),0))</x:f>
      </x:c>
      <x:c r="AJ100" t="str">
        <x:f>IF(Calc!$AG$100&gt;'Calc'!$B$8,"",IF('Calc'!$E$16=1,'财富模型'!$E$9,'财富模型'!$M$8+IF(Calc!$AG$100&lt;='财富模型'!$E$11*12,'Calc'!$W$16,'Calc'!$Y$16)-(IF('Calc'!$E$16=1,0,MIN(Calc!$AI$99*(1+'财富模型'!$E$20/12)+'Calc'!$B$6,IF(Calc!$AG$100&lt;='财富模型'!$E$11*12,'Calc'!$W$16,'Calc'!$Y$16))))))</x:f>
      </x:c>
      <x:c r="AK100" t="str">
        <x:f>IF(Calc!$AG$100&gt;'Calc'!$B$8,"",IF('Calc'!$E$16=1,0,MIN(Calc!$AI$99*(1+'财富模型'!$E$20/12)+'Calc'!$B$6,IF(Calc!$AG$100&lt;='财富模型'!$E$11*12,'Calc'!$W$16,'Calc'!$Y$16))))</x:f>
      </x:c>
      <x:c r="AL100" t="str">
        <x:f>IF(Calc!$AG$100&gt;'Calc'!$B$8,"",'Calc'!$B$5-'财富模型'!$E$5-(IF('Calc'!$E$16=1,'财富模型'!$E$9,'财富模型'!$M$8+IF(Calc!$AG$100&lt;='财富模型'!$E$11*12,'Calc'!$W$16,'Calc'!$Y$16)-(IF('Calc'!$E$16=1,0,MIN(Calc!$AI$99*(1+'财富模型'!$E$20/12)+'Calc'!$B$6,IF(Calc!$AG$100&lt;='财富模型'!$E$11*12,'Calc'!$W$16,'Calc'!$Y$16)))))))</x:f>
      </x:c>
      <x:c r="AM100" t="str">
        <x:f>IF(Calc!$AG$100&gt;'Calc'!$B$8,"",IF('Calc'!$E$16=1,0,MAX(Calc!$AM$99*(1+IF(Calc!$AG$100&lt;='财富模型'!$E$11*12,'财富模型'!$E$10,'财富模型'!$E$12)/12)-IF('Calc'!$E$16=1,0,IF(Calc!$AG$100&lt;='财富模型'!$E$11*12,'Calc'!$W$16,'Calc'!$Y$16)),0)))</x:f>
      </x:c>
      <x:c r="AO100" t="n">
        <x:v>79</x:v>
      </x:c>
      <x:c r="AP100" t="str">
        <x:f>IF(Calc!$AO$100&gt;'Calc'!$B$8,"",MAX(Calc!$AP$99*(1+'财富模型'!$E$6/12)+('Calc'!$B$5-'财富模型'!$E$5-(IF('Calc'!$E$17=1,'财富模型'!$E$9,'财富模型'!$M$9+IF(Calc!$AO$100&lt;='财富模型'!$E$11*12,'Calc'!$W$17,'Calc'!$Y$17)-(IF('Calc'!$E$17=1,0,MIN(Calc!$AQ$99*(1+'财富模型'!$E$20/12)+'Calc'!$B$6,IF(Calc!$AO$100&lt;='财富模型'!$E$11*12,'Calc'!$W$17,'Calc'!$Y$17))))))),0))</x:f>
      </x:c>
      <x:c r="AQ100" t="str">
        <x:f>IF(Calc!$AO$100&gt;'Calc'!$B$8,"",MAX(Calc!$AQ$99*(1+'财富模型'!$E$20/12)+'Calc'!$B$6-(IF('Calc'!$E$17=1,0,MIN(Calc!$AQ$99*(1+'财富模型'!$E$20/12)+'Calc'!$B$6,IF(Calc!$AO$100&lt;='财富模型'!$E$11*12,'Calc'!$W$17,'Calc'!$Y$17)))),0))</x:f>
      </x:c>
      <x:c r="AR100" t="str">
        <x:f>IF(Calc!$AO$100&gt;'Calc'!$B$8,"",IF('Calc'!$E$17=1,'财富模型'!$E$9,'财富模型'!$M$9+IF(Calc!$AO$100&lt;='财富模型'!$E$11*12,'Calc'!$W$17,'Calc'!$Y$17)-(IF('Calc'!$E$17=1,0,MIN(Calc!$AQ$99*(1+'财富模型'!$E$20/12)+'Calc'!$B$6,IF(Calc!$AO$100&lt;='财富模型'!$E$11*12,'Calc'!$W$17,'Calc'!$Y$17))))))</x:f>
      </x:c>
      <x:c r="AS100" t="str">
        <x:f>IF(Calc!$AO$100&gt;'Calc'!$B$8,"",IF('Calc'!$E$17=1,0,MIN(Calc!$AQ$99*(1+'财富模型'!$E$20/12)+'Calc'!$B$6,IF(Calc!$AO$100&lt;='财富模型'!$E$11*12,'Calc'!$W$17,'Calc'!$Y$17))))</x:f>
      </x:c>
      <x:c r="AT100" t="str">
        <x:f>IF(Calc!$AO$100&gt;'Calc'!$B$8,"",'Calc'!$B$5-'财富模型'!$E$5-(IF('Calc'!$E$17=1,'财富模型'!$E$9,'财富模型'!$M$9+IF(Calc!$AO$100&lt;='财富模型'!$E$11*12,'Calc'!$W$17,'Calc'!$Y$17)-(IF('Calc'!$E$17=1,0,MIN(Calc!$AQ$99*(1+'财富模型'!$E$20/12)+'Calc'!$B$6,IF(Calc!$AO$100&lt;='财富模型'!$E$11*12,'Calc'!$W$17,'Calc'!$Y$17)))))))</x:f>
      </x:c>
      <x:c r="AU100" t="str">
        <x:f>IF(Calc!$AO$100&gt;'Calc'!$B$8,"",IF('Calc'!$E$17=1,0,MAX(Calc!$AU$99*(1+IF(Calc!$AO$100&lt;='财富模型'!$E$11*12,'财富模型'!$E$10,'财富模型'!$E$12)/12)-IF('Calc'!$E$17=1,0,IF(Calc!$AO$100&lt;='财富模型'!$E$11*12,'Calc'!$W$17,'Calc'!$Y$17)),0)))</x:f>
      </x:c>
    </x:row>
    <x:row r="101">
      <x:c r="A101" t="n">
        <x:v>80</x:v>
      </x:c>
      <x:c r="B101" t="str">
        <x:f>IF(Calc!$A$101&gt;'Calc'!$B$8,"",MAX(Calc!$B$100*(1+'财富模型'!$E$6/12)+('Calc'!$B$5-'财富模型'!$E$5-(IF('Calc'!$E$12=1,'财富模型'!$E$9,'财富模型'!$M$4+IF(Calc!$A$101&lt;='财富模型'!$E$11*12,'Calc'!$W$12,'Calc'!$Y$12)-(IF('Calc'!$E$12=1,0,MIN(Calc!$C$100*(1+'财富模型'!$E$20/12)+'Calc'!$B$6,IF(Calc!$A$101&lt;='财富模型'!$E$11*12,'Calc'!$W$12,'Calc'!$Y$12))))))),0))</x:f>
      </x:c>
      <x:c r="C101" t="str">
        <x:f>IF(Calc!$A$101&gt;'Calc'!$B$8,"",MAX(Calc!$C$100*(1+'财富模型'!$E$20/12)+'Calc'!$B$6-(IF('Calc'!$E$12=1,0,MIN(Calc!$C$100*(1+'财富模型'!$E$20/12)+'Calc'!$B$6,IF(Calc!$A$101&lt;='财富模型'!$E$11*12,'Calc'!$W$12,'Calc'!$Y$12)))),0))</x:f>
      </x:c>
      <x:c r="D101" t="str">
        <x:f>IF(Calc!$A$101&gt;'Calc'!$B$8,"",IF('Calc'!$E$12=1,'财富模型'!$E$9,'财富模型'!$M$4+IF(Calc!$A$101&lt;='财富模型'!$E$11*12,'Calc'!$W$12,'Calc'!$Y$12)-(IF('Calc'!$E$12=1,0,MIN(Calc!$C$100*(1+'财富模型'!$E$20/12)+'Calc'!$B$6,IF(Calc!$A$101&lt;='财富模型'!$E$11*12,'Calc'!$W$12,'Calc'!$Y$12))))))</x:f>
      </x:c>
      <x:c r="E101" t="str">
        <x:f>IF(Calc!$A$101&gt;'Calc'!$B$8,"",IF('Calc'!$E$12=1,0,MIN(Calc!$C$100*(1+'财富模型'!$E$20/12)+'Calc'!$B$6,IF(Calc!$A$101&lt;='财富模型'!$E$11*12,'Calc'!$W$12,'Calc'!$Y$12))))</x:f>
      </x:c>
      <x:c r="F101" t="str">
        <x:f>IF(Calc!$A$101&gt;'Calc'!$B$8,"",'Calc'!$B$5-'财富模型'!$E$5-(IF('Calc'!$E$12=1,'财富模型'!$E$9,'财富模型'!$M$4+IF(Calc!$A$101&lt;='财富模型'!$E$11*12,'Calc'!$W$12,'Calc'!$Y$12)-(IF('Calc'!$E$12=1,0,MIN(Calc!$C$100*(1+'财富模型'!$E$20/12)+'Calc'!$B$6,IF(Calc!$A$101&lt;='财富模型'!$E$11*12,'Calc'!$W$12,'Calc'!$Y$12)))))))</x:f>
      </x:c>
      <x:c r="G101" t="str">
        <x:f>IF(Calc!$A$101&gt;'Calc'!$B$8,"",IF('Calc'!$E$12=1,0,MAX(Calc!$G$100*(1+IF(Calc!$A$101&lt;='财富模型'!$E$11*12,'财富模型'!$E$10,'财富模型'!$E$12)/12)-IF('Calc'!$E$12=1,0,IF(Calc!$A$101&lt;='财富模型'!$E$11*12,'Calc'!$W$12,'Calc'!$Y$12)),0)))</x:f>
      </x:c>
      <x:c r="I101" t="n">
        <x:v>80</x:v>
      </x:c>
      <x:c r="J101" t="str">
        <x:f>IF(Calc!$I$101&gt;'Calc'!$B$8,"",MAX(Calc!$J$100*(1+'财富模型'!$E$6/12)+('Calc'!$B$5-'财富模型'!$E$5-(IF('Calc'!$E$13=1,'财富模型'!$E$9,'财富模型'!$M$5+IF(Calc!$I$101&lt;='财富模型'!$E$11*12,'Calc'!$W$13,'Calc'!$Y$13)-(IF('Calc'!$E$13=1,0,MIN(Calc!$K$100*(1+'财富模型'!$E$20/12)+'Calc'!$B$6,IF(Calc!$I$101&lt;='财富模型'!$E$11*12,'Calc'!$W$13,'Calc'!$Y$13))))))),0))</x:f>
      </x:c>
      <x:c r="K101" t="str">
        <x:f>IF(Calc!$I$101&gt;'Calc'!$B$8,"",MAX(Calc!$K$100*(1+'财富模型'!$E$20/12)+'Calc'!$B$6-(IF('Calc'!$E$13=1,0,MIN(Calc!$K$100*(1+'财富模型'!$E$20/12)+'Calc'!$B$6,IF(Calc!$I$101&lt;='财富模型'!$E$11*12,'Calc'!$W$13,'Calc'!$Y$13)))),0))</x:f>
      </x:c>
      <x:c r="L101" t="str">
        <x:f>IF(Calc!$I$101&gt;'Calc'!$B$8,"",IF('Calc'!$E$13=1,'财富模型'!$E$9,'财富模型'!$M$5+IF(Calc!$I$101&lt;='财富模型'!$E$11*12,'Calc'!$W$13,'Calc'!$Y$13)-(IF('Calc'!$E$13=1,0,MIN(Calc!$K$100*(1+'财富模型'!$E$20/12)+'Calc'!$B$6,IF(Calc!$I$101&lt;='财富模型'!$E$11*12,'Calc'!$W$13,'Calc'!$Y$13))))))</x:f>
      </x:c>
      <x:c r="M101" t="str">
        <x:f>IF(Calc!$I$101&gt;'Calc'!$B$8,"",IF('Calc'!$E$13=1,0,MIN(Calc!$K$100*(1+'财富模型'!$E$20/12)+'Calc'!$B$6,IF(Calc!$I$101&lt;='财富模型'!$E$11*12,'Calc'!$W$13,'Calc'!$Y$13))))</x:f>
      </x:c>
      <x:c r="N101" t="str">
        <x:f>IF(Calc!$I$101&gt;'Calc'!$B$8,"",'Calc'!$B$5-'财富模型'!$E$5-(IF('Calc'!$E$13=1,'财富模型'!$E$9,'财富模型'!$M$5+IF(Calc!$I$101&lt;='财富模型'!$E$11*12,'Calc'!$W$13,'Calc'!$Y$13)-(IF('Calc'!$E$13=1,0,MIN(Calc!$K$100*(1+'财富模型'!$E$20/12)+'Calc'!$B$6,IF(Calc!$I$101&lt;='财富模型'!$E$11*12,'Calc'!$W$13,'Calc'!$Y$13)))))))</x:f>
      </x:c>
      <x:c r="O101" t="str">
        <x:f>IF(Calc!$I$101&gt;'Calc'!$B$8,"",IF('Calc'!$E$13=1,0,MAX(Calc!$O$100*(1+IF(Calc!$I$101&lt;='财富模型'!$E$11*12,'财富模型'!$E$10,'财富模型'!$E$12)/12)-IF('Calc'!$E$13=1,0,IF(Calc!$I$101&lt;='财富模型'!$E$11*12,'Calc'!$W$13,'Calc'!$Y$13)),0)))</x:f>
      </x:c>
      <x:c r="Q101" t="n">
        <x:v>80</x:v>
      </x:c>
      <x:c r="R101" t="str">
        <x:f>IF(Calc!$Q$101&gt;'Calc'!$B$8,"",MAX(Calc!$R$100*(1+'财富模型'!$E$6/12)+('Calc'!$B$5-'财富模型'!$E$5-(IF('Calc'!$E$14=1,'财富模型'!$E$9,'财富模型'!$M$6+IF(Calc!$Q$101&lt;='财富模型'!$E$11*12,'Calc'!$W$14,'Calc'!$Y$14)-(IF('Calc'!$E$14=1,0,MIN(Calc!$S$100*(1+'财富模型'!$E$20/12)+'Calc'!$B$6,IF(Calc!$Q$101&lt;='财富模型'!$E$11*12,'Calc'!$W$14,'Calc'!$Y$14))))))),0))</x:f>
      </x:c>
      <x:c r="S101" t="str">
        <x:f>IF(Calc!$Q$101&gt;'Calc'!$B$8,"",MAX(Calc!$S$100*(1+'财富模型'!$E$20/12)+'Calc'!$B$6-(IF('Calc'!$E$14=1,0,MIN(Calc!$S$100*(1+'财富模型'!$E$20/12)+'Calc'!$B$6,IF(Calc!$Q$101&lt;='财富模型'!$E$11*12,'Calc'!$W$14,'Calc'!$Y$14)))),0))</x:f>
      </x:c>
      <x:c r="T101" t="str">
        <x:f>IF(Calc!$Q$101&gt;'Calc'!$B$8,"",IF('Calc'!$E$14=1,'财富模型'!$E$9,'财富模型'!$M$6+IF(Calc!$Q$101&lt;='财富模型'!$E$11*12,'Calc'!$W$14,'Calc'!$Y$14)-(IF('Calc'!$E$14=1,0,MIN(Calc!$S$100*(1+'财富模型'!$E$20/12)+'Calc'!$B$6,IF(Calc!$Q$101&lt;='财富模型'!$E$11*12,'Calc'!$W$14,'Calc'!$Y$14))))))</x:f>
      </x:c>
      <x:c r="U101" t="str">
        <x:f>IF(Calc!$Q$101&gt;'Calc'!$B$8,"",IF('Calc'!$E$14=1,0,MIN(Calc!$S$100*(1+'财富模型'!$E$20/12)+'Calc'!$B$6,IF(Calc!$Q$101&lt;='财富模型'!$E$11*12,'Calc'!$W$14,'Calc'!$Y$14))))</x:f>
      </x:c>
      <x:c r="V101" t="str">
        <x:f>IF(Calc!$Q$101&gt;'Calc'!$B$8,"",'Calc'!$B$5-'财富模型'!$E$5-(IF('Calc'!$E$14=1,'财富模型'!$E$9,'财富模型'!$M$6+IF(Calc!$Q$101&lt;='财富模型'!$E$11*12,'Calc'!$W$14,'Calc'!$Y$14)-(IF('Calc'!$E$14=1,0,MIN(Calc!$S$100*(1+'财富模型'!$E$20/12)+'Calc'!$B$6,IF(Calc!$Q$101&lt;='财富模型'!$E$11*12,'Calc'!$W$14,'Calc'!$Y$14)))))))</x:f>
      </x:c>
      <x:c r="W101" t="str">
        <x:f>IF(Calc!$Q$101&gt;'Calc'!$B$8,"",IF('Calc'!$E$14=1,0,MAX(Calc!$W$100*(1+IF(Calc!$Q$101&lt;='财富模型'!$E$11*12,'财富模型'!$E$10,'财富模型'!$E$12)/12)-IF('Calc'!$E$14=1,0,IF(Calc!$Q$101&lt;='财富模型'!$E$11*12,'Calc'!$W$14,'Calc'!$Y$14)),0)))</x:f>
      </x:c>
      <x:c r="Y101" t="n">
        <x:v>80</x:v>
      </x:c>
      <x:c r="Z101" t="str">
        <x:f>IF(Calc!$Y$101&gt;'Calc'!$B$8,"",MAX(Calc!$Z$100*(1+'财富模型'!$E$6/12)+('Calc'!$B$5-'财富模型'!$E$5-(IF('Calc'!$E$15=1,'财富模型'!$E$9,'财富模型'!$M$7+IF(Calc!$Y$101&lt;='财富模型'!$E$11*12,'Calc'!$W$15,'Calc'!$Y$15)-(IF('Calc'!$E$15=1,0,MIN(Calc!$AA$100*(1+'财富模型'!$E$20/12)+'Calc'!$B$6,IF(Calc!$Y$101&lt;='财富模型'!$E$11*12,'Calc'!$W$15,'Calc'!$Y$15))))))),0))</x:f>
      </x:c>
      <x:c r="AA101" t="str">
        <x:f>IF(Calc!$Y$101&gt;'Calc'!$B$8,"",MAX(Calc!$AA$100*(1+'财富模型'!$E$20/12)+'Calc'!$B$6-(IF('Calc'!$E$15=1,0,MIN(Calc!$AA$100*(1+'财富模型'!$E$20/12)+'Calc'!$B$6,IF(Calc!$Y$101&lt;='财富模型'!$E$11*12,'Calc'!$W$15,'Calc'!$Y$15)))),0))</x:f>
      </x:c>
      <x:c r="AB101" t="str">
        <x:f>IF(Calc!$Y$101&gt;'Calc'!$B$8,"",IF('Calc'!$E$15=1,'财富模型'!$E$9,'财富模型'!$M$7+IF(Calc!$Y$101&lt;='财富模型'!$E$11*12,'Calc'!$W$15,'Calc'!$Y$15)-(IF('Calc'!$E$15=1,0,MIN(Calc!$AA$100*(1+'财富模型'!$E$20/12)+'Calc'!$B$6,IF(Calc!$Y$101&lt;='财富模型'!$E$11*12,'Calc'!$W$15,'Calc'!$Y$15))))))</x:f>
      </x:c>
      <x:c r="AC101" t="str">
        <x:f>IF(Calc!$Y$101&gt;'Calc'!$B$8,"",IF('Calc'!$E$15=1,0,MIN(Calc!$AA$100*(1+'财富模型'!$E$20/12)+'Calc'!$B$6,IF(Calc!$Y$101&lt;='财富模型'!$E$11*12,'Calc'!$W$15,'Calc'!$Y$15))))</x:f>
      </x:c>
      <x:c r="AD101" t="str">
        <x:f>IF(Calc!$Y$101&gt;'Calc'!$B$8,"",'Calc'!$B$5-'财富模型'!$E$5-(IF('Calc'!$E$15=1,'财富模型'!$E$9,'财富模型'!$M$7+IF(Calc!$Y$101&lt;='财富模型'!$E$11*12,'Calc'!$W$15,'Calc'!$Y$15)-(IF('Calc'!$E$15=1,0,MIN(Calc!$AA$100*(1+'财富模型'!$E$20/12)+'Calc'!$B$6,IF(Calc!$Y$101&lt;='财富模型'!$E$11*12,'Calc'!$W$15,'Calc'!$Y$15)))))))</x:f>
      </x:c>
      <x:c r="AE101" t="str">
        <x:f>IF(Calc!$Y$101&gt;'Calc'!$B$8,"",IF('Calc'!$E$15=1,0,MAX(Calc!$AE$100*(1+IF(Calc!$Y$101&lt;='财富模型'!$E$11*12,'财富模型'!$E$10,'财富模型'!$E$12)/12)-IF('Calc'!$E$15=1,0,IF(Calc!$Y$101&lt;='财富模型'!$E$11*12,'Calc'!$W$15,'Calc'!$Y$15)),0)))</x:f>
      </x:c>
      <x:c r="AG101" t="n">
        <x:v>80</x:v>
      </x:c>
      <x:c r="AH101" t="str">
        <x:f>IF(Calc!$AG$101&gt;'Calc'!$B$8,"",MAX(Calc!$AH$100*(1+'财富模型'!$E$6/12)+('Calc'!$B$5-'财富模型'!$E$5-(IF('Calc'!$E$16=1,'财富模型'!$E$9,'财富模型'!$M$8+IF(Calc!$AG$101&lt;='财富模型'!$E$11*12,'Calc'!$W$16,'Calc'!$Y$16)-(IF('Calc'!$E$16=1,0,MIN(Calc!$AI$100*(1+'财富模型'!$E$20/12)+'Calc'!$B$6,IF(Calc!$AG$101&lt;='财富模型'!$E$11*12,'Calc'!$W$16,'Calc'!$Y$16))))))),0))</x:f>
      </x:c>
      <x:c r="AI101" t="str">
        <x:f>IF(Calc!$AG$101&gt;'Calc'!$B$8,"",MAX(Calc!$AI$100*(1+'财富模型'!$E$20/12)+'Calc'!$B$6-(IF('Calc'!$E$16=1,0,MIN(Calc!$AI$100*(1+'财富模型'!$E$20/12)+'Calc'!$B$6,IF(Calc!$AG$101&lt;='财富模型'!$E$11*12,'Calc'!$W$16,'Calc'!$Y$16)))),0))</x:f>
      </x:c>
      <x:c r="AJ101" t="str">
        <x:f>IF(Calc!$AG$101&gt;'Calc'!$B$8,"",IF('Calc'!$E$16=1,'财富模型'!$E$9,'财富模型'!$M$8+IF(Calc!$AG$101&lt;='财富模型'!$E$11*12,'Calc'!$W$16,'Calc'!$Y$16)-(IF('Calc'!$E$16=1,0,MIN(Calc!$AI$100*(1+'财富模型'!$E$20/12)+'Calc'!$B$6,IF(Calc!$AG$101&lt;='财富模型'!$E$11*12,'Calc'!$W$16,'Calc'!$Y$16))))))</x:f>
      </x:c>
      <x:c r="AK101" t="str">
        <x:f>IF(Calc!$AG$101&gt;'Calc'!$B$8,"",IF('Calc'!$E$16=1,0,MIN(Calc!$AI$100*(1+'财富模型'!$E$20/12)+'Calc'!$B$6,IF(Calc!$AG$101&lt;='财富模型'!$E$11*12,'Calc'!$W$16,'Calc'!$Y$16))))</x:f>
      </x:c>
      <x:c r="AL101" t="str">
        <x:f>IF(Calc!$AG$101&gt;'Calc'!$B$8,"",'Calc'!$B$5-'财富模型'!$E$5-(IF('Calc'!$E$16=1,'财富模型'!$E$9,'财富模型'!$M$8+IF(Calc!$AG$101&lt;='财富模型'!$E$11*12,'Calc'!$W$16,'Calc'!$Y$16)-(IF('Calc'!$E$16=1,0,MIN(Calc!$AI$100*(1+'财富模型'!$E$20/12)+'Calc'!$B$6,IF(Calc!$AG$101&lt;='财富模型'!$E$11*12,'Calc'!$W$16,'Calc'!$Y$16)))))))</x:f>
      </x:c>
      <x:c r="AM101" t="str">
        <x:f>IF(Calc!$AG$101&gt;'Calc'!$B$8,"",IF('Calc'!$E$16=1,0,MAX(Calc!$AM$100*(1+IF(Calc!$AG$101&lt;='财富模型'!$E$11*12,'财富模型'!$E$10,'财富模型'!$E$12)/12)-IF('Calc'!$E$16=1,0,IF(Calc!$AG$101&lt;='财富模型'!$E$11*12,'Calc'!$W$16,'Calc'!$Y$16)),0)))</x:f>
      </x:c>
      <x:c r="AO101" t="n">
        <x:v>80</x:v>
      </x:c>
      <x:c r="AP101" t="str">
        <x:f>IF(Calc!$AO$101&gt;'Calc'!$B$8,"",MAX(Calc!$AP$100*(1+'财富模型'!$E$6/12)+('Calc'!$B$5-'财富模型'!$E$5-(IF('Calc'!$E$17=1,'财富模型'!$E$9,'财富模型'!$M$9+IF(Calc!$AO$101&lt;='财富模型'!$E$11*12,'Calc'!$W$17,'Calc'!$Y$17)-(IF('Calc'!$E$17=1,0,MIN(Calc!$AQ$100*(1+'财富模型'!$E$20/12)+'Calc'!$B$6,IF(Calc!$AO$101&lt;='财富模型'!$E$11*12,'Calc'!$W$17,'Calc'!$Y$17))))))),0))</x:f>
      </x:c>
      <x:c r="AQ101" t="str">
        <x:f>IF(Calc!$AO$101&gt;'Calc'!$B$8,"",MAX(Calc!$AQ$100*(1+'财富模型'!$E$20/12)+'Calc'!$B$6-(IF('Calc'!$E$17=1,0,MIN(Calc!$AQ$100*(1+'财富模型'!$E$20/12)+'Calc'!$B$6,IF(Calc!$AO$101&lt;='财富模型'!$E$11*12,'Calc'!$W$17,'Calc'!$Y$17)))),0))</x:f>
      </x:c>
      <x:c r="AR101" t="str">
        <x:f>IF(Calc!$AO$101&gt;'Calc'!$B$8,"",IF('Calc'!$E$17=1,'财富模型'!$E$9,'财富模型'!$M$9+IF(Calc!$AO$101&lt;='财富模型'!$E$11*12,'Calc'!$W$17,'Calc'!$Y$17)-(IF('Calc'!$E$17=1,0,MIN(Calc!$AQ$100*(1+'财富模型'!$E$20/12)+'Calc'!$B$6,IF(Calc!$AO$101&lt;='财富模型'!$E$11*12,'Calc'!$W$17,'Calc'!$Y$17))))))</x:f>
      </x:c>
      <x:c r="AS101" t="str">
        <x:f>IF(Calc!$AO$101&gt;'Calc'!$B$8,"",IF('Calc'!$E$17=1,0,MIN(Calc!$AQ$100*(1+'财富模型'!$E$20/12)+'Calc'!$B$6,IF(Calc!$AO$101&lt;='财富模型'!$E$11*12,'Calc'!$W$17,'Calc'!$Y$17))))</x:f>
      </x:c>
      <x:c r="AT101" t="str">
        <x:f>IF(Calc!$AO$101&gt;'Calc'!$B$8,"",'Calc'!$B$5-'财富模型'!$E$5-(IF('Calc'!$E$17=1,'财富模型'!$E$9,'财富模型'!$M$9+IF(Calc!$AO$101&lt;='财富模型'!$E$11*12,'Calc'!$W$17,'Calc'!$Y$17)-(IF('Calc'!$E$17=1,0,MIN(Calc!$AQ$100*(1+'财富模型'!$E$20/12)+'Calc'!$B$6,IF(Calc!$AO$101&lt;='财富模型'!$E$11*12,'Calc'!$W$17,'Calc'!$Y$17)))))))</x:f>
      </x:c>
      <x:c r="AU101" t="str">
        <x:f>IF(Calc!$AO$101&gt;'Calc'!$B$8,"",IF('Calc'!$E$17=1,0,MAX(Calc!$AU$100*(1+IF(Calc!$AO$101&lt;='财富模型'!$E$11*12,'财富模型'!$E$10,'财富模型'!$E$12)/12)-IF('Calc'!$E$17=1,0,IF(Calc!$AO$101&lt;='财富模型'!$E$11*12,'Calc'!$W$17,'Calc'!$Y$17)),0)))</x:f>
      </x:c>
    </x:row>
    <x:row r="102">
      <x:c r="A102" t="n">
        <x:v>81</x:v>
      </x:c>
      <x:c r="B102" t="str">
        <x:f>IF(Calc!$A$102&gt;'Calc'!$B$8,"",MAX(Calc!$B$101*(1+'财富模型'!$E$6/12)+('Calc'!$B$5-'财富模型'!$E$5-(IF('Calc'!$E$12=1,'财富模型'!$E$9,'财富模型'!$M$4+IF(Calc!$A$102&lt;='财富模型'!$E$11*12,'Calc'!$W$12,'Calc'!$Y$12)-(IF('Calc'!$E$12=1,0,MIN(Calc!$C$101*(1+'财富模型'!$E$20/12)+'Calc'!$B$6,IF(Calc!$A$102&lt;='财富模型'!$E$11*12,'Calc'!$W$12,'Calc'!$Y$12))))))),0))</x:f>
      </x:c>
      <x:c r="C102" t="str">
        <x:f>IF(Calc!$A$102&gt;'Calc'!$B$8,"",MAX(Calc!$C$101*(1+'财富模型'!$E$20/12)+'Calc'!$B$6-(IF('Calc'!$E$12=1,0,MIN(Calc!$C$101*(1+'财富模型'!$E$20/12)+'Calc'!$B$6,IF(Calc!$A$102&lt;='财富模型'!$E$11*12,'Calc'!$W$12,'Calc'!$Y$12)))),0))</x:f>
      </x:c>
      <x:c r="D102" t="str">
        <x:f>IF(Calc!$A$102&gt;'Calc'!$B$8,"",IF('Calc'!$E$12=1,'财富模型'!$E$9,'财富模型'!$M$4+IF(Calc!$A$102&lt;='财富模型'!$E$11*12,'Calc'!$W$12,'Calc'!$Y$12)-(IF('Calc'!$E$12=1,0,MIN(Calc!$C$101*(1+'财富模型'!$E$20/12)+'Calc'!$B$6,IF(Calc!$A$102&lt;='财富模型'!$E$11*12,'Calc'!$W$12,'Calc'!$Y$12))))))</x:f>
      </x:c>
      <x:c r="E102" t="str">
        <x:f>IF(Calc!$A$102&gt;'Calc'!$B$8,"",IF('Calc'!$E$12=1,0,MIN(Calc!$C$101*(1+'财富模型'!$E$20/12)+'Calc'!$B$6,IF(Calc!$A$102&lt;='财富模型'!$E$11*12,'Calc'!$W$12,'Calc'!$Y$12))))</x:f>
      </x:c>
      <x:c r="F102" t="str">
        <x:f>IF(Calc!$A$102&gt;'Calc'!$B$8,"",'Calc'!$B$5-'财富模型'!$E$5-(IF('Calc'!$E$12=1,'财富模型'!$E$9,'财富模型'!$M$4+IF(Calc!$A$102&lt;='财富模型'!$E$11*12,'Calc'!$W$12,'Calc'!$Y$12)-(IF('Calc'!$E$12=1,0,MIN(Calc!$C$101*(1+'财富模型'!$E$20/12)+'Calc'!$B$6,IF(Calc!$A$102&lt;='财富模型'!$E$11*12,'Calc'!$W$12,'Calc'!$Y$12)))))))</x:f>
      </x:c>
      <x:c r="G102" t="str">
        <x:f>IF(Calc!$A$102&gt;'Calc'!$B$8,"",IF('Calc'!$E$12=1,0,MAX(Calc!$G$101*(1+IF(Calc!$A$102&lt;='财富模型'!$E$11*12,'财富模型'!$E$10,'财富模型'!$E$12)/12)-IF('Calc'!$E$12=1,0,IF(Calc!$A$102&lt;='财富模型'!$E$11*12,'Calc'!$W$12,'Calc'!$Y$12)),0)))</x:f>
      </x:c>
      <x:c r="I102" t="n">
        <x:v>81</x:v>
      </x:c>
      <x:c r="J102" t="str">
        <x:f>IF(Calc!$I$102&gt;'Calc'!$B$8,"",MAX(Calc!$J$101*(1+'财富模型'!$E$6/12)+('Calc'!$B$5-'财富模型'!$E$5-(IF('Calc'!$E$13=1,'财富模型'!$E$9,'财富模型'!$M$5+IF(Calc!$I$102&lt;='财富模型'!$E$11*12,'Calc'!$W$13,'Calc'!$Y$13)-(IF('Calc'!$E$13=1,0,MIN(Calc!$K$101*(1+'财富模型'!$E$20/12)+'Calc'!$B$6,IF(Calc!$I$102&lt;='财富模型'!$E$11*12,'Calc'!$W$13,'Calc'!$Y$13))))))),0))</x:f>
      </x:c>
      <x:c r="K102" t="str">
        <x:f>IF(Calc!$I$102&gt;'Calc'!$B$8,"",MAX(Calc!$K$101*(1+'财富模型'!$E$20/12)+'Calc'!$B$6-(IF('Calc'!$E$13=1,0,MIN(Calc!$K$101*(1+'财富模型'!$E$20/12)+'Calc'!$B$6,IF(Calc!$I$102&lt;='财富模型'!$E$11*12,'Calc'!$W$13,'Calc'!$Y$13)))),0))</x:f>
      </x:c>
      <x:c r="L102" t="str">
        <x:f>IF(Calc!$I$102&gt;'Calc'!$B$8,"",IF('Calc'!$E$13=1,'财富模型'!$E$9,'财富模型'!$M$5+IF(Calc!$I$102&lt;='财富模型'!$E$11*12,'Calc'!$W$13,'Calc'!$Y$13)-(IF('Calc'!$E$13=1,0,MIN(Calc!$K$101*(1+'财富模型'!$E$20/12)+'Calc'!$B$6,IF(Calc!$I$102&lt;='财富模型'!$E$11*12,'Calc'!$W$13,'Calc'!$Y$13))))))</x:f>
      </x:c>
      <x:c r="M102" t="str">
        <x:f>IF(Calc!$I$102&gt;'Calc'!$B$8,"",IF('Calc'!$E$13=1,0,MIN(Calc!$K$101*(1+'财富模型'!$E$20/12)+'Calc'!$B$6,IF(Calc!$I$102&lt;='财富模型'!$E$11*12,'Calc'!$W$13,'Calc'!$Y$13))))</x:f>
      </x:c>
      <x:c r="N102" t="str">
        <x:f>IF(Calc!$I$102&gt;'Calc'!$B$8,"",'Calc'!$B$5-'财富模型'!$E$5-(IF('Calc'!$E$13=1,'财富模型'!$E$9,'财富模型'!$M$5+IF(Calc!$I$102&lt;='财富模型'!$E$11*12,'Calc'!$W$13,'Calc'!$Y$13)-(IF('Calc'!$E$13=1,0,MIN(Calc!$K$101*(1+'财富模型'!$E$20/12)+'Calc'!$B$6,IF(Calc!$I$102&lt;='财富模型'!$E$11*12,'Calc'!$W$13,'Calc'!$Y$13)))))))</x:f>
      </x:c>
      <x:c r="O102" t="str">
        <x:f>IF(Calc!$I$102&gt;'Calc'!$B$8,"",IF('Calc'!$E$13=1,0,MAX(Calc!$O$101*(1+IF(Calc!$I$102&lt;='财富模型'!$E$11*12,'财富模型'!$E$10,'财富模型'!$E$12)/12)-IF('Calc'!$E$13=1,0,IF(Calc!$I$102&lt;='财富模型'!$E$11*12,'Calc'!$W$13,'Calc'!$Y$13)),0)))</x:f>
      </x:c>
      <x:c r="Q102" t="n">
        <x:v>81</x:v>
      </x:c>
      <x:c r="R102" t="str">
        <x:f>IF(Calc!$Q$102&gt;'Calc'!$B$8,"",MAX(Calc!$R$101*(1+'财富模型'!$E$6/12)+('Calc'!$B$5-'财富模型'!$E$5-(IF('Calc'!$E$14=1,'财富模型'!$E$9,'财富模型'!$M$6+IF(Calc!$Q$102&lt;='财富模型'!$E$11*12,'Calc'!$W$14,'Calc'!$Y$14)-(IF('Calc'!$E$14=1,0,MIN(Calc!$S$101*(1+'财富模型'!$E$20/12)+'Calc'!$B$6,IF(Calc!$Q$102&lt;='财富模型'!$E$11*12,'Calc'!$W$14,'Calc'!$Y$14))))))),0))</x:f>
      </x:c>
      <x:c r="S102" t="str">
        <x:f>IF(Calc!$Q$102&gt;'Calc'!$B$8,"",MAX(Calc!$S$101*(1+'财富模型'!$E$20/12)+'Calc'!$B$6-(IF('Calc'!$E$14=1,0,MIN(Calc!$S$101*(1+'财富模型'!$E$20/12)+'Calc'!$B$6,IF(Calc!$Q$102&lt;='财富模型'!$E$11*12,'Calc'!$W$14,'Calc'!$Y$14)))),0))</x:f>
      </x:c>
      <x:c r="T102" t="str">
        <x:f>IF(Calc!$Q$102&gt;'Calc'!$B$8,"",IF('Calc'!$E$14=1,'财富模型'!$E$9,'财富模型'!$M$6+IF(Calc!$Q$102&lt;='财富模型'!$E$11*12,'Calc'!$W$14,'Calc'!$Y$14)-(IF('Calc'!$E$14=1,0,MIN(Calc!$S$101*(1+'财富模型'!$E$20/12)+'Calc'!$B$6,IF(Calc!$Q$102&lt;='财富模型'!$E$11*12,'Calc'!$W$14,'Calc'!$Y$14))))))</x:f>
      </x:c>
      <x:c r="U102" t="str">
        <x:f>IF(Calc!$Q$102&gt;'Calc'!$B$8,"",IF('Calc'!$E$14=1,0,MIN(Calc!$S$101*(1+'财富模型'!$E$20/12)+'Calc'!$B$6,IF(Calc!$Q$102&lt;='财富模型'!$E$11*12,'Calc'!$W$14,'Calc'!$Y$14))))</x:f>
      </x:c>
      <x:c r="V102" t="str">
        <x:f>IF(Calc!$Q$102&gt;'Calc'!$B$8,"",'Calc'!$B$5-'财富模型'!$E$5-(IF('Calc'!$E$14=1,'财富模型'!$E$9,'财富模型'!$M$6+IF(Calc!$Q$102&lt;='财富模型'!$E$11*12,'Calc'!$W$14,'Calc'!$Y$14)-(IF('Calc'!$E$14=1,0,MIN(Calc!$S$101*(1+'财富模型'!$E$20/12)+'Calc'!$B$6,IF(Calc!$Q$102&lt;='财富模型'!$E$11*12,'Calc'!$W$14,'Calc'!$Y$14)))))))</x:f>
      </x:c>
      <x:c r="W102" t="str">
        <x:f>IF(Calc!$Q$102&gt;'Calc'!$B$8,"",IF('Calc'!$E$14=1,0,MAX(Calc!$W$101*(1+IF(Calc!$Q$102&lt;='财富模型'!$E$11*12,'财富模型'!$E$10,'财富模型'!$E$12)/12)-IF('Calc'!$E$14=1,0,IF(Calc!$Q$102&lt;='财富模型'!$E$11*12,'Calc'!$W$14,'Calc'!$Y$14)),0)))</x:f>
      </x:c>
      <x:c r="Y102" t="n">
        <x:v>81</x:v>
      </x:c>
      <x:c r="Z102" t="str">
        <x:f>IF(Calc!$Y$102&gt;'Calc'!$B$8,"",MAX(Calc!$Z$101*(1+'财富模型'!$E$6/12)+('Calc'!$B$5-'财富模型'!$E$5-(IF('Calc'!$E$15=1,'财富模型'!$E$9,'财富模型'!$M$7+IF(Calc!$Y$102&lt;='财富模型'!$E$11*12,'Calc'!$W$15,'Calc'!$Y$15)-(IF('Calc'!$E$15=1,0,MIN(Calc!$AA$101*(1+'财富模型'!$E$20/12)+'Calc'!$B$6,IF(Calc!$Y$102&lt;='财富模型'!$E$11*12,'Calc'!$W$15,'Calc'!$Y$15))))))),0))</x:f>
      </x:c>
      <x:c r="AA102" t="str">
        <x:f>IF(Calc!$Y$102&gt;'Calc'!$B$8,"",MAX(Calc!$AA$101*(1+'财富模型'!$E$20/12)+'Calc'!$B$6-(IF('Calc'!$E$15=1,0,MIN(Calc!$AA$101*(1+'财富模型'!$E$20/12)+'Calc'!$B$6,IF(Calc!$Y$102&lt;='财富模型'!$E$11*12,'Calc'!$W$15,'Calc'!$Y$15)))),0))</x:f>
      </x:c>
      <x:c r="AB102" t="str">
        <x:f>IF(Calc!$Y$102&gt;'Calc'!$B$8,"",IF('Calc'!$E$15=1,'财富模型'!$E$9,'财富模型'!$M$7+IF(Calc!$Y$102&lt;='财富模型'!$E$11*12,'Calc'!$W$15,'Calc'!$Y$15)-(IF('Calc'!$E$15=1,0,MIN(Calc!$AA$101*(1+'财富模型'!$E$20/12)+'Calc'!$B$6,IF(Calc!$Y$102&lt;='财富模型'!$E$11*12,'Calc'!$W$15,'Calc'!$Y$15))))))</x:f>
      </x:c>
      <x:c r="AC102" t="str">
        <x:f>IF(Calc!$Y$102&gt;'Calc'!$B$8,"",IF('Calc'!$E$15=1,0,MIN(Calc!$AA$101*(1+'财富模型'!$E$20/12)+'Calc'!$B$6,IF(Calc!$Y$102&lt;='财富模型'!$E$11*12,'Calc'!$W$15,'Calc'!$Y$15))))</x:f>
      </x:c>
      <x:c r="AD102" t="str">
        <x:f>IF(Calc!$Y$102&gt;'Calc'!$B$8,"",'Calc'!$B$5-'财富模型'!$E$5-(IF('Calc'!$E$15=1,'财富模型'!$E$9,'财富模型'!$M$7+IF(Calc!$Y$102&lt;='财富模型'!$E$11*12,'Calc'!$W$15,'Calc'!$Y$15)-(IF('Calc'!$E$15=1,0,MIN(Calc!$AA$101*(1+'财富模型'!$E$20/12)+'Calc'!$B$6,IF(Calc!$Y$102&lt;='财富模型'!$E$11*12,'Calc'!$W$15,'Calc'!$Y$15)))))))</x:f>
      </x:c>
      <x:c r="AE102" t="str">
        <x:f>IF(Calc!$Y$102&gt;'Calc'!$B$8,"",IF('Calc'!$E$15=1,0,MAX(Calc!$AE$101*(1+IF(Calc!$Y$102&lt;='财富模型'!$E$11*12,'财富模型'!$E$10,'财富模型'!$E$12)/12)-IF('Calc'!$E$15=1,0,IF(Calc!$Y$102&lt;='财富模型'!$E$11*12,'Calc'!$W$15,'Calc'!$Y$15)),0)))</x:f>
      </x:c>
      <x:c r="AG102" t="n">
        <x:v>81</x:v>
      </x:c>
      <x:c r="AH102" t="str">
        <x:f>IF(Calc!$AG$102&gt;'Calc'!$B$8,"",MAX(Calc!$AH$101*(1+'财富模型'!$E$6/12)+('Calc'!$B$5-'财富模型'!$E$5-(IF('Calc'!$E$16=1,'财富模型'!$E$9,'财富模型'!$M$8+IF(Calc!$AG$102&lt;='财富模型'!$E$11*12,'Calc'!$W$16,'Calc'!$Y$16)-(IF('Calc'!$E$16=1,0,MIN(Calc!$AI$101*(1+'财富模型'!$E$20/12)+'Calc'!$B$6,IF(Calc!$AG$102&lt;='财富模型'!$E$11*12,'Calc'!$W$16,'Calc'!$Y$16))))))),0))</x:f>
      </x:c>
      <x:c r="AI102" t="str">
        <x:f>IF(Calc!$AG$102&gt;'Calc'!$B$8,"",MAX(Calc!$AI$101*(1+'财富模型'!$E$20/12)+'Calc'!$B$6-(IF('Calc'!$E$16=1,0,MIN(Calc!$AI$101*(1+'财富模型'!$E$20/12)+'Calc'!$B$6,IF(Calc!$AG$102&lt;='财富模型'!$E$11*12,'Calc'!$W$16,'Calc'!$Y$16)))),0))</x:f>
      </x:c>
      <x:c r="AJ102" t="str">
        <x:f>IF(Calc!$AG$102&gt;'Calc'!$B$8,"",IF('Calc'!$E$16=1,'财富模型'!$E$9,'财富模型'!$M$8+IF(Calc!$AG$102&lt;='财富模型'!$E$11*12,'Calc'!$W$16,'Calc'!$Y$16)-(IF('Calc'!$E$16=1,0,MIN(Calc!$AI$101*(1+'财富模型'!$E$20/12)+'Calc'!$B$6,IF(Calc!$AG$102&lt;='财富模型'!$E$11*12,'Calc'!$W$16,'Calc'!$Y$16))))))</x:f>
      </x:c>
      <x:c r="AK102" t="str">
        <x:f>IF(Calc!$AG$102&gt;'Calc'!$B$8,"",IF('Calc'!$E$16=1,0,MIN(Calc!$AI$101*(1+'财富模型'!$E$20/12)+'Calc'!$B$6,IF(Calc!$AG$102&lt;='财富模型'!$E$11*12,'Calc'!$W$16,'Calc'!$Y$16))))</x:f>
      </x:c>
      <x:c r="AL102" t="str">
        <x:f>IF(Calc!$AG$102&gt;'Calc'!$B$8,"",'Calc'!$B$5-'财富模型'!$E$5-(IF('Calc'!$E$16=1,'财富模型'!$E$9,'财富模型'!$M$8+IF(Calc!$AG$102&lt;='财富模型'!$E$11*12,'Calc'!$W$16,'Calc'!$Y$16)-(IF('Calc'!$E$16=1,0,MIN(Calc!$AI$101*(1+'财富模型'!$E$20/12)+'Calc'!$B$6,IF(Calc!$AG$102&lt;='财富模型'!$E$11*12,'Calc'!$W$16,'Calc'!$Y$16)))))))</x:f>
      </x:c>
      <x:c r="AM102" t="str">
        <x:f>IF(Calc!$AG$102&gt;'Calc'!$B$8,"",IF('Calc'!$E$16=1,0,MAX(Calc!$AM$101*(1+IF(Calc!$AG$102&lt;='财富模型'!$E$11*12,'财富模型'!$E$10,'财富模型'!$E$12)/12)-IF('Calc'!$E$16=1,0,IF(Calc!$AG$102&lt;='财富模型'!$E$11*12,'Calc'!$W$16,'Calc'!$Y$16)),0)))</x:f>
      </x:c>
      <x:c r="AO102" t="n">
        <x:v>81</x:v>
      </x:c>
      <x:c r="AP102" t="str">
        <x:f>IF(Calc!$AO$102&gt;'Calc'!$B$8,"",MAX(Calc!$AP$101*(1+'财富模型'!$E$6/12)+('Calc'!$B$5-'财富模型'!$E$5-(IF('Calc'!$E$17=1,'财富模型'!$E$9,'财富模型'!$M$9+IF(Calc!$AO$102&lt;='财富模型'!$E$11*12,'Calc'!$W$17,'Calc'!$Y$17)-(IF('Calc'!$E$17=1,0,MIN(Calc!$AQ$101*(1+'财富模型'!$E$20/12)+'Calc'!$B$6,IF(Calc!$AO$102&lt;='财富模型'!$E$11*12,'Calc'!$W$17,'Calc'!$Y$17))))))),0))</x:f>
      </x:c>
      <x:c r="AQ102" t="str">
        <x:f>IF(Calc!$AO$102&gt;'Calc'!$B$8,"",MAX(Calc!$AQ$101*(1+'财富模型'!$E$20/12)+'Calc'!$B$6-(IF('Calc'!$E$17=1,0,MIN(Calc!$AQ$101*(1+'财富模型'!$E$20/12)+'Calc'!$B$6,IF(Calc!$AO$102&lt;='财富模型'!$E$11*12,'Calc'!$W$17,'Calc'!$Y$17)))),0))</x:f>
      </x:c>
      <x:c r="AR102" t="str">
        <x:f>IF(Calc!$AO$102&gt;'Calc'!$B$8,"",IF('Calc'!$E$17=1,'财富模型'!$E$9,'财富模型'!$M$9+IF(Calc!$AO$102&lt;='财富模型'!$E$11*12,'Calc'!$W$17,'Calc'!$Y$17)-(IF('Calc'!$E$17=1,0,MIN(Calc!$AQ$101*(1+'财富模型'!$E$20/12)+'Calc'!$B$6,IF(Calc!$AO$102&lt;='财富模型'!$E$11*12,'Calc'!$W$17,'Calc'!$Y$17))))))</x:f>
      </x:c>
      <x:c r="AS102" t="str">
        <x:f>IF(Calc!$AO$102&gt;'Calc'!$B$8,"",IF('Calc'!$E$17=1,0,MIN(Calc!$AQ$101*(1+'财富模型'!$E$20/12)+'Calc'!$B$6,IF(Calc!$AO$102&lt;='财富模型'!$E$11*12,'Calc'!$W$17,'Calc'!$Y$17))))</x:f>
      </x:c>
      <x:c r="AT102" t="str">
        <x:f>IF(Calc!$AO$102&gt;'Calc'!$B$8,"",'Calc'!$B$5-'财富模型'!$E$5-(IF('Calc'!$E$17=1,'财富模型'!$E$9,'财富模型'!$M$9+IF(Calc!$AO$102&lt;='财富模型'!$E$11*12,'Calc'!$W$17,'Calc'!$Y$17)-(IF('Calc'!$E$17=1,0,MIN(Calc!$AQ$101*(1+'财富模型'!$E$20/12)+'Calc'!$B$6,IF(Calc!$AO$102&lt;='财富模型'!$E$11*12,'Calc'!$W$17,'Calc'!$Y$17)))))))</x:f>
      </x:c>
      <x:c r="AU102" t="str">
        <x:f>IF(Calc!$AO$102&gt;'Calc'!$B$8,"",IF('Calc'!$E$17=1,0,MAX(Calc!$AU$101*(1+IF(Calc!$AO$102&lt;='财富模型'!$E$11*12,'财富模型'!$E$10,'财富模型'!$E$12)/12)-IF('Calc'!$E$17=1,0,IF(Calc!$AO$102&lt;='财富模型'!$E$11*12,'Calc'!$W$17,'Calc'!$Y$17)),0)))</x:f>
      </x:c>
    </x:row>
    <x:row r="103">
      <x:c r="A103" t="n">
        <x:v>82</x:v>
      </x:c>
      <x:c r="B103" t="str">
        <x:f>IF(Calc!$A$103&gt;'Calc'!$B$8,"",MAX(Calc!$B$102*(1+'财富模型'!$E$6/12)+('Calc'!$B$5-'财富模型'!$E$5-(IF('Calc'!$E$12=1,'财富模型'!$E$9,'财富模型'!$M$4+IF(Calc!$A$103&lt;='财富模型'!$E$11*12,'Calc'!$W$12,'Calc'!$Y$12)-(IF('Calc'!$E$12=1,0,MIN(Calc!$C$102*(1+'财富模型'!$E$20/12)+'Calc'!$B$6,IF(Calc!$A$103&lt;='财富模型'!$E$11*12,'Calc'!$W$12,'Calc'!$Y$12))))))),0))</x:f>
      </x:c>
      <x:c r="C103" t="str">
        <x:f>IF(Calc!$A$103&gt;'Calc'!$B$8,"",MAX(Calc!$C$102*(1+'财富模型'!$E$20/12)+'Calc'!$B$6-(IF('Calc'!$E$12=1,0,MIN(Calc!$C$102*(1+'财富模型'!$E$20/12)+'Calc'!$B$6,IF(Calc!$A$103&lt;='财富模型'!$E$11*12,'Calc'!$W$12,'Calc'!$Y$12)))),0))</x:f>
      </x:c>
      <x:c r="D103" t="str">
        <x:f>IF(Calc!$A$103&gt;'Calc'!$B$8,"",IF('Calc'!$E$12=1,'财富模型'!$E$9,'财富模型'!$M$4+IF(Calc!$A$103&lt;='财富模型'!$E$11*12,'Calc'!$W$12,'Calc'!$Y$12)-(IF('Calc'!$E$12=1,0,MIN(Calc!$C$102*(1+'财富模型'!$E$20/12)+'Calc'!$B$6,IF(Calc!$A$103&lt;='财富模型'!$E$11*12,'Calc'!$W$12,'Calc'!$Y$12))))))</x:f>
      </x:c>
      <x:c r="E103" t="str">
        <x:f>IF(Calc!$A$103&gt;'Calc'!$B$8,"",IF('Calc'!$E$12=1,0,MIN(Calc!$C$102*(1+'财富模型'!$E$20/12)+'Calc'!$B$6,IF(Calc!$A$103&lt;='财富模型'!$E$11*12,'Calc'!$W$12,'Calc'!$Y$12))))</x:f>
      </x:c>
      <x:c r="F103" t="str">
        <x:f>IF(Calc!$A$103&gt;'Calc'!$B$8,"",'Calc'!$B$5-'财富模型'!$E$5-(IF('Calc'!$E$12=1,'财富模型'!$E$9,'财富模型'!$M$4+IF(Calc!$A$103&lt;='财富模型'!$E$11*12,'Calc'!$W$12,'Calc'!$Y$12)-(IF('Calc'!$E$12=1,0,MIN(Calc!$C$102*(1+'财富模型'!$E$20/12)+'Calc'!$B$6,IF(Calc!$A$103&lt;='财富模型'!$E$11*12,'Calc'!$W$12,'Calc'!$Y$12)))))))</x:f>
      </x:c>
      <x:c r="G103" t="str">
        <x:f>IF(Calc!$A$103&gt;'Calc'!$B$8,"",IF('Calc'!$E$12=1,0,MAX(Calc!$G$102*(1+IF(Calc!$A$103&lt;='财富模型'!$E$11*12,'财富模型'!$E$10,'财富模型'!$E$12)/12)-IF('Calc'!$E$12=1,0,IF(Calc!$A$103&lt;='财富模型'!$E$11*12,'Calc'!$W$12,'Calc'!$Y$12)),0)))</x:f>
      </x:c>
      <x:c r="I103" t="n">
        <x:v>82</x:v>
      </x:c>
      <x:c r="J103" t="str">
        <x:f>IF(Calc!$I$103&gt;'Calc'!$B$8,"",MAX(Calc!$J$102*(1+'财富模型'!$E$6/12)+('Calc'!$B$5-'财富模型'!$E$5-(IF('Calc'!$E$13=1,'财富模型'!$E$9,'财富模型'!$M$5+IF(Calc!$I$103&lt;='财富模型'!$E$11*12,'Calc'!$W$13,'Calc'!$Y$13)-(IF('Calc'!$E$13=1,0,MIN(Calc!$K$102*(1+'财富模型'!$E$20/12)+'Calc'!$B$6,IF(Calc!$I$103&lt;='财富模型'!$E$11*12,'Calc'!$W$13,'Calc'!$Y$13))))))),0))</x:f>
      </x:c>
      <x:c r="K103" t="str">
        <x:f>IF(Calc!$I$103&gt;'Calc'!$B$8,"",MAX(Calc!$K$102*(1+'财富模型'!$E$20/12)+'Calc'!$B$6-(IF('Calc'!$E$13=1,0,MIN(Calc!$K$102*(1+'财富模型'!$E$20/12)+'Calc'!$B$6,IF(Calc!$I$103&lt;='财富模型'!$E$11*12,'Calc'!$W$13,'Calc'!$Y$13)))),0))</x:f>
      </x:c>
      <x:c r="L103" t="str">
        <x:f>IF(Calc!$I$103&gt;'Calc'!$B$8,"",IF('Calc'!$E$13=1,'财富模型'!$E$9,'财富模型'!$M$5+IF(Calc!$I$103&lt;='财富模型'!$E$11*12,'Calc'!$W$13,'Calc'!$Y$13)-(IF('Calc'!$E$13=1,0,MIN(Calc!$K$102*(1+'财富模型'!$E$20/12)+'Calc'!$B$6,IF(Calc!$I$103&lt;='财富模型'!$E$11*12,'Calc'!$W$13,'Calc'!$Y$13))))))</x:f>
      </x:c>
      <x:c r="M103" t="str">
        <x:f>IF(Calc!$I$103&gt;'Calc'!$B$8,"",IF('Calc'!$E$13=1,0,MIN(Calc!$K$102*(1+'财富模型'!$E$20/12)+'Calc'!$B$6,IF(Calc!$I$103&lt;='财富模型'!$E$11*12,'Calc'!$W$13,'Calc'!$Y$13))))</x:f>
      </x:c>
      <x:c r="N103" t="str">
        <x:f>IF(Calc!$I$103&gt;'Calc'!$B$8,"",'Calc'!$B$5-'财富模型'!$E$5-(IF('Calc'!$E$13=1,'财富模型'!$E$9,'财富模型'!$M$5+IF(Calc!$I$103&lt;='财富模型'!$E$11*12,'Calc'!$W$13,'Calc'!$Y$13)-(IF('Calc'!$E$13=1,0,MIN(Calc!$K$102*(1+'财富模型'!$E$20/12)+'Calc'!$B$6,IF(Calc!$I$103&lt;='财富模型'!$E$11*12,'Calc'!$W$13,'Calc'!$Y$13)))))))</x:f>
      </x:c>
      <x:c r="O103" t="str">
        <x:f>IF(Calc!$I$103&gt;'Calc'!$B$8,"",IF('Calc'!$E$13=1,0,MAX(Calc!$O$102*(1+IF(Calc!$I$103&lt;='财富模型'!$E$11*12,'财富模型'!$E$10,'财富模型'!$E$12)/12)-IF('Calc'!$E$13=1,0,IF(Calc!$I$103&lt;='财富模型'!$E$11*12,'Calc'!$W$13,'Calc'!$Y$13)),0)))</x:f>
      </x:c>
      <x:c r="Q103" t="n">
        <x:v>82</x:v>
      </x:c>
      <x:c r="R103" t="str">
        <x:f>IF(Calc!$Q$103&gt;'Calc'!$B$8,"",MAX(Calc!$R$102*(1+'财富模型'!$E$6/12)+('Calc'!$B$5-'财富模型'!$E$5-(IF('Calc'!$E$14=1,'财富模型'!$E$9,'财富模型'!$M$6+IF(Calc!$Q$103&lt;='财富模型'!$E$11*12,'Calc'!$W$14,'Calc'!$Y$14)-(IF('Calc'!$E$14=1,0,MIN(Calc!$S$102*(1+'财富模型'!$E$20/12)+'Calc'!$B$6,IF(Calc!$Q$103&lt;='财富模型'!$E$11*12,'Calc'!$W$14,'Calc'!$Y$14))))))),0))</x:f>
      </x:c>
      <x:c r="S103" t="str">
        <x:f>IF(Calc!$Q$103&gt;'Calc'!$B$8,"",MAX(Calc!$S$102*(1+'财富模型'!$E$20/12)+'Calc'!$B$6-(IF('Calc'!$E$14=1,0,MIN(Calc!$S$102*(1+'财富模型'!$E$20/12)+'Calc'!$B$6,IF(Calc!$Q$103&lt;='财富模型'!$E$11*12,'Calc'!$W$14,'Calc'!$Y$14)))),0))</x:f>
      </x:c>
      <x:c r="T103" t="str">
        <x:f>IF(Calc!$Q$103&gt;'Calc'!$B$8,"",IF('Calc'!$E$14=1,'财富模型'!$E$9,'财富模型'!$M$6+IF(Calc!$Q$103&lt;='财富模型'!$E$11*12,'Calc'!$W$14,'Calc'!$Y$14)-(IF('Calc'!$E$14=1,0,MIN(Calc!$S$102*(1+'财富模型'!$E$20/12)+'Calc'!$B$6,IF(Calc!$Q$103&lt;='财富模型'!$E$11*12,'Calc'!$W$14,'Calc'!$Y$14))))))</x:f>
      </x:c>
      <x:c r="U103" t="str">
        <x:f>IF(Calc!$Q$103&gt;'Calc'!$B$8,"",IF('Calc'!$E$14=1,0,MIN(Calc!$S$102*(1+'财富模型'!$E$20/12)+'Calc'!$B$6,IF(Calc!$Q$103&lt;='财富模型'!$E$11*12,'Calc'!$W$14,'Calc'!$Y$14))))</x:f>
      </x:c>
      <x:c r="V103" t="str">
        <x:f>IF(Calc!$Q$103&gt;'Calc'!$B$8,"",'Calc'!$B$5-'财富模型'!$E$5-(IF('Calc'!$E$14=1,'财富模型'!$E$9,'财富模型'!$M$6+IF(Calc!$Q$103&lt;='财富模型'!$E$11*12,'Calc'!$W$14,'Calc'!$Y$14)-(IF('Calc'!$E$14=1,0,MIN(Calc!$S$102*(1+'财富模型'!$E$20/12)+'Calc'!$B$6,IF(Calc!$Q$103&lt;='财富模型'!$E$11*12,'Calc'!$W$14,'Calc'!$Y$14)))))))</x:f>
      </x:c>
      <x:c r="W103" t="str">
        <x:f>IF(Calc!$Q$103&gt;'Calc'!$B$8,"",IF('Calc'!$E$14=1,0,MAX(Calc!$W$102*(1+IF(Calc!$Q$103&lt;='财富模型'!$E$11*12,'财富模型'!$E$10,'财富模型'!$E$12)/12)-IF('Calc'!$E$14=1,0,IF(Calc!$Q$103&lt;='财富模型'!$E$11*12,'Calc'!$W$14,'Calc'!$Y$14)),0)))</x:f>
      </x:c>
      <x:c r="Y103" t="n">
        <x:v>82</x:v>
      </x:c>
      <x:c r="Z103" t="str">
        <x:f>IF(Calc!$Y$103&gt;'Calc'!$B$8,"",MAX(Calc!$Z$102*(1+'财富模型'!$E$6/12)+('Calc'!$B$5-'财富模型'!$E$5-(IF('Calc'!$E$15=1,'财富模型'!$E$9,'财富模型'!$M$7+IF(Calc!$Y$103&lt;='财富模型'!$E$11*12,'Calc'!$W$15,'Calc'!$Y$15)-(IF('Calc'!$E$15=1,0,MIN(Calc!$AA$102*(1+'财富模型'!$E$20/12)+'Calc'!$B$6,IF(Calc!$Y$103&lt;='财富模型'!$E$11*12,'Calc'!$W$15,'Calc'!$Y$15))))))),0))</x:f>
      </x:c>
      <x:c r="AA103" t="str">
        <x:f>IF(Calc!$Y$103&gt;'Calc'!$B$8,"",MAX(Calc!$AA$102*(1+'财富模型'!$E$20/12)+'Calc'!$B$6-(IF('Calc'!$E$15=1,0,MIN(Calc!$AA$102*(1+'财富模型'!$E$20/12)+'Calc'!$B$6,IF(Calc!$Y$103&lt;='财富模型'!$E$11*12,'Calc'!$W$15,'Calc'!$Y$15)))),0))</x:f>
      </x:c>
      <x:c r="AB103" t="str">
        <x:f>IF(Calc!$Y$103&gt;'Calc'!$B$8,"",IF('Calc'!$E$15=1,'财富模型'!$E$9,'财富模型'!$M$7+IF(Calc!$Y$103&lt;='财富模型'!$E$11*12,'Calc'!$W$15,'Calc'!$Y$15)-(IF('Calc'!$E$15=1,0,MIN(Calc!$AA$102*(1+'财富模型'!$E$20/12)+'Calc'!$B$6,IF(Calc!$Y$103&lt;='财富模型'!$E$11*12,'Calc'!$W$15,'Calc'!$Y$15))))))</x:f>
      </x:c>
      <x:c r="AC103" t="str">
        <x:f>IF(Calc!$Y$103&gt;'Calc'!$B$8,"",IF('Calc'!$E$15=1,0,MIN(Calc!$AA$102*(1+'财富模型'!$E$20/12)+'Calc'!$B$6,IF(Calc!$Y$103&lt;='财富模型'!$E$11*12,'Calc'!$W$15,'Calc'!$Y$15))))</x:f>
      </x:c>
      <x:c r="AD103" t="str">
        <x:f>IF(Calc!$Y$103&gt;'Calc'!$B$8,"",'Calc'!$B$5-'财富模型'!$E$5-(IF('Calc'!$E$15=1,'财富模型'!$E$9,'财富模型'!$M$7+IF(Calc!$Y$103&lt;='财富模型'!$E$11*12,'Calc'!$W$15,'Calc'!$Y$15)-(IF('Calc'!$E$15=1,0,MIN(Calc!$AA$102*(1+'财富模型'!$E$20/12)+'Calc'!$B$6,IF(Calc!$Y$103&lt;='财富模型'!$E$11*12,'Calc'!$W$15,'Calc'!$Y$15)))))))</x:f>
      </x:c>
      <x:c r="AE103" t="str">
        <x:f>IF(Calc!$Y$103&gt;'Calc'!$B$8,"",IF('Calc'!$E$15=1,0,MAX(Calc!$AE$102*(1+IF(Calc!$Y$103&lt;='财富模型'!$E$11*12,'财富模型'!$E$10,'财富模型'!$E$12)/12)-IF('Calc'!$E$15=1,0,IF(Calc!$Y$103&lt;='财富模型'!$E$11*12,'Calc'!$W$15,'Calc'!$Y$15)),0)))</x:f>
      </x:c>
      <x:c r="AG103" t="n">
        <x:v>82</x:v>
      </x:c>
      <x:c r="AH103" t="str">
        <x:f>IF(Calc!$AG$103&gt;'Calc'!$B$8,"",MAX(Calc!$AH$102*(1+'财富模型'!$E$6/12)+('Calc'!$B$5-'财富模型'!$E$5-(IF('Calc'!$E$16=1,'财富模型'!$E$9,'财富模型'!$M$8+IF(Calc!$AG$103&lt;='财富模型'!$E$11*12,'Calc'!$W$16,'Calc'!$Y$16)-(IF('Calc'!$E$16=1,0,MIN(Calc!$AI$102*(1+'财富模型'!$E$20/12)+'Calc'!$B$6,IF(Calc!$AG$103&lt;='财富模型'!$E$11*12,'Calc'!$W$16,'Calc'!$Y$16))))))),0))</x:f>
      </x:c>
      <x:c r="AI103" t="str">
        <x:f>IF(Calc!$AG$103&gt;'Calc'!$B$8,"",MAX(Calc!$AI$102*(1+'财富模型'!$E$20/12)+'Calc'!$B$6-(IF('Calc'!$E$16=1,0,MIN(Calc!$AI$102*(1+'财富模型'!$E$20/12)+'Calc'!$B$6,IF(Calc!$AG$103&lt;='财富模型'!$E$11*12,'Calc'!$W$16,'Calc'!$Y$16)))),0))</x:f>
      </x:c>
      <x:c r="AJ103" t="str">
        <x:f>IF(Calc!$AG$103&gt;'Calc'!$B$8,"",IF('Calc'!$E$16=1,'财富模型'!$E$9,'财富模型'!$M$8+IF(Calc!$AG$103&lt;='财富模型'!$E$11*12,'Calc'!$W$16,'Calc'!$Y$16)-(IF('Calc'!$E$16=1,0,MIN(Calc!$AI$102*(1+'财富模型'!$E$20/12)+'Calc'!$B$6,IF(Calc!$AG$103&lt;='财富模型'!$E$11*12,'Calc'!$W$16,'Calc'!$Y$16))))))</x:f>
      </x:c>
      <x:c r="AK103" t="str">
        <x:f>IF(Calc!$AG$103&gt;'Calc'!$B$8,"",IF('Calc'!$E$16=1,0,MIN(Calc!$AI$102*(1+'财富模型'!$E$20/12)+'Calc'!$B$6,IF(Calc!$AG$103&lt;='财富模型'!$E$11*12,'Calc'!$W$16,'Calc'!$Y$16))))</x:f>
      </x:c>
      <x:c r="AL103" t="str">
        <x:f>IF(Calc!$AG$103&gt;'Calc'!$B$8,"",'Calc'!$B$5-'财富模型'!$E$5-(IF('Calc'!$E$16=1,'财富模型'!$E$9,'财富模型'!$M$8+IF(Calc!$AG$103&lt;='财富模型'!$E$11*12,'Calc'!$W$16,'Calc'!$Y$16)-(IF('Calc'!$E$16=1,0,MIN(Calc!$AI$102*(1+'财富模型'!$E$20/12)+'Calc'!$B$6,IF(Calc!$AG$103&lt;='财富模型'!$E$11*12,'Calc'!$W$16,'Calc'!$Y$16)))))))</x:f>
      </x:c>
      <x:c r="AM103" t="str">
        <x:f>IF(Calc!$AG$103&gt;'Calc'!$B$8,"",IF('Calc'!$E$16=1,0,MAX(Calc!$AM$102*(1+IF(Calc!$AG$103&lt;='财富模型'!$E$11*12,'财富模型'!$E$10,'财富模型'!$E$12)/12)-IF('Calc'!$E$16=1,0,IF(Calc!$AG$103&lt;='财富模型'!$E$11*12,'Calc'!$W$16,'Calc'!$Y$16)),0)))</x:f>
      </x:c>
      <x:c r="AO103" t="n">
        <x:v>82</x:v>
      </x:c>
      <x:c r="AP103" t="str">
        <x:f>IF(Calc!$AO$103&gt;'Calc'!$B$8,"",MAX(Calc!$AP$102*(1+'财富模型'!$E$6/12)+('Calc'!$B$5-'财富模型'!$E$5-(IF('Calc'!$E$17=1,'财富模型'!$E$9,'财富模型'!$M$9+IF(Calc!$AO$103&lt;='财富模型'!$E$11*12,'Calc'!$W$17,'Calc'!$Y$17)-(IF('Calc'!$E$17=1,0,MIN(Calc!$AQ$102*(1+'财富模型'!$E$20/12)+'Calc'!$B$6,IF(Calc!$AO$103&lt;='财富模型'!$E$11*12,'Calc'!$W$17,'Calc'!$Y$17))))))),0))</x:f>
      </x:c>
      <x:c r="AQ103" t="str">
        <x:f>IF(Calc!$AO$103&gt;'Calc'!$B$8,"",MAX(Calc!$AQ$102*(1+'财富模型'!$E$20/12)+'Calc'!$B$6-(IF('Calc'!$E$17=1,0,MIN(Calc!$AQ$102*(1+'财富模型'!$E$20/12)+'Calc'!$B$6,IF(Calc!$AO$103&lt;='财富模型'!$E$11*12,'Calc'!$W$17,'Calc'!$Y$17)))),0))</x:f>
      </x:c>
      <x:c r="AR103" t="str">
        <x:f>IF(Calc!$AO$103&gt;'Calc'!$B$8,"",IF('Calc'!$E$17=1,'财富模型'!$E$9,'财富模型'!$M$9+IF(Calc!$AO$103&lt;='财富模型'!$E$11*12,'Calc'!$W$17,'Calc'!$Y$17)-(IF('Calc'!$E$17=1,0,MIN(Calc!$AQ$102*(1+'财富模型'!$E$20/12)+'Calc'!$B$6,IF(Calc!$AO$103&lt;='财富模型'!$E$11*12,'Calc'!$W$17,'Calc'!$Y$17))))))</x:f>
      </x:c>
      <x:c r="AS103" t="str">
        <x:f>IF(Calc!$AO$103&gt;'Calc'!$B$8,"",IF('Calc'!$E$17=1,0,MIN(Calc!$AQ$102*(1+'财富模型'!$E$20/12)+'Calc'!$B$6,IF(Calc!$AO$103&lt;='财富模型'!$E$11*12,'Calc'!$W$17,'Calc'!$Y$17))))</x:f>
      </x:c>
      <x:c r="AT103" t="str">
        <x:f>IF(Calc!$AO$103&gt;'Calc'!$B$8,"",'Calc'!$B$5-'财富模型'!$E$5-(IF('Calc'!$E$17=1,'财富模型'!$E$9,'财富模型'!$M$9+IF(Calc!$AO$103&lt;='财富模型'!$E$11*12,'Calc'!$W$17,'Calc'!$Y$17)-(IF('Calc'!$E$17=1,0,MIN(Calc!$AQ$102*(1+'财富模型'!$E$20/12)+'Calc'!$B$6,IF(Calc!$AO$103&lt;='财富模型'!$E$11*12,'Calc'!$W$17,'Calc'!$Y$17)))))))</x:f>
      </x:c>
      <x:c r="AU103" t="str">
        <x:f>IF(Calc!$AO$103&gt;'Calc'!$B$8,"",IF('Calc'!$E$17=1,0,MAX(Calc!$AU$102*(1+IF(Calc!$AO$103&lt;='财富模型'!$E$11*12,'财富模型'!$E$10,'财富模型'!$E$12)/12)-IF('Calc'!$E$17=1,0,IF(Calc!$AO$103&lt;='财富模型'!$E$11*12,'Calc'!$W$17,'Calc'!$Y$17)),0)))</x:f>
      </x:c>
    </x:row>
    <x:row r="104">
      <x:c r="A104" t="n">
        <x:v>83</x:v>
      </x:c>
      <x:c r="B104" t="str">
        <x:f>IF(Calc!$A$104&gt;'Calc'!$B$8,"",MAX(Calc!$B$103*(1+'财富模型'!$E$6/12)+('Calc'!$B$5-'财富模型'!$E$5-(IF('Calc'!$E$12=1,'财富模型'!$E$9,'财富模型'!$M$4+IF(Calc!$A$104&lt;='财富模型'!$E$11*12,'Calc'!$W$12,'Calc'!$Y$12)-(IF('Calc'!$E$12=1,0,MIN(Calc!$C$103*(1+'财富模型'!$E$20/12)+'Calc'!$B$6,IF(Calc!$A$104&lt;='财富模型'!$E$11*12,'Calc'!$W$12,'Calc'!$Y$12))))))),0))</x:f>
      </x:c>
      <x:c r="C104" t="str">
        <x:f>IF(Calc!$A$104&gt;'Calc'!$B$8,"",MAX(Calc!$C$103*(1+'财富模型'!$E$20/12)+'Calc'!$B$6-(IF('Calc'!$E$12=1,0,MIN(Calc!$C$103*(1+'财富模型'!$E$20/12)+'Calc'!$B$6,IF(Calc!$A$104&lt;='财富模型'!$E$11*12,'Calc'!$W$12,'Calc'!$Y$12)))),0))</x:f>
      </x:c>
      <x:c r="D104" t="str">
        <x:f>IF(Calc!$A$104&gt;'Calc'!$B$8,"",IF('Calc'!$E$12=1,'财富模型'!$E$9,'财富模型'!$M$4+IF(Calc!$A$104&lt;='财富模型'!$E$11*12,'Calc'!$W$12,'Calc'!$Y$12)-(IF('Calc'!$E$12=1,0,MIN(Calc!$C$103*(1+'财富模型'!$E$20/12)+'Calc'!$B$6,IF(Calc!$A$104&lt;='财富模型'!$E$11*12,'Calc'!$W$12,'Calc'!$Y$12))))))</x:f>
      </x:c>
      <x:c r="E104" t="str">
        <x:f>IF(Calc!$A$104&gt;'Calc'!$B$8,"",IF('Calc'!$E$12=1,0,MIN(Calc!$C$103*(1+'财富模型'!$E$20/12)+'Calc'!$B$6,IF(Calc!$A$104&lt;='财富模型'!$E$11*12,'Calc'!$W$12,'Calc'!$Y$12))))</x:f>
      </x:c>
      <x:c r="F104" t="str">
        <x:f>IF(Calc!$A$104&gt;'Calc'!$B$8,"",'Calc'!$B$5-'财富模型'!$E$5-(IF('Calc'!$E$12=1,'财富模型'!$E$9,'财富模型'!$M$4+IF(Calc!$A$104&lt;='财富模型'!$E$11*12,'Calc'!$W$12,'Calc'!$Y$12)-(IF('Calc'!$E$12=1,0,MIN(Calc!$C$103*(1+'财富模型'!$E$20/12)+'Calc'!$B$6,IF(Calc!$A$104&lt;='财富模型'!$E$11*12,'Calc'!$W$12,'Calc'!$Y$12)))))))</x:f>
      </x:c>
      <x:c r="G104" t="str">
        <x:f>IF(Calc!$A$104&gt;'Calc'!$B$8,"",IF('Calc'!$E$12=1,0,MAX(Calc!$G$103*(1+IF(Calc!$A$104&lt;='财富模型'!$E$11*12,'财富模型'!$E$10,'财富模型'!$E$12)/12)-IF('Calc'!$E$12=1,0,IF(Calc!$A$104&lt;='财富模型'!$E$11*12,'Calc'!$W$12,'Calc'!$Y$12)),0)))</x:f>
      </x:c>
      <x:c r="I104" t="n">
        <x:v>83</x:v>
      </x:c>
      <x:c r="J104" t="str">
        <x:f>IF(Calc!$I$104&gt;'Calc'!$B$8,"",MAX(Calc!$J$103*(1+'财富模型'!$E$6/12)+('Calc'!$B$5-'财富模型'!$E$5-(IF('Calc'!$E$13=1,'财富模型'!$E$9,'财富模型'!$M$5+IF(Calc!$I$104&lt;='财富模型'!$E$11*12,'Calc'!$W$13,'Calc'!$Y$13)-(IF('Calc'!$E$13=1,0,MIN(Calc!$K$103*(1+'财富模型'!$E$20/12)+'Calc'!$B$6,IF(Calc!$I$104&lt;='财富模型'!$E$11*12,'Calc'!$W$13,'Calc'!$Y$13))))))),0))</x:f>
      </x:c>
      <x:c r="K104" t="str">
        <x:f>IF(Calc!$I$104&gt;'Calc'!$B$8,"",MAX(Calc!$K$103*(1+'财富模型'!$E$20/12)+'Calc'!$B$6-(IF('Calc'!$E$13=1,0,MIN(Calc!$K$103*(1+'财富模型'!$E$20/12)+'Calc'!$B$6,IF(Calc!$I$104&lt;='财富模型'!$E$11*12,'Calc'!$W$13,'Calc'!$Y$13)))),0))</x:f>
      </x:c>
      <x:c r="L104" t="str">
        <x:f>IF(Calc!$I$104&gt;'Calc'!$B$8,"",IF('Calc'!$E$13=1,'财富模型'!$E$9,'财富模型'!$M$5+IF(Calc!$I$104&lt;='财富模型'!$E$11*12,'Calc'!$W$13,'Calc'!$Y$13)-(IF('Calc'!$E$13=1,0,MIN(Calc!$K$103*(1+'财富模型'!$E$20/12)+'Calc'!$B$6,IF(Calc!$I$104&lt;='财富模型'!$E$11*12,'Calc'!$W$13,'Calc'!$Y$13))))))</x:f>
      </x:c>
      <x:c r="M104" t="str">
        <x:f>IF(Calc!$I$104&gt;'Calc'!$B$8,"",IF('Calc'!$E$13=1,0,MIN(Calc!$K$103*(1+'财富模型'!$E$20/12)+'Calc'!$B$6,IF(Calc!$I$104&lt;='财富模型'!$E$11*12,'Calc'!$W$13,'Calc'!$Y$13))))</x:f>
      </x:c>
      <x:c r="N104" t="str">
        <x:f>IF(Calc!$I$104&gt;'Calc'!$B$8,"",'Calc'!$B$5-'财富模型'!$E$5-(IF('Calc'!$E$13=1,'财富模型'!$E$9,'财富模型'!$M$5+IF(Calc!$I$104&lt;='财富模型'!$E$11*12,'Calc'!$W$13,'Calc'!$Y$13)-(IF('Calc'!$E$13=1,0,MIN(Calc!$K$103*(1+'财富模型'!$E$20/12)+'Calc'!$B$6,IF(Calc!$I$104&lt;='财富模型'!$E$11*12,'Calc'!$W$13,'Calc'!$Y$13)))))))</x:f>
      </x:c>
      <x:c r="O104" t="str">
        <x:f>IF(Calc!$I$104&gt;'Calc'!$B$8,"",IF('Calc'!$E$13=1,0,MAX(Calc!$O$103*(1+IF(Calc!$I$104&lt;='财富模型'!$E$11*12,'财富模型'!$E$10,'财富模型'!$E$12)/12)-IF('Calc'!$E$13=1,0,IF(Calc!$I$104&lt;='财富模型'!$E$11*12,'Calc'!$W$13,'Calc'!$Y$13)),0)))</x:f>
      </x:c>
      <x:c r="Q104" t="n">
        <x:v>83</x:v>
      </x:c>
      <x:c r="R104" t="str">
        <x:f>IF(Calc!$Q$104&gt;'Calc'!$B$8,"",MAX(Calc!$R$103*(1+'财富模型'!$E$6/12)+('Calc'!$B$5-'财富模型'!$E$5-(IF('Calc'!$E$14=1,'财富模型'!$E$9,'财富模型'!$M$6+IF(Calc!$Q$104&lt;='财富模型'!$E$11*12,'Calc'!$W$14,'Calc'!$Y$14)-(IF('Calc'!$E$14=1,0,MIN(Calc!$S$103*(1+'财富模型'!$E$20/12)+'Calc'!$B$6,IF(Calc!$Q$104&lt;='财富模型'!$E$11*12,'Calc'!$W$14,'Calc'!$Y$14))))))),0))</x:f>
      </x:c>
      <x:c r="S104" t="str">
        <x:f>IF(Calc!$Q$104&gt;'Calc'!$B$8,"",MAX(Calc!$S$103*(1+'财富模型'!$E$20/12)+'Calc'!$B$6-(IF('Calc'!$E$14=1,0,MIN(Calc!$S$103*(1+'财富模型'!$E$20/12)+'Calc'!$B$6,IF(Calc!$Q$104&lt;='财富模型'!$E$11*12,'Calc'!$W$14,'Calc'!$Y$14)))),0))</x:f>
      </x:c>
      <x:c r="T104" t="str">
        <x:f>IF(Calc!$Q$104&gt;'Calc'!$B$8,"",IF('Calc'!$E$14=1,'财富模型'!$E$9,'财富模型'!$M$6+IF(Calc!$Q$104&lt;='财富模型'!$E$11*12,'Calc'!$W$14,'Calc'!$Y$14)-(IF('Calc'!$E$14=1,0,MIN(Calc!$S$103*(1+'财富模型'!$E$20/12)+'Calc'!$B$6,IF(Calc!$Q$104&lt;='财富模型'!$E$11*12,'Calc'!$W$14,'Calc'!$Y$14))))))</x:f>
      </x:c>
      <x:c r="U104" t="str">
        <x:f>IF(Calc!$Q$104&gt;'Calc'!$B$8,"",IF('Calc'!$E$14=1,0,MIN(Calc!$S$103*(1+'财富模型'!$E$20/12)+'Calc'!$B$6,IF(Calc!$Q$104&lt;='财富模型'!$E$11*12,'Calc'!$W$14,'Calc'!$Y$14))))</x:f>
      </x:c>
      <x:c r="V104" t="str">
        <x:f>IF(Calc!$Q$104&gt;'Calc'!$B$8,"",'Calc'!$B$5-'财富模型'!$E$5-(IF('Calc'!$E$14=1,'财富模型'!$E$9,'财富模型'!$M$6+IF(Calc!$Q$104&lt;='财富模型'!$E$11*12,'Calc'!$W$14,'Calc'!$Y$14)-(IF('Calc'!$E$14=1,0,MIN(Calc!$S$103*(1+'财富模型'!$E$20/12)+'Calc'!$B$6,IF(Calc!$Q$104&lt;='财富模型'!$E$11*12,'Calc'!$W$14,'Calc'!$Y$14)))))))</x:f>
      </x:c>
      <x:c r="W104" t="str">
        <x:f>IF(Calc!$Q$104&gt;'Calc'!$B$8,"",IF('Calc'!$E$14=1,0,MAX(Calc!$W$103*(1+IF(Calc!$Q$104&lt;='财富模型'!$E$11*12,'财富模型'!$E$10,'财富模型'!$E$12)/12)-IF('Calc'!$E$14=1,0,IF(Calc!$Q$104&lt;='财富模型'!$E$11*12,'Calc'!$W$14,'Calc'!$Y$14)),0)))</x:f>
      </x:c>
      <x:c r="Y104" t="n">
        <x:v>83</x:v>
      </x:c>
      <x:c r="Z104" t="str">
        <x:f>IF(Calc!$Y$104&gt;'Calc'!$B$8,"",MAX(Calc!$Z$103*(1+'财富模型'!$E$6/12)+('Calc'!$B$5-'财富模型'!$E$5-(IF('Calc'!$E$15=1,'财富模型'!$E$9,'财富模型'!$M$7+IF(Calc!$Y$104&lt;='财富模型'!$E$11*12,'Calc'!$W$15,'Calc'!$Y$15)-(IF('Calc'!$E$15=1,0,MIN(Calc!$AA$103*(1+'财富模型'!$E$20/12)+'Calc'!$B$6,IF(Calc!$Y$104&lt;='财富模型'!$E$11*12,'Calc'!$W$15,'Calc'!$Y$15))))))),0))</x:f>
      </x:c>
      <x:c r="AA104" t="str">
        <x:f>IF(Calc!$Y$104&gt;'Calc'!$B$8,"",MAX(Calc!$AA$103*(1+'财富模型'!$E$20/12)+'Calc'!$B$6-(IF('Calc'!$E$15=1,0,MIN(Calc!$AA$103*(1+'财富模型'!$E$20/12)+'Calc'!$B$6,IF(Calc!$Y$104&lt;='财富模型'!$E$11*12,'Calc'!$W$15,'Calc'!$Y$15)))),0))</x:f>
      </x:c>
      <x:c r="AB104" t="str">
        <x:f>IF(Calc!$Y$104&gt;'Calc'!$B$8,"",IF('Calc'!$E$15=1,'财富模型'!$E$9,'财富模型'!$M$7+IF(Calc!$Y$104&lt;='财富模型'!$E$11*12,'Calc'!$W$15,'Calc'!$Y$15)-(IF('Calc'!$E$15=1,0,MIN(Calc!$AA$103*(1+'财富模型'!$E$20/12)+'Calc'!$B$6,IF(Calc!$Y$104&lt;='财富模型'!$E$11*12,'Calc'!$W$15,'Calc'!$Y$15))))))</x:f>
      </x:c>
      <x:c r="AC104" t="str">
        <x:f>IF(Calc!$Y$104&gt;'Calc'!$B$8,"",IF('Calc'!$E$15=1,0,MIN(Calc!$AA$103*(1+'财富模型'!$E$20/12)+'Calc'!$B$6,IF(Calc!$Y$104&lt;='财富模型'!$E$11*12,'Calc'!$W$15,'Calc'!$Y$15))))</x:f>
      </x:c>
      <x:c r="AD104" t="str">
        <x:f>IF(Calc!$Y$104&gt;'Calc'!$B$8,"",'Calc'!$B$5-'财富模型'!$E$5-(IF('Calc'!$E$15=1,'财富模型'!$E$9,'财富模型'!$M$7+IF(Calc!$Y$104&lt;='财富模型'!$E$11*12,'Calc'!$W$15,'Calc'!$Y$15)-(IF('Calc'!$E$15=1,0,MIN(Calc!$AA$103*(1+'财富模型'!$E$20/12)+'Calc'!$B$6,IF(Calc!$Y$104&lt;='财富模型'!$E$11*12,'Calc'!$W$15,'Calc'!$Y$15)))))))</x:f>
      </x:c>
      <x:c r="AE104" t="str">
        <x:f>IF(Calc!$Y$104&gt;'Calc'!$B$8,"",IF('Calc'!$E$15=1,0,MAX(Calc!$AE$103*(1+IF(Calc!$Y$104&lt;='财富模型'!$E$11*12,'财富模型'!$E$10,'财富模型'!$E$12)/12)-IF('Calc'!$E$15=1,0,IF(Calc!$Y$104&lt;='财富模型'!$E$11*12,'Calc'!$W$15,'Calc'!$Y$15)),0)))</x:f>
      </x:c>
      <x:c r="AG104" t="n">
        <x:v>83</x:v>
      </x:c>
      <x:c r="AH104" t="str">
        <x:f>IF(Calc!$AG$104&gt;'Calc'!$B$8,"",MAX(Calc!$AH$103*(1+'财富模型'!$E$6/12)+('Calc'!$B$5-'财富模型'!$E$5-(IF('Calc'!$E$16=1,'财富模型'!$E$9,'财富模型'!$M$8+IF(Calc!$AG$104&lt;='财富模型'!$E$11*12,'Calc'!$W$16,'Calc'!$Y$16)-(IF('Calc'!$E$16=1,0,MIN(Calc!$AI$103*(1+'财富模型'!$E$20/12)+'Calc'!$B$6,IF(Calc!$AG$104&lt;='财富模型'!$E$11*12,'Calc'!$W$16,'Calc'!$Y$16))))))),0))</x:f>
      </x:c>
      <x:c r="AI104" t="str">
        <x:f>IF(Calc!$AG$104&gt;'Calc'!$B$8,"",MAX(Calc!$AI$103*(1+'财富模型'!$E$20/12)+'Calc'!$B$6-(IF('Calc'!$E$16=1,0,MIN(Calc!$AI$103*(1+'财富模型'!$E$20/12)+'Calc'!$B$6,IF(Calc!$AG$104&lt;='财富模型'!$E$11*12,'Calc'!$W$16,'Calc'!$Y$16)))),0))</x:f>
      </x:c>
      <x:c r="AJ104" t="str">
        <x:f>IF(Calc!$AG$104&gt;'Calc'!$B$8,"",IF('Calc'!$E$16=1,'财富模型'!$E$9,'财富模型'!$M$8+IF(Calc!$AG$104&lt;='财富模型'!$E$11*12,'Calc'!$W$16,'Calc'!$Y$16)-(IF('Calc'!$E$16=1,0,MIN(Calc!$AI$103*(1+'财富模型'!$E$20/12)+'Calc'!$B$6,IF(Calc!$AG$104&lt;='财富模型'!$E$11*12,'Calc'!$W$16,'Calc'!$Y$16))))))</x:f>
      </x:c>
      <x:c r="AK104" t="str">
        <x:f>IF(Calc!$AG$104&gt;'Calc'!$B$8,"",IF('Calc'!$E$16=1,0,MIN(Calc!$AI$103*(1+'财富模型'!$E$20/12)+'Calc'!$B$6,IF(Calc!$AG$104&lt;='财富模型'!$E$11*12,'Calc'!$W$16,'Calc'!$Y$16))))</x:f>
      </x:c>
      <x:c r="AL104" t="str">
        <x:f>IF(Calc!$AG$104&gt;'Calc'!$B$8,"",'Calc'!$B$5-'财富模型'!$E$5-(IF('Calc'!$E$16=1,'财富模型'!$E$9,'财富模型'!$M$8+IF(Calc!$AG$104&lt;='财富模型'!$E$11*12,'Calc'!$W$16,'Calc'!$Y$16)-(IF('Calc'!$E$16=1,0,MIN(Calc!$AI$103*(1+'财富模型'!$E$20/12)+'Calc'!$B$6,IF(Calc!$AG$104&lt;='财富模型'!$E$11*12,'Calc'!$W$16,'Calc'!$Y$16)))))))</x:f>
      </x:c>
      <x:c r="AM104" t="str">
        <x:f>IF(Calc!$AG$104&gt;'Calc'!$B$8,"",IF('Calc'!$E$16=1,0,MAX(Calc!$AM$103*(1+IF(Calc!$AG$104&lt;='财富模型'!$E$11*12,'财富模型'!$E$10,'财富模型'!$E$12)/12)-IF('Calc'!$E$16=1,0,IF(Calc!$AG$104&lt;='财富模型'!$E$11*12,'Calc'!$W$16,'Calc'!$Y$16)),0)))</x:f>
      </x:c>
      <x:c r="AO104" t="n">
        <x:v>83</x:v>
      </x:c>
      <x:c r="AP104" t="str">
        <x:f>IF(Calc!$AO$104&gt;'Calc'!$B$8,"",MAX(Calc!$AP$103*(1+'财富模型'!$E$6/12)+('Calc'!$B$5-'财富模型'!$E$5-(IF('Calc'!$E$17=1,'财富模型'!$E$9,'财富模型'!$M$9+IF(Calc!$AO$104&lt;='财富模型'!$E$11*12,'Calc'!$W$17,'Calc'!$Y$17)-(IF('Calc'!$E$17=1,0,MIN(Calc!$AQ$103*(1+'财富模型'!$E$20/12)+'Calc'!$B$6,IF(Calc!$AO$104&lt;='财富模型'!$E$11*12,'Calc'!$W$17,'Calc'!$Y$17))))))),0))</x:f>
      </x:c>
      <x:c r="AQ104" t="str">
        <x:f>IF(Calc!$AO$104&gt;'Calc'!$B$8,"",MAX(Calc!$AQ$103*(1+'财富模型'!$E$20/12)+'Calc'!$B$6-(IF('Calc'!$E$17=1,0,MIN(Calc!$AQ$103*(1+'财富模型'!$E$20/12)+'Calc'!$B$6,IF(Calc!$AO$104&lt;='财富模型'!$E$11*12,'Calc'!$W$17,'Calc'!$Y$17)))),0))</x:f>
      </x:c>
      <x:c r="AR104" t="str">
        <x:f>IF(Calc!$AO$104&gt;'Calc'!$B$8,"",IF('Calc'!$E$17=1,'财富模型'!$E$9,'财富模型'!$M$9+IF(Calc!$AO$104&lt;='财富模型'!$E$11*12,'Calc'!$W$17,'Calc'!$Y$17)-(IF('Calc'!$E$17=1,0,MIN(Calc!$AQ$103*(1+'财富模型'!$E$20/12)+'Calc'!$B$6,IF(Calc!$AO$104&lt;='财富模型'!$E$11*12,'Calc'!$W$17,'Calc'!$Y$17))))))</x:f>
      </x:c>
      <x:c r="AS104" t="str">
        <x:f>IF(Calc!$AO$104&gt;'Calc'!$B$8,"",IF('Calc'!$E$17=1,0,MIN(Calc!$AQ$103*(1+'财富模型'!$E$20/12)+'Calc'!$B$6,IF(Calc!$AO$104&lt;='财富模型'!$E$11*12,'Calc'!$W$17,'Calc'!$Y$17))))</x:f>
      </x:c>
      <x:c r="AT104" t="str">
        <x:f>IF(Calc!$AO$104&gt;'Calc'!$B$8,"",'Calc'!$B$5-'财富模型'!$E$5-(IF('Calc'!$E$17=1,'财富模型'!$E$9,'财富模型'!$M$9+IF(Calc!$AO$104&lt;='财富模型'!$E$11*12,'Calc'!$W$17,'Calc'!$Y$17)-(IF('Calc'!$E$17=1,0,MIN(Calc!$AQ$103*(1+'财富模型'!$E$20/12)+'Calc'!$B$6,IF(Calc!$AO$104&lt;='财富模型'!$E$11*12,'Calc'!$W$17,'Calc'!$Y$17)))))))</x:f>
      </x:c>
      <x:c r="AU104" t="str">
        <x:f>IF(Calc!$AO$104&gt;'Calc'!$B$8,"",IF('Calc'!$E$17=1,0,MAX(Calc!$AU$103*(1+IF(Calc!$AO$104&lt;='财富模型'!$E$11*12,'财富模型'!$E$10,'财富模型'!$E$12)/12)-IF('Calc'!$E$17=1,0,IF(Calc!$AO$104&lt;='财富模型'!$E$11*12,'Calc'!$W$17,'Calc'!$Y$17)),0)))</x:f>
      </x:c>
    </x:row>
    <x:row r="105">
      <x:c r="A105" t="n">
        <x:v>84</x:v>
      </x:c>
      <x:c r="B105" t="str">
        <x:f>IF(Calc!$A$105&gt;'Calc'!$B$8,"",MAX(Calc!$B$104*(1+'财富模型'!$E$6/12)+('Calc'!$B$5-'财富模型'!$E$5-(IF('Calc'!$E$12=1,'财富模型'!$E$9,'财富模型'!$M$4+IF(Calc!$A$105&lt;='财富模型'!$E$11*12,'Calc'!$W$12,'Calc'!$Y$12)-(IF('Calc'!$E$12=1,0,MIN(Calc!$C$104*(1+'财富模型'!$E$20/12)+'Calc'!$B$6,IF(Calc!$A$105&lt;='财富模型'!$E$11*12,'Calc'!$W$12,'Calc'!$Y$12))))))),0))</x:f>
      </x:c>
      <x:c r="C105" t="str">
        <x:f>IF(Calc!$A$105&gt;'Calc'!$B$8,"",MAX(Calc!$C$104*(1+'财富模型'!$E$20/12)+'Calc'!$B$6-(IF('Calc'!$E$12=1,0,MIN(Calc!$C$104*(1+'财富模型'!$E$20/12)+'Calc'!$B$6,IF(Calc!$A$105&lt;='财富模型'!$E$11*12,'Calc'!$W$12,'Calc'!$Y$12)))),0))</x:f>
      </x:c>
      <x:c r="D105" t="str">
        <x:f>IF(Calc!$A$105&gt;'Calc'!$B$8,"",IF('Calc'!$E$12=1,'财富模型'!$E$9,'财富模型'!$M$4+IF(Calc!$A$105&lt;='财富模型'!$E$11*12,'Calc'!$W$12,'Calc'!$Y$12)-(IF('Calc'!$E$12=1,0,MIN(Calc!$C$104*(1+'财富模型'!$E$20/12)+'Calc'!$B$6,IF(Calc!$A$105&lt;='财富模型'!$E$11*12,'Calc'!$W$12,'Calc'!$Y$12))))))</x:f>
      </x:c>
      <x:c r="E105" t="str">
        <x:f>IF(Calc!$A$105&gt;'Calc'!$B$8,"",IF('Calc'!$E$12=1,0,MIN(Calc!$C$104*(1+'财富模型'!$E$20/12)+'Calc'!$B$6,IF(Calc!$A$105&lt;='财富模型'!$E$11*12,'Calc'!$W$12,'Calc'!$Y$12))))</x:f>
      </x:c>
      <x:c r="F105" t="str">
        <x:f>IF(Calc!$A$105&gt;'Calc'!$B$8,"",'Calc'!$B$5-'财富模型'!$E$5-(IF('Calc'!$E$12=1,'财富模型'!$E$9,'财富模型'!$M$4+IF(Calc!$A$105&lt;='财富模型'!$E$11*12,'Calc'!$W$12,'Calc'!$Y$12)-(IF('Calc'!$E$12=1,0,MIN(Calc!$C$104*(1+'财富模型'!$E$20/12)+'Calc'!$B$6,IF(Calc!$A$105&lt;='财富模型'!$E$11*12,'Calc'!$W$12,'Calc'!$Y$12)))))))</x:f>
      </x:c>
      <x:c r="G105" t="str">
        <x:f>IF(Calc!$A$105&gt;'Calc'!$B$8,"",IF('Calc'!$E$12=1,0,MAX(Calc!$G$104*(1+IF(Calc!$A$105&lt;='财富模型'!$E$11*12,'财富模型'!$E$10,'财富模型'!$E$12)/12)-IF('Calc'!$E$12=1,0,IF(Calc!$A$105&lt;='财富模型'!$E$11*12,'Calc'!$W$12,'Calc'!$Y$12)),0)))</x:f>
      </x:c>
      <x:c r="I105" t="n">
        <x:v>84</x:v>
      </x:c>
      <x:c r="J105" t="str">
        <x:f>IF(Calc!$I$105&gt;'Calc'!$B$8,"",MAX(Calc!$J$104*(1+'财富模型'!$E$6/12)+('Calc'!$B$5-'财富模型'!$E$5-(IF('Calc'!$E$13=1,'财富模型'!$E$9,'财富模型'!$M$5+IF(Calc!$I$105&lt;='财富模型'!$E$11*12,'Calc'!$W$13,'Calc'!$Y$13)-(IF('Calc'!$E$13=1,0,MIN(Calc!$K$104*(1+'财富模型'!$E$20/12)+'Calc'!$B$6,IF(Calc!$I$105&lt;='财富模型'!$E$11*12,'Calc'!$W$13,'Calc'!$Y$13))))))),0))</x:f>
      </x:c>
      <x:c r="K105" t="str">
        <x:f>IF(Calc!$I$105&gt;'Calc'!$B$8,"",MAX(Calc!$K$104*(1+'财富模型'!$E$20/12)+'Calc'!$B$6-(IF('Calc'!$E$13=1,0,MIN(Calc!$K$104*(1+'财富模型'!$E$20/12)+'Calc'!$B$6,IF(Calc!$I$105&lt;='财富模型'!$E$11*12,'Calc'!$W$13,'Calc'!$Y$13)))),0))</x:f>
      </x:c>
      <x:c r="L105" t="str">
        <x:f>IF(Calc!$I$105&gt;'Calc'!$B$8,"",IF('Calc'!$E$13=1,'财富模型'!$E$9,'财富模型'!$M$5+IF(Calc!$I$105&lt;='财富模型'!$E$11*12,'Calc'!$W$13,'Calc'!$Y$13)-(IF('Calc'!$E$13=1,0,MIN(Calc!$K$104*(1+'财富模型'!$E$20/12)+'Calc'!$B$6,IF(Calc!$I$105&lt;='财富模型'!$E$11*12,'Calc'!$W$13,'Calc'!$Y$13))))))</x:f>
      </x:c>
      <x:c r="M105" t="str">
        <x:f>IF(Calc!$I$105&gt;'Calc'!$B$8,"",IF('Calc'!$E$13=1,0,MIN(Calc!$K$104*(1+'财富模型'!$E$20/12)+'Calc'!$B$6,IF(Calc!$I$105&lt;='财富模型'!$E$11*12,'Calc'!$W$13,'Calc'!$Y$13))))</x:f>
      </x:c>
      <x:c r="N105" t="str">
        <x:f>IF(Calc!$I$105&gt;'Calc'!$B$8,"",'Calc'!$B$5-'财富模型'!$E$5-(IF('Calc'!$E$13=1,'财富模型'!$E$9,'财富模型'!$M$5+IF(Calc!$I$105&lt;='财富模型'!$E$11*12,'Calc'!$W$13,'Calc'!$Y$13)-(IF('Calc'!$E$13=1,0,MIN(Calc!$K$104*(1+'财富模型'!$E$20/12)+'Calc'!$B$6,IF(Calc!$I$105&lt;='财富模型'!$E$11*12,'Calc'!$W$13,'Calc'!$Y$13)))))))</x:f>
      </x:c>
      <x:c r="O105" t="str">
        <x:f>IF(Calc!$I$105&gt;'Calc'!$B$8,"",IF('Calc'!$E$13=1,0,MAX(Calc!$O$104*(1+IF(Calc!$I$105&lt;='财富模型'!$E$11*12,'财富模型'!$E$10,'财富模型'!$E$12)/12)-IF('Calc'!$E$13=1,0,IF(Calc!$I$105&lt;='财富模型'!$E$11*12,'Calc'!$W$13,'Calc'!$Y$13)),0)))</x:f>
      </x:c>
      <x:c r="Q105" t="n">
        <x:v>84</x:v>
      </x:c>
      <x:c r="R105" t="str">
        <x:f>IF(Calc!$Q$105&gt;'Calc'!$B$8,"",MAX(Calc!$R$104*(1+'财富模型'!$E$6/12)+('Calc'!$B$5-'财富模型'!$E$5-(IF('Calc'!$E$14=1,'财富模型'!$E$9,'财富模型'!$M$6+IF(Calc!$Q$105&lt;='财富模型'!$E$11*12,'Calc'!$W$14,'Calc'!$Y$14)-(IF('Calc'!$E$14=1,0,MIN(Calc!$S$104*(1+'财富模型'!$E$20/12)+'Calc'!$B$6,IF(Calc!$Q$105&lt;='财富模型'!$E$11*12,'Calc'!$W$14,'Calc'!$Y$14))))))),0))</x:f>
      </x:c>
      <x:c r="S105" t="str">
        <x:f>IF(Calc!$Q$105&gt;'Calc'!$B$8,"",MAX(Calc!$S$104*(1+'财富模型'!$E$20/12)+'Calc'!$B$6-(IF('Calc'!$E$14=1,0,MIN(Calc!$S$104*(1+'财富模型'!$E$20/12)+'Calc'!$B$6,IF(Calc!$Q$105&lt;='财富模型'!$E$11*12,'Calc'!$W$14,'Calc'!$Y$14)))),0))</x:f>
      </x:c>
      <x:c r="T105" t="str">
        <x:f>IF(Calc!$Q$105&gt;'Calc'!$B$8,"",IF('Calc'!$E$14=1,'财富模型'!$E$9,'财富模型'!$M$6+IF(Calc!$Q$105&lt;='财富模型'!$E$11*12,'Calc'!$W$14,'Calc'!$Y$14)-(IF('Calc'!$E$14=1,0,MIN(Calc!$S$104*(1+'财富模型'!$E$20/12)+'Calc'!$B$6,IF(Calc!$Q$105&lt;='财富模型'!$E$11*12,'Calc'!$W$14,'Calc'!$Y$14))))))</x:f>
      </x:c>
      <x:c r="U105" t="str">
        <x:f>IF(Calc!$Q$105&gt;'Calc'!$B$8,"",IF('Calc'!$E$14=1,0,MIN(Calc!$S$104*(1+'财富模型'!$E$20/12)+'Calc'!$B$6,IF(Calc!$Q$105&lt;='财富模型'!$E$11*12,'Calc'!$W$14,'Calc'!$Y$14))))</x:f>
      </x:c>
      <x:c r="V105" t="str">
        <x:f>IF(Calc!$Q$105&gt;'Calc'!$B$8,"",'Calc'!$B$5-'财富模型'!$E$5-(IF('Calc'!$E$14=1,'财富模型'!$E$9,'财富模型'!$M$6+IF(Calc!$Q$105&lt;='财富模型'!$E$11*12,'Calc'!$W$14,'Calc'!$Y$14)-(IF('Calc'!$E$14=1,0,MIN(Calc!$S$104*(1+'财富模型'!$E$20/12)+'Calc'!$B$6,IF(Calc!$Q$105&lt;='财富模型'!$E$11*12,'Calc'!$W$14,'Calc'!$Y$14)))))))</x:f>
      </x:c>
      <x:c r="W105" t="str">
        <x:f>IF(Calc!$Q$105&gt;'Calc'!$B$8,"",IF('Calc'!$E$14=1,0,MAX(Calc!$W$104*(1+IF(Calc!$Q$105&lt;='财富模型'!$E$11*12,'财富模型'!$E$10,'财富模型'!$E$12)/12)-IF('Calc'!$E$14=1,0,IF(Calc!$Q$105&lt;='财富模型'!$E$11*12,'Calc'!$W$14,'Calc'!$Y$14)),0)))</x:f>
      </x:c>
      <x:c r="Y105" t="n">
        <x:v>84</x:v>
      </x:c>
      <x:c r="Z105" t="str">
        <x:f>IF(Calc!$Y$105&gt;'Calc'!$B$8,"",MAX(Calc!$Z$104*(1+'财富模型'!$E$6/12)+('Calc'!$B$5-'财富模型'!$E$5-(IF('Calc'!$E$15=1,'财富模型'!$E$9,'财富模型'!$M$7+IF(Calc!$Y$105&lt;='财富模型'!$E$11*12,'Calc'!$W$15,'Calc'!$Y$15)-(IF('Calc'!$E$15=1,0,MIN(Calc!$AA$104*(1+'财富模型'!$E$20/12)+'Calc'!$B$6,IF(Calc!$Y$105&lt;='财富模型'!$E$11*12,'Calc'!$W$15,'Calc'!$Y$15))))))),0))</x:f>
      </x:c>
      <x:c r="AA105" t="str">
        <x:f>IF(Calc!$Y$105&gt;'Calc'!$B$8,"",MAX(Calc!$AA$104*(1+'财富模型'!$E$20/12)+'Calc'!$B$6-(IF('Calc'!$E$15=1,0,MIN(Calc!$AA$104*(1+'财富模型'!$E$20/12)+'Calc'!$B$6,IF(Calc!$Y$105&lt;='财富模型'!$E$11*12,'Calc'!$W$15,'Calc'!$Y$15)))),0))</x:f>
      </x:c>
      <x:c r="AB105" t="str">
        <x:f>IF(Calc!$Y$105&gt;'Calc'!$B$8,"",IF('Calc'!$E$15=1,'财富模型'!$E$9,'财富模型'!$M$7+IF(Calc!$Y$105&lt;='财富模型'!$E$11*12,'Calc'!$W$15,'Calc'!$Y$15)-(IF('Calc'!$E$15=1,0,MIN(Calc!$AA$104*(1+'财富模型'!$E$20/12)+'Calc'!$B$6,IF(Calc!$Y$105&lt;='财富模型'!$E$11*12,'Calc'!$W$15,'Calc'!$Y$15))))))</x:f>
      </x:c>
      <x:c r="AC105" t="str">
        <x:f>IF(Calc!$Y$105&gt;'Calc'!$B$8,"",IF('Calc'!$E$15=1,0,MIN(Calc!$AA$104*(1+'财富模型'!$E$20/12)+'Calc'!$B$6,IF(Calc!$Y$105&lt;='财富模型'!$E$11*12,'Calc'!$W$15,'Calc'!$Y$15))))</x:f>
      </x:c>
      <x:c r="AD105" t="str">
        <x:f>IF(Calc!$Y$105&gt;'Calc'!$B$8,"",'Calc'!$B$5-'财富模型'!$E$5-(IF('Calc'!$E$15=1,'财富模型'!$E$9,'财富模型'!$M$7+IF(Calc!$Y$105&lt;='财富模型'!$E$11*12,'Calc'!$W$15,'Calc'!$Y$15)-(IF('Calc'!$E$15=1,0,MIN(Calc!$AA$104*(1+'财富模型'!$E$20/12)+'Calc'!$B$6,IF(Calc!$Y$105&lt;='财富模型'!$E$11*12,'Calc'!$W$15,'Calc'!$Y$15)))))))</x:f>
      </x:c>
      <x:c r="AE105" t="str">
        <x:f>IF(Calc!$Y$105&gt;'Calc'!$B$8,"",IF('Calc'!$E$15=1,0,MAX(Calc!$AE$104*(1+IF(Calc!$Y$105&lt;='财富模型'!$E$11*12,'财富模型'!$E$10,'财富模型'!$E$12)/12)-IF('Calc'!$E$15=1,0,IF(Calc!$Y$105&lt;='财富模型'!$E$11*12,'Calc'!$W$15,'Calc'!$Y$15)),0)))</x:f>
      </x:c>
      <x:c r="AG105" t="n">
        <x:v>84</x:v>
      </x:c>
      <x:c r="AH105" t="str">
        <x:f>IF(Calc!$AG$105&gt;'Calc'!$B$8,"",MAX(Calc!$AH$104*(1+'财富模型'!$E$6/12)+('Calc'!$B$5-'财富模型'!$E$5-(IF('Calc'!$E$16=1,'财富模型'!$E$9,'财富模型'!$M$8+IF(Calc!$AG$105&lt;='财富模型'!$E$11*12,'Calc'!$W$16,'Calc'!$Y$16)-(IF('Calc'!$E$16=1,0,MIN(Calc!$AI$104*(1+'财富模型'!$E$20/12)+'Calc'!$B$6,IF(Calc!$AG$105&lt;='财富模型'!$E$11*12,'Calc'!$W$16,'Calc'!$Y$16))))))),0))</x:f>
      </x:c>
      <x:c r="AI105" t="str">
        <x:f>IF(Calc!$AG$105&gt;'Calc'!$B$8,"",MAX(Calc!$AI$104*(1+'财富模型'!$E$20/12)+'Calc'!$B$6-(IF('Calc'!$E$16=1,0,MIN(Calc!$AI$104*(1+'财富模型'!$E$20/12)+'Calc'!$B$6,IF(Calc!$AG$105&lt;='财富模型'!$E$11*12,'Calc'!$W$16,'Calc'!$Y$16)))),0))</x:f>
      </x:c>
      <x:c r="AJ105" t="str">
        <x:f>IF(Calc!$AG$105&gt;'Calc'!$B$8,"",IF('Calc'!$E$16=1,'财富模型'!$E$9,'财富模型'!$M$8+IF(Calc!$AG$105&lt;='财富模型'!$E$11*12,'Calc'!$W$16,'Calc'!$Y$16)-(IF('Calc'!$E$16=1,0,MIN(Calc!$AI$104*(1+'财富模型'!$E$20/12)+'Calc'!$B$6,IF(Calc!$AG$105&lt;='财富模型'!$E$11*12,'Calc'!$W$16,'Calc'!$Y$16))))))</x:f>
      </x:c>
      <x:c r="AK105" t="str">
        <x:f>IF(Calc!$AG$105&gt;'Calc'!$B$8,"",IF('Calc'!$E$16=1,0,MIN(Calc!$AI$104*(1+'财富模型'!$E$20/12)+'Calc'!$B$6,IF(Calc!$AG$105&lt;='财富模型'!$E$11*12,'Calc'!$W$16,'Calc'!$Y$16))))</x:f>
      </x:c>
      <x:c r="AL105" t="str">
        <x:f>IF(Calc!$AG$105&gt;'Calc'!$B$8,"",'Calc'!$B$5-'财富模型'!$E$5-(IF('Calc'!$E$16=1,'财富模型'!$E$9,'财富模型'!$M$8+IF(Calc!$AG$105&lt;='财富模型'!$E$11*12,'Calc'!$W$16,'Calc'!$Y$16)-(IF('Calc'!$E$16=1,0,MIN(Calc!$AI$104*(1+'财富模型'!$E$20/12)+'Calc'!$B$6,IF(Calc!$AG$105&lt;='财富模型'!$E$11*12,'Calc'!$W$16,'Calc'!$Y$16)))))))</x:f>
      </x:c>
      <x:c r="AM105" t="str">
        <x:f>IF(Calc!$AG$105&gt;'Calc'!$B$8,"",IF('Calc'!$E$16=1,0,MAX(Calc!$AM$104*(1+IF(Calc!$AG$105&lt;='财富模型'!$E$11*12,'财富模型'!$E$10,'财富模型'!$E$12)/12)-IF('Calc'!$E$16=1,0,IF(Calc!$AG$105&lt;='财富模型'!$E$11*12,'Calc'!$W$16,'Calc'!$Y$16)),0)))</x:f>
      </x:c>
      <x:c r="AO105" t="n">
        <x:v>84</x:v>
      </x:c>
      <x:c r="AP105" t="str">
        <x:f>IF(Calc!$AO$105&gt;'Calc'!$B$8,"",MAX(Calc!$AP$104*(1+'财富模型'!$E$6/12)+('Calc'!$B$5-'财富模型'!$E$5-(IF('Calc'!$E$17=1,'财富模型'!$E$9,'财富模型'!$M$9+IF(Calc!$AO$105&lt;='财富模型'!$E$11*12,'Calc'!$W$17,'Calc'!$Y$17)-(IF('Calc'!$E$17=1,0,MIN(Calc!$AQ$104*(1+'财富模型'!$E$20/12)+'Calc'!$B$6,IF(Calc!$AO$105&lt;='财富模型'!$E$11*12,'Calc'!$W$17,'Calc'!$Y$17))))))),0))</x:f>
      </x:c>
      <x:c r="AQ105" t="str">
        <x:f>IF(Calc!$AO$105&gt;'Calc'!$B$8,"",MAX(Calc!$AQ$104*(1+'财富模型'!$E$20/12)+'Calc'!$B$6-(IF('Calc'!$E$17=1,0,MIN(Calc!$AQ$104*(1+'财富模型'!$E$20/12)+'Calc'!$B$6,IF(Calc!$AO$105&lt;='财富模型'!$E$11*12,'Calc'!$W$17,'Calc'!$Y$17)))),0))</x:f>
      </x:c>
      <x:c r="AR105" t="str">
        <x:f>IF(Calc!$AO$105&gt;'Calc'!$B$8,"",IF('Calc'!$E$17=1,'财富模型'!$E$9,'财富模型'!$M$9+IF(Calc!$AO$105&lt;='财富模型'!$E$11*12,'Calc'!$W$17,'Calc'!$Y$17)-(IF('Calc'!$E$17=1,0,MIN(Calc!$AQ$104*(1+'财富模型'!$E$20/12)+'Calc'!$B$6,IF(Calc!$AO$105&lt;='财富模型'!$E$11*12,'Calc'!$W$17,'Calc'!$Y$17))))))</x:f>
      </x:c>
      <x:c r="AS105" t="str">
        <x:f>IF(Calc!$AO$105&gt;'Calc'!$B$8,"",IF('Calc'!$E$17=1,0,MIN(Calc!$AQ$104*(1+'财富模型'!$E$20/12)+'Calc'!$B$6,IF(Calc!$AO$105&lt;='财富模型'!$E$11*12,'Calc'!$W$17,'Calc'!$Y$17))))</x:f>
      </x:c>
      <x:c r="AT105" t="str">
        <x:f>IF(Calc!$AO$105&gt;'Calc'!$B$8,"",'Calc'!$B$5-'财富模型'!$E$5-(IF('Calc'!$E$17=1,'财富模型'!$E$9,'财富模型'!$M$9+IF(Calc!$AO$105&lt;='财富模型'!$E$11*12,'Calc'!$W$17,'Calc'!$Y$17)-(IF('Calc'!$E$17=1,0,MIN(Calc!$AQ$104*(1+'财富模型'!$E$20/12)+'Calc'!$B$6,IF(Calc!$AO$105&lt;='财富模型'!$E$11*12,'Calc'!$W$17,'Calc'!$Y$17)))))))</x:f>
      </x:c>
      <x:c r="AU105" t="str">
        <x:f>IF(Calc!$AO$105&gt;'Calc'!$B$8,"",IF('Calc'!$E$17=1,0,MAX(Calc!$AU$104*(1+IF(Calc!$AO$105&lt;='财富模型'!$E$11*12,'财富模型'!$E$10,'财富模型'!$E$12)/12)-IF('Calc'!$E$17=1,0,IF(Calc!$AO$105&lt;='财富模型'!$E$11*12,'Calc'!$W$17,'Calc'!$Y$17)),0)))</x:f>
      </x:c>
    </x:row>
    <x:row r="106">
      <x:c r="A106" t="n">
        <x:v>85</x:v>
      </x:c>
      <x:c r="B106" t="str">
        <x:f>IF(Calc!$A$106&gt;'Calc'!$B$8,"",MAX(Calc!$B$105*(1+'财富模型'!$E$6/12)+('Calc'!$B$5-'财富模型'!$E$5-(IF('Calc'!$E$12=1,'财富模型'!$E$9,'财富模型'!$M$4+IF(Calc!$A$106&lt;='财富模型'!$E$11*12,'Calc'!$W$12,'Calc'!$Y$12)-(IF('Calc'!$E$12=1,0,MIN(Calc!$C$105*(1+'财富模型'!$E$20/12)+'Calc'!$B$6,IF(Calc!$A$106&lt;='财富模型'!$E$11*12,'Calc'!$W$12,'Calc'!$Y$12))))))),0))</x:f>
      </x:c>
      <x:c r="C106" t="str">
        <x:f>IF(Calc!$A$106&gt;'Calc'!$B$8,"",MAX(Calc!$C$105*(1+'财富模型'!$E$20/12)+'Calc'!$B$6-(IF('Calc'!$E$12=1,0,MIN(Calc!$C$105*(1+'财富模型'!$E$20/12)+'Calc'!$B$6,IF(Calc!$A$106&lt;='财富模型'!$E$11*12,'Calc'!$W$12,'Calc'!$Y$12)))),0))</x:f>
      </x:c>
      <x:c r="D106" t="str">
        <x:f>IF(Calc!$A$106&gt;'Calc'!$B$8,"",IF('Calc'!$E$12=1,'财富模型'!$E$9,'财富模型'!$M$4+IF(Calc!$A$106&lt;='财富模型'!$E$11*12,'Calc'!$W$12,'Calc'!$Y$12)-(IF('Calc'!$E$12=1,0,MIN(Calc!$C$105*(1+'财富模型'!$E$20/12)+'Calc'!$B$6,IF(Calc!$A$106&lt;='财富模型'!$E$11*12,'Calc'!$W$12,'Calc'!$Y$12))))))</x:f>
      </x:c>
      <x:c r="E106" t="str">
        <x:f>IF(Calc!$A$106&gt;'Calc'!$B$8,"",IF('Calc'!$E$12=1,0,MIN(Calc!$C$105*(1+'财富模型'!$E$20/12)+'Calc'!$B$6,IF(Calc!$A$106&lt;='财富模型'!$E$11*12,'Calc'!$W$12,'Calc'!$Y$12))))</x:f>
      </x:c>
      <x:c r="F106" t="str">
        <x:f>IF(Calc!$A$106&gt;'Calc'!$B$8,"",'Calc'!$B$5-'财富模型'!$E$5-(IF('Calc'!$E$12=1,'财富模型'!$E$9,'财富模型'!$M$4+IF(Calc!$A$106&lt;='财富模型'!$E$11*12,'Calc'!$W$12,'Calc'!$Y$12)-(IF('Calc'!$E$12=1,0,MIN(Calc!$C$105*(1+'财富模型'!$E$20/12)+'Calc'!$B$6,IF(Calc!$A$106&lt;='财富模型'!$E$11*12,'Calc'!$W$12,'Calc'!$Y$12)))))))</x:f>
      </x:c>
      <x:c r="G106" t="str">
        <x:f>IF(Calc!$A$106&gt;'Calc'!$B$8,"",IF('Calc'!$E$12=1,0,MAX(Calc!$G$105*(1+IF(Calc!$A$106&lt;='财富模型'!$E$11*12,'财富模型'!$E$10,'财富模型'!$E$12)/12)-IF('Calc'!$E$12=1,0,IF(Calc!$A$106&lt;='财富模型'!$E$11*12,'Calc'!$W$12,'Calc'!$Y$12)),0)))</x:f>
      </x:c>
      <x:c r="I106" t="n">
        <x:v>85</x:v>
      </x:c>
      <x:c r="J106" t="str">
        <x:f>IF(Calc!$I$106&gt;'Calc'!$B$8,"",MAX(Calc!$J$105*(1+'财富模型'!$E$6/12)+('Calc'!$B$5-'财富模型'!$E$5-(IF('Calc'!$E$13=1,'财富模型'!$E$9,'财富模型'!$M$5+IF(Calc!$I$106&lt;='财富模型'!$E$11*12,'Calc'!$W$13,'Calc'!$Y$13)-(IF('Calc'!$E$13=1,0,MIN(Calc!$K$105*(1+'财富模型'!$E$20/12)+'Calc'!$B$6,IF(Calc!$I$106&lt;='财富模型'!$E$11*12,'Calc'!$W$13,'Calc'!$Y$13))))))),0))</x:f>
      </x:c>
      <x:c r="K106" t="str">
        <x:f>IF(Calc!$I$106&gt;'Calc'!$B$8,"",MAX(Calc!$K$105*(1+'财富模型'!$E$20/12)+'Calc'!$B$6-(IF('Calc'!$E$13=1,0,MIN(Calc!$K$105*(1+'财富模型'!$E$20/12)+'Calc'!$B$6,IF(Calc!$I$106&lt;='财富模型'!$E$11*12,'Calc'!$W$13,'Calc'!$Y$13)))),0))</x:f>
      </x:c>
      <x:c r="L106" t="str">
        <x:f>IF(Calc!$I$106&gt;'Calc'!$B$8,"",IF('Calc'!$E$13=1,'财富模型'!$E$9,'财富模型'!$M$5+IF(Calc!$I$106&lt;='财富模型'!$E$11*12,'Calc'!$W$13,'Calc'!$Y$13)-(IF('Calc'!$E$13=1,0,MIN(Calc!$K$105*(1+'财富模型'!$E$20/12)+'Calc'!$B$6,IF(Calc!$I$106&lt;='财富模型'!$E$11*12,'Calc'!$W$13,'Calc'!$Y$13))))))</x:f>
      </x:c>
      <x:c r="M106" t="str">
        <x:f>IF(Calc!$I$106&gt;'Calc'!$B$8,"",IF('Calc'!$E$13=1,0,MIN(Calc!$K$105*(1+'财富模型'!$E$20/12)+'Calc'!$B$6,IF(Calc!$I$106&lt;='财富模型'!$E$11*12,'Calc'!$W$13,'Calc'!$Y$13))))</x:f>
      </x:c>
      <x:c r="N106" t="str">
        <x:f>IF(Calc!$I$106&gt;'Calc'!$B$8,"",'Calc'!$B$5-'财富模型'!$E$5-(IF('Calc'!$E$13=1,'财富模型'!$E$9,'财富模型'!$M$5+IF(Calc!$I$106&lt;='财富模型'!$E$11*12,'Calc'!$W$13,'Calc'!$Y$13)-(IF('Calc'!$E$13=1,0,MIN(Calc!$K$105*(1+'财富模型'!$E$20/12)+'Calc'!$B$6,IF(Calc!$I$106&lt;='财富模型'!$E$11*12,'Calc'!$W$13,'Calc'!$Y$13)))))))</x:f>
      </x:c>
      <x:c r="O106" t="str">
        <x:f>IF(Calc!$I$106&gt;'Calc'!$B$8,"",IF('Calc'!$E$13=1,0,MAX(Calc!$O$105*(1+IF(Calc!$I$106&lt;='财富模型'!$E$11*12,'财富模型'!$E$10,'财富模型'!$E$12)/12)-IF('Calc'!$E$13=1,0,IF(Calc!$I$106&lt;='财富模型'!$E$11*12,'Calc'!$W$13,'Calc'!$Y$13)),0)))</x:f>
      </x:c>
      <x:c r="Q106" t="n">
        <x:v>85</x:v>
      </x:c>
      <x:c r="R106" t="str">
        <x:f>IF(Calc!$Q$106&gt;'Calc'!$B$8,"",MAX(Calc!$R$105*(1+'财富模型'!$E$6/12)+('Calc'!$B$5-'财富模型'!$E$5-(IF('Calc'!$E$14=1,'财富模型'!$E$9,'财富模型'!$M$6+IF(Calc!$Q$106&lt;='财富模型'!$E$11*12,'Calc'!$W$14,'Calc'!$Y$14)-(IF('Calc'!$E$14=1,0,MIN(Calc!$S$105*(1+'财富模型'!$E$20/12)+'Calc'!$B$6,IF(Calc!$Q$106&lt;='财富模型'!$E$11*12,'Calc'!$W$14,'Calc'!$Y$14))))))),0))</x:f>
      </x:c>
      <x:c r="S106" t="str">
        <x:f>IF(Calc!$Q$106&gt;'Calc'!$B$8,"",MAX(Calc!$S$105*(1+'财富模型'!$E$20/12)+'Calc'!$B$6-(IF('Calc'!$E$14=1,0,MIN(Calc!$S$105*(1+'财富模型'!$E$20/12)+'Calc'!$B$6,IF(Calc!$Q$106&lt;='财富模型'!$E$11*12,'Calc'!$W$14,'Calc'!$Y$14)))),0))</x:f>
      </x:c>
      <x:c r="T106" t="str">
        <x:f>IF(Calc!$Q$106&gt;'Calc'!$B$8,"",IF('Calc'!$E$14=1,'财富模型'!$E$9,'财富模型'!$M$6+IF(Calc!$Q$106&lt;='财富模型'!$E$11*12,'Calc'!$W$14,'Calc'!$Y$14)-(IF('Calc'!$E$14=1,0,MIN(Calc!$S$105*(1+'财富模型'!$E$20/12)+'Calc'!$B$6,IF(Calc!$Q$106&lt;='财富模型'!$E$11*12,'Calc'!$W$14,'Calc'!$Y$14))))))</x:f>
      </x:c>
      <x:c r="U106" t="str">
        <x:f>IF(Calc!$Q$106&gt;'Calc'!$B$8,"",IF('Calc'!$E$14=1,0,MIN(Calc!$S$105*(1+'财富模型'!$E$20/12)+'Calc'!$B$6,IF(Calc!$Q$106&lt;='财富模型'!$E$11*12,'Calc'!$W$14,'Calc'!$Y$14))))</x:f>
      </x:c>
      <x:c r="V106" t="str">
        <x:f>IF(Calc!$Q$106&gt;'Calc'!$B$8,"",'Calc'!$B$5-'财富模型'!$E$5-(IF('Calc'!$E$14=1,'财富模型'!$E$9,'财富模型'!$M$6+IF(Calc!$Q$106&lt;='财富模型'!$E$11*12,'Calc'!$W$14,'Calc'!$Y$14)-(IF('Calc'!$E$14=1,0,MIN(Calc!$S$105*(1+'财富模型'!$E$20/12)+'Calc'!$B$6,IF(Calc!$Q$106&lt;='财富模型'!$E$11*12,'Calc'!$W$14,'Calc'!$Y$14)))))))</x:f>
      </x:c>
      <x:c r="W106" t="str">
        <x:f>IF(Calc!$Q$106&gt;'Calc'!$B$8,"",IF('Calc'!$E$14=1,0,MAX(Calc!$W$105*(1+IF(Calc!$Q$106&lt;='财富模型'!$E$11*12,'财富模型'!$E$10,'财富模型'!$E$12)/12)-IF('Calc'!$E$14=1,0,IF(Calc!$Q$106&lt;='财富模型'!$E$11*12,'Calc'!$W$14,'Calc'!$Y$14)),0)))</x:f>
      </x:c>
      <x:c r="Y106" t="n">
        <x:v>85</x:v>
      </x:c>
      <x:c r="Z106" t="str">
        <x:f>IF(Calc!$Y$106&gt;'Calc'!$B$8,"",MAX(Calc!$Z$105*(1+'财富模型'!$E$6/12)+('Calc'!$B$5-'财富模型'!$E$5-(IF('Calc'!$E$15=1,'财富模型'!$E$9,'财富模型'!$M$7+IF(Calc!$Y$106&lt;='财富模型'!$E$11*12,'Calc'!$W$15,'Calc'!$Y$15)-(IF('Calc'!$E$15=1,0,MIN(Calc!$AA$105*(1+'财富模型'!$E$20/12)+'Calc'!$B$6,IF(Calc!$Y$106&lt;='财富模型'!$E$11*12,'Calc'!$W$15,'Calc'!$Y$15))))))),0))</x:f>
      </x:c>
      <x:c r="AA106" t="str">
        <x:f>IF(Calc!$Y$106&gt;'Calc'!$B$8,"",MAX(Calc!$AA$105*(1+'财富模型'!$E$20/12)+'Calc'!$B$6-(IF('Calc'!$E$15=1,0,MIN(Calc!$AA$105*(1+'财富模型'!$E$20/12)+'Calc'!$B$6,IF(Calc!$Y$106&lt;='财富模型'!$E$11*12,'Calc'!$W$15,'Calc'!$Y$15)))),0))</x:f>
      </x:c>
      <x:c r="AB106" t="str">
        <x:f>IF(Calc!$Y$106&gt;'Calc'!$B$8,"",IF('Calc'!$E$15=1,'财富模型'!$E$9,'财富模型'!$M$7+IF(Calc!$Y$106&lt;='财富模型'!$E$11*12,'Calc'!$W$15,'Calc'!$Y$15)-(IF('Calc'!$E$15=1,0,MIN(Calc!$AA$105*(1+'财富模型'!$E$20/12)+'Calc'!$B$6,IF(Calc!$Y$106&lt;='财富模型'!$E$11*12,'Calc'!$W$15,'Calc'!$Y$15))))))</x:f>
      </x:c>
      <x:c r="AC106" t="str">
        <x:f>IF(Calc!$Y$106&gt;'Calc'!$B$8,"",IF('Calc'!$E$15=1,0,MIN(Calc!$AA$105*(1+'财富模型'!$E$20/12)+'Calc'!$B$6,IF(Calc!$Y$106&lt;='财富模型'!$E$11*12,'Calc'!$W$15,'Calc'!$Y$15))))</x:f>
      </x:c>
      <x:c r="AD106" t="str">
        <x:f>IF(Calc!$Y$106&gt;'Calc'!$B$8,"",'Calc'!$B$5-'财富模型'!$E$5-(IF('Calc'!$E$15=1,'财富模型'!$E$9,'财富模型'!$M$7+IF(Calc!$Y$106&lt;='财富模型'!$E$11*12,'Calc'!$W$15,'Calc'!$Y$15)-(IF('Calc'!$E$15=1,0,MIN(Calc!$AA$105*(1+'财富模型'!$E$20/12)+'Calc'!$B$6,IF(Calc!$Y$106&lt;='财富模型'!$E$11*12,'Calc'!$W$15,'Calc'!$Y$15)))))))</x:f>
      </x:c>
      <x:c r="AE106" t="str">
        <x:f>IF(Calc!$Y$106&gt;'Calc'!$B$8,"",IF('Calc'!$E$15=1,0,MAX(Calc!$AE$105*(1+IF(Calc!$Y$106&lt;='财富模型'!$E$11*12,'财富模型'!$E$10,'财富模型'!$E$12)/12)-IF('Calc'!$E$15=1,0,IF(Calc!$Y$106&lt;='财富模型'!$E$11*12,'Calc'!$W$15,'Calc'!$Y$15)),0)))</x:f>
      </x:c>
      <x:c r="AG106" t="n">
        <x:v>85</x:v>
      </x:c>
      <x:c r="AH106" t="str">
        <x:f>IF(Calc!$AG$106&gt;'Calc'!$B$8,"",MAX(Calc!$AH$105*(1+'财富模型'!$E$6/12)+('Calc'!$B$5-'财富模型'!$E$5-(IF('Calc'!$E$16=1,'财富模型'!$E$9,'财富模型'!$M$8+IF(Calc!$AG$106&lt;='财富模型'!$E$11*12,'Calc'!$W$16,'Calc'!$Y$16)-(IF('Calc'!$E$16=1,0,MIN(Calc!$AI$105*(1+'财富模型'!$E$20/12)+'Calc'!$B$6,IF(Calc!$AG$106&lt;='财富模型'!$E$11*12,'Calc'!$W$16,'Calc'!$Y$16))))))),0))</x:f>
      </x:c>
      <x:c r="AI106" t="str">
        <x:f>IF(Calc!$AG$106&gt;'Calc'!$B$8,"",MAX(Calc!$AI$105*(1+'财富模型'!$E$20/12)+'Calc'!$B$6-(IF('Calc'!$E$16=1,0,MIN(Calc!$AI$105*(1+'财富模型'!$E$20/12)+'Calc'!$B$6,IF(Calc!$AG$106&lt;='财富模型'!$E$11*12,'Calc'!$W$16,'Calc'!$Y$16)))),0))</x:f>
      </x:c>
      <x:c r="AJ106" t="str">
        <x:f>IF(Calc!$AG$106&gt;'Calc'!$B$8,"",IF('Calc'!$E$16=1,'财富模型'!$E$9,'财富模型'!$M$8+IF(Calc!$AG$106&lt;='财富模型'!$E$11*12,'Calc'!$W$16,'Calc'!$Y$16)-(IF('Calc'!$E$16=1,0,MIN(Calc!$AI$105*(1+'财富模型'!$E$20/12)+'Calc'!$B$6,IF(Calc!$AG$106&lt;='财富模型'!$E$11*12,'Calc'!$W$16,'Calc'!$Y$16))))))</x:f>
      </x:c>
      <x:c r="AK106" t="str">
        <x:f>IF(Calc!$AG$106&gt;'Calc'!$B$8,"",IF('Calc'!$E$16=1,0,MIN(Calc!$AI$105*(1+'财富模型'!$E$20/12)+'Calc'!$B$6,IF(Calc!$AG$106&lt;='财富模型'!$E$11*12,'Calc'!$W$16,'Calc'!$Y$16))))</x:f>
      </x:c>
      <x:c r="AL106" t="str">
        <x:f>IF(Calc!$AG$106&gt;'Calc'!$B$8,"",'Calc'!$B$5-'财富模型'!$E$5-(IF('Calc'!$E$16=1,'财富模型'!$E$9,'财富模型'!$M$8+IF(Calc!$AG$106&lt;='财富模型'!$E$11*12,'Calc'!$W$16,'Calc'!$Y$16)-(IF('Calc'!$E$16=1,0,MIN(Calc!$AI$105*(1+'财富模型'!$E$20/12)+'Calc'!$B$6,IF(Calc!$AG$106&lt;='财富模型'!$E$11*12,'Calc'!$W$16,'Calc'!$Y$16)))))))</x:f>
      </x:c>
      <x:c r="AM106" t="str">
        <x:f>IF(Calc!$AG$106&gt;'Calc'!$B$8,"",IF('Calc'!$E$16=1,0,MAX(Calc!$AM$105*(1+IF(Calc!$AG$106&lt;='财富模型'!$E$11*12,'财富模型'!$E$10,'财富模型'!$E$12)/12)-IF('Calc'!$E$16=1,0,IF(Calc!$AG$106&lt;='财富模型'!$E$11*12,'Calc'!$W$16,'Calc'!$Y$16)),0)))</x:f>
      </x:c>
      <x:c r="AO106" t="n">
        <x:v>85</x:v>
      </x:c>
      <x:c r="AP106" t="str">
        <x:f>IF(Calc!$AO$106&gt;'Calc'!$B$8,"",MAX(Calc!$AP$105*(1+'财富模型'!$E$6/12)+('Calc'!$B$5-'财富模型'!$E$5-(IF('Calc'!$E$17=1,'财富模型'!$E$9,'财富模型'!$M$9+IF(Calc!$AO$106&lt;='财富模型'!$E$11*12,'Calc'!$W$17,'Calc'!$Y$17)-(IF('Calc'!$E$17=1,0,MIN(Calc!$AQ$105*(1+'财富模型'!$E$20/12)+'Calc'!$B$6,IF(Calc!$AO$106&lt;='财富模型'!$E$11*12,'Calc'!$W$17,'Calc'!$Y$17))))))),0))</x:f>
      </x:c>
      <x:c r="AQ106" t="str">
        <x:f>IF(Calc!$AO$106&gt;'Calc'!$B$8,"",MAX(Calc!$AQ$105*(1+'财富模型'!$E$20/12)+'Calc'!$B$6-(IF('Calc'!$E$17=1,0,MIN(Calc!$AQ$105*(1+'财富模型'!$E$20/12)+'Calc'!$B$6,IF(Calc!$AO$106&lt;='财富模型'!$E$11*12,'Calc'!$W$17,'Calc'!$Y$17)))),0))</x:f>
      </x:c>
      <x:c r="AR106" t="str">
        <x:f>IF(Calc!$AO$106&gt;'Calc'!$B$8,"",IF('Calc'!$E$17=1,'财富模型'!$E$9,'财富模型'!$M$9+IF(Calc!$AO$106&lt;='财富模型'!$E$11*12,'Calc'!$W$17,'Calc'!$Y$17)-(IF('Calc'!$E$17=1,0,MIN(Calc!$AQ$105*(1+'财富模型'!$E$20/12)+'Calc'!$B$6,IF(Calc!$AO$106&lt;='财富模型'!$E$11*12,'Calc'!$W$17,'Calc'!$Y$17))))))</x:f>
      </x:c>
      <x:c r="AS106" t="str">
        <x:f>IF(Calc!$AO$106&gt;'Calc'!$B$8,"",IF('Calc'!$E$17=1,0,MIN(Calc!$AQ$105*(1+'财富模型'!$E$20/12)+'Calc'!$B$6,IF(Calc!$AO$106&lt;='财富模型'!$E$11*12,'Calc'!$W$17,'Calc'!$Y$17))))</x:f>
      </x:c>
      <x:c r="AT106" t="str">
        <x:f>IF(Calc!$AO$106&gt;'Calc'!$B$8,"",'Calc'!$B$5-'财富模型'!$E$5-(IF('Calc'!$E$17=1,'财富模型'!$E$9,'财富模型'!$M$9+IF(Calc!$AO$106&lt;='财富模型'!$E$11*12,'Calc'!$W$17,'Calc'!$Y$17)-(IF('Calc'!$E$17=1,0,MIN(Calc!$AQ$105*(1+'财富模型'!$E$20/12)+'Calc'!$B$6,IF(Calc!$AO$106&lt;='财富模型'!$E$11*12,'Calc'!$W$17,'Calc'!$Y$17)))))))</x:f>
      </x:c>
      <x:c r="AU106" t="str">
        <x:f>IF(Calc!$AO$106&gt;'Calc'!$B$8,"",IF('Calc'!$E$17=1,0,MAX(Calc!$AU$105*(1+IF(Calc!$AO$106&lt;='财富模型'!$E$11*12,'财富模型'!$E$10,'财富模型'!$E$12)/12)-IF('Calc'!$E$17=1,0,IF(Calc!$AO$106&lt;='财富模型'!$E$11*12,'Calc'!$W$17,'Calc'!$Y$17)),0)))</x:f>
      </x:c>
    </x:row>
    <x:row r="107">
      <x:c r="A107" t="n">
        <x:v>86</x:v>
      </x:c>
      <x:c r="B107" t="str">
        <x:f>IF(Calc!$A$107&gt;'Calc'!$B$8,"",MAX(Calc!$B$106*(1+'财富模型'!$E$6/12)+('Calc'!$B$5-'财富模型'!$E$5-(IF('Calc'!$E$12=1,'财富模型'!$E$9,'财富模型'!$M$4+IF(Calc!$A$107&lt;='财富模型'!$E$11*12,'Calc'!$W$12,'Calc'!$Y$12)-(IF('Calc'!$E$12=1,0,MIN(Calc!$C$106*(1+'财富模型'!$E$20/12)+'Calc'!$B$6,IF(Calc!$A$107&lt;='财富模型'!$E$11*12,'Calc'!$W$12,'Calc'!$Y$12))))))),0))</x:f>
      </x:c>
      <x:c r="C107" t="str">
        <x:f>IF(Calc!$A$107&gt;'Calc'!$B$8,"",MAX(Calc!$C$106*(1+'财富模型'!$E$20/12)+'Calc'!$B$6-(IF('Calc'!$E$12=1,0,MIN(Calc!$C$106*(1+'财富模型'!$E$20/12)+'Calc'!$B$6,IF(Calc!$A$107&lt;='财富模型'!$E$11*12,'Calc'!$W$12,'Calc'!$Y$12)))),0))</x:f>
      </x:c>
      <x:c r="D107" t="str">
        <x:f>IF(Calc!$A$107&gt;'Calc'!$B$8,"",IF('Calc'!$E$12=1,'财富模型'!$E$9,'财富模型'!$M$4+IF(Calc!$A$107&lt;='财富模型'!$E$11*12,'Calc'!$W$12,'Calc'!$Y$12)-(IF('Calc'!$E$12=1,0,MIN(Calc!$C$106*(1+'财富模型'!$E$20/12)+'Calc'!$B$6,IF(Calc!$A$107&lt;='财富模型'!$E$11*12,'Calc'!$W$12,'Calc'!$Y$12))))))</x:f>
      </x:c>
      <x:c r="E107" t="str">
        <x:f>IF(Calc!$A$107&gt;'Calc'!$B$8,"",IF('Calc'!$E$12=1,0,MIN(Calc!$C$106*(1+'财富模型'!$E$20/12)+'Calc'!$B$6,IF(Calc!$A$107&lt;='财富模型'!$E$11*12,'Calc'!$W$12,'Calc'!$Y$12))))</x:f>
      </x:c>
      <x:c r="F107" t="str">
        <x:f>IF(Calc!$A$107&gt;'Calc'!$B$8,"",'Calc'!$B$5-'财富模型'!$E$5-(IF('Calc'!$E$12=1,'财富模型'!$E$9,'财富模型'!$M$4+IF(Calc!$A$107&lt;='财富模型'!$E$11*12,'Calc'!$W$12,'Calc'!$Y$12)-(IF('Calc'!$E$12=1,0,MIN(Calc!$C$106*(1+'财富模型'!$E$20/12)+'Calc'!$B$6,IF(Calc!$A$107&lt;='财富模型'!$E$11*12,'Calc'!$W$12,'Calc'!$Y$12)))))))</x:f>
      </x:c>
      <x:c r="G107" t="str">
        <x:f>IF(Calc!$A$107&gt;'Calc'!$B$8,"",IF('Calc'!$E$12=1,0,MAX(Calc!$G$106*(1+IF(Calc!$A$107&lt;='财富模型'!$E$11*12,'财富模型'!$E$10,'财富模型'!$E$12)/12)-IF('Calc'!$E$12=1,0,IF(Calc!$A$107&lt;='财富模型'!$E$11*12,'Calc'!$W$12,'Calc'!$Y$12)),0)))</x:f>
      </x:c>
      <x:c r="I107" t="n">
        <x:v>86</x:v>
      </x:c>
      <x:c r="J107" t="str">
        <x:f>IF(Calc!$I$107&gt;'Calc'!$B$8,"",MAX(Calc!$J$106*(1+'财富模型'!$E$6/12)+('Calc'!$B$5-'财富模型'!$E$5-(IF('Calc'!$E$13=1,'财富模型'!$E$9,'财富模型'!$M$5+IF(Calc!$I$107&lt;='财富模型'!$E$11*12,'Calc'!$W$13,'Calc'!$Y$13)-(IF('Calc'!$E$13=1,0,MIN(Calc!$K$106*(1+'财富模型'!$E$20/12)+'Calc'!$B$6,IF(Calc!$I$107&lt;='财富模型'!$E$11*12,'Calc'!$W$13,'Calc'!$Y$13))))))),0))</x:f>
      </x:c>
      <x:c r="K107" t="str">
        <x:f>IF(Calc!$I$107&gt;'Calc'!$B$8,"",MAX(Calc!$K$106*(1+'财富模型'!$E$20/12)+'Calc'!$B$6-(IF('Calc'!$E$13=1,0,MIN(Calc!$K$106*(1+'财富模型'!$E$20/12)+'Calc'!$B$6,IF(Calc!$I$107&lt;='财富模型'!$E$11*12,'Calc'!$W$13,'Calc'!$Y$13)))),0))</x:f>
      </x:c>
      <x:c r="L107" t="str">
        <x:f>IF(Calc!$I$107&gt;'Calc'!$B$8,"",IF('Calc'!$E$13=1,'财富模型'!$E$9,'财富模型'!$M$5+IF(Calc!$I$107&lt;='财富模型'!$E$11*12,'Calc'!$W$13,'Calc'!$Y$13)-(IF('Calc'!$E$13=1,0,MIN(Calc!$K$106*(1+'财富模型'!$E$20/12)+'Calc'!$B$6,IF(Calc!$I$107&lt;='财富模型'!$E$11*12,'Calc'!$W$13,'Calc'!$Y$13))))))</x:f>
      </x:c>
      <x:c r="M107" t="str">
        <x:f>IF(Calc!$I$107&gt;'Calc'!$B$8,"",IF('Calc'!$E$13=1,0,MIN(Calc!$K$106*(1+'财富模型'!$E$20/12)+'Calc'!$B$6,IF(Calc!$I$107&lt;='财富模型'!$E$11*12,'Calc'!$W$13,'Calc'!$Y$13))))</x:f>
      </x:c>
      <x:c r="N107" t="str">
        <x:f>IF(Calc!$I$107&gt;'Calc'!$B$8,"",'Calc'!$B$5-'财富模型'!$E$5-(IF('Calc'!$E$13=1,'财富模型'!$E$9,'财富模型'!$M$5+IF(Calc!$I$107&lt;='财富模型'!$E$11*12,'Calc'!$W$13,'Calc'!$Y$13)-(IF('Calc'!$E$13=1,0,MIN(Calc!$K$106*(1+'财富模型'!$E$20/12)+'Calc'!$B$6,IF(Calc!$I$107&lt;='财富模型'!$E$11*12,'Calc'!$W$13,'Calc'!$Y$13)))))))</x:f>
      </x:c>
      <x:c r="O107" t="str">
        <x:f>IF(Calc!$I$107&gt;'Calc'!$B$8,"",IF('Calc'!$E$13=1,0,MAX(Calc!$O$106*(1+IF(Calc!$I$107&lt;='财富模型'!$E$11*12,'财富模型'!$E$10,'财富模型'!$E$12)/12)-IF('Calc'!$E$13=1,0,IF(Calc!$I$107&lt;='财富模型'!$E$11*12,'Calc'!$W$13,'Calc'!$Y$13)),0)))</x:f>
      </x:c>
      <x:c r="Q107" t="n">
        <x:v>86</x:v>
      </x:c>
      <x:c r="R107" t="str">
        <x:f>IF(Calc!$Q$107&gt;'Calc'!$B$8,"",MAX(Calc!$R$106*(1+'财富模型'!$E$6/12)+('Calc'!$B$5-'财富模型'!$E$5-(IF('Calc'!$E$14=1,'财富模型'!$E$9,'财富模型'!$M$6+IF(Calc!$Q$107&lt;='财富模型'!$E$11*12,'Calc'!$W$14,'Calc'!$Y$14)-(IF('Calc'!$E$14=1,0,MIN(Calc!$S$106*(1+'财富模型'!$E$20/12)+'Calc'!$B$6,IF(Calc!$Q$107&lt;='财富模型'!$E$11*12,'Calc'!$W$14,'Calc'!$Y$14))))))),0))</x:f>
      </x:c>
      <x:c r="S107" t="str">
        <x:f>IF(Calc!$Q$107&gt;'Calc'!$B$8,"",MAX(Calc!$S$106*(1+'财富模型'!$E$20/12)+'Calc'!$B$6-(IF('Calc'!$E$14=1,0,MIN(Calc!$S$106*(1+'财富模型'!$E$20/12)+'Calc'!$B$6,IF(Calc!$Q$107&lt;='财富模型'!$E$11*12,'Calc'!$W$14,'Calc'!$Y$14)))),0))</x:f>
      </x:c>
      <x:c r="T107" t="str">
        <x:f>IF(Calc!$Q$107&gt;'Calc'!$B$8,"",IF('Calc'!$E$14=1,'财富模型'!$E$9,'财富模型'!$M$6+IF(Calc!$Q$107&lt;='财富模型'!$E$11*12,'Calc'!$W$14,'Calc'!$Y$14)-(IF('Calc'!$E$14=1,0,MIN(Calc!$S$106*(1+'财富模型'!$E$20/12)+'Calc'!$B$6,IF(Calc!$Q$107&lt;='财富模型'!$E$11*12,'Calc'!$W$14,'Calc'!$Y$14))))))</x:f>
      </x:c>
      <x:c r="U107" t="str">
        <x:f>IF(Calc!$Q$107&gt;'Calc'!$B$8,"",IF('Calc'!$E$14=1,0,MIN(Calc!$S$106*(1+'财富模型'!$E$20/12)+'Calc'!$B$6,IF(Calc!$Q$107&lt;='财富模型'!$E$11*12,'Calc'!$W$14,'Calc'!$Y$14))))</x:f>
      </x:c>
      <x:c r="V107" t="str">
        <x:f>IF(Calc!$Q$107&gt;'Calc'!$B$8,"",'Calc'!$B$5-'财富模型'!$E$5-(IF('Calc'!$E$14=1,'财富模型'!$E$9,'财富模型'!$M$6+IF(Calc!$Q$107&lt;='财富模型'!$E$11*12,'Calc'!$W$14,'Calc'!$Y$14)-(IF('Calc'!$E$14=1,0,MIN(Calc!$S$106*(1+'财富模型'!$E$20/12)+'Calc'!$B$6,IF(Calc!$Q$107&lt;='财富模型'!$E$11*12,'Calc'!$W$14,'Calc'!$Y$14)))))))</x:f>
      </x:c>
      <x:c r="W107" t="str">
        <x:f>IF(Calc!$Q$107&gt;'Calc'!$B$8,"",IF('Calc'!$E$14=1,0,MAX(Calc!$W$106*(1+IF(Calc!$Q$107&lt;='财富模型'!$E$11*12,'财富模型'!$E$10,'财富模型'!$E$12)/12)-IF('Calc'!$E$14=1,0,IF(Calc!$Q$107&lt;='财富模型'!$E$11*12,'Calc'!$W$14,'Calc'!$Y$14)),0)))</x:f>
      </x:c>
      <x:c r="Y107" t="n">
        <x:v>86</x:v>
      </x:c>
      <x:c r="Z107" t="str">
        <x:f>IF(Calc!$Y$107&gt;'Calc'!$B$8,"",MAX(Calc!$Z$106*(1+'财富模型'!$E$6/12)+('Calc'!$B$5-'财富模型'!$E$5-(IF('Calc'!$E$15=1,'财富模型'!$E$9,'财富模型'!$M$7+IF(Calc!$Y$107&lt;='财富模型'!$E$11*12,'Calc'!$W$15,'Calc'!$Y$15)-(IF('Calc'!$E$15=1,0,MIN(Calc!$AA$106*(1+'财富模型'!$E$20/12)+'Calc'!$B$6,IF(Calc!$Y$107&lt;='财富模型'!$E$11*12,'Calc'!$W$15,'Calc'!$Y$15))))))),0))</x:f>
      </x:c>
      <x:c r="AA107" t="str">
        <x:f>IF(Calc!$Y$107&gt;'Calc'!$B$8,"",MAX(Calc!$AA$106*(1+'财富模型'!$E$20/12)+'Calc'!$B$6-(IF('Calc'!$E$15=1,0,MIN(Calc!$AA$106*(1+'财富模型'!$E$20/12)+'Calc'!$B$6,IF(Calc!$Y$107&lt;='财富模型'!$E$11*12,'Calc'!$W$15,'Calc'!$Y$15)))),0))</x:f>
      </x:c>
      <x:c r="AB107" t="str">
        <x:f>IF(Calc!$Y$107&gt;'Calc'!$B$8,"",IF('Calc'!$E$15=1,'财富模型'!$E$9,'财富模型'!$M$7+IF(Calc!$Y$107&lt;='财富模型'!$E$11*12,'Calc'!$W$15,'Calc'!$Y$15)-(IF('Calc'!$E$15=1,0,MIN(Calc!$AA$106*(1+'财富模型'!$E$20/12)+'Calc'!$B$6,IF(Calc!$Y$107&lt;='财富模型'!$E$11*12,'Calc'!$W$15,'Calc'!$Y$15))))))</x:f>
      </x:c>
      <x:c r="AC107" t="str">
        <x:f>IF(Calc!$Y$107&gt;'Calc'!$B$8,"",IF('Calc'!$E$15=1,0,MIN(Calc!$AA$106*(1+'财富模型'!$E$20/12)+'Calc'!$B$6,IF(Calc!$Y$107&lt;='财富模型'!$E$11*12,'Calc'!$W$15,'Calc'!$Y$15))))</x:f>
      </x:c>
      <x:c r="AD107" t="str">
        <x:f>IF(Calc!$Y$107&gt;'Calc'!$B$8,"",'Calc'!$B$5-'财富模型'!$E$5-(IF('Calc'!$E$15=1,'财富模型'!$E$9,'财富模型'!$M$7+IF(Calc!$Y$107&lt;='财富模型'!$E$11*12,'Calc'!$W$15,'Calc'!$Y$15)-(IF('Calc'!$E$15=1,0,MIN(Calc!$AA$106*(1+'财富模型'!$E$20/12)+'Calc'!$B$6,IF(Calc!$Y$107&lt;='财富模型'!$E$11*12,'Calc'!$W$15,'Calc'!$Y$15)))))))</x:f>
      </x:c>
      <x:c r="AE107" t="str">
        <x:f>IF(Calc!$Y$107&gt;'Calc'!$B$8,"",IF('Calc'!$E$15=1,0,MAX(Calc!$AE$106*(1+IF(Calc!$Y$107&lt;='财富模型'!$E$11*12,'财富模型'!$E$10,'财富模型'!$E$12)/12)-IF('Calc'!$E$15=1,0,IF(Calc!$Y$107&lt;='财富模型'!$E$11*12,'Calc'!$W$15,'Calc'!$Y$15)),0)))</x:f>
      </x:c>
      <x:c r="AG107" t="n">
        <x:v>86</x:v>
      </x:c>
      <x:c r="AH107" t="str">
        <x:f>IF(Calc!$AG$107&gt;'Calc'!$B$8,"",MAX(Calc!$AH$106*(1+'财富模型'!$E$6/12)+('Calc'!$B$5-'财富模型'!$E$5-(IF('Calc'!$E$16=1,'财富模型'!$E$9,'财富模型'!$M$8+IF(Calc!$AG$107&lt;='财富模型'!$E$11*12,'Calc'!$W$16,'Calc'!$Y$16)-(IF('Calc'!$E$16=1,0,MIN(Calc!$AI$106*(1+'财富模型'!$E$20/12)+'Calc'!$B$6,IF(Calc!$AG$107&lt;='财富模型'!$E$11*12,'Calc'!$W$16,'Calc'!$Y$16))))))),0))</x:f>
      </x:c>
      <x:c r="AI107" t="str">
        <x:f>IF(Calc!$AG$107&gt;'Calc'!$B$8,"",MAX(Calc!$AI$106*(1+'财富模型'!$E$20/12)+'Calc'!$B$6-(IF('Calc'!$E$16=1,0,MIN(Calc!$AI$106*(1+'财富模型'!$E$20/12)+'Calc'!$B$6,IF(Calc!$AG$107&lt;='财富模型'!$E$11*12,'Calc'!$W$16,'Calc'!$Y$16)))),0))</x:f>
      </x:c>
      <x:c r="AJ107" t="str">
        <x:f>IF(Calc!$AG$107&gt;'Calc'!$B$8,"",IF('Calc'!$E$16=1,'财富模型'!$E$9,'财富模型'!$M$8+IF(Calc!$AG$107&lt;='财富模型'!$E$11*12,'Calc'!$W$16,'Calc'!$Y$16)-(IF('Calc'!$E$16=1,0,MIN(Calc!$AI$106*(1+'财富模型'!$E$20/12)+'Calc'!$B$6,IF(Calc!$AG$107&lt;='财富模型'!$E$11*12,'Calc'!$W$16,'Calc'!$Y$16))))))</x:f>
      </x:c>
      <x:c r="AK107" t="str">
        <x:f>IF(Calc!$AG$107&gt;'Calc'!$B$8,"",IF('Calc'!$E$16=1,0,MIN(Calc!$AI$106*(1+'财富模型'!$E$20/12)+'Calc'!$B$6,IF(Calc!$AG$107&lt;='财富模型'!$E$11*12,'Calc'!$W$16,'Calc'!$Y$16))))</x:f>
      </x:c>
      <x:c r="AL107" t="str">
        <x:f>IF(Calc!$AG$107&gt;'Calc'!$B$8,"",'Calc'!$B$5-'财富模型'!$E$5-(IF('Calc'!$E$16=1,'财富模型'!$E$9,'财富模型'!$M$8+IF(Calc!$AG$107&lt;='财富模型'!$E$11*12,'Calc'!$W$16,'Calc'!$Y$16)-(IF('Calc'!$E$16=1,0,MIN(Calc!$AI$106*(1+'财富模型'!$E$20/12)+'Calc'!$B$6,IF(Calc!$AG$107&lt;='财富模型'!$E$11*12,'Calc'!$W$16,'Calc'!$Y$16)))))))</x:f>
      </x:c>
      <x:c r="AM107" t="str">
        <x:f>IF(Calc!$AG$107&gt;'Calc'!$B$8,"",IF('Calc'!$E$16=1,0,MAX(Calc!$AM$106*(1+IF(Calc!$AG$107&lt;='财富模型'!$E$11*12,'财富模型'!$E$10,'财富模型'!$E$12)/12)-IF('Calc'!$E$16=1,0,IF(Calc!$AG$107&lt;='财富模型'!$E$11*12,'Calc'!$W$16,'Calc'!$Y$16)),0)))</x:f>
      </x:c>
      <x:c r="AO107" t="n">
        <x:v>86</x:v>
      </x:c>
      <x:c r="AP107" t="str">
        <x:f>IF(Calc!$AO$107&gt;'Calc'!$B$8,"",MAX(Calc!$AP$106*(1+'财富模型'!$E$6/12)+('Calc'!$B$5-'财富模型'!$E$5-(IF('Calc'!$E$17=1,'财富模型'!$E$9,'财富模型'!$M$9+IF(Calc!$AO$107&lt;='财富模型'!$E$11*12,'Calc'!$W$17,'Calc'!$Y$17)-(IF('Calc'!$E$17=1,0,MIN(Calc!$AQ$106*(1+'财富模型'!$E$20/12)+'Calc'!$B$6,IF(Calc!$AO$107&lt;='财富模型'!$E$11*12,'Calc'!$W$17,'Calc'!$Y$17))))))),0))</x:f>
      </x:c>
      <x:c r="AQ107" t="str">
        <x:f>IF(Calc!$AO$107&gt;'Calc'!$B$8,"",MAX(Calc!$AQ$106*(1+'财富模型'!$E$20/12)+'Calc'!$B$6-(IF('Calc'!$E$17=1,0,MIN(Calc!$AQ$106*(1+'财富模型'!$E$20/12)+'Calc'!$B$6,IF(Calc!$AO$107&lt;='财富模型'!$E$11*12,'Calc'!$W$17,'Calc'!$Y$17)))),0))</x:f>
      </x:c>
      <x:c r="AR107" t="str">
        <x:f>IF(Calc!$AO$107&gt;'Calc'!$B$8,"",IF('Calc'!$E$17=1,'财富模型'!$E$9,'财富模型'!$M$9+IF(Calc!$AO$107&lt;='财富模型'!$E$11*12,'Calc'!$W$17,'Calc'!$Y$17)-(IF('Calc'!$E$17=1,0,MIN(Calc!$AQ$106*(1+'财富模型'!$E$20/12)+'Calc'!$B$6,IF(Calc!$AO$107&lt;='财富模型'!$E$11*12,'Calc'!$W$17,'Calc'!$Y$17))))))</x:f>
      </x:c>
      <x:c r="AS107" t="str">
        <x:f>IF(Calc!$AO$107&gt;'Calc'!$B$8,"",IF('Calc'!$E$17=1,0,MIN(Calc!$AQ$106*(1+'财富模型'!$E$20/12)+'Calc'!$B$6,IF(Calc!$AO$107&lt;='财富模型'!$E$11*12,'Calc'!$W$17,'Calc'!$Y$17))))</x:f>
      </x:c>
      <x:c r="AT107" t="str">
        <x:f>IF(Calc!$AO$107&gt;'Calc'!$B$8,"",'Calc'!$B$5-'财富模型'!$E$5-(IF('Calc'!$E$17=1,'财富模型'!$E$9,'财富模型'!$M$9+IF(Calc!$AO$107&lt;='财富模型'!$E$11*12,'Calc'!$W$17,'Calc'!$Y$17)-(IF('Calc'!$E$17=1,0,MIN(Calc!$AQ$106*(1+'财富模型'!$E$20/12)+'Calc'!$B$6,IF(Calc!$AO$107&lt;='财富模型'!$E$11*12,'Calc'!$W$17,'Calc'!$Y$17)))))))</x:f>
      </x:c>
      <x:c r="AU107" t="str">
        <x:f>IF(Calc!$AO$107&gt;'Calc'!$B$8,"",IF('Calc'!$E$17=1,0,MAX(Calc!$AU$106*(1+IF(Calc!$AO$107&lt;='财富模型'!$E$11*12,'财富模型'!$E$10,'财富模型'!$E$12)/12)-IF('Calc'!$E$17=1,0,IF(Calc!$AO$107&lt;='财富模型'!$E$11*12,'Calc'!$W$17,'Calc'!$Y$17)),0)))</x:f>
      </x:c>
    </x:row>
    <x:row r="108">
      <x:c r="A108" t="n">
        <x:v>87</x:v>
      </x:c>
      <x:c r="B108" t="str">
        <x:f>IF(Calc!$A$108&gt;'Calc'!$B$8,"",MAX(Calc!$B$107*(1+'财富模型'!$E$6/12)+('Calc'!$B$5-'财富模型'!$E$5-(IF('Calc'!$E$12=1,'财富模型'!$E$9,'财富模型'!$M$4+IF(Calc!$A$108&lt;='财富模型'!$E$11*12,'Calc'!$W$12,'Calc'!$Y$12)-(IF('Calc'!$E$12=1,0,MIN(Calc!$C$107*(1+'财富模型'!$E$20/12)+'Calc'!$B$6,IF(Calc!$A$108&lt;='财富模型'!$E$11*12,'Calc'!$W$12,'Calc'!$Y$12))))))),0))</x:f>
      </x:c>
      <x:c r="C108" t="str">
        <x:f>IF(Calc!$A$108&gt;'Calc'!$B$8,"",MAX(Calc!$C$107*(1+'财富模型'!$E$20/12)+'Calc'!$B$6-(IF('Calc'!$E$12=1,0,MIN(Calc!$C$107*(1+'财富模型'!$E$20/12)+'Calc'!$B$6,IF(Calc!$A$108&lt;='财富模型'!$E$11*12,'Calc'!$W$12,'Calc'!$Y$12)))),0))</x:f>
      </x:c>
      <x:c r="D108" t="str">
        <x:f>IF(Calc!$A$108&gt;'Calc'!$B$8,"",IF('Calc'!$E$12=1,'财富模型'!$E$9,'财富模型'!$M$4+IF(Calc!$A$108&lt;='财富模型'!$E$11*12,'Calc'!$W$12,'Calc'!$Y$12)-(IF('Calc'!$E$12=1,0,MIN(Calc!$C$107*(1+'财富模型'!$E$20/12)+'Calc'!$B$6,IF(Calc!$A$108&lt;='财富模型'!$E$11*12,'Calc'!$W$12,'Calc'!$Y$12))))))</x:f>
      </x:c>
      <x:c r="E108" t="str">
        <x:f>IF(Calc!$A$108&gt;'Calc'!$B$8,"",IF('Calc'!$E$12=1,0,MIN(Calc!$C$107*(1+'财富模型'!$E$20/12)+'Calc'!$B$6,IF(Calc!$A$108&lt;='财富模型'!$E$11*12,'Calc'!$W$12,'Calc'!$Y$12))))</x:f>
      </x:c>
      <x:c r="F108" t="str">
        <x:f>IF(Calc!$A$108&gt;'Calc'!$B$8,"",'Calc'!$B$5-'财富模型'!$E$5-(IF('Calc'!$E$12=1,'财富模型'!$E$9,'财富模型'!$M$4+IF(Calc!$A$108&lt;='财富模型'!$E$11*12,'Calc'!$W$12,'Calc'!$Y$12)-(IF('Calc'!$E$12=1,0,MIN(Calc!$C$107*(1+'财富模型'!$E$20/12)+'Calc'!$B$6,IF(Calc!$A$108&lt;='财富模型'!$E$11*12,'Calc'!$W$12,'Calc'!$Y$12)))))))</x:f>
      </x:c>
      <x:c r="G108" t="str">
        <x:f>IF(Calc!$A$108&gt;'Calc'!$B$8,"",IF('Calc'!$E$12=1,0,MAX(Calc!$G$107*(1+IF(Calc!$A$108&lt;='财富模型'!$E$11*12,'财富模型'!$E$10,'财富模型'!$E$12)/12)-IF('Calc'!$E$12=1,0,IF(Calc!$A$108&lt;='财富模型'!$E$11*12,'Calc'!$W$12,'Calc'!$Y$12)),0)))</x:f>
      </x:c>
      <x:c r="I108" t="n">
        <x:v>87</x:v>
      </x:c>
      <x:c r="J108" t="str">
        <x:f>IF(Calc!$I$108&gt;'Calc'!$B$8,"",MAX(Calc!$J$107*(1+'财富模型'!$E$6/12)+('Calc'!$B$5-'财富模型'!$E$5-(IF('Calc'!$E$13=1,'财富模型'!$E$9,'财富模型'!$M$5+IF(Calc!$I$108&lt;='财富模型'!$E$11*12,'Calc'!$W$13,'Calc'!$Y$13)-(IF('Calc'!$E$13=1,0,MIN(Calc!$K$107*(1+'财富模型'!$E$20/12)+'Calc'!$B$6,IF(Calc!$I$108&lt;='财富模型'!$E$11*12,'Calc'!$W$13,'Calc'!$Y$13))))))),0))</x:f>
      </x:c>
      <x:c r="K108" t="str">
        <x:f>IF(Calc!$I$108&gt;'Calc'!$B$8,"",MAX(Calc!$K$107*(1+'财富模型'!$E$20/12)+'Calc'!$B$6-(IF('Calc'!$E$13=1,0,MIN(Calc!$K$107*(1+'财富模型'!$E$20/12)+'Calc'!$B$6,IF(Calc!$I$108&lt;='财富模型'!$E$11*12,'Calc'!$W$13,'Calc'!$Y$13)))),0))</x:f>
      </x:c>
      <x:c r="L108" t="str">
        <x:f>IF(Calc!$I$108&gt;'Calc'!$B$8,"",IF('Calc'!$E$13=1,'财富模型'!$E$9,'财富模型'!$M$5+IF(Calc!$I$108&lt;='财富模型'!$E$11*12,'Calc'!$W$13,'Calc'!$Y$13)-(IF('Calc'!$E$13=1,0,MIN(Calc!$K$107*(1+'财富模型'!$E$20/12)+'Calc'!$B$6,IF(Calc!$I$108&lt;='财富模型'!$E$11*12,'Calc'!$W$13,'Calc'!$Y$13))))))</x:f>
      </x:c>
      <x:c r="M108" t="str">
        <x:f>IF(Calc!$I$108&gt;'Calc'!$B$8,"",IF('Calc'!$E$13=1,0,MIN(Calc!$K$107*(1+'财富模型'!$E$20/12)+'Calc'!$B$6,IF(Calc!$I$108&lt;='财富模型'!$E$11*12,'Calc'!$W$13,'Calc'!$Y$13))))</x:f>
      </x:c>
      <x:c r="N108" t="str">
        <x:f>IF(Calc!$I$108&gt;'Calc'!$B$8,"",'Calc'!$B$5-'财富模型'!$E$5-(IF('Calc'!$E$13=1,'财富模型'!$E$9,'财富模型'!$M$5+IF(Calc!$I$108&lt;='财富模型'!$E$11*12,'Calc'!$W$13,'Calc'!$Y$13)-(IF('Calc'!$E$13=1,0,MIN(Calc!$K$107*(1+'财富模型'!$E$20/12)+'Calc'!$B$6,IF(Calc!$I$108&lt;='财富模型'!$E$11*12,'Calc'!$W$13,'Calc'!$Y$13)))))))</x:f>
      </x:c>
      <x:c r="O108" t="str">
        <x:f>IF(Calc!$I$108&gt;'Calc'!$B$8,"",IF('Calc'!$E$13=1,0,MAX(Calc!$O$107*(1+IF(Calc!$I$108&lt;='财富模型'!$E$11*12,'财富模型'!$E$10,'财富模型'!$E$12)/12)-IF('Calc'!$E$13=1,0,IF(Calc!$I$108&lt;='财富模型'!$E$11*12,'Calc'!$W$13,'Calc'!$Y$13)),0)))</x:f>
      </x:c>
      <x:c r="Q108" t="n">
        <x:v>87</x:v>
      </x:c>
      <x:c r="R108" t="str">
        <x:f>IF(Calc!$Q$108&gt;'Calc'!$B$8,"",MAX(Calc!$R$107*(1+'财富模型'!$E$6/12)+('Calc'!$B$5-'财富模型'!$E$5-(IF('Calc'!$E$14=1,'财富模型'!$E$9,'财富模型'!$M$6+IF(Calc!$Q$108&lt;='财富模型'!$E$11*12,'Calc'!$W$14,'Calc'!$Y$14)-(IF('Calc'!$E$14=1,0,MIN(Calc!$S$107*(1+'财富模型'!$E$20/12)+'Calc'!$B$6,IF(Calc!$Q$108&lt;='财富模型'!$E$11*12,'Calc'!$W$14,'Calc'!$Y$14))))))),0))</x:f>
      </x:c>
      <x:c r="S108" t="str">
        <x:f>IF(Calc!$Q$108&gt;'Calc'!$B$8,"",MAX(Calc!$S$107*(1+'财富模型'!$E$20/12)+'Calc'!$B$6-(IF('Calc'!$E$14=1,0,MIN(Calc!$S$107*(1+'财富模型'!$E$20/12)+'Calc'!$B$6,IF(Calc!$Q$108&lt;='财富模型'!$E$11*12,'Calc'!$W$14,'Calc'!$Y$14)))),0))</x:f>
      </x:c>
      <x:c r="T108" t="str">
        <x:f>IF(Calc!$Q$108&gt;'Calc'!$B$8,"",IF('Calc'!$E$14=1,'财富模型'!$E$9,'财富模型'!$M$6+IF(Calc!$Q$108&lt;='财富模型'!$E$11*12,'Calc'!$W$14,'Calc'!$Y$14)-(IF('Calc'!$E$14=1,0,MIN(Calc!$S$107*(1+'财富模型'!$E$20/12)+'Calc'!$B$6,IF(Calc!$Q$108&lt;='财富模型'!$E$11*12,'Calc'!$W$14,'Calc'!$Y$14))))))</x:f>
      </x:c>
      <x:c r="U108" t="str">
        <x:f>IF(Calc!$Q$108&gt;'Calc'!$B$8,"",IF('Calc'!$E$14=1,0,MIN(Calc!$S$107*(1+'财富模型'!$E$20/12)+'Calc'!$B$6,IF(Calc!$Q$108&lt;='财富模型'!$E$11*12,'Calc'!$W$14,'Calc'!$Y$14))))</x:f>
      </x:c>
      <x:c r="V108" t="str">
        <x:f>IF(Calc!$Q$108&gt;'Calc'!$B$8,"",'Calc'!$B$5-'财富模型'!$E$5-(IF('Calc'!$E$14=1,'财富模型'!$E$9,'财富模型'!$M$6+IF(Calc!$Q$108&lt;='财富模型'!$E$11*12,'Calc'!$W$14,'Calc'!$Y$14)-(IF('Calc'!$E$14=1,0,MIN(Calc!$S$107*(1+'财富模型'!$E$20/12)+'Calc'!$B$6,IF(Calc!$Q$108&lt;='财富模型'!$E$11*12,'Calc'!$W$14,'Calc'!$Y$14)))))))</x:f>
      </x:c>
      <x:c r="W108" t="str">
        <x:f>IF(Calc!$Q$108&gt;'Calc'!$B$8,"",IF('Calc'!$E$14=1,0,MAX(Calc!$W$107*(1+IF(Calc!$Q$108&lt;='财富模型'!$E$11*12,'财富模型'!$E$10,'财富模型'!$E$12)/12)-IF('Calc'!$E$14=1,0,IF(Calc!$Q$108&lt;='财富模型'!$E$11*12,'Calc'!$W$14,'Calc'!$Y$14)),0)))</x:f>
      </x:c>
      <x:c r="Y108" t="n">
        <x:v>87</x:v>
      </x:c>
      <x:c r="Z108" t="str">
        <x:f>IF(Calc!$Y$108&gt;'Calc'!$B$8,"",MAX(Calc!$Z$107*(1+'财富模型'!$E$6/12)+('Calc'!$B$5-'财富模型'!$E$5-(IF('Calc'!$E$15=1,'财富模型'!$E$9,'财富模型'!$M$7+IF(Calc!$Y$108&lt;='财富模型'!$E$11*12,'Calc'!$W$15,'Calc'!$Y$15)-(IF('Calc'!$E$15=1,0,MIN(Calc!$AA$107*(1+'财富模型'!$E$20/12)+'Calc'!$B$6,IF(Calc!$Y$108&lt;='财富模型'!$E$11*12,'Calc'!$W$15,'Calc'!$Y$15))))))),0))</x:f>
      </x:c>
      <x:c r="AA108" t="str">
        <x:f>IF(Calc!$Y$108&gt;'Calc'!$B$8,"",MAX(Calc!$AA$107*(1+'财富模型'!$E$20/12)+'Calc'!$B$6-(IF('Calc'!$E$15=1,0,MIN(Calc!$AA$107*(1+'财富模型'!$E$20/12)+'Calc'!$B$6,IF(Calc!$Y$108&lt;='财富模型'!$E$11*12,'Calc'!$W$15,'Calc'!$Y$15)))),0))</x:f>
      </x:c>
      <x:c r="AB108" t="str">
        <x:f>IF(Calc!$Y$108&gt;'Calc'!$B$8,"",IF('Calc'!$E$15=1,'财富模型'!$E$9,'财富模型'!$M$7+IF(Calc!$Y$108&lt;='财富模型'!$E$11*12,'Calc'!$W$15,'Calc'!$Y$15)-(IF('Calc'!$E$15=1,0,MIN(Calc!$AA$107*(1+'财富模型'!$E$20/12)+'Calc'!$B$6,IF(Calc!$Y$108&lt;='财富模型'!$E$11*12,'Calc'!$W$15,'Calc'!$Y$15))))))</x:f>
      </x:c>
      <x:c r="AC108" t="str">
        <x:f>IF(Calc!$Y$108&gt;'Calc'!$B$8,"",IF('Calc'!$E$15=1,0,MIN(Calc!$AA$107*(1+'财富模型'!$E$20/12)+'Calc'!$B$6,IF(Calc!$Y$108&lt;='财富模型'!$E$11*12,'Calc'!$W$15,'Calc'!$Y$15))))</x:f>
      </x:c>
      <x:c r="AD108" t="str">
        <x:f>IF(Calc!$Y$108&gt;'Calc'!$B$8,"",'Calc'!$B$5-'财富模型'!$E$5-(IF('Calc'!$E$15=1,'财富模型'!$E$9,'财富模型'!$M$7+IF(Calc!$Y$108&lt;='财富模型'!$E$11*12,'Calc'!$W$15,'Calc'!$Y$15)-(IF('Calc'!$E$15=1,0,MIN(Calc!$AA$107*(1+'财富模型'!$E$20/12)+'Calc'!$B$6,IF(Calc!$Y$108&lt;='财富模型'!$E$11*12,'Calc'!$W$15,'Calc'!$Y$15)))))))</x:f>
      </x:c>
      <x:c r="AE108" t="str">
        <x:f>IF(Calc!$Y$108&gt;'Calc'!$B$8,"",IF('Calc'!$E$15=1,0,MAX(Calc!$AE$107*(1+IF(Calc!$Y$108&lt;='财富模型'!$E$11*12,'财富模型'!$E$10,'财富模型'!$E$12)/12)-IF('Calc'!$E$15=1,0,IF(Calc!$Y$108&lt;='财富模型'!$E$11*12,'Calc'!$W$15,'Calc'!$Y$15)),0)))</x:f>
      </x:c>
      <x:c r="AG108" t="n">
        <x:v>87</x:v>
      </x:c>
      <x:c r="AH108" t="str">
        <x:f>IF(Calc!$AG$108&gt;'Calc'!$B$8,"",MAX(Calc!$AH$107*(1+'财富模型'!$E$6/12)+('Calc'!$B$5-'财富模型'!$E$5-(IF('Calc'!$E$16=1,'财富模型'!$E$9,'财富模型'!$M$8+IF(Calc!$AG$108&lt;='财富模型'!$E$11*12,'Calc'!$W$16,'Calc'!$Y$16)-(IF('Calc'!$E$16=1,0,MIN(Calc!$AI$107*(1+'财富模型'!$E$20/12)+'Calc'!$B$6,IF(Calc!$AG$108&lt;='财富模型'!$E$11*12,'Calc'!$W$16,'Calc'!$Y$16))))))),0))</x:f>
      </x:c>
      <x:c r="AI108" t="str">
        <x:f>IF(Calc!$AG$108&gt;'Calc'!$B$8,"",MAX(Calc!$AI$107*(1+'财富模型'!$E$20/12)+'Calc'!$B$6-(IF('Calc'!$E$16=1,0,MIN(Calc!$AI$107*(1+'财富模型'!$E$20/12)+'Calc'!$B$6,IF(Calc!$AG$108&lt;='财富模型'!$E$11*12,'Calc'!$W$16,'Calc'!$Y$16)))),0))</x:f>
      </x:c>
      <x:c r="AJ108" t="str">
        <x:f>IF(Calc!$AG$108&gt;'Calc'!$B$8,"",IF('Calc'!$E$16=1,'财富模型'!$E$9,'财富模型'!$M$8+IF(Calc!$AG$108&lt;='财富模型'!$E$11*12,'Calc'!$W$16,'Calc'!$Y$16)-(IF('Calc'!$E$16=1,0,MIN(Calc!$AI$107*(1+'财富模型'!$E$20/12)+'Calc'!$B$6,IF(Calc!$AG$108&lt;='财富模型'!$E$11*12,'Calc'!$W$16,'Calc'!$Y$16))))))</x:f>
      </x:c>
      <x:c r="AK108" t="str">
        <x:f>IF(Calc!$AG$108&gt;'Calc'!$B$8,"",IF('Calc'!$E$16=1,0,MIN(Calc!$AI$107*(1+'财富模型'!$E$20/12)+'Calc'!$B$6,IF(Calc!$AG$108&lt;='财富模型'!$E$11*12,'Calc'!$W$16,'Calc'!$Y$16))))</x:f>
      </x:c>
      <x:c r="AL108" t="str">
        <x:f>IF(Calc!$AG$108&gt;'Calc'!$B$8,"",'Calc'!$B$5-'财富模型'!$E$5-(IF('Calc'!$E$16=1,'财富模型'!$E$9,'财富模型'!$M$8+IF(Calc!$AG$108&lt;='财富模型'!$E$11*12,'Calc'!$W$16,'Calc'!$Y$16)-(IF('Calc'!$E$16=1,0,MIN(Calc!$AI$107*(1+'财富模型'!$E$20/12)+'Calc'!$B$6,IF(Calc!$AG$108&lt;='财富模型'!$E$11*12,'Calc'!$W$16,'Calc'!$Y$16)))))))</x:f>
      </x:c>
      <x:c r="AM108" t="str">
        <x:f>IF(Calc!$AG$108&gt;'Calc'!$B$8,"",IF('Calc'!$E$16=1,0,MAX(Calc!$AM$107*(1+IF(Calc!$AG$108&lt;='财富模型'!$E$11*12,'财富模型'!$E$10,'财富模型'!$E$12)/12)-IF('Calc'!$E$16=1,0,IF(Calc!$AG$108&lt;='财富模型'!$E$11*12,'Calc'!$W$16,'Calc'!$Y$16)),0)))</x:f>
      </x:c>
      <x:c r="AO108" t="n">
        <x:v>87</x:v>
      </x:c>
      <x:c r="AP108" t="str">
        <x:f>IF(Calc!$AO$108&gt;'Calc'!$B$8,"",MAX(Calc!$AP$107*(1+'财富模型'!$E$6/12)+('Calc'!$B$5-'财富模型'!$E$5-(IF('Calc'!$E$17=1,'财富模型'!$E$9,'财富模型'!$M$9+IF(Calc!$AO$108&lt;='财富模型'!$E$11*12,'Calc'!$W$17,'Calc'!$Y$17)-(IF('Calc'!$E$17=1,0,MIN(Calc!$AQ$107*(1+'财富模型'!$E$20/12)+'Calc'!$B$6,IF(Calc!$AO$108&lt;='财富模型'!$E$11*12,'Calc'!$W$17,'Calc'!$Y$17))))))),0))</x:f>
      </x:c>
      <x:c r="AQ108" t="str">
        <x:f>IF(Calc!$AO$108&gt;'Calc'!$B$8,"",MAX(Calc!$AQ$107*(1+'财富模型'!$E$20/12)+'Calc'!$B$6-(IF('Calc'!$E$17=1,0,MIN(Calc!$AQ$107*(1+'财富模型'!$E$20/12)+'Calc'!$B$6,IF(Calc!$AO$108&lt;='财富模型'!$E$11*12,'Calc'!$W$17,'Calc'!$Y$17)))),0))</x:f>
      </x:c>
      <x:c r="AR108" t="str">
        <x:f>IF(Calc!$AO$108&gt;'Calc'!$B$8,"",IF('Calc'!$E$17=1,'财富模型'!$E$9,'财富模型'!$M$9+IF(Calc!$AO$108&lt;='财富模型'!$E$11*12,'Calc'!$W$17,'Calc'!$Y$17)-(IF('Calc'!$E$17=1,0,MIN(Calc!$AQ$107*(1+'财富模型'!$E$20/12)+'Calc'!$B$6,IF(Calc!$AO$108&lt;='财富模型'!$E$11*12,'Calc'!$W$17,'Calc'!$Y$17))))))</x:f>
      </x:c>
      <x:c r="AS108" t="str">
        <x:f>IF(Calc!$AO$108&gt;'Calc'!$B$8,"",IF('Calc'!$E$17=1,0,MIN(Calc!$AQ$107*(1+'财富模型'!$E$20/12)+'Calc'!$B$6,IF(Calc!$AO$108&lt;='财富模型'!$E$11*12,'Calc'!$W$17,'Calc'!$Y$17))))</x:f>
      </x:c>
      <x:c r="AT108" t="str">
        <x:f>IF(Calc!$AO$108&gt;'Calc'!$B$8,"",'Calc'!$B$5-'财富模型'!$E$5-(IF('Calc'!$E$17=1,'财富模型'!$E$9,'财富模型'!$M$9+IF(Calc!$AO$108&lt;='财富模型'!$E$11*12,'Calc'!$W$17,'Calc'!$Y$17)-(IF('Calc'!$E$17=1,0,MIN(Calc!$AQ$107*(1+'财富模型'!$E$20/12)+'Calc'!$B$6,IF(Calc!$AO$108&lt;='财富模型'!$E$11*12,'Calc'!$W$17,'Calc'!$Y$17)))))))</x:f>
      </x:c>
      <x:c r="AU108" t="str">
        <x:f>IF(Calc!$AO$108&gt;'Calc'!$B$8,"",IF('Calc'!$E$17=1,0,MAX(Calc!$AU$107*(1+IF(Calc!$AO$108&lt;='财富模型'!$E$11*12,'财富模型'!$E$10,'财富模型'!$E$12)/12)-IF('Calc'!$E$17=1,0,IF(Calc!$AO$108&lt;='财富模型'!$E$11*12,'Calc'!$W$17,'Calc'!$Y$17)),0)))</x:f>
      </x:c>
    </x:row>
    <x:row r="109">
      <x:c r="A109" t="n">
        <x:v>88</x:v>
      </x:c>
      <x:c r="B109" t="str">
        <x:f>IF(Calc!$A$109&gt;'Calc'!$B$8,"",MAX(Calc!$B$108*(1+'财富模型'!$E$6/12)+('Calc'!$B$5-'财富模型'!$E$5-(IF('Calc'!$E$12=1,'财富模型'!$E$9,'财富模型'!$M$4+IF(Calc!$A$109&lt;='财富模型'!$E$11*12,'Calc'!$W$12,'Calc'!$Y$12)-(IF('Calc'!$E$12=1,0,MIN(Calc!$C$108*(1+'财富模型'!$E$20/12)+'Calc'!$B$6,IF(Calc!$A$109&lt;='财富模型'!$E$11*12,'Calc'!$W$12,'Calc'!$Y$12))))))),0))</x:f>
      </x:c>
      <x:c r="C109" t="str">
        <x:f>IF(Calc!$A$109&gt;'Calc'!$B$8,"",MAX(Calc!$C$108*(1+'财富模型'!$E$20/12)+'Calc'!$B$6-(IF('Calc'!$E$12=1,0,MIN(Calc!$C$108*(1+'财富模型'!$E$20/12)+'Calc'!$B$6,IF(Calc!$A$109&lt;='财富模型'!$E$11*12,'Calc'!$W$12,'Calc'!$Y$12)))),0))</x:f>
      </x:c>
      <x:c r="D109" t="str">
        <x:f>IF(Calc!$A$109&gt;'Calc'!$B$8,"",IF('Calc'!$E$12=1,'财富模型'!$E$9,'财富模型'!$M$4+IF(Calc!$A$109&lt;='财富模型'!$E$11*12,'Calc'!$W$12,'Calc'!$Y$12)-(IF('Calc'!$E$12=1,0,MIN(Calc!$C$108*(1+'财富模型'!$E$20/12)+'Calc'!$B$6,IF(Calc!$A$109&lt;='财富模型'!$E$11*12,'Calc'!$W$12,'Calc'!$Y$12))))))</x:f>
      </x:c>
      <x:c r="E109" t="str">
        <x:f>IF(Calc!$A$109&gt;'Calc'!$B$8,"",IF('Calc'!$E$12=1,0,MIN(Calc!$C$108*(1+'财富模型'!$E$20/12)+'Calc'!$B$6,IF(Calc!$A$109&lt;='财富模型'!$E$11*12,'Calc'!$W$12,'Calc'!$Y$12))))</x:f>
      </x:c>
      <x:c r="F109" t="str">
        <x:f>IF(Calc!$A$109&gt;'Calc'!$B$8,"",'Calc'!$B$5-'财富模型'!$E$5-(IF('Calc'!$E$12=1,'财富模型'!$E$9,'财富模型'!$M$4+IF(Calc!$A$109&lt;='财富模型'!$E$11*12,'Calc'!$W$12,'Calc'!$Y$12)-(IF('Calc'!$E$12=1,0,MIN(Calc!$C$108*(1+'财富模型'!$E$20/12)+'Calc'!$B$6,IF(Calc!$A$109&lt;='财富模型'!$E$11*12,'Calc'!$W$12,'Calc'!$Y$12)))))))</x:f>
      </x:c>
      <x:c r="G109" t="str">
        <x:f>IF(Calc!$A$109&gt;'Calc'!$B$8,"",IF('Calc'!$E$12=1,0,MAX(Calc!$G$108*(1+IF(Calc!$A$109&lt;='财富模型'!$E$11*12,'财富模型'!$E$10,'财富模型'!$E$12)/12)-IF('Calc'!$E$12=1,0,IF(Calc!$A$109&lt;='财富模型'!$E$11*12,'Calc'!$W$12,'Calc'!$Y$12)),0)))</x:f>
      </x:c>
      <x:c r="I109" t="n">
        <x:v>88</x:v>
      </x:c>
      <x:c r="J109" t="str">
        <x:f>IF(Calc!$I$109&gt;'Calc'!$B$8,"",MAX(Calc!$J$108*(1+'财富模型'!$E$6/12)+('Calc'!$B$5-'财富模型'!$E$5-(IF('Calc'!$E$13=1,'财富模型'!$E$9,'财富模型'!$M$5+IF(Calc!$I$109&lt;='财富模型'!$E$11*12,'Calc'!$W$13,'Calc'!$Y$13)-(IF('Calc'!$E$13=1,0,MIN(Calc!$K$108*(1+'财富模型'!$E$20/12)+'Calc'!$B$6,IF(Calc!$I$109&lt;='财富模型'!$E$11*12,'Calc'!$W$13,'Calc'!$Y$13))))))),0))</x:f>
      </x:c>
      <x:c r="K109" t="str">
        <x:f>IF(Calc!$I$109&gt;'Calc'!$B$8,"",MAX(Calc!$K$108*(1+'财富模型'!$E$20/12)+'Calc'!$B$6-(IF('Calc'!$E$13=1,0,MIN(Calc!$K$108*(1+'财富模型'!$E$20/12)+'Calc'!$B$6,IF(Calc!$I$109&lt;='财富模型'!$E$11*12,'Calc'!$W$13,'Calc'!$Y$13)))),0))</x:f>
      </x:c>
      <x:c r="L109" t="str">
        <x:f>IF(Calc!$I$109&gt;'Calc'!$B$8,"",IF('Calc'!$E$13=1,'财富模型'!$E$9,'财富模型'!$M$5+IF(Calc!$I$109&lt;='财富模型'!$E$11*12,'Calc'!$W$13,'Calc'!$Y$13)-(IF('Calc'!$E$13=1,0,MIN(Calc!$K$108*(1+'财富模型'!$E$20/12)+'Calc'!$B$6,IF(Calc!$I$109&lt;='财富模型'!$E$11*12,'Calc'!$W$13,'Calc'!$Y$13))))))</x:f>
      </x:c>
      <x:c r="M109" t="str">
        <x:f>IF(Calc!$I$109&gt;'Calc'!$B$8,"",IF('Calc'!$E$13=1,0,MIN(Calc!$K$108*(1+'财富模型'!$E$20/12)+'Calc'!$B$6,IF(Calc!$I$109&lt;='财富模型'!$E$11*12,'Calc'!$W$13,'Calc'!$Y$13))))</x:f>
      </x:c>
      <x:c r="N109" t="str">
        <x:f>IF(Calc!$I$109&gt;'Calc'!$B$8,"",'Calc'!$B$5-'财富模型'!$E$5-(IF('Calc'!$E$13=1,'财富模型'!$E$9,'财富模型'!$M$5+IF(Calc!$I$109&lt;='财富模型'!$E$11*12,'Calc'!$W$13,'Calc'!$Y$13)-(IF('Calc'!$E$13=1,0,MIN(Calc!$K$108*(1+'财富模型'!$E$20/12)+'Calc'!$B$6,IF(Calc!$I$109&lt;='财富模型'!$E$11*12,'Calc'!$W$13,'Calc'!$Y$13)))))))</x:f>
      </x:c>
      <x:c r="O109" t="str">
        <x:f>IF(Calc!$I$109&gt;'Calc'!$B$8,"",IF('Calc'!$E$13=1,0,MAX(Calc!$O$108*(1+IF(Calc!$I$109&lt;='财富模型'!$E$11*12,'财富模型'!$E$10,'财富模型'!$E$12)/12)-IF('Calc'!$E$13=1,0,IF(Calc!$I$109&lt;='财富模型'!$E$11*12,'Calc'!$W$13,'Calc'!$Y$13)),0)))</x:f>
      </x:c>
      <x:c r="Q109" t="n">
        <x:v>88</x:v>
      </x:c>
      <x:c r="R109" t="str">
        <x:f>IF(Calc!$Q$109&gt;'Calc'!$B$8,"",MAX(Calc!$R$108*(1+'财富模型'!$E$6/12)+('Calc'!$B$5-'财富模型'!$E$5-(IF('Calc'!$E$14=1,'财富模型'!$E$9,'财富模型'!$M$6+IF(Calc!$Q$109&lt;='财富模型'!$E$11*12,'Calc'!$W$14,'Calc'!$Y$14)-(IF('Calc'!$E$14=1,0,MIN(Calc!$S$108*(1+'财富模型'!$E$20/12)+'Calc'!$B$6,IF(Calc!$Q$109&lt;='财富模型'!$E$11*12,'Calc'!$W$14,'Calc'!$Y$14))))))),0))</x:f>
      </x:c>
      <x:c r="S109" t="str">
        <x:f>IF(Calc!$Q$109&gt;'Calc'!$B$8,"",MAX(Calc!$S$108*(1+'财富模型'!$E$20/12)+'Calc'!$B$6-(IF('Calc'!$E$14=1,0,MIN(Calc!$S$108*(1+'财富模型'!$E$20/12)+'Calc'!$B$6,IF(Calc!$Q$109&lt;='财富模型'!$E$11*12,'Calc'!$W$14,'Calc'!$Y$14)))),0))</x:f>
      </x:c>
      <x:c r="T109" t="str">
        <x:f>IF(Calc!$Q$109&gt;'Calc'!$B$8,"",IF('Calc'!$E$14=1,'财富模型'!$E$9,'财富模型'!$M$6+IF(Calc!$Q$109&lt;='财富模型'!$E$11*12,'Calc'!$W$14,'Calc'!$Y$14)-(IF('Calc'!$E$14=1,0,MIN(Calc!$S$108*(1+'财富模型'!$E$20/12)+'Calc'!$B$6,IF(Calc!$Q$109&lt;='财富模型'!$E$11*12,'Calc'!$W$14,'Calc'!$Y$14))))))</x:f>
      </x:c>
      <x:c r="U109" t="str">
        <x:f>IF(Calc!$Q$109&gt;'Calc'!$B$8,"",IF('Calc'!$E$14=1,0,MIN(Calc!$S$108*(1+'财富模型'!$E$20/12)+'Calc'!$B$6,IF(Calc!$Q$109&lt;='财富模型'!$E$11*12,'Calc'!$W$14,'Calc'!$Y$14))))</x:f>
      </x:c>
      <x:c r="V109" t="str">
        <x:f>IF(Calc!$Q$109&gt;'Calc'!$B$8,"",'Calc'!$B$5-'财富模型'!$E$5-(IF('Calc'!$E$14=1,'财富模型'!$E$9,'财富模型'!$M$6+IF(Calc!$Q$109&lt;='财富模型'!$E$11*12,'Calc'!$W$14,'Calc'!$Y$14)-(IF('Calc'!$E$14=1,0,MIN(Calc!$S$108*(1+'财富模型'!$E$20/12)+'Calc'!$B$6,IF(Calc!$Q$109&lt;='财富模型'!$E$11*12,'Calc'!$W$14,'Calc'!$Y$14)))))))</x:f>
      </x:c>
      <x:c r="W109" t="str">
        <x:f>IF(Calc!$Q$109&gt;'Calc'!$B$8,"",IF('Calc'!$E$14=1,0,MAX(Calc!$W$108*(1+IF(Calc!$Q$109&lt;='财富模型'!$E$11*12,'财富模型'!$E$10,'财富模型'!$E$12)/12)-IF('Calc'!$E$14=1,0,IF(Calc!$Q$109&lt;='财富模型'!$E$11*12,'Calc'!$W$14,'Calc'!$Y$14)),0)))</x:f>
      </x:c>
      <x:c r="Y109" t="n">
        <x:v>88</x:v>
      </x:c>
      <x:c r="Z109" t="str">
        <x:f>IF(Calc!$Y$109&gt;'Calc'!$B$8,"",MAX(Calc!$Z$108*(1+'财富模型'!$E$6/12)+('Calc'!$B$5-'财富模型'!$E$5-(IF('Calc'!$E$15=1,'财富模型'!$E$9,'财富模型'!$M$7+IF(Calc!$Y$109&lt;='财富模型'!$E$11*12,'Calc'!$W$15,'Calc'!$Y$15)-(IF('Calc'!$E$15=1,0,MIN(Calc!$AA$108*(1+'财富模型'!$E$20/12)+'Calc'!$B$6,IF(Calc!$Y$109&lt;='财富模型'!$E$11*12,'Calc'!$W$15,'Calc'!$Y$15))))))),0))</x:f>
      </x:c>
      <x:c r="AA109" t="str">
        <x:f>IF(Calc!$Y$109&gt;'Calc'!$B$8,"",MAX(Calc!$AA$108*(1+'财富模型'!$E$20/12)+'Calc'!$B$6-(IF('Calc'!$E$15=1,0,MIN(Calc!$AA$108*(1+'财富模型'!$E$20/12)+'Calc'!$B$6,IF(Calc!$Y$109&lt;='财富模型'!$E$11*12,'Calc'!$W$15,'Calc'!$Y$15)))),0))</x:f>
      </x:c>
      <x:c r="AB109" t="str">
        <x:f>IF(Calc!$Y$109&gt;'Calc'!$B$8,"",IF('Calc'!$E$15=1,'财富模型'!$E$9,'财富模型'!$M$7+IF(Calc!$Y$109&lt;='财富模型'!$E$11*12,'Calc'!$W$15,'Calc'!$Y$15)-(IF('Calc'!$E$15=1,0,MIN(Calc!$AA$108*(1+'财富模型'!$E$20/12)+'Calc'!$B$6,IF(Calc!$Y$109&lt;='财富模型'!$E$11*12,'Calc'!$W$15,'Calc'!$Y$15))))))</x:f>
      </x:c>
      <x:c r="AC109" t="str">
        <x:f>IF(Calc!$Y$109&gt;'Calc'!$B$8,"",IF('Calc'!$E$15=1,0,MIN(Calc!$AA$108*(1+'财富模型'!$E$20/12)+'Calc'!$B$6,IF(Calc!$Y$109&lt;='财富模型'!$E$11*12,'Calc'!$W$15,'Calc'!$Y$15))))</x:f>
      </x:c>
      <x:c r="AD109" t="str">
        <x:f>IF(Calc!$Y$109&gt;'Calc'!$B$8,"",'Calc'!$B$5-'财富模型'!$E$5-(IF('Calc'!$E$15=1,'财富模型'!$E$9,'财富模型'!$M$7+IF(Calc!$Y$109&lt;='财富模型'!$E$11*12,'Calc'!$W$15,'Calc'!$Y$15)-(IF('Calc'!$E$15=1,0,MIN(Calc!$AA$108*(1+'财富模型'!$E$20/12)+'Calc'!$B$6,IF(Calc!$Y$109&lt;='财富模型'!$E$11*12,'Calc'!$W$15,'Calc'!$Y$15)))))))</x:f>
      </x:c>
      <x:c r="AE109" t="str">
        <x:f>IF(Calc!$Y$109&gt;'Calc'!$B$8,"",IF('Calc'!$E$15=1,0,MAX(Calc!$AE$108*(1+IF(Calc!$Y$109&lt;='财富模型'!$E$11*12,'财富模型'!$E$10,'财富模型'!$E$12)/12)-IF('Calc'!$E$15=1,0,IF(Calc!$Y$109&lt;='财富模型'!$E$11*12,'Calc'!$W$15,'Calc'!$Y$15)),0)))</x:f>
      </x:c>
      <x:c r="AG109" t="n">
        <x:v>88</x:v>
      </x:c>
      <x:c r="AH109" t="str">
        <x:f>IF(Calc!$AG$109&gt;'Calc'!$B$8,"",MAX(Calc!$AH$108*(1+'财富模型'!$E$6/12)+('Calc'!$B$5-'财富模型'!$E$5-(IF('Calc'!$E$16=1,'财富模型'!$E$9,'财富模型'!$M$8+IF(Calc!$AG$109&lt;='财富模型'!$E$11*12,'Calc'!$W$16,'Calc'!$Y$16)-(IF('Calc'!$E$16=1,0,MIN(Calc!$AI$108*(1+'财富模型'!$E$20/12)+'Calc'!$B$6,IF(Calc!$AG$109&lt;='财富模型'!$E$11*12,'Calc'!$W$16,'Calc'!$Y$16))))))),0))</x:f>
      </x:c>
      <x:c r="AI109" t="str">
        <x:f>IF(Calc!$AG$109&gt;'Calc'!$B$8,"",MAX(Calc!$AI$108*(1+'财富模型'!$E$20/12)+'Calc'!$B$6-(IF('Calc'!$E$16=1,0,MIN(Calc!$AI$108*(1+'财富模型'!$E$20/12)+'Calc'!$B$6,IF(Calc!$AG$109&lt;='财富模型'!$E$11*12,'Calc'!$W$16,'Calc'!$Y$16)))),0))</x:f>
      </x:c>
      <x:c r="AJ109" t="str">
        <x:f>IF(Calc!$AG$109&gt;'Calc'!$B$8,"",IF('Calc'!$E$16=1,'财富模型'!$E$9,'财富模型'!$M$8+IF(Calc!$AG$109&lt;='财富模型'!$E$11*12,'Calc'!$W$16,'Calc'!$Y$16)-(IF('Calc'!$E$16=1,0,MIN(Calc!$AI$108*(1+'财富模型'!$E$20/12)+'Calc'!$B$6,IF(Calc!$AG$109&lt;='财富模型'!$E$11*12,'Calc'!$W$16,'Calc'!$Y$16))))))</x:f>
      </x:c>
      <x:c r="AK109" t="str">
        <x:f>IF(Calc!$AG$109&gt;'Calc'!$B$8,"",IF('Calc'!$E$16=1,0,MIN(Calc!$AI$108*(1+'财富模型'!$E$20/12)+'Calc'!$B$6,IF(Calc!$AG$109&lt;='财富模型'!$E$11*12,'Calc'!$W$16,'Calc'!$Y$16))))</x:f>
      </x:c>
      <x:c r="AL109" t="str">
        <x:f>IF(Calc!$AG$109&gt;'Calc'!$B$8,"",'Calc'!$B$5-'财富模型'!$E$5-(IF('Calc'!$E$16=1,'财富模型'!$E$9,'财富模型'!$M$8+IF(Calc!$AG$109&lt;='财富模型'!$E$11*12,'Calc'!$W$16,'Calc'!$Y$16)-(IF('Calc'!$E$16=1,0,MIN(Calc!$AI$108*(1+'财富模型'!$E$20/12)+'Calc'!$B$6,IF(Calc!$AG$109&lt;='财富模型'!$E$11*12,'Calc'!$W$16,'Calc'!$Y$16)))))))</x:f>
      </x:c>
      <x:c r="AM109" t="str">
        <x:f>IF(Calc!$AG$109&gt;'Calc'!$B$8,"",IF('Calc'!$E$16=1,0,MAX(Calc!$AM$108*(1+IF(Calc!$AG$109&lt;='财富模型'!$E$11*12,'财富模型'!$E$10,'财富模型'!$E$12)/12)-IF('Calc'!$E$16=1,0,IF(Calc!$AG$109&lt;='财富模型'!$E$11*12,'Calc'!$W$16,'Calc'!$Y$16)),0)))</x:f>
      </x:c>
      <x:c r="AO109" t="n">
        <x:v>88</x:v>
      </x:c>
      <x:c r="AP109" t="str">
        <x:f>IF(Calc!$AO$109&gt;'Calc'!$B$8,"",MAX(Calc!$AP$108*(1+'财富模型'!$E$6/12)+('Calc'!$B$5-'财富模型'!$E$5-(IF('Calc'!$E$17=1,'财富模型'!$E$9,'财富模型'!$M$9+IF(Calc!$AO$109&lt;='财富模型'!$E$11*12,'Calc'!$W$17,'Calc'!$Y$17)-(IF('Calc'!$E$17=1,0,MIN(Calc!$AQ$108*(1+'财富模型'!$E$20/12)+'Calc'!$B$6,IF(Calc!$AO$109&lt;='财富模型'!$E$11*12,'Calc'!$W$17,'Calc'!$Y$17))))))),0))</x:f>
      </x:c>
      <x:c r="AQ109" t="str">
        <x:f>IF(Calc!$AO$109&gt;'Calc'!$B$8,"",MAX(Calc!$AQ$108*(1+'财富模型'!$E$20/12)+'Calc'!$B$6-(IF('Calc'!$E$17=1,0,MIN(Calc!$AQ$108*(1+'财富模型'!$E$20/12)+'Calc'!$B$6,IF(Calc!$AO$109&lt;='财富模型'!$E$11*12,'Calc'!$W$17,'Calc'!$Y$17)))),0))</x:f>
      </x:c>
      <x:c r="AR109" t="str">
        <x:f>IF(Calc!$AO$109&gt;'Calc'!$B$8,"",IF('Calc'!$E$17=1,'财富模型'!$E$9,'财富模型'!$M$9+IF(Calc!$AO$109&lt;='财富模型'!$E$11*12,'Calc'!$W$17,'Calc'!$Y$17)-(IF('Calc'!$E$17=1,0,MIN(Calc!$AQ$108*(1+'财富模型'!$E$20/12)+'Calc'!$B$6,IF(Calc!$AO$109&lt;='财富模型'!$E$11*12,'Calc'!$W$17,'Calc'!$Y$17))))))</x:f>
      </x:c>
      <x:c r="AS109" t="str">
        <x:f>IF(Calc!$AO$109&gt;'Calc'!$B$8,"",IF('Calc'!$E$17=1,0,MIN(Calc!$AQ$108*(1+'财富模型'!$E$20/12)+'Calc'!$B$6,IF(Calc!$AO$109&lt;='财富模型'!$E$11*12,'Calc'!$W$17,'Calc'!$Y$17))))</x:f>
      </x:c>
      <x:c r="AT109" t="str">
        <x:f>IF(Calc!$AO$109&gt;'Calc'!$B$8,"",'Calc'!$B$5-'财富模型'!$E$5-(IF('Calc'!$E$17=1,'财富模型'!$E$9,'财富模型'!$M$9+IF(Calc!$AO$109&lt;='财富模型'!$E$11*12,'Calc'!$W$17,'Calc'!$Y$17)-(IF('Calc'!$E$17=1,0,MIN(Calc!$AQ$108*(1+'财富模型'!$E$20/12)+'Calc'!$B$6,IF(Calc!$AO$109&lt;='财富模型'!$E$11*12,'Calc'!$W$17,'Calc'!$Y$17)))))))</x:f>
      </x:c>
      <x:c r="AU109" t="str">
        <x:f>IF(Calc!$AO$109&gt;'Calc'!$B$8,"",IF('Calc'!$E$17=1,0,MAX(Calc!$AU$108*(1+IF(Calc!$AO$109&lt;='财富模型'!$E$11*12,'财富模型'!$E$10,'财富模型'!$E$12)/12)-IF('Calc'!$E$17=1,0,IF(Calc!$AO$109&lt;='财富模型'!$E$11*12,'Calc'!$W$17,'Calc'!$Y$17)),0)))</x:f>
      </x:c>
    </x:row>
    <x:row r="110">
      <x:c r="A110" t="n">
        <x:v>89</x:v>
      </x:c>
      <x:c r="B110" t="str">
        <x:f>IF(Calc!$A$110&gt;'Calc'!$B$8,"",MAX(Calc!$B$109*(1+'财富模型'!$E$6/12)+('Calc'!$B$5-'财富模型'!$E$5-(IF('Calc'!$E$12=1,'财富模型'!$E$9,'财富模型'!$M$4+IF(Calc!$A$110&lt;='财富模型'!$E$11*12,'Calc'!$W$12,'Calc'!$Y$12)-(IF('Calc'!$E$12=1,0,MIN(Calc!$C$109*(1+'财富模型'!$E$20/12)+'Calc'!$B$6,IF(Calc!$A$110&lt;='财富模型'!$E$11*12,'Calc'!$W$12,'Calc'!$Y$12))))))),0))</x:f>
      </x:c>
      <x:c r="C110" t="str">
        <x:f>IF(Calc!$A$110&gt;'Calc'!$B$8,"",MAX(Calc!$C$109*(1+'财富模型'!$E$20/12)+'Calc'!$B$6-(IF('Calc'!$E$12=1,0,MIN(Calc!$C$109*(1+'财富模型'!$E$20/12)+'Calc'!$B$6,IF(Calc!$A$110&lt;='财富模型'!$E$11*12,'Calc'!$W$12,'Calc'!$Y$12)))),0))</x:f>
      </x:c>
      <x:c r="D110" t="str">
        <x:f>IF(Calc!$A$110&gt;'Calc'!$B$8,"",IF('Calc'!$E$12=1,'财富模型'!$E$9,'财富模型'!$M$4+IF(Calc!$A$110&lt;='财富模型'!$E$11*12,'Calc'!$W$12,'Calc'!$Y$12)-(IF('Calc'!$E$12=1,0,MIN(Calc!$C$109*(1+'财富模型'!$E$20/12)+'Calc'!$B$6,IF(Calc!$A$110&lt;='财富模型'!$E$11*12,'Calc'!$W$12,'Calc'!$Y$12))))))</x:f>
      </x:c>
      <x:c r="E110" t="str">
        <x:f>IF(Calc!$A$110&gt;'Calc'!$B$8,"",IF('Calc'!$E$12=1,0,MIN(Calc!$C$109*(1+'财富模型'!$E$20/12)+'Calc'!$B$6,IF(Calc!$A$110&lt;='财富模型'!$E$11*12,'Calc'!$W$12,'Calc'!$Y$12))))</x:f>
      </x:c>
      <x:c r="F110" t="str">
        <x:f>IF(Calc!$A$110&gt;'Calc'!$B$8,"",'Calc'!$B$5-'财富模型'!$E$5-(IF('Calc'!$E$12=1,'财富模型'!$E$9,'财富模型'!$M$4+IF(Calc!$A$110&lt;='财富模型'!$E$11*12,'Calc'!$W$12,'Calc'!$Y$12)-(IF('Calc'!$E$12=1,0,MIN(Calc!$C$109*(1+'财富模型'!$E$20/12)+'Calc'!$B$6,IF(Calc!$A$110&lt;='财富模型'!$E$11*12,'Calc'!$W$12,'Calc'!$Y$12)))))))</x:f>
      </x:c>
      <x:c r="G110" t="str">
        <x:f>IF(Calc!$A$110&gt;'Calc'!$B$8,"",IF('Calc'!$E$12=1,0,MAX(Calc!$G$109*(1+IF(Calc!$A$110&lt;='财富模型'!$E$11*12,'财富模型'!$E$10,'财富模型'!$E$12)/12)-IF('Calc'!$E$12=1,0,IF(Calc!$A$110&lt;='财富模型'!$E$11*12,'Calc'!$W$12,'Calc'!$Y$12)),0)))</x:f>
      </x:c>
      <x:c r="I110" t="n">
        <x:v>89</x:v>
      </x:c>
      <x:c r="J110" t="str">
        <x:f>IF(Calc!$I$110&gt;'Calc'!$B$8,"",MAX(Calc!$J$109*(1+'财富模型'!$E$6/12)+('Calc'!$B$5-'财富模型'!$E$5-(IF('Calc'!$E$13=1,'财富模型'!$E$9,'财富模型'!$M$5+IF(Calc!$I$110&lt;='财富模型'!$E$11*12,'Calc'!$W$13,'Calc'!$Y$13)-(IF('Calc'!$E$13=1,0,MIN(Calc!$K$109*(1+'财富模型'!$E$20/12)+'Calc'!$B$6,IF(Calc!$I$110&lt;='财富模型'!$E$11*12,'Calc'!$W$13,'Calc'!$Y$13))))))),0))</x:f>
      </x:c>
      <x:c r="K110" t="str">
        <x:f>IF(Calc!$I$110&gt;'Calc'!$B$8,"",MAX(Calc!$K$109*(1+'财富模型'!$E$20/12)+'Calc'!$B$6-(IF('Calc'!$E$13=1,0,MIN(Calc!$K$109*(1+'财富模型'!$E$20/12)+'Calc'!$B$6,IF(Calc!$I$110&lt;='财富模型'!$E$11*12,'Calc'!$W$13,'Calc'!$Y$13)))),0))</x:f>
      </x:c>
      <x:c r="L110" t="str">
        <x:f>IF(Calc!$I$110&gt;'Calc'!$B$8,"",IF('Calc'!$E$13=1,'财富模型'!$E$9,'财富模型'!$M$5+IF(Calc!$I$110&lt;='财富模型'!$E$11*12,'Calc'!$W$13,'Calc'!$Y$13)-(IF('Calc'!$E$13=1,0,MIN(Calc!$K$109*(1+'财富模型'!$E$20/12)+'Calc'!$B$6,IF(Calc!$I$110&lt;='财富模型'!$E$11*12,'Calc'!$W$13,'Calc'!$Y$13))))))</x:f>
      </x:c>
      <x:c r="M110" t="str">
        <x:f>IF(Calc!$I$110&gt;'Calc'!$B$8,"",IF('Calc'!$E$13=1,0,MIN(Calc!$K$109*(1+'财富模型'!$E$20/12)+'Calc'!$B$6,IF(Calc!$I$110&lt;='财富模型'!$E$11*12,'Calc'!$W$13,'Calc'!$Y$13))))</x:f>
      </x:c>
      <x:c r="N110" t="str">
        <x:f>IF(Calc!$I$110&gt;'Calc'!$B$8,"",'Calc'!$B$5-'财富模型'!$E$5-(IF('Calc'!$E$13=1,'财富模型'!$E$9,'财富模型'!$M$5+IF(Calc!$I$110&lt;='财富模型'!$E$11*12,'Calc'!$W$13,'Calc'!$Y$13)-(IF('Calc'!$E$13=1,0,MIN(Calc!$K$109*(1+'财富模型'!$E$20/12)+'Calc'!$B$6,IF(Calc!$I$110&lt;='财富模型'!$E$11*12,'Calc'!$W$13,'Calc'!$Y$13)))))))</x:f>
      </x:c>
      <x:c r="O110" t="str">
        <x:f>IF(Calc!$I$110&gt;'Calc'!$B$8,"",IF('Calc'!$E$13=1,0,MAX(Calc!$O$109*(1+IF(Calc!$I$110&lt;='财富模型'!$E$11*12,'财富模型'!$E$10,'财富模型'!$E$12)/12)-IF('Calc'!$E$13=1,0,IF(Calc!$I$110&lt;='财富模型'!$E$11*12,'Calc'!$W$13,'Calc'!$Y$13)),0)))</x:f>
      </x:c>
      <x:c r="Q110" t="n">
        <x:v>89</x:v>
      </x:c>
      <x:c r="R110" t="str">
        <x:f>IF(Calc!$Q$110&gt;'Calc'!$B$8,"",MAX(Calc!$R$109*(1+'财富模型'!$E$6/12)+('Calc'!$B$5-'财富模型'!$E$5-(IF('Calc'!$E$14=1,'财富模型'!$E$9,'财富模型'!$M$6+IF(Calc!$Q$110&lt;='财富模型'!$E$11*12,'Calc'!$W$14,'Calc'!$Y$14)-(IF('Calc'!$E$14=1,0,MIN(Calc!$S$109*(1+'财富模型'!$E$20/12)+'Calc'!$B$6,IF(Calc!$Q$110&lt;='财富模型'!$E$11*12,'Calc'!$W$14,'Calc'!$Y$14))))))),0))</x:f>
      </x:c>
      <x:c r="S110" t="str">
        <x:f>IF(Calc!$Q$110&gt;'Calc'!$B$8,"",MAX(Calc!$S$109*(1+'财富模型'!$E$20/12)+'Calc'!$B$6-(IF('Calc'!$E$14=1,0,MIN(Calc!$S$109*(1+'财富模型'!$E$20/12)+'Calc'!$B$6,IF(Calc!$Q$110&lt;='财富模型'!$E$11*12,'Calc'!$W$14,'Calc'!$Y$14)))),0))</x:f>
      </x:c>
      <x:c r="T110" t="str">
        <x:f>IF(Calc!$Q$110&gt;'Calc'!$B$8,"",IF('Calc'!$E$14=1,'财富模型'!$E$9,'财富模型'!$M$6+IF(Calc!$Q$110&lt;='财富模型'!$E$11*12,'Calc'!$W$14,'Calc'!$Y$14)-(IF('Calc'!$E$14=1,0,MIN(Calc!$S$109*(1+'财富模型'!$E$20/12)+'Calc'!$B$6,IF(Calc!$Q$110&lt;='财富模型'!$E$11*12,'Calc'!$W$14,'Calc'!$Y$14))))))</x:f>
      </x:c>
      <x:c r="U110" t="str">
        <x:f>IF(Calc!$Q$110&gt;'Calc'!$B$8,"",IF('Calc'!$E$14=1,0,MIN(Calc!$S$109*(1+'财富模型'!$E$20/12)+'Calc'!$B$6,IF(Calc!$Q$110&lt;='财富模型'!$E$11*12,'Calc'!$W$14,'Calc'!$Y$14))))</x:f>
      </x:c>
      <x:c r="V110" t="str">
        <x:f>IF(Calc!$Q$110&gt;'Calc'!$B$8,"",'Calc'!$B$5-'财富模型'!$E$5-(IF('Calc'!$E$14=1,'财富模型'!$E$9,'财富模型'!$M$6+IF(Calc!$Q$110&lt;='财富模型'!$E$11*12,'Calc'!$W$14,'Calc'!$Y$14)-(IF('Calc'!$E$14=1,0,MIN(Calc!$S$109*(1+'财富模型'!$E$20/12)+'Calc'!$B$6,IF(Calc!$Q$110&lt;='财富模型'!$E$11*12,'Calc'!$W$14,'Calc'!$Y$14)))))))</x:f>
      </x:c>
      <x:c r="W110" t="str">
        <x:f>IF(Calc!$Q$110&gt;'Calc'!$B$8,"",IF('Calc'!$E$14=1,0,MAX(Calc!$W$109*(1+IF(Calc!$Q$110&lt;='财富模型'!$E$11*12,'财富模型'!$E$10,'财富模型'!$E$12)/12)-IF('Calc'!$E$14=1,0,IF(Calc!$Q$110&lt;='财富模型'!$E$11*12,'Calc'!$W$14,'Calc'!$Y$14)),0)))</x:f>
      </x:c>
      <x:c r="Y110" t="n">
        <x:v>89</x:v>
      </x:c>
      <x:c r="Z110" t="str">
        <x:f>IF(Calc!$Y$110&gt;'Calc'!$B$8,"",MAX(Calc!$Z$109*(1+'财富模型'!$E$6/12)+('Calc'!$B$5-'财富模型'!$E$5-(IF('Calc'!$E$15=1,'财富模型'!$E$9,'财富模型'!$M$7+IF(Calc!$Y$110&lt;='财富模型'!$E$11*12,'Calc'!$W$15,'Calc'!$Y$15)-(IF('Calc'!$E$15=1,0,MIN(Calc!$AA$109*(1+'财富模型'!$E$20/12)+'Calc'!$B$6,IF(Calc!$Y$110&lt;='财富模型'!$E$11*12,'Calc'!$W$15,'Calc'!$Y$15))))))),0))</x:f>
      </x:c>
      <x:c r="AA110" t="str">
        <x:f>IF(Calc!$Y$110&gt;'Calc'!$B$8,"",MAX(Calc!$AA$109*(1+'财富模型'!$E$20/12)+'Calc'!$B$6-(IF('Calc'!$E$15=1,0,MIN(Calc!$AA$109*(1+'财富模型'!$E$20/12)+'Calc'!$B$6,IF(Calc!$Y$110&lt;='财富模型'!$E$11*12,'Calc'!$W$15,'Calc'!$Y$15)))),0))</x:f>
      </x:c>
      <x:c r="AB110" t="str">
        <x:f>IF(Calc!$Y$110&gt;'Calc'!$B$8,"",IF('Calc'!$E$15=1,'财富模型'!$E$9,'财富模型'!$M$7+IF(Calc!$Y$110&lt;='财富模型'!$E$11*12,'Calc'!$W$15,'Calc'!$Y$15)-(IF('Calc'!$E$15=1,0,MIN(Calc!$AA$109*(1+'财富模型'!$E$20/12)+'Calc'!$B$6,IF(Calc!$Y$110&lt;='财富模型'!$E$11*12,'Calc'!$W$15,'Calc'!$Y$15))))))</x:f>
      </x:c>
      <x:c r="AC110" t="str">
        <x:f>IF(Calc!$Y$110&gt;'Calc'!$B$8,"",IF('Calc'!$E$15=1,0,MIN(Calc!$AA$109*(1+'财富模型'!$E$20/12)+'Calc'!$B$6,IF(Calc!$Y$110&lt;='财富模型'!$E$11*12,'Calc'!$W$15,'Calc'!$Y$15))))</x:f>
      </x:c>
      <x:c r="AD110" t="str">
        <x:f>IF(Calc!$Y$110&gt;'Calc'!$B$8,"",'Calc'!$B$5-'财富模型'!$E$5-(IF('Calc'!$E$15=1,'财富模型'!$E$9,'财富模型'!$M$7+IF(Calc!$Y$110&lt;='财富模型'!$E$11*12,'Calc'!$W$15,'Calc'!$Y$15)-(IF('Calc'!$E$15=1,0,MIN(Calc!$AA$109*(1+'财富模型'!$E$20/12)+'Calc'!$B$6,IF(Calc!$Y$110&lt;='财富模型'!$E$11*12,'Calc'!$W$15,'Calc'!$Y$15)))))))</x:f>
      </x:c>
      <x:c r="AE110" t="str">
        <x:f>IF(Calc!$Y$110&gt;'Calc'!$B$8,"",IF('Calc'!$E$15=1,0,MAX(Calc!$AE$109*(1+IF(Calc!$Y$110&lt;='财富模型'!$E$11*12,'财富模型'!$E$10,'财富模型'!$E$12)/12)-IF('Calc'!$E$15=1,0,IF(Calc!$Y$110&lt;='财富模型'!$E$11*12,'Calc'!$W$15,'Calc'!$Y$15)),0)))</x:f>
      </x:c>
      <x:c r="AG110" t="n">
        <x:v>89</x:v>
      </x:c>
      <x:c r="AH110" t="str">
        <x:f>IF(Calc!$AG$110&gt;'Calc'!$B$8,"",MAX(Calc!$AH$109*(1+'财富模型'!$E$6/12)+('Calc'!$B$5-'财富模型'!$E$5-(IF('Calc'!$E$16=1,'财富模型'!$E$9,'财富模型'!$M$8+IF(Calc!$AG$110&lt;='财富模型'!$E$11*12,'Calc'!$W$16,'Calc'!$Y$16)-(IF('Calc'!$E$16=1,0,MIN(Calc!$AI$109*(1+'财富模型'!$E$20/12)+'Calc'!$B$6,IF(Calc!$AG$110&lt;='财富模型'!$E$11*12,'Calc'!$W$16,'Calc'!$Y$16))))))),0))</x:f>
      </x:c>
      <x:c r="AI110" t="str">
        <x:f>IF(Calc!$AG$110&gt;'Calc'!$B$8,"",MAX(Calc!$AI$109*(1+'财富模型'!$E$20/12)+'Calc'!$B$6-(IF('Calc'!$E$16=1,0,MIN(Calc!$AI$109*(1+'财富模型'!$E$20/12)+'Calc'!$B$6,IF(Calc!$AG$110&lt;='财富模型'!$E$11*12,'Calc'!$W$16,'Calc'!$Y$16)))),0))</x:f>
      </x:c>
      <x:c r="AJ110" t="str">
        <x:f>IF(Calc!$AG$110&gt;'Calc'!$B$8,"",IF('Calc'!$E$16=1,'财富模型'!$E$9,'财富模型'!$M$8+IF(Calc!$AG$110&lt;='财富模型'!$E$11*12,'Calc'!$W$16,'Calc'!$Y$16)-(IF('Calc'!$E$16=1,0,MIN(Calc!$AI$109*(1+'财富模型'!$E$20/12)+'Calc'!$B$6,IF(Calc!$AG$110&lt;='财富模型'!$E$11*12,'Calc'!$W$16,'Calc'!$Y$16))))))</x:f>
      </x:c>
      <x:c r="AK110" t="str">
        <x:f>IF(Calc!$AG$110&gt;'Calc'!$B$8,"",IF('Calc'!$E$16=1,0,MIN(Calc!$AI$109*(1+'财富模型'!$E$20/12)+'Calc'!$B$6,IF(Calc!$AG$110&lt;='财富模型'!$E$11*12,'Calc'!$W$16,'Calc'!$Y$16))))</x:f>
      </x:c>
      <x:c r="AL110" t="str">
        <x:f>IF(Calc!$AG$110&gt;'Calc'!$B$8,"",'Calc'!$B$5-'财富模型'!$E$5-(IF('Calc'!$E$16=1,'财富模型'!$E$9,'财富模型'!$M$8+IF(Calc!$AG$110&lt;='财富模型'!$E$11*12,'Calc'!$W$16,'Calc'!$Y$16)-(IF('Calc'!$E$16=1,0,MIN(Calc!$AI$109*(1+'财富模型'!$E$20/12)+'Calc'!$B$6,IF(Calc!$AG$110&lt;='财富模型'!$E$11*12,'Calc'!$W$16,'Calc'!$Y$16)))))))</x:f>
      </x:c>
      <x:c r="AM110" t="str">
        <x:f>IF(Calc!$AG$110&gt;'Calc'!$B$8,"",IF('Calc'!$E$16=1,0,MAX(Calc!$AM$109*(1+IF(Calc!$AG$110&lt;='财富模型'!$E$11*12,'财富模型'!$E$10,'财富模型'!$E$12)/12)-IF('Calc'!$E$16=1,0,IF(Calc!$AG$110&lt;='财富模型'!$E$11*12,'Calc'!$W$16,'Calc'!$Y$16)),0)))</x:f>
      </x:c>
      <x:c r="AO110" t="n">
        <x:v>89</x:v>
      </x:c>
      <x:c r="AP110" t="str">
        <x:f>IF(Calc!$AO$110&gt;'Calc'!$B$8,"",MAX(Calc!$AP$109*(1+'财富模型'!$E$6/12)+('Calc'!$B$5-'财富模型'!$E$5-(IF('Calc'!$E$17=1,'财富模型'!$E$9,'财富模型'!$M$9+IF(Calc!$AO$110&lt;='财富模型'!$E$11*12,'Calc'!$W$17,'Calc'!$Y$17)-(IF('Calc'!$E$17=1,0,MIN(Calc!$AQ$109*(1+'财富模型'!$E$20/12)+'Calc'!$B$6,IF(Calc!$AO$110&lt;='财富模型'!$E$11*12,'Calc'!$W$17,'Calc'!$Y$17))))))),0))</x:f>
      </x:c>
      <x:c r="AQ110" t="str">
        <x:f>IF(Calc!$AO$110&gt;'Calc'!$B$8,"",MAX(Calc!$AQ$109*(1+'财富模型'!$E$20/12)+'Calc'!$B$6-(IF('Calc'!$E$17=1,0,MIN(Calc!$AQ$109*(1+'财富模型'!$E$20/12)+'Calc'!$B$6,IF(Calc!$AO$110&lt;='财富模型'!$E$11*12,'Calc'!$W$17,'Calc'!$Y$17)))),0))</x:f>
      </x:c>
      <x:c r="AR110" t="str">
        <x:f>IF(Calc!$AO$110&gt;'Calc'!$B$8,"",IF('Calc'!$E$17=1,'财富模型'!$E$9,'财富模型'!$M$9+IF(Calc!$AO$110&lt;='财富模型'!$E$11*12,'Calc'!$W$17,'Calc'!$Y$17)-(IF('Calc'!$E$17=1,0,MIN(Calc!$AQ$109*(1+'财富模型'!$E$20/12)+'Calc'!$B$6,IF(Calc!$AO$110&lt;='财富模型'!$E$11*12,'Calc'!$W$17,'Calc'!$Y$17))))))</x:f>
      </x:c>
      <x:c r="AS110" t="str">
        <x:f>IF(Calc!$AO$110&gt;'Calc'!$B$8,"",IF('Calc'!$E$17=1,0,MIN(Calc!$AQ$109*(1+'财富模型'!$E$20/12)+'Calc'!$B$6,IF(Calc!$AO$110&lt;='财富模型'!$E$11*12,'Calc'!$W$17,'Calc'!$Y$17))))</x:f>
      </x:c>
      <x:c r="AT110" t="str">
        <x:f>IF(Calc!$AO$110&gt;'Calc'!$B$8,"",'Calc'!$B$5-'财富模型'!$E$5-(IF('Calc'!$E$17=1,'财富模型'!$E$9,'财富模型'!$M$9+IF(Calc!$AO$110&lt;='财富模型'!$E$11*12,'Calc'!$W$17,'Calc'!$Y$17)-(IF('Calc'!$E$17=1,0,MIN(Calc!$AQ$109*(1+'财富模型'!$E$20/12)+'Calc'!$B$6,IF(Calc!$AO$110&lt;='财富模型'!$E$11*12,'Calc'!$W$17,'Calc'!$Y$17)))))))</x:f>
      </x:c>
      <x:c r="AU110" t="str">
        <x:f>IF(Calc!$AO$110&gt;'Calc'!$B$8,"",IF('Calc'!$E$17=1,0,MAX(Calc!$AU$109*(1+IF(Calc!$AO$110&lt;='财富模型'!$E$11*12,'财富模型'!$E$10,'财富模型'!$E$12)/12)-IF('Calc'!$E$17=1,0,IF(Calc!$AO$110&lt;='财富模型'!$E$11*12,'Calc'!$W$17,'Calc'!$Y$17)),0)))</x:f>
      </x:c>
    </x:row>
    <x:row r="111">
      <x:c r="A111" t="n">
        <x:v>90</x:v>
      </x:c>
      <x:c r="B111" t="str">
        <x:f>IF(Calc!$A$111&gt;'Calc'!$B$8,"",MAX(Calc!$B$110*(1+'财富模型'!$E$6/12)+('Calc'!$B$5-'财富模型'!$E$5-(IF('Calc'!$E$12=1,'财富模型'!$E$9,'财富模型'!$M$4+IF(Calc!$A$111&lt;='财富模型'!$E$11*12,'Calc'!$W$12,'Calc'!$Y$12)-(IF('Calc'!$E$12=1,0,MIN(Calc!$C$110*(1+'财富模型'!$E$20/12)+'Calc'!$B$6,IF(Calc!$A$111&lt;='财富模型'!$E$11*12,'Calc'!$W$12,'Calc'!$Y$12))))))),0))</x:f>
      </x:c>
      <x:c r="C111" t="str">
        <x:f>IF(Calc!$A$111&gt;'Calc'!$B$8,"",MAX(Calc!$C$110*(1+'财富模型'!$E$20/12)+'Calc'!$B$6-(IF('Calc'!$E$12=1,0,MIN(Calc!$C$110*(1+'财富模型'!$E$20/12)+'Calc'!$B$6,IF(Calc!$A$111&lt;='财富模型'!$E$11*12,'Calc'!$W$12,'Calc'!$Y$12)))),0))</x:f>
      </x:c>
      <x:c r="D111" t="str">
        <x:f>IF(Calc!$A$111&gt;'Calc'!$B$8,"",IF('Calc'!$E$12=1,'财富模型'!$E$9,'财富模型'!$M$4+IF(Calc!$A$111&lt;='财富模型'!$E$11*12,'Calc'!$W$12,'Calc'!$Y$12)-(IF('Calc'!$E$12=1,0,MIN(Calc!$C$110*(1+'财富模型'!$E$20/12)+'Calc'!$B$6,IF(Calc!$A$111&lt;='财富模型'!$E$11*12,'Calc'!$W$12,'Calc'!$Y$12))))))</x:f>
      </x:c>
      <x:c r="E111" t="str">
        <x:f>IF(Calc!$A$111&gt;'Calc'!$B$8,"",IF('Calc'!$E$12=1,0,MIN(Calc!$C$110*(1+'财富模型'!$E$20/12)+'Calc'!$B$6,IF(Calc!$A$111&lt;='财富模型'!$E$11*12,'Calc'!$W$12,'Calc'!$Y$12))))</x:f>
      </x:c>
      <x:c r="F111" t="str">
        <x:f>IF(Calc!$A$111&gt;'Calc'!$B$8,"",'Calc'!$B$5-'财富模型'!$E$5-(IF('Calc'!$E$12=1,'财富模型'!$E$9,'财富模型'!$M$4+IF(Calc!$A$111&lt;='财富模型'!$E$11*12,'Calc'!$W$12,'Calc'!$Y$12)-(IF('Calc'!$E$12=1,0,MIN(Calc!$C$110*(1+'财富模型'!$E$20/12)+'Calc'!$B$6,IF(Calc!$A$111&lt;='财富模型'!$E$11*12,'Calc'!$W$12,'Calc'!$Y$12)))))))</x:f>
      </x:c>
      <x:c r="G111" t="str">
        <x:f>IF(Calc!$A$111&gt;'Calc'!$B$8,"",IF('Calc'!$E$12=1,0,MAX(Calc!$G$110*(1+IF(Calc!$A$111&lt;='财富模型'!$E$11*12,'财富模型'!$E$10,'财富模型'!$E$12)/12)-IF('Calc'!$E$12=1,0,IF(Calc!$A$111&lt;='财富模型'!$E$11*12,'Calc'!$W$12,'Calc'!$Y$12)),0)))</x:f>
      </x:c>
      <x:c r="I111" t="n">
        <x:v>90</x:v>
      </x:c>
      <x:c r="J111" t="str">
        <x:f>IF(Calc!$I$111&gt;'Calc'!$B$8,"",MAX(Calc!$J$110*(1+'财富模型'!$E$6/12)+('Calc'!$B$5-'财富模型'!$E$5-(IF('Calc'!$E$13=1,'财富模型'!$E$9,'财富模型'!$M$5+IF(Calc!$I$111&lt;='财富模型'!$E$11*12,'Calc'!$W$13,'Calc'!$Y$13)-(IF('Calc'!$E$13=1,0,MIN(Calc!$K$110*(1+'财富模型'!$E$20/12)+'Calc'!$B$6,IF(Calc!$I$111&lt;='财富模型'!$E$11*12,'Calc'!$W$13,'Calc'!$Y$13))))))),0))</x:f>
      </x:c>
      <x:c r="K111" t="str">
        <x:f>IF(Calc!$I$111&gt;'Calc'!$B$8,"",MAX(Calc!$K$110*(1+'财富模型'!$E$20/12)+'Calc'!$B$6-(IF('Calc'!$E$13=1,0,MIN(Calc!$K$110*(1+'财富模型'!$E$20/12)+'Calc'!$B$6,IF(Calc!$I$111&lt;='财富模型'!$E$11*12,'Calc'!$W$13,'Calc'!$Y$13)))),0))</x:f>
      </x:c>
      <x:c r="L111" t="str">
        <x:f>IF(Calc!$I$111&gt;'Calc'!$B$8,"",IF('Calc'!$E$13=1,'财富模型'!$E$9,'财富模型'!$M$5+IF(Calc!$I$111&lt;='财富模型'!$E$11*12,'Calc'!$W$13,'Calc'!$Y$13)-(IF('Calc'!$E$13=1,0,MIN(Calc!$K$110*(1+'财富模型'!$E$20/12)+'Calc'!$B$6,IF(Calc!$I$111&lt;='财富模型'!$E$11*12,'Calc'!$W$13,'Calc'!$Y$13))))))</x:f>
      </x:c>
      <x:c r="M111" t="str">
        <x:f>IF(Calc!$I$111&gt;'Calc'!$B$8,"",IF('Calc'!$E$13=1,0,MIN(Calc!$K$110*(1+'财富模型'!$E$20/12)+'Calc'!$B$6,IF(Calc!$I$111&lt;='财富模型'!$E$11*12,'Calc'!$W$13,'Calc'!$Y$13))))</x:f>
      </x:c>
      <x:c r="N111" t="str">
        <x:f>IF(Calc!$I$111&gt;'Calc'!$B$8,"",'Calc'!$B$5-'财富模型'!$E$5-(IF('Calc'!$E$13=1,'财富模型'!$E$9,'财富模型'!$M$5+IF(Calc!$I$111&lt;='财富模型'!$E$11*12,'Calc'!$W$13,'Calc'!$Y$13)-(IF('Calc'!$E$13=1,0,MIN(Calc!$K$110*(1+'财富模型'!$E$20/12)+'Calc'!$B$6,IF(Calc!$I$111&lt;='财富模型'!$E$11*12,'Calc'!$W$13,'Calc'!$Y$13)))))))</x:f>
      </x:c>
      <x:c r="O111" t="str">
        <x:f>IF(Calc!$I$111&gt;'Calc'!$B$8,"",IF('Calc'!$E$13=1,0,MAX(Calc!$O$110*(1+IF(Calc!$I$111&lt;='财富模型'!$E$11*12,'财富模型'!$E$10,'财富模型'!$E$12)/12)-IF('Calc'!$E$13=1,0,IF(Calc!$I$111&lt;='财富模型'!$E$11*12,'Calc'!$W$13,'Calc'!$Y$13)),0)))</x:f>
      </x:c>
      <x:c r="Q111" t="n">
        <x:v>90</x:v>
      </x:c>
      <x:c r="R111" t="str">
        <x:f>IF(Calc!$Q$111&gt;'Calc'!$B$8,"",MAX(Calc!$R$110*(1+'财富模型'!$E$6/12)+('Calc'!$B$5-'财富模型'!$E$5-(IF('Calc'!$E$14=1,'财富模型'!$E$9,'财富模型'!$M$6+IF(Calc!$Q$111&lt;='财富模型'!$E$11*12,'Calc'!$W$14,'Calc'!$Y$14)-(IF('Calc'!$E$14=1,0,MIN(Calc!$S$110*(1+'财富模型'!$E$20/12)+'Calc'!$B$6,IF(Calc!$Q$111&lt;='财富模型'!$E$11*12,'Calc'!$W$14,'Calc'!$Y$14))))))),0))</x:f>
      </x:c>
      <x:c r="S111" t="str">
        <x:f>IF(Calc!$Q$111&gt;'Calc'!$B$8,"",MAX(Calc!$S$110*(1+'财富模型'!$E$20/12)+'Calc'!$B$6-(IF('Calc'!$E$14=1,0,MIN(Calc!$S$110*(1+'财富模型'!$E$20/12)+'Calc'!$B$6,IF(Calc!$Q$111&lt;='财富模型'!$E$11*12,'Calc'!$W$14,'Calc'!$Y$14)))),0))</x:f>
      </x:c>
      <x:c r="T111" t="str">
        <x:f>IF(Calc!$Q$111&gt;'Calc'!$B$8,"",IF('Calc'!$E$14=1,'财富模型'!$E$9,'财富模型'!$M$6+IF(Calc!$Q$111&lt;='财富模型'!$E$11*12,'Calc'!$W$14,'Calc'!$Y$14)-(IF('Calc'!$E$14=1,0,MIN(Calc!$S$110*(1+'财富模型'!$E$20/12)+'Calc'!$B$6,IF(Calc!$Q$111&lt;='财富模型'!$E$11*12,'Calc'!$W$14,'Calc'!$Y$14))))))</x:f>
      </x:c>
      <x:c r="U111" t="str">
        <x:f>IF(Calc!$Q$111&gt;'Calc'!$B$8,"",IF('Calc'!$E$14=1,0,MIN(Calc!$S$110*(1+'财富模型'!$E$20/12)+'Calc'!$B$6,IF(Calc!$Q$111&lt;='财富模型'!$E$11*12,'Calc'!$W$14,'Calc'!$Y$14))))</x:f>
      </x:c>
      <x:c r="V111" t="str">
        <x:f>IF(Calc!$Q$111&gt;'Calc'!$B$8,"",'Calc'!$B$5-'财富模型'!$E$5-(IF('Calc'!$E$14=1,'财富模型'!$E$9,'财富模型'!$M$6+IF(Calc!$Q$111&lt;='财富模型'!$E$11*12,'Calc'!$W$14,'Calc'!$Y$14)-(IF('Calc'!$E$14=1,0,MIN(Calc!$S$110*(1+'财富模型'!$E$20/12)+'Calc'!$B$6,IF(Calc!$Q$111&lt;='财富模型'!$E$11*12,'Calc'!$W$14,'Calc'!$Y$14)))))))</x:f>
      </x:c>
      <x:c r="W111" t="str">
        <x:f>IF(Calc!$Q$111&gt;'Calc'!$B$8,"",IF('Calc'!$E$14=1,0,MAX(Calc!$W$110*(1+IF(Calc!$Q$111&lt;='财富模型'!$E$11*12,'财富模型'!$E$10,'财富模型'!$E$12)/12)-IF('Calc'!$E$14=1,0,IF(Calc!$Q$111&lt;='财富模型'!$E$11*12,'Calc'!$W$14,'Calc'!$Y$14)),0)))</x:f>
      </x:c>
      <x:c r="Y111" t="n">
        <x:v>90</x:v>
      </x:c>
      <x:c r="Z111" t="str">
        <x:f>IF(Calc!$Y$111&gt;'Calc'!$B$8,"",MAX(Calc!$Z$110*(1+'财富模型'!$E$6/12)+('Calc'!$B$5-'财富模型'!$E$5-(IF('Calc'!$E$15=1,'财富模型'!$E$9,'财富模型'!$M$7+IF(Calc!$Y$111&lt;='财富模型'!$E$11*12,'Calc'!$W$15,'Calc'!$Y$15)-(IF('Calc'!$E$15=1,0,MIN(Calc!$AA$110*(1+'财富模型'!$E$20/12)+'Calc'!$B$6,IF(Calc!$Y$111&lt;='财富模型'!$E$11*12,'Calc'!$W$15,'Calc'!$Y$15))))))),0))</x:f>
      </x:c>
      <x:c r="AA111" t="str">
        <x:f>IF(Calc!$Y$111&gt;'Calc'!$B$8,"",MAX(Calc!$AA$110*(1+'财富模型'!$E$20/12)+'Calc'!$B$6-(IF('Calc'!$E$15=1,0,MIN(Calc!$AA$110*(1+'财富模型'!$E$20/12)+'Calc'!$B$6,IF(Calc!$Y$111&lt;='财富模型'!$E$11*12,'Calc'!$W$15,'Calc'!$Y$15)))),0))</x:f>
      </x:c>
      <x:c r="AB111" t="str">
        <x:f>IF(Calc!$Y$111&gt;'Calc'!$B$8,"",IF('Calc'!$E$15=1,'财富模型'!$E$9,'财富模型'!$M$7+IF(Calc!$Y$111&lt;='财富模型'!$E$11*12,'Calc'!$W$15,'Calc'!$Y$15)-(IF('Calc'!$E$15=1,0,MIN(Calc!$AA$110*(1+'财富模型'!$E$20/12)+'Calc'!$B$6,IF(Calc!$Y$111&lt;='财富模型'!$E$11*12,'Calc'!$W$15,'Calc'!$Y$15))))))</x:f>
      </x:c>
      <x:c r="AC111" t="str">
        <x:f>IF(Calc!$Y$111&gt;'Calc'!$B$8,"",IF('Calc'!$E$15=1,0,MIN(Calc!$AA$110*(1+'财富模型'!$E$20/12)+'Calc'!$B$6,IF(Calc!$Y$111&lt;='财富模型'!$E$11*12,'Calc'!$W$15,'Calc'!$Y$15))))</x:f>
      </x:c>
      <x:c r="AD111" t="str">
        <x:f>IF(Calc!$Y$111&gt;'Calc'!$B$8,"",'Calc'!$B$5-'财富模型'!$E$5-(IF('Calc'!$E$15=1,'财富模型'!$E$9,'财富模型'!$M$7+IF(Calc!$Y$111&lt;='财富模型'!$E$11*12,'Calc'!$W$15,'Calc'!$Y$15)-(IF('Calc'!$E$15=1,0,MIN(Calc!$AA$110*(1+'财富模型'!$E$20/12)+'Calc'!$B$6,IF(Calc!$Y$111&lt;='财富模型'!$E$11*12,'Calc'!$W$15,'Calc'!$Y$15)))))))</x:f>
      </x:c>
      <x:c r="AE111" t="str">
        <x:f>IF(Calc!$Y$111&gt;'Calc'!$B$8,"",IF('Calc'!$E$15=1,0,MAX(Calc!$AE$110*(1+IF(Calc!$Y$111&lt;='财富模型'!$E$11*12,'财富模型'!$E$10,'财富模型'!$E$12)/12)-IF('Calc'!$E$15=1,0,IF(Calc!$Y$111&lt;='财富模型'!$E$11*12,'Calc'!$W$15,'Calc'!$Y$15)),0)))</x:f>
      </x:c>
      <x:c r="AG111" t="n">
        <x:v>90</x:v>
      </x:c>
      <x:c r="AH111" t="str">
        <x:f>IF(Calc!$AG$111&gt;'Calc'!$B$8,"",MAX(Calc!$AH$110*(1+'财富模型'!$E$6/12)+('Calc'!$B$5-'财富模型'!$E$5-(IF('Calc'!$E$16=1,'财富模型'!$E$9,'财富模型'!$M$8+IF(Calc!$AG$111&lt;='财富模型'!$E$11*12,'Calc'!$W$16,'Calc'!$Y$16)-(IF('Calc'!$E$16=1,0,MIN(Calc!$AI$110*(1+'财富模型'!$E$20/12)+'Calc'!$B$6,IF(Calc!$AG$111&lt;='财富模型'!$E$11*12,'Calc'!$W$16,'Calc'!$Y$16))))))),0))</x:f>
      </x:c>
      <x:c r="AI111" t="str">
        <x:f>IF(Calc!$AG$111&gt;'Calc'!$B$8,"",MAX(Calc!$AI$110*(1+'财富模型'!$E$20/12)+'Calc'!$B$6-(IF('Calc'!$E$16=1,0,MIN(Calc!$AI$110*(1+'财富模型'!$E$20/12)+'Calc'!$B$6,IF(Calc!$AG$111&lt;='财富模型'!$E$11*12,'Calc'!$W$16,'Calc'!$Y$16)))),0))</x:f>
      </x:c>
      <x:c r="AJ111" t="str">
        <x:f>IF(Calc!$AG$111&gt;'Calc'!$B$8,"",IF('Calc'!$E$16=1,'财富模型'!$E$9,'财富模型'!$M$8+IF(Calc!$AG$111&lt;='财富模型'!$E$11*12,'Calc'!$W$16,'Calc'!$Y$16)-(IF('Calc'!$E$16=1,0,MIN(Calc!$AI$110*(1+'财富模型'!$E$20/12)+'Calc'!$B$6,IF(Calc!$AG$111&lt;='财富模型'!$E$11*12,'Calc'!$W$16,'Calc'!$Y$16))))))</x:f>
      </x:c>
      <x:c r="AK111" t="str">
        <x:f>IF(Calc!$AG$111&gt;'Calc'!$B$8,"",IF('Calc'!$E$16=1,0,MIN(Calc!$AI$110*(1+'财富模型'!$E$20/12)+'Calc'!$B$6,IF(Calc!$AG$111&lt;='财富模型'!$E$11*12,'Calc'!$W$16,'Calc'!$Y$16))))</x:f>
      </x:c>
      <x:c r="AL111" t="str">
        <x:f>IF(Calc!$AG$111&gt;'Calc'!$B$8,"",'Calc'!$B$5-'财富模型'!$E$5-(IF('Calc'!$E$16=1,'财富模型'!$E$9,'财富模型'!$M$8+IF(Calc!$AG$111&lt;='财富模型'!$E$11*12,'Calc'!$W$16,'Calc'!$Y$16)-(IF('Calc'!$E$16=1,0,MIN(Calc!$AI$110*(1+'财富模型'!$E$20/12)+'Calc'!$B$6,IF(Calc!$AG$111&lt;='财富模型'!$E$11*12,'Calc'!$W$16,'Calc'!$Y$16)))))))</x:f>
      </x:c>
      <x:c r="AM111" t="str">
        <x:f>IF(Calc!$AG$111&gt;'Calc'!$B$8,"",IF('Calc'!$E$16=1,0,MAX(Calc!$AM$110*(1+IF(Calc!$AG$111&lt;='财富模型'!$E$11*12,'财富模型'!$E$10,'财富模型'!$E$12)/12)-IF('Calc'!$E$16=1,0,IF(Calc!$AG$111&lt;='财富模型'!$E$11*12,'Calc'!$W$16,'Calc'!$Y$16)),0)))</x:f>
      </x:c>
      <x:c r="AO111" t="n">
        <x:v>90</x:v>
      </x:c>
      <x:c r="AP111" t="str">
        <x:f>IF(Calc!$AO$111&gt;'Calc'!$B$8,"",MAX(Calc!$AP$110*(1+'财富模型'!$E$6/12)+('Calc'!$B$5-'财富模型'!$E$5-(IF('Calc'!$E$17=1,'财富模型'!$E$9,'财富模型'!$M$9+IF(Calc!$AO$111&lt;='财富模型'!$E$11*12,'Calc'!$W$17,'Calc'!$Y$17)-(IF('Calc'!$E$17=1,0,MIN(Calc!$AQ$110*(1+'财富模型'!$E$20/12)+'Calc'!$B$6,IF(Calc!$AO$111&lt;='财富模型'!$E$11*12,'Calc'!$W$17,'Calc'!$Y$17))))))),0))</x:f>
      </x:c>
      <x:c r="AQ111" t="str">
        <x:f>IF(Calc!$AO$111&gt;'Calc'!$B$8,"",MAX(Calc!$AQ$110*(1+'财富模型'!$E$20/12)+'Calc'!$B$6-(IF('Calc'!$E$17=1,0,MIN(Calc!$AQ$110*(1+'财富模型'!$E$20/12)+'Calc'!$B$6,IF(Calc!$AO$111&lt;='财富模型'!$E$11*12,'Calc'!$W$17,'Calc'!$Y$17)))),0))</x:f>
      </x:c>
      <x:c r="AR111" t="str">
        <x:f>IF(Calc!$AO$111&gt;'Calc'!$B$8,"",IF('Calc'!$E$17=1,'财富模型'!$E$9,'财富模型'!$M$9+IF(Calc!$AO$111&lt;='财富模型'!$E$11*12,'Calc'!$W$17,'Calc'!$Y$17)-(IF('Calc'!$E$17=1,0,MIN(Calc!$AQ$110*(1+'财富模型'!$E$20/12)+'Calc'!$B$6,IF(Calc!$AO$111&lt;='财富模型'!$E$11*12,'Calc'!$W$17,'Calc'!$Y$17))))))</x:f>
      </x:c>
      <x:c r="AS111" t="str">
        <x:f>IF(Calc!$AO$111&gt;'Calc'!$B$8,"",IF('Calc'!$E$17=1,0,MIN(Calc!$AQ$110*(1+'财富模型'!$E$20/12)+'Calc'!$B$6,IF(Calc!$AO$111&lt;='财富模型'!$E$11*12,'Calc'!$W$17,'Calc'!$Y$17))))</x:f>
      </x:c>
      <x:c r="AT111" t="str">
        <x:f>IF(Calc!$AO$111&gt;'Calc'!$B$8,"",'Calc'!$B$5-'财富模型'!$E$5-(IF('Calc'!$E$17=1,'财富模型'!$E$9,'财富模型'!$M$9+IF(Calc!$AO$111&lt;='财富模型'!$E$11*12,'Calc'!$W$17,'Calc'!$Y$17)-(IF('Calc'!$E$17=1,0,MIN(Calc!$AQ$110*(1+'财富模型'!$E$20/12)+'Calc'!$B$6,IF(Calc!$AO$111&lt;='财富模型'!$E$11*12,'Calc'!$W$17,'Calc'!$Y$17)))))))</x:f>
      </x:c>
      <x:c r="AU111" t="str">
        <x:f>IF(Calc!$AO$111&gt;'Calc'!$B$8,"",IF('Calc'!$E$17=1,0,MAX(Calc!$AU$110*(1+IF(Calc!$AO$111&lt;='财富模型'!$E$11*12,'财富模型'!$E$10,'财富模型'!$E$12)/12)-IF('Calc'!$E$17=1,0,IF(Calc!$AO$111&lt;='财富模型'!$E$11*12,'Calc'!$W$17,'Calc'!$Y$17)),0)))</x:f>
      </x:c>
    </x:row>
    <x:row r="112">
      <x:c r="A112" t="n">
        <x:v>91</x:v>
      </x:c>
      <x:c r="B112" t="str">
        <x:f>IF(Calc!$A$112&gt;'Calc'!$B$8,"",MAX(Calc!$B$111*(1+'财富模型'!$E$6/12)+('Calc'!$B$5-'财富模型'!$E$5-(IF('Calc'!$E$12=1,'财富模型'!$E$9,'财富模型'!$M$4+IF(Calc!$A$112&lt;='财富模型'!$E$11*12,'Calc'!$W$12,'Calc'!$Y$12)-(IF('Calc'!$E$12=1,0,MIN(Calc!$C$111*(1+'财富模型'!$E$20/12)+'Calc'!$B$6,IF(Calc!$A$112&lt;='财富模型'!$E$11*12,'Calc'!$W$12,'Calc'!$Y$12))))))),0))</x:f>
      </x:c>
      <x:c r="C112" t="str">
        <x:f>IF(Calc!$A$112&gt;'Calc'!$B$8,"",MAX(Calc!$C$111*(1+'财富模型'!$E$20/12)+'Calc'!$B$6-(IF('Calc'!$E$12=1,0,MIN(Calc!$C$111*(1+'财富模型'!$E$20/12)+'Calc'!$B$6,IF(Calc!$A$112&lt;='财富模型'!$E$11*12,'Calc'!$W$12,'Calc'!$Y$12)))),0))</x:f>
      </x:c>
      <x:c r="D112" t="str">
        <x:f>IF(Calc!$A$112&gt;'Calc'!$B$8,"",IF('Calc'!$E$12=1,'财富模型'!$E$9,'财富模型'!$M$4+IF(Calc!$A$112&lt;='财富模型'!$E$11*12,'Calc'!$W$12,'Calc'!$Y$12)-(IF('Calc'!$E$12=1,0,MIN(Calc!$C$111*(1+'财富模型'!$E$20/12)+'Calc'!$B$6,IF(Calc!$A$112&lt;='财富模型'!$E$11*12,'Calc'!$W$12,'Calc'!$Y$12))))))</x:f>
      </x:c>
      <x:c r="E112" t="str">
        <x:f>IF(Calc!$A$112&gt;'Calc'!$B$8,"",IF('Calc'!$E$12=1,0,MIN(Calc!$C$111*(1+'财富模型'!$E$20/12)+'Calc'!$B$6,IF(Calc!$A$112&lt;='财富模型'!$E$11*12,'Calc'!$W$12,'Calc'!$Y$12))))</x:f>
      </x:c>
      <x:c r="F112" t="str">
        <x:f>IF(Calc!$A$112&gt;'Calc'!$B$8,"",'Calc'!$B$5-'财富模型'!$E$5-(IF('Calc'!$E$12=1,'财富模型'!$E$9,'财富模型'!$M$4+IF(Calc!$A$112&lt;='财富模型'!$E$11*12,'Calc'!$W$12,'Calc'!$Y$12)-(IF('Calc'!$E$12=1,0,MIN(Calc!$C$111*(1+'财富模型'!$E$20/12)+'Calc'!$B$6,IF(Calc!$A$112&lt;='财富模型'!$E$11*12,'Calc'!$W$12,'Calc'!$Y$12)))))))</x:f>
      </x:c>
      <x:c r="G112" t="str">
        <x:f>IF(Calc!$A$112&gt;'Calc'!$B$8,"",IF('Calc'!$E$12=1,0,MAX(Calc!$G$111*(1+IF(Calc!$A$112&lt;='财富模型'!$E$11*12,'财富模型'!$E$10,'财富模型'!$E$12)/12)-IF('Calc'!$E$12=1,0,IF(Calc!$A$112&lt;='财富模型'!$E$11*12,'Calc'!$W$12,'Calc'!$Y$12)),0)))</x:f>
      </x:c>
      <x:c r="I112" t="n">
        <x:v>91</x:v>
      </x:c>
      <x:c r="J112" t="str">
        <x:f>IF(Calc!$I$112&gt;'Calc'!$B$8,"",MAX(Calc!$J$111*(1+'财富模型'!$E$6/12)+('Calc'!$B$5-'财富模型'!$E$5-(IF('Calc'!$E$13=1,'财富模型'!$E$9,'财富模型'!$M$5+IF(Calc!$I$112&lt;='财富模型'!$E$11*12,'Calc'!$W$13,'Calc'!$Y$13)-(IF('Calc'!$E$13=1,0,MIN(Calc!$K$111*(1+'财富模型'!$E$20/12)+'Calc'!$B$6,IF(Calc!$I$112&lt;='财富模型'!$E$11*12,'Calc'!$W$13,'Calc'!$Y$13))))))),0))</x:f>
      </x:c>
      <x:c r="K112" t="str">
        <x:f>IF(Calc!$I$112&gt;'Calc'!$B$8,"",MAX(Calc!$K$111*(1+'财富模型'!$E$20/12)+'Calc'!$B$6-(IF('Calc'!$E$13=1,0,MIN(Calc!$K$111*(1+'财富模型'!$E$20/12)+'Calc'!$B$6,IF(Calc!$I$112&lt;='财富模型'!$E$11*12,'Calc'!$W$13,'Calc'!$Y$13)))),0))</x:f>
      </x:c>
      <x:c r="L112" t="str">
        <x:f>IF(Calc!$I$112&gt;'Calc'!$B$8,"",IF('Calc'!$E$13=1,'财富模型'!$E$9,'财富模型'!$M$5+IF(Calc!$I$112&lt;='财富模型'!$E$11*12,'Calc'!$W$13,'Calc'!$Y$13)-(IF('Calc'!$E$13=1,0,MIN(Calc!$K$111*(1+'财富模型'!$E$20/12)+'Calc'!$B$6,IF(Calc!$I$112&lt;='财富模型'!$E$11*12,'Calc'!$W$13,'Calc'!$Y$13))))))</x:f>
      </x:c>
      <x:c r="M112" t="str">
        <x:f>IF(Calc!$I$112&gt;'Calc'!$B$8,"",IF('Calc'!$E$13=1,0,MIN(Calc!$K$111*(1+'财富模型'!$E$20/12)+'Calc'!$B$6,IF(Calc!$I$112&lt;='财富模型'!$E$11*12,'Calc'!$W$13,'Calc'!$Y$13))))</x:f>
      </x:c>
      <x:c r="N112" t="str">
        <x:f>IF(Calc!$I$112&gt;'Calc'!$B$8,"",'Calc'!$B$5-'财富模型'!$E$5-(IF('Calc'!$E$13=1,'财富模型'!$E$9,'财富模型'!$M$5+IF(Calc!$I$112&lt;='财富模型'!$E$11*12,'Calc'!$W$13,'Calc'!$Y$13)-(IF('Calc'!$E$13=1,0,MIN(Calc!$K$111*(1+'财富模型'!$E$20/12)+'Calc'!$B$6,IF(Calc!$I$112&lt;='财富模型'!$E$11*12,'Calc'!$W$13,'Calc'!$Y$13)))))))</x:f>
      </x:c>
      <x:c r="O112" t="str">
        <x:f>IF(Calc!$I$112&gt;'Calc'!$B$8,"",IF('Calc'!$E$13=1,0,MAX(Calc!$O$111*(1+IF(Calc!$I$112&lt;='财富模型'!$E$11*12,'财富模型'!$E$10,'财富模型'!$E$12)/12)-IF('Calc'!$E$13=1,0,IF(Calc!$I$112&lt;='财富模型'!$E$11*12,'Calc'!$W$13,'Calc'!$Y$13)),0)))</x:f>
      </x:c>
      <x:c r="Q112" t="n">
        <x:v>91</x:v>
      </x:c>
      <x:c r="R112" t="str">
        <x:f>IF(Calc!$Q$112&gt;'Calc'!$B$8,"",MAX(Calc!$R$111*(1+'财富模型'!$E$6/12)+('Calc'!$B$5-'财富模型'!$E$5-(IF('Calc'!$E$14=1,'财富模型'!$E$9,'财富模型'!$M$6+IF(Calc!$Q$112&lt;='财富模型'!$E$11*12,'Calc'!$W$14,'Calc'!$Y$14)-(IF('Calc'!$E$14=1,0,MIN(Calc!$S$111*(1+'财富模型'!$E$20/12)+'Calc'!$B$6,IF(Calc!$Q$112&lt;='财富模型'!$E$11*12,'Calc'!$W$14,'Calc'!$Y$14))))))),0))</x:f>
      </x:c>
      <x:c r="S112" t="str">
        <x:f>IF(Calc!$Q$112&gt;'Calc'!$B$8,"",MAX(Calc!$S$111*(1+'财富模型'!$E$20/12)+'Calc'!$B$6-(IF('Calc'!$E$14=1,0,MIN(Calc!$S$111*(1+'财富模型'!$E$20/12)+'Calc'!$B$6,IF(Calc!$Q$112&lt;='财富模型'!$E$11*12,'Calc'!$W$14,'Calc'!$Y$14)))),0))</x:f>
      </x:c>
      <x:c r="T112" t="str">
        <x:f>IF(Calc!$Q$112&gt;'Calc'!$B$8,"",IF('Calc'!$E$14=1,'财富模型'!$E$9,'财富模型'!$M$6+IF(Calc!$Q$112&lt;='财富模型'!$E$11*12,'Calc'!$W$14,'Calc'!$Y$14)-(IF('Calc'!$E$14=1,0,MIN(Calc!$S$111*(1+'财富模型'!$E$20/12)+'Calc'!$B$6,IF(Calc!$Q$112&lt;='财富模型'!$E$11*12,'Calc'!$W$14,'Calc'!$Y$14))))))</x:f>
      </x:c>
      <x:c r="U112" t="str">
        <x:f>IF(Calc!$Q$112&gt;'Calc'!$B$8,"",IF('Calc'!$E$14=1,0,MIN(Calc!$S$111*(1+'财富模型'!$E$20/12)+'Calc'!$B$6,IF(Calc!$Q$112&lt;='财富模型'!$E$11*12,'Calc'!$W$14,'Calc'!$Y$14))))</x:f>
      </x:c>
      <x:c r="V112" t="str">
        <x:f>IF(Calc!$Q$112&gt;'Calc'!$B$8,"",'Calc'!$B$5-'财富模型'!$E$5-(IF('Calc'!$E$14=1,'财富模型'!$E$9,'财富模型'!$M$6+IF(Calc!$Q$112&lt;='财富模型'!$E$11*12,'Calc'!$W$14,'Calc'!$Y$14)-(IF('Calc'!$E$14=1,0,MIN(Calc!$S$111*(1+'财富模型'!$E$20/12)+'Calc'!$B$6,IF(Calc!$Q$112&lt;='财富模型'!$E$11*12,'Calc'!$W$14,'Calc'!$Y$14)))))))</x:f>
      </x:c>
      <x:c r="W112" t="str">
        <x:f>IF(Calc!$Q$112&gt;'Calc'!$B$8,"",IF('Calc'!$E$14=1,0,MAX(Calc!$W$111*(1+IF(Calc!$Q$112&lt;='财富模型'!$E$11*12,'财富模型'!$E$10,'财富模型'!$E$12)/12)-IF('Calc'!$E$14=1,0,IF(Calc!$Q$112&lt;='财富模型'!$E$11*12,'Calc'!$W$14,'Calc'!$Y$14)),0)))</x:f>
      </x:c>
      <x:c r="Y112" t="n">
        <x:v>91</x:v>
      </x:c>
      <x:c r="Z112" t="str">
        <x:f>IF(Calc!$Y$112&gt;'Calc'!$B$8,"",MAX(Calc!$Z$111*(1+'财富模型'!$E$6/12)+('Calc'!$B$5-'财富模型'!$E$5-(IF('Calc'!$E$15=1,'财富模型'!$E$9,'财富模型'!$M$7+IF(Calc!$Y$112&lt;='财富模型'!$E$11*12,'Calc'!$W$15,'Calc'!$Y$15)-(IF('Calc'!$E$15=1,0,MIN(Calc!$AA$111*(1+'财富模型'!$E$20/12)+'Calc'!$B$6,IF(Calc!$Y$112&lt;='财富模型'!$E$11*12,'Calc'!$W$15,'Calc'!$Y$15))))))),0))</x:f>
      </x:c>
      <x:c r="AA112" t="str">
        <x:f>IF(Calc!$Y$112&gt;'Calc'!$B$8,"",MAX(Calc!$AA$111*(1+'财富模型'!$E$20/12)+'Calc'!$B$6-(IF('Calc'!$E$15=1,0,MIN(Calc!$AA$111*(1+'财富模型'!$E$20/12)+'Calc'!$B$6,IF(Calc!$Y$112&lt;='财富模型'!$E$11*12,'Calc'!$W$15,'Calc'!$Y$15)))),0))</x:f>
      </x:c>
      <x:c r="AB112" t="str">
        <x:f>IF(Calc!$Y$112&gt;'Calc'!$B$8,"",IF('Calc'!$E$15=1,'财富模型'!$E$9,'财富模型'!$M$7+IF(Calc!$Y$112&lt;='财富模型'!$E$11*12,'Calc'!$W$15,'Calc'!$Y$15)-(IF('Calc'!$E$15=1,0,MIN(Calc!$AA$111*(1+'财富模型'!$E$20/12)+'Calc'!$B$6,IF(Calc!$Y$112&lt;='财富模型'!$E$11*12,'Calc'!$W$15,'Calc'!$Y$15))))))</x:f>
      </x:c>
      <x:c r="AC112" t="str">
        <x:f>IF(Calc!$Y$112&gt;'Calc'!$B$8,"",IF('Calc'!$E$15=1,0,MIN(Calc!$AA$111*(1+'财富模型'!$E$20/12)+'Calc'!$B$6,IF(Calc!$Y$112&lt;='财富模型'!$E$11*12,'Calc'!$W$15,'Calc'!$Y$15))))</x:f>
      </x:c>
      <x:c r="AD112" t="str">
        <x:f>IF(Calc!$Y$112&gt;'Calc'!$B$8,"",'Calc'!$B$5-'财富模型'!$E$5-(IF('Calc'!$E$15=1,'财富模型'!$E$9,'财富模型'!$M$7+IF(Calc!$Y$112&lt;='财富模型'!$E$11*12,'Calc'!$W$15,'Calc'!$Y$15)-(IF('Calc'!$E$15=1,0,MIN(Calc!$AA$111*(1+'财富模型'!$E$20/12)+'Calc'!$B$6,IF(Calc!$Y$112&lt;='财富模型'!$E$11*12,'Calc'!$W$15,'Calc'!$Y$15)))))))</x:f>
      </x:c>
      <x:c r="AE112" t="str">
        <x:f>IF(Calc!$Y$112&gt;'Calc'!$B$8,"",IF('Calc'!$E$15=1,0,MAX(Calc!$AE$111*(1+IF(Calc!$Y$112&lt;='财富模型'!$E$11*12,'财富模型'!$E$10,'财富模型'!$E$12)/12)-IF('Calc'!$E$15=1,0,IF(Calc!$Y$112&lt;='财富模型'!$E$11*12,'Calc'!$W$15,'Calc'!$Y$15)),0)))</x:f>
      </x:c>
      <x:c r="AG112" t="n">
        <x:v>91</x:v>
      </x:c>
      <x:c r="AH112" t="str">
        <x:f>IF(Calc!$AG$112&gt;'Calc'!$B$8,"",MAX(Calc!$AH$111*(1+'财富模型'!$E$6/12)+('Calc'!$B$5-'财富模型'!$E$5-(IF('Calc'!$E$16=1,'财富模型'!$E$9,'财富模型'!$M$8+IF(Calc!$AG$112&lt;='财富模型'!$E$11*12,'Calc'!$W$16,'Calc'!$Y$16)-(IF('Calc'!$E$16=1,0,MIN(Calc!$AI$111*(1+'财富模型'!$E$20/12)+'Calc'!$B$6,IF(Calc!$AG$112&lt;='财富模型'!$E$11*12,'Calc'!$W$16,'Calc'!$Y$16))))))),0))</x:f>
      </x:c>
      <x:c r="AI112" t="str">
        <x:f>IF(Calc!$AG$112&gt;'Calc'!$B$8,"",MAX(Calc!$AI$111*(1+'财富模型'!$E$20/12)+'Calc'!$B$6-(IF('Calc'!$E$16=1,0,MIN(Calc!$AI$111*(1+'财富模型'!$E$20/12)+'Calc'!$B$6,IF(Calc!$AG$112&lt;='财富模型'!$E$11*12,'Calc'!$W$16,'Calc'!$Y$16)))),0))</x:f>
      </x:c>
      <x:c r="AJ112" t="str">
        <x:f>IF(Calc!$AG$112&gt;'Calc'!$B$8,"",IF('Calc'!$E$16=1,'财富模型'!$E$9,'财富模型'!$M$8+IF(Calc!$AG$112&lt;='财富模型'!$E$11*12,'Calc'!$W$16,'Calc'!$Y$16)-(IF('Calc'!$E$16=1,0,MIN(Calc!$AI$111*(1+'财富模型'!$E$20/12)+'Calc'!$B$6,IF(Calc!$AG$112&lt;='财富模型'!$E$11*12,'Calc'!$W$16,'Calc'!$Y$16))))))</x:f>
      </x:c>
      <x:c r="AK112" t="str">
        <x:f>IF(Calc!$AG$112&gt;'Calc'!$B$8,"",IF('Calc'!$E$16=1,0,MIN(Calc!$AI$111*(1+'财富模型'!$E$20/12)+'Calc'!$B$6,IF(Calc!$AG$112&lt;='财富模型'!$E$11*12,'Calc'!$W$16,'Calc'!$Y$16))))</x:f>
      </x:c>
      <x:c r="AL112" t="str">
        <x:f>IF(Calc!$AG$112&gt;'Calc'!$B$8,"",'Calc'!$B$5-'财富模型'!$E$5-(IF('Calc'!$E$16=1,'财富模型'!$E$9,'财富模型'!$M$8+IF(Calc!$AG$112&lt;='财富模型'!$E$11*12,'Calc'!$W$16,'Calc'!$Y$16)-(IF('Calc'!$E$16=1,0,MIN(Calc!$AI$111*(1+'财富模型'!$E$20/12)+'Calc'!$B$6,IF(Calc!$AG$112&lt;='财富模型'!$E$11*12,'Calc'!$W$16,'Calc'!$Y$16)))))))</x:f>
      </x:c>
      <x:c r="AM112" t="str">
        <x:f>IF(Calc!$AG$112&gt;'Calc'!$B$8,"",IF('Calc'!$E$16=1,0,MAX(Calc!$AM$111*(1+IF(Calc!$AG$112&lt;='财富模型'!$E$11*12,'财富模型'!$E$10,'财富模型'!$E$12)/12)-IF('Calc'!$E$16=1,0,IF(Calc!$AG$112&lt;='财富模型'!$E$11*12,'Calc'!$W$16,'Calc'!$Y$16)),0)))</x:f>
      </x:c>
      <x:c r="AO112" t="n">
        <x:v>91</x:v>
      </x:c>
      <x:c r="AP112" t="str">
        <x:f>IF(Calc!$AO$112&gt;'Calc'!$B$8,"",MAX(Calc!$AP$111*(1+'财富模型'!$E$6/12)+('Calc'!$B$5-'财富模型'!$E$5-(IF('Calc'!$E$17=1,'财富模型'!$E$9,'财富模型'!$M$9+IF(Calc!$AO$112&lt;='财富模型'!$E$11*12,'Calc'!$W$17,'Calc'!$Y$17)-(IF('Calc'!$E$17=1,0,MIN(Calc!$AQ$111*(1+'财富模型'!$E$20/12)+'Calc'!$B$6,IF(Calc!$AO$112&lt;='财富模型'!$E$11*12,'Calc'!$W$17,'Calc'!$Y$17))))))),0))</x:f>
      </x:c>
      <x:c r="AQ112" t="str">
        <x:f>IF(Calc!$AO$112&gt;'Calc'!$B$8,"",MAX(Calc!$AQ$111*(1+'财富模型'!$E$20/12)+'Calc'!$B$6-(IF('Calc'!$E$17=1,0,MIN(Calc!$AQ$111*(1+'财富模型'!$E$20/12)+'Calc'!$B$6,IF(Calc!$AO$112&lt;='财富模型'!$E$11*12,'Calc'!$W$17,'Calc'!$Y$17)))),0))</x:f>
      </x:c>
      <x:c r="AR112" t="str">
        <x:f>IF(Calc!$AO$112&gt;'Calc'!$B$8,"",IF('Calc'!$E$17=1,'财富模型'!$E$9,'财富模型'!$M$9+IF(Calc!$AO$112&lt;='财富模型'!$E$11*12,'Calc'!$W$17,'Calc'!$Y$17)-(IF('Calc'!$E$17=1,0,MIN(Calc!$AQ$111*(1+'财富模型'!$E$20/12)+'Calc'!$B$6,IF(Calc!$AO$112&lt;='财富模型'!$E$11*12,'Calc'!$W$17,'Calc'!$Y$17))))))</x:f>
      </x:c>
      <x:c r="AS112" t="str">
        <x:f>IF(Calc!$AO$112&gt;'Calc'!$B$8,"",IF('Calc'!$E$17=1,0,MIN(Calc!$AQ$111*(1+'财富模型'!$E$20/12)+'Calc'!$B$6,IF(Calc!$AO$112&lt;='财富模型'!$E$11*12,'Calc'!$W$17,'Calc'!$Y$17))))</x:f>
      </x:c>
      <x:c r="AT112" t="str">
        <x:f>IF(Calc!$AO$112&gt;'Calc'!$B$8,"",'Calc'!$B$5-'财富模型'!$E$5-(IF('Calc'!$E$17=1,'财富模型'!$E$9,'财富模型'!$M$9+IF(Calc!$AO$112&lt;='财富模型'!$E$11*12,'Calc'!$W$17,'Calc'!$Y$17)-(IF('Calc'!$E$17=1,0,MIN(Calc!$AQ$111*(1+'财富模型'!$E$20/12)+'Calc'!$B$6,IF(Calc!$AO$112&lt;='财富模型'!$E$11*12,'Calc'!$W$17,'Calc'!$Y$17)))))))</x:f>
      </x:c>
      <x:c r="AU112" t="str">
        <x:f>IF(Calc!$AO$112&gt;'Calc'!$B$8,"",IF('Calc'!$E$17=1,0,MAX(Calc!$AU$111*(1+IF(Calc!$AO$112&lt;='财富模型'!$E$11*12,'财富模型'!$E$10,'财富模型'!$E$12)/12)-IF('Calc'!$E$17=1,0,IF(Calc!$AO$112&lt;='财富模型'!$E$11*12,'Calc'!$W$17,'Calc'!$Y$17)),0)))</x:f>
      </x:c>
    </x:row>
    <x:row r="113">
      <x:c r="A113" t="n">
        <x:v>92</x:v>
      </x:c>
      <x:c r="B113" t="str">
        <x:f>IF(Calc!$A$113&gt;'Calc'!$B$8,"",MAX(Calc!$B$112*(1+'财富模型'!$E$6/12)+('Calc'!$B$5-'财富模型'!$E$5-(IF('Calc'!$E$12=1,'财富模型'!$E$9,'财富模型'!$M$4+IF(Calc!$A$113&lt;='财富模型'!$E$11*12,'Calc'!$W$12,'Calc'!$Y$12)-(IF('Calc'!$E$12=1,0,MIN(Calc!$C$112*(1+'财富模型'!$E$20/12)+'Calc'!$B$6,IF(Calc!$A$113&lt;='财富模型'!$E$11*12,'Calc'!$W$12,'Calc'!$Y$12))))))),0))</x:f>
      </x:c>
      <x:c r="C113" t="str">
        <x:f>IF(Calc!$A$113&gt;'Calc'!$B$8,"",MAX(Calc!$C$112*(1+'财富模型'!$E$20/12)+'Calc'!$B$6-(IF('Calc'!$E$12=1,0,MIN(Calc!$C$112*(1+'财富模型'!$E$20/12)+'Calc'!$B$6,IF(Calc!$A$113&lt;='财富模型'!$E$11*12,'Calc'!$W$12,'Calc'!$Y$12)))),0))</x:f>
      </x:c>
      <x:c r="D113" t="str">
        <x:f>IF(Calc!$A$113&gt;'Calc'!$B$8,"",IF('Calc'!$E$12=1,'财富模型'!$E$9,'财富模型'!$M$4+IF(Calc!$A$113&lt;='财富模型'!$E$11*12,'Calc'!$W$12,'Calc'!$Y$12)-(IF('Calc'!$E$12=1,0,MIN(Calc!$C$112*(1+'财富模型'!$E$20/12)+'Calc'!$B$6,IF(Calc!$A$113&lt;='财富模型'!$E$11*12,'Calc'!$W$12,'Calc'!$Y$12))))))</x:f>
      </x:c>
      <x:c r="E113" t="str">
        <x:f>IF(Calc!$A$113&gt;'Calc'!$B$8,"",IF('Calc'!$E$12=1,0,MIN(Calc!$C$112*(1+'财富模型'!$E$20/12)+'Calc'!$B$6,IF(Calc!$A$113&lt;='财富模型'!$E$11*12,'Calc'!$W$12,'Calc'!$Y$12))))</x:f>
      </x:c>
      <x:c r="F113" t="str">
        <x:f>IF(Calc!$A$113&gt;'Calc'!$B$8,"",'Calc'!$B$5-'财富模型'!$E$5-(IF('Calc'!$E$12=1,'财富模型'!$E$9,'财富模型'!$M$4+IF(Calc!$A$113&lt;='财富模型'!$E$11*12,'Calc'!$W$12,'Calc'!$Y$12)-(IF('Calc'!$E$12=1,0,MIN(Calc!$C$112*(1+'财富模型'!$E$20/12)+'Calc'!$B$6,IF(Calc!$A$113&lt;='财富模型'!$E$11*12,'Calc'!$W$12,'Calc'!$Y$12)))))))</x:f>
      </x:c>
      <x:c r="G113" t="str">
        <x:f>IF(Calc!$A$113&gt;'Calc'!$B$8,"",IF('Calc'!$E$12=1,0,MAX(Calc!$G$112*(1+IF(Calc!$A$113&lt;='财富模型'!$E$11*12,'财富模型'!$E$10,'财富模型'!$E$12)/12)-IF('Calc'!$E$12=1,0,IF(Calc!$A$113&lt;='财富模型'!$E$11*12,'Calc'!$W$12,'Calc'!$Y$12)),0)))</x:f>
      </x:c>
      <x:c r="I113" t="n">
        <x:v>92</x:v>
      </x:c>
      <x:c r="J113" t="str">
        <x:f>IF(Calc!$I$113&gt;'Calc'!$B$8,"",MAX(Calc!$J$112*(1+'财富模型'!$E$6/12)+('Calc'!$B$5-'财富模型'!$E$5-(IF('Calc'!$E$13=1,'财富模型'!$E$9,'财富模型'!$M$5+IF(Calc!$I$113&lt;='财富模型'!$E$11*12,'Calc'!$W$13,'Calc'!$Y$13)-(IF('Calc'!$E$13=1,0,MIN(Calc!$K$112*(1+'财富模型'!$E$20/12)+'Calc'!$B$6,IF(Calc!$I$113&lt;='财富模型'!$E$11*12,'Calc'!$W$13,'Calc'!$Y$13))))))),0))</x:f>
      </x:c>
      <x:c r="K113" t="str">
        <x:f>IF(Calc!$I$113&gt;'Calc'!$B$8,"",MAX(Calc!$K$112*(1+'财富模型'!$E$20/12)+'Calc'!$B$6-(IF('Calc'!$E$13=1,0,MIN(Calc!$K$112*(1+'财富模型'!$E$20/12)+'Calc'!$B$6,IF(Calc!$I$113&lt;='财富模型'!$E$11*12,'Calc'!$W$13,'Calc'!$Y$13)))),0))</x:f>
      </x:c>
      <x:c r="L113" t="str">
        <x:f>IF(Calc!$I$113&gt;'Calc'!$B$8,"",IF('Calc'!$E$13=1,'财富模型'!$E$9,'财富模型'!$M$5+IF(Calc!$I$113&lt;='财富模型'!$E$11*12,'Calc'!$W$13,'Calc'!$Y$13)-(IF('Calc'!$E$13=1,0,MIN(Calc!$K$112*(1+'财富模型'!$E$20/12)+'Calc'!$B$6,IF(Calc!$I$113&lt;='财富模型'!$E$11*12,'Calc'!$W$13,'Calc'!$Y$13))))))</x:f>
      </x:c>
      <x:c r="M113" t="str">
        <x:f>IF(Calc!$I$113&gt;'Calc'!$B$8,"",IF('Calc'!$E$13=1,0,MIN(Calc!$K$112*(1+'财富模型'!$E$20/12)+'Calc'!$B$6,IF(Calc!$I$113&lt;='财富模型'!$E$11*12,'Calc'!$W$13,'Calc'!$Y$13))))</x:f>
      </x:c>
      <x:c r="N113" t="str">
        <x:f>IF(Calc!$I$113&gt;'Calc'!$B$8,"",'Calc'!$B$5-'财富模型'!$E$5-(IF('Calc'!$E$13=1,'财富模型'!$E$9,'财富模型'!$M$5+IF(Calc!$I$113&lt;='财富模型'!$E$11*12,'Calc'!$W$13,'Calc'!$Y$13)-(IF('Calc'!$E$13=1,0,MIN(Calc!$K$112*(1+'财富模型'!$E$20/12)+'Calc'!$B$6,IF(Calc!$I$113&lt;='财富模型'!$E$11*12,'Calc'!$W$13,'Calc'!$Y$13)))))))</x:f>
      </x:c>
      <x:c r="O113" t="str">
        <x:f>IF(Calc!$I$113&gt;'Calc'!$B$8,"",IF('Calc'!$E$13=1,0,MAX(Calc!$O$112*(1+IF(Calc!$I$113&lt;='财富模型'!$E$11*12,'财富模型'!$E$10,'财富模型'!$E$12)/12)-IF('Calc'!$E$13=1,0,IF(Calc!$I$113&lt;='财富模型'!$E$11*12,'Calc'!$W$13,'Calc'!$Y$13)),0)))</x:f>
      </x:c>
      <x:c r="Q113" t="n">
        <x:v>92</x:v>
      </x:c>
      <x:c r="R113" t="str">
        <x:f>IF(Calc!$Q$113&gt;'Calc'!$B$8,"",MAX(Calc!$R$112*(1+'财富模型'!$E$6/12)+('Calc'!$B$5-'财富模型'!$E$5-(IF('Calc'!$E$14=1,'财富模型'!$E$9,'财富模型'!$M$6+IF(Calc!$Q$113&lt;='财富模型'!$E$11*12,'Calc'!$W$14,'Calc'!$Y$14)-(IF('Calc'!$E$14=1,0,MIN(Calc!$S$112*(1+'财富模型'!$E$20/12)+'Calc'!$B$6,IF(Calc!$Q$113&lt;='财富模型'!$E$11*12,'Calc'!$W$14,'Calc'!$Y$14))))))),0))</x:f>
      </x:c>
      <x:c r="S113" t="str">
        <x:f>IF(Calc!$Q$113&gt;'Calc'!$B$8,"",MAX(Calc!$S$112*(1+'财富模型'!$E$20/12)+'Calc'!$B$6-(IF('Calc'!$E$14=1,0,MIN(Calc!$S$112*(1+'财富模型'!$E$20/12)+'Calc'!$B$6,IF(Calc!$Q$113&lt;='财富模型'!$E$11*12,'Calc'!$W$14,'Calc'!$Y$14)))),0))</x:f>
      </x:c>
      <x:c r="T113" t="str">
        <x:f>IF(Calc!$Q$113&gt;'Calc'!$B$8,"",IF('Calc'!$E$14=1,'财富模型'!$E$9,'财富模型'!$M$6+IF(Calc!$Q$113&lt;='财富模型'!$E$11*12,'Calc'!$W$14,'Calc'!$Y$14)-(IF('Calc'!$E$14=1,0,MIN(Calc!$S$112*(1+'财富模型'!$E$20/12)+'Calc'!$B$6,IF(Calc!$Q$113&lt;='财富模型'!$E$11*12,'Calc'!$W$14,'Calc'!$Y$14))))))</x:f>
      </x:c>
      <x:c r="U113" t="str">
        <x:f>IF(Calc!$Q$113&gt;'Calc'!$B$8,"",IF('Calc'!$E$14=1,0,MIN(Calc!$S$112*(1+'财富模型'!$E$20/12)+'Calc'!$B$6,IF(Calc!$Q$113&lt;='财富模型'!$E$11*12,'Calc'!$W$14,'Calc'!$Y$14))))</x:f>
      </x:c>
      <x:c r="V113" t="str">
        <x:f>IF(Calc!$Q$113&gt;'Calc'!$B$8,"",'Calc'!$B$5-'财富模型'!$E$5-(IF('Calc'!$E$14=1,'财富模型'!$E$9,'财富模型'!$M$6+IF(Calc!$Q$113&lt;='财富模型'!$E$11*12,'Calc'!$W$14,'Calc'!$Y$14)-(IF('Calc'!$E$14=1,0,MIN(Calc!$S$112*(1+'财富模型'!$E$20/12)+'Calc'!$B$6,IF(Calc!$Q$113&lt;='财富模型'!$E$11*12,'Calc'!$W$14,'Calc'!$Y$14)))))))</x:f>
      </x:c>
      <x:c r="W113" t="str">
        <x:f>IF(Calc!$Q$113&gt;'Calc'!$B$8,"",IF('Calc'!$E$14=1,0,MAX(Calc!$W$112*(1+IF(Calc!$Q$113&lt;='财富模型'!$E$11*12,'财富模型'!$E$10,'财富模型'!$E$12)/12)-IF('Calc'!$E$14=1,0,IF(Calc!$Q$113&lt;='财富模型'!$E$11*12,'Calc'!$W$14,'Calc'!$Y$14)),0)))</x:f>
      </x:c>
      <x:c r="Y113" t="n">
        <x:v>92</x:v>
      </x:c>
      <x:c r="Z113" t="str">
        <x:f>IF(Calc!$Y$113&gt;'Calc'!$B$8,"",MAX(Calc!$Z$112*(1+'财富模型'!$E$6/12)+('Calc'!$B$5-'财富模型'!$E$5-(IF('Calc'!$E$15=1,'财富模型'!$E$9,'财富模型'!$M$7+IF(Calc!$Y$113&lt;='财富模型'!$E$11*12,'Calc'!$W$15,'Calc'!$Y$15)-(IF('Calc'!$E$15=1,0,MIN(Calc!$AA$112*(1+'财富模型'!$E$20/12)+'Calc'!$B$6,IF(Calc!$Y$113&lt;='财富模型'!$E$11*12,'Calc'!$W$15,'Calc'!$Y$15))))))),0))</x:f>
      </x:c>
      <x:c r="AA113" t="str">
        <x:f>IF(Calc!$Y$113&gt;'Calc'!$B$8,"",MAX(Calc!$AA$112*(1+'财富模型'!$E$20/12)+'Calc'!$B$6-(IF('Calc'!$E$15=1,0,MIN(Calc!$AA$112*(1+'财富模型'!$E$20/12)+'Calc'!$B$6,IF(Calc!$Y$113&lt;='财富模型'!$E$11*12,'Calc'!$W$15,'Calc'!$Y$15)))),0))</x:f>
      </x:c>
      <x:c r="AB113" t="str">
        <x:f>IF(Calc!$Y$113&gt;'Calc'!$B$8,"",IF('Calc'!$E$15=1,'财富模型'!$E$9,'财富模型'!$M$7+IF(Calc!$Y$113&lt;='财富模型'!$E$11*12,'Calc'!$W$15,'Calc'!$Y$15)-(IF('Calc'!$E$15=1,0,MIN(Calc!$AA$112*(1+'财富模型'!$E$20/12)+'Calc'!$B$6,IF(Calc!$Y$113&lt;='财富模型'!$E$11*12,'Calc'!$W$15,'Calc'!$Y$15))))))</x:f>
      </x:c>
      <x:c r="AC113" t="str">
        <x:f>IF(Calc!$Y$113&gt;'Calc'!$B$8,"",IF('Calc'!$E$15=1,0,MIN(Calc!$AA$112*(1+'财富模型'!$E$20/12)+'Calc'!$B$6,IF(Calc!$Y$113&lt;='财富模型'!$E$11*12,'Calc'!$W$15,'Calc'!$Y$15))))</x:f>
      </x:c>
      <x:c r="AD113" t="str">
        <x:f>IF(Calc!$Y$113&gt;'Calc'!$B$8,"",'Calc'!$B$5-'财富模型'!$E$5-(IF('Calc'!$E$15=1,'财富模型'!$E$9,'财富模型'!$M$7+IF(Calc!$Y$113&lt;='财富模型'!$E$11*12,'Calc'!$W$15,'Calc'!$Y$15)-(IF('Calc'!$E$15=1,0,MIN(Calc!$AA$112*(1+'财富模型'!$E$20/12)+'Calc'!$B$6,IF(Calc!$Y$113&lt;='财富模型'!$E$11*12,'Calc'!$W$15,'Calc'!$Y$15)))))))</x:f>
      </x:c>
      <x:c r="AE113" t="str">
        <x:f>IF(Calc!$Y$113&gt;'Calc'!$B$8,"",IF('Calc'!$E$15=1,0,MAX(Calc!$AE$112*(1+IF(Calc!$Y$113&lt;='财富模型'!$E$11*12,'财富模型'!$E$10,'财富模型'!$E$12)/12)-IF('Calc'!$E$15=1,0,IF(Calc!$Y$113&lt;='财富模型'!$E$11*12,'Calc'!$W$15,'Calc'!$Y$15)),0)))</x:f>
      </x:c>
      <x:c r="AG113" t="n">
        <x:v>92</x:v>
      </x:c>
      <x:c r="AH113" t="str">
        <x:f>IF(Calc!$AG$113&gt;'Calc'!$B$8,"",MAX(Calc!$AH$112*(1+'财富模型'!$E$6/12)+('Calc'!$B$5-'财富模型'!$E$5-(IF('Calc'!$E$16=1,'财富模型'!$E$9,'财富模型'!$M$8+IF(Calc!$AG$113&lt;='财富模型'!$E$11*12,'Calc'!$W$16,'Calc'!$Y$16)-(IF('Calc'!$E$16=1,0,MIN(Calc!$AI$112*(1+'财富模型'!$E$20/12)+'Calc'!$B$6,IF(Calc!$AG$113&lt;='财富模型'!$E$11*12,'Calc'!$W$16,'Calc'!$Y$16))))))),0))</x:f>
      </x:c>
      <x:c r="AI113" t="str">
        <x:f>IF(Calc!$AG$113&gt;'Calc'!$B$8,"",MAX(Calc!$AI$112*(1+'财富模型'!$E$20/12)+'Calc'!$B$6-(IF('Calc'!$E$16=1,0,MIN(Calc!$AI$112*(1+'财富模型'!$E$20/12)+'Calc'!$B$6,IF(Calc!$AG$113&lt;='财富模型'!$E$11*12,'Calc'!$W$16,'Calc'!$Y$16)))),0))</x:f>
      </x:c>
      <x:c r="AJ113" t="str">
        <x:f>IF(Calc!$AG$113&gt;'Calc'!$B$8,"",IF('Calc'!$E$16=1,'财富模型'!$E$9,'财富模型'!$M$8+IF(Calc!$AG$113&lt;='财富模型'!$E$11*12,'Calc'!$W$16,'Calc'!$Y$16)-(IF('Calc'!$E$16=1,0,MIN(Calc!$AI$112*(1+'财富模型'!$E$20/12)+'Calc'!$B$6,IF(Calc!$AG$113&lt;='财富模型'!$E$11*12,'Calc'!$W$16,'Calc'!$Y$16))))))</x:f>
      </x:c>
      <x:c r="AK113" t="str">
        <x:f>IF(Calc!$AG$113&gt;'Calc'!$B$8,"",IF('Calc'!$E$16=1,0,MIN(Calc!$AI$112*(1+'财富模型'!$E$20/12)+'Calc'!$B$6,IF(Calc!$AG$113&lt;='财富模型'!$E$11*12,'Calc'!$W$16,'Calc'!$Y$16))))</x:f>
      </x:c>
      <x:c r="AL113" t="str">
        <x:f>IF(Calc!$AG$113&gt;'Calc'!$B$8,"",'Calc'!$B$5-'财富模型'!$E$5-(IF('Calc'!$E$16=1,'财富模型'!$E$9,'财富模型'!$M$8+IF(Calc!$AG$113&lt;='财富模型'!$E$11*12,'Calc'!$W$16,'Calc'!$Y$16)-(IF('Calc'!$E$16=1,0,MIN(Calc!$AI$112*(1+'财富模型'!$E$20/12)+'Calc'!$B$6,IF(Calc!$AG$113&lt;='财富模型'!$E$11*12,'Calc'!$W$16,'Calc'!$Y$16)))))))</x:f>
      </x:c>
      <x:c r="AM113" t="str">
        <x:f>IF(Calc!$AG$113&gt;'Calc'!$B$8,"",IF('Calc'!$E$16=1,0,MAX(Calc!$AM$112*(1+IF(Calc!$AG$113&lt;='财富模型'!$E$11*12,'财富模型'!$E$10,'财富模型'!$E$12)/12)-IF('Calc'!$E$16=1,0,IF(Calc!$AG$113&lt;='财富模型'!$E$11*12,'Calc'!$W$16,'Calc'!$Y$16)),0)))</x:f>
      </x:c>
      <x:c r="AO113" t="n">
        <x:v>92</x:v>
      </x:c>
      <x:c r="AP113" t="str">
        <x:f>IF(Calc!$AO$113&gt;'Calc'!$B$8,"",MAX(Calc!$AP$112*(1+'财富模型'!$E$6/12)+('Calc'!$B$5-'财富模型'!$E$5-(IF('Calc'!$E$17=1,'财富模型'!$E$9,'财富模型'!$M$9+IF(Calc!$AO$113&lt;='财富模型'!$E$11*12,'Calc'!$W$17,'Calc'!$Y$17)-(IF('Calc'!$E$17=1,0,MIN(Calc!$AQ$112*(1+'财富模型'!$E$20/12)+'Calc'!$B$6,IF(Calc!$AO$113&lt;='财富模型'!$E$11*12,'Calc'!$W$17,'Calc'!$Y$17))))))),0))</x:f>
      </x:c>
      <x:c r="AQ113" t="str">
        <x:f>IF(Calc!$AO$113&gt;'Calc'!$B$8,"",MAX(Calc!$AQ$112*(1+'财富模型'!$E$20/12)+'Calc'!$B$6-(IF('Calc'!$E$17=1,0,MIN(Calc!$AQ$112*(1+'财富模型'!$E$20/12)+'Calc'!$B$6,IF(Calc!$AO$113&lt;='财富模型'!$E$11*12,'Calc'!$W$17,'Calc'!$Y$17)))),0))</x:f>
      </x:c>
      <x:c r="AR113" t="str">
        <x:f>IF(Calc!$AO$113&gt;'Calc'!$B$8,"",IF('Calc'!$E$17=1,'财富模型'!$E$9,'财富模型'!$M$9+IF(Calc!$AO$113&lt;='财富模型'!$E$11*12,'Calc'!$W$17,'Calc'!$Y$17)-(IF('Calc'!$E$17=1,0,MIN(Calc!$AQ$112*(1+'财富模型'!$E$20/12)+'Calc'!$B$6,IF(Calc!$AO$113&lt;='财富模型'!$E$11*12,'Calc'!$W$17,'Calc'!$Y$17))))))</x:f>
      </x:c>
      <x:c r="AS113" t="str">
        <x:f>IF(Calc!$AO$113&gt;'Calc'!$B$8,"",IF('Calc'!$E$17=1,0,MIN(Calc!$AQ$112*(1+'财富模型'!$E$20/12)+'Calc'!$B$6,IF(Calc!$AO$113&lt;='财富模型'!$E$11*12,'Calc'!$W$17,'Calc'!$Y$17))))</x:f>
      </x:c>
      <x:c r="AT113" t="str">
        <x:f>IF(Calc!$AO$113&gt;'Calc'!$B$8,"",'Calc'!$B$5-'财富模型'!$E$5-(IF('Calc'!$E$17=1,'财富模型'!$E$9,'财富模型'!$M$9+IF(Calc!$AO$113&lt;='财富模型'!$E$11*12,'Calc'!$W$17,'Calc'!$Y$17)-(IF('Calc'!$E$17=1,0,MIN(Calc!$AQ$112*(1+'财富模型'!$E$20/12)+'Calc'!$B$6,IF(Calc!$AO$113&lt;='财富模型'!$E$11*12,'Calc'!$W$17,'Calc'!$Y$17)))))))</x:f>
      </x:c>
      <x:c r="AU113" t="str">
        <x:f>IF(Calc!$AO$113&gt;'Calc'!$B$8,"",IF('Calc'!$E$17=1,0,MAX(Calc!$AU$112*(1+IF(Calc!$AO$113&lt;='财富模型'!$E$11*12,'财富模型'!$E$10,'财富模型'!$E$12)/12)-IF('Calc'!$E$17=1,0,IF(Calc!$AO$113&lt;='财富模型'!$E$11*12,'Calc'!$W$17,'Calc'!$Y$17)),0)))</x:f>
      </x:c>
    </x:row>
    <x:row r="114">
      <x:c r="A114" t="n">
        <x:v>93</x:v>
      </x:c>
      <x:c r="B114" t="str">
        <x:f>IF(Calc!$A$114&gt;'Calc'!$B$8,"",MAX(Calc!$B$113*(1+'财富模型'!$E$6/12)+('Calc'!$B$5-'财富模型'!$E$5-(IF('Calc'!$E$12=1,'财富模型'!$E$9,'财富模型'!$M$4+IF(Calc!$A$114&lt;='财富模型'!$E$11*12,'Calc'!$W$12,'Calc'!$Y$12)-(IF('Calc'!$E$12=1,0,MIN(Calc!$C$113*(1+'财富模型'!$E$20/12)+'Calc'!$B$6,IF(Calc!$A$114&lt;='财富模型'!$E$11*12,'Calc'!$W$12,'Calc'!$Y$12))))))),0))</x:f>
      </x:c>
      <x:c r="C114" t="str">
        <x:f>IF(Calc!$A$114&gt;'Calc'!$B$8,"",MAX(Calc!$C$113*(1+'财富模型'!$E$20/12)+'Calc'!$B$6-(IF('Calc'!$E$12=1,0,MIN(Calc!$C$113*(1+'财富模型'!$E$20/12)+'Calc'!$B$6,IF(Calc!$A$114&lt;='财富模型'!$E$11*12,'Calc'!$W$12,'Calc'!$Y$12)))),0))</x:f>
      </x:c>
      <x:c r="D114" t="str">
        <x:f>IF(Calc!$A$114&gt;'Calc'!$B$8,"",IF('Calc'!$E$12=1,'财富模型'!$E$9,'财富模型'!$M$4+IF(Calc!$A$114&lt;='财富模型'!$E$11*12,'Calc'!$W$12,'Calc'!$Y$12)-(IF('Calc'!$E$12=1,0,MIN(Calc!$C$113*(1+'财富模型'!$E$20/12)+'Calc'!$B$6,IF(Calc!$A$114&lt;='财富模型'!$E$11*12,'Calc'!$W$12,'Calc'!$Y$12))))))</x:f>
      </x:c>
      <x:c r="E114" t="str">
        <x:f>IF(Calc!$A$114&gt;'Calc'!$B$8,"",IF('Calc'!$E$12=1,0,MIN(Calc!$C$113*(1+'财富模型'!$E$20/12)+'Calc'!$B$6,IF(Calc!$A$114&lt;='财富模型'!$E$11*12,'Calc'!$W$12,'Calc'!$Y$12))))</x:f>
      </x:c>
      <x:c r="F114" t="str">
        <x:f>IF(Calc!$A$114&gt;'Calc'!$B$8,"",'Calc'!$B$5-'财富模型'!$E$5-(IF('Calc'!$E$12=1,'财富模型'!$E$9,'财富模型'!$M$4+IF(Calc!$A$114&lt;='财富模型'!$E$11*12,'Calc'!$W$12,'Calc'!$Y$12)-(IF('Calc'!$E$12=1,0,MIN(Calc!$C$113*(1+'财富模型'!$E$20/12)+'Calc'!$B$6,IF(Calc!$A$114&lt;='财富模型'!$E$11*12,'Calc'!$W$12,'Calc'!$Y$12)))))))</x:f>
      </x:c>
      <x:c r="G114" t="str">
        <x:f>IF(Calc!$A$114&gt;'Calc'!$B$8,"",IF('Calc'!$E$12=1,0,MAX(Calc!$G$113*(1+IF(Calc!$A$114&lt;='财富模型'!$E$11*12,'财富模型'!$E$10,'财富模型'!$E$12)/12)-IF('Calc'!$E$12=1,0,IF(Calc!$A$114&lt;='财富模型'!$E$11*12,'Calc'!$W$12,'Calc'!$Y$12)),0)))</x:f>
      </x:c>
      <x:c r="I114" t="n">
        <x:v>93</x:v>
      </x:c>
      <x:c r="J114" t="str">
        <x:f>IF(Calc!$I$114&gt;'Calc'!$B$8,"",MAX(Calc!$J$113*(1+'财富模型'!$E$6/12)+('Calc'!$B$5-'财富模型'!$E$5-(IF('Calc'!$E$13=1,'财富模型'!$E$9,'财富模型'!$M$5+IF(Calc!$I$114&lt;='财富模型'!$E$11*12,'Calc'!$W$13,'Calc'!$Y$13)-(IF('Calc'!$E$13=1,0,MIN(Calc!$K$113*(1+'财富模型'!$E$20/12)+'Calc'!$B$6,IF(Calc!$I$114&lt;='财富模型'!$E$11*12,'Calc'!$W$13,'Calc'!$Y$13))))))),0))</x:f>
      </x:c>
      <x:c r="K114" t="str">
        <x:f>IF(Calc!$I$114&gt;'Calc'!$B$8,"",MAX(Calc!$K$113*(1+'财富模型'!$E$20/12)+'Calc'!$B$6-(IF('Calc'!$E$13=1,0,MIN(Calc!$K$113*(1+'财富模型'!$E$20/12)+'Calc'!$B$6,IF(Calc!$I$114&lt;='财富模型'!$E$11*12,'Calc'!$W$13,'Calc'!$Y$13)))),0))</x:f>
      </x:c>
      <x:c r="L114" t="str">
        <x:f>IF(Calc!$I$114&gt;'Calc'!$B$8,"",IF('Calc'!$E$13=1,'财富模型'!$E$9,'财富模型'!$M$5+IF(Calc!$I$114&lt;='财富模型'!$E$11*12,'Calc'!$W$13,'Calc'!$Y$13)-(IF('Calc'!$E$13=1,0,MIN(Calc!$K$113*(1+'财富模型'!$E$20/12)+'Calc'!$B$6,IF(Calc!$I$114&lt;='财富模型'!$E$11*12,'Calc'!$W$13,'Calc'!$Y$13))))))</x:f>
      </x:c>
      <x:c r="M114" t="str">
        <x:f>IF(Calc!$I$114&gt;'Calc'!$B$8,"",IF('Calc'!$E$13=1,0,MIN(Calc!$K$113*(1+'财富模型'!$E$20/12)+'Calc'!$B$6,IF(Calc!$I$114&lt;='财富模型'!$E$11*12,'Calc'!$W$13,'Calc'!$Y$13))))</x:f>
      </x:c>
      <x:c r="N114" t="str">
        <x:f>IF(Calc!$I$114&gt;'Calc'!$B$8,"",'Calc'!$B$5-'财富模型'!$E$5-(IF('Calc'!$E$13=1,'财富模型'!$E$9,'财富模型'!$M$5+IF(Calc!$I$114&lt;='财富模型'!$E$11*12,'Calc'!$W$13,'Calc'!$Y$13)-(IF('Calc'!$E$13=1,0,MIN(Calc!$K$113*(1+'财富模型'!$E$20/12)+'Calc'!$B$6,IF(Calc!$I$114&lt;='财富模型'!$E$11*12,'Calc'!$W$13,'Calc'!$Y$13)))))))</x:f>
      </x:c>
      <x:c r="O114" t="str">
        <x:f>IF(Calc!$I$114&gt;'Calc'!$B$8,"",IF('Calc'!$E$13=1,0,MAX(Calc!$O$113*(1+IF(Calc!$I$114&lt;='财富模型'!$E$11*12,'财富模型'!$E$10,'财富模型'!$E$12)/12)-IF('Calc'!$E$13=1,0,IF(Calc!$I$114&lt;='财富模型'!$E$11*12,'Calc'!$W$13,'Calc'!$Y$13)),0)))</x:f>
      </x:c>
      <x:c r="Q114" t="n">
        <x:v>93</x:v>
      </x:c>
      <x:c r="R114" t="str">
        <x:f>IF(Calc!$Q$114&gt;'Calc'!$B$8,"",MAX(Calc!$R$113*(1+'财富模型'!$E$6/12)+('Calc'!$B$5-'财富模型'!$E$5-(IF('Calc'!$E$14=1,'财富模型'!$E$9,'财富模型'!$M$6+IF(Calc!$Q$114&lt;='财富模型'!$E$11*12,'Calc'!$W$14,'Calc'!$Y$14)-(IF('Calc'!$E$14=1,0,MIN(Calc!$S$113*(1+'财富模型'!$E$20/12)+'Calc'!$B$6,IF(Calc!$Q$114&lt;='财富模型'!$E$11*12,'Calc'!$W$14,'Calc'!$Y$14))))))),0))</x:f>
      </x:c>
      <x:c r="S114" t="str">
        <x:f>IF(Calc!$Q$114&gt;'Calc'!$B$8,"",MAX(Calc!$S$113*(1+'财富模型'!$E$20/12)+'Calc'!$B$6-(IF('Calc'!$E$14=1,0,MIN(Calc!$S$113*(1+'财富模型'!$E$20/12)+'Calc'!$B$6,IF(Calc!$Q$114&lt;='财富模型'!$E$11*12,'Calc'!$W$14,'Calc'!$Y$14)))),0))</x:f>
      </x:c>
      <x:c r="T114" t="str">
        <x:f>IF(Calc!$Q$114&gt;'Calc'!$B$8,"",IF('Calc'!$E$14=1,'财富模型'!$E$9,'财富模型'!$M$6+IF(Calc!$Q$114&lt;='财富模型'!$E$11*12,'Calc'!$W$14,'Calc'!$Y$14)-(IF('Calc'!$E$14=1,0,MIN(Calc!$S$113*(1+'财富模型'!$E$20/12)+'Calc'!$B$6,IF(Calc!$Q$114&lt;='财富模型'!$E$11*12,'Calc'!$W$14,'Calc'!$Y$14))))))</x:f>
      </x:c>
      <x:c r="U114" t="str">
        <x:f>IF(Calc!$Q$114&gt;'Calc'!$B$8,"",IF('Calc'!$E$14=1,0,MIN(Calc!$S$113*(1+'财富模型'!$E$20/12)+'Calc'!$B$6,IF(Calc!$Q$114&lt;='财富模型'!$E$11*12,'Calc'!$W$14,'Calc'!$Y$14))))</x:f>
      </x:c>
      <x:c r="V114" t="str">
        <x:f>IF(Calc!$Q$114&gt;'Calc'!$B$8,"",'Calc'!$B$5-'财富模型'!$E$5-(IF('Calc'!$E$14=1,'财富模型'!$E$9,'财富模型'!$M$6+IF(Calc!$Q$114&lt;='财富模型'!$E$11*12,'Calc'!$W$14,'Calc'!$Y$14)-(IF('Calc'!$E$14=1,0,MIN(Calc!$S$113*(1+'财富模型'!$E$20/12)+'Calc'!$B$6,IF(Calc!$Q$114&lt;='财富模型'!$E$11*12,'Calc'!$W$14,'Calc'!$Y$14)))))))</x:f>
      </x:c>
      <x:c r="W114" t="str">
        <x:f>IF(Calc!$Q$114&gt;'Calc'!$B$8,"",IF('Calc'!$E$14=1,0,MAX(Calc!$W$113*(1+IF(Calc!$Q$114&lt;='财富模型'!$E$11*12,'财富模型'!$E$10,'财富模型'!$E$12)/12)-IF('Calc'!$E$14=1,0,IF(Calc!$Q$114&lt;='财富模型'!$E$11*12,'Calc'!$W$14,'Calc'!$Y$14)),0)))</x:f>
      </x:c>
      <x:c r="Y114" t="n">
        <x:v>93</x:v>
      </x:c>
      <x:c r="Z114" t="str">
        <x:f>IF(Calc!$Y$114&gt;'Calc'!$B$8,"",MAX(Calc!$Z$113*(1+'财富模型'!$E$6/12)+('Calc'!$B$5-'财富模型'!$E$5-(IF('Calc'!$E$15=1,'财富模型'!$E$9,'财富模型'!$M$7+IF(Calc!$Y$114&lt;='财富模型'!$E$11*12,'Calc'!$W$15,'Calc'!$Y$15)-(IF('Calc'!$E$15=1,0,MIN(Calc!$AA$113*(1+'财富模型'!$E$20/12)+'Calc'!$B$6,IF(Calc!$Y$114&lt;='财富模型'!$E$11*12,'Calc'!$W$15,'Calc'!$Y$15))))))),0))</x:f>
      </x:c>
      <x:c r="AA114" t="str">
        <x:f>IF(Calc!$Y$114&gt;'Calc'!$B$8,"",MAX(Calc!$AA$113*(1+'财富模型'!$E$20/12)+'Calc'!$B$6-(IF('Calc'!$E$15=1,0,MIN(Calc!$AA$113*(1+'财富模型'!$E$20/12)+'Calc'!$B$6,IF(Calc!$Y$114&lt;='财富模型'!$E$11*12,'Calc'!$W$15,'Calc'!$Y$15)))),0))</x:f>
      </x:c>
      <x:c r="AB114" t="str">
        <x:f>IF(Calc!$Y$114&gt;'Calc'!$B$8,"",IF('Calc'!$E$15=1,'财富模型'!$E$9,'财富模型'!$M$7+IF(Calc!$Y$114&lt;='财富模型'!$E$11*12,'Calc'!$W$15,'Calc'!$Y$15)-(IF('Calc'!$E$15=1,0,MIN(Calc!$AA$113*(1+'财富模型'!$E$20/12)+'Calc'!$B$6,IF(Calc!$Y$114&lt;='财富模型'!$E$11*12,'Calc'!$W$15,'Calc'!$Y$15))))))</x:f>
      </x:c>
      <x:c r="AC114" t="str">
        <x:f>IF(Calc!$Y$114&gt;'Calc'!$B$8,"",IF('Calc'!$E$15=1,0,MIN(Calc!$AA$113*(1+'财富模型'!$E$20/12)+'Calc'!$B$6,IF(Calc!$Y$114&lt;='财富模型'!$E$11*12,'Calc'!$W$15,'Calc'!$Y$15))))</x:f>
      </x:c>
      <x:c r="AD114" t="str">
        <x:f>IF(Calc!$Y$114&gt;'Calc'!$B$8,"",'Calc'!$B$5-'财富模型'!$E$5-(IF('Calc'!$E$15=1,'财富模型'!$E$9,'财富模型'!$M$7+IF(Calc!$Y$114&lt;='财富模型'!$E$11*12,'Calc'!$W$15,'Calc'!$Y$15)-(IF('Calc'!$E$15=1,0,MIN(Calc!$AA$113*(1+'财富模型'!$E$20/12)+'Calc'!$B$6,IF(Calc!$Y$114&lt;='财富模型'!$E$11*12,'Calc'!$W$15,'Calc'!$Y$15)))))))</x:f>
      </x:c>
      <x:c r="AE114" t="str">
        <x:f>IF(Calc!$Y$114&gt;'Calc'!$B$8,"",IF('Calc'!$E$15=1,0,MAX(Calc!$AE$113*(1+IF(Calc!$Y$114&lt;='财富模型'!$E$11*12,'财富模型'!$E$10,'财富模型'!$E$12)/12)-IF('Calc'!$E$15=1,0,IF(Calc!$Y$114&lt;='财富模型'!$E$11*12,'Calc'!$W$15,'Calc'!$Y$15)),0)))</x:f>
      </x:c>
      <x:c r="AG114" t="n">
        <x:v>93</x:v>
      </x:c>
      <x:c r="AH114" t="str">
        <x:f>IF(Calc!$AG$114&gt;'Calc'!$B$8,"",MAX(Calc!$AH$113*(1+'财富模型'!$E$6/12)+('Calc'!$B$5-'财富模型'!$E$5-(IF('Calc'!$E$16=1,'财富模型'!$E$9,'财富模型'!$M$8+IF(Calc!$AG$114&lt;='财富模型'!$E$11*12,'Calc'!$W$16,'Calc'!$Y$16)-(IF('Calc'!$E$16=1,0,MIN(Calc!$AI$113*(1+'财富模型'!$E$20/12)+'Calc'!$B$6,IF(Calc!$AG$114&lt;='财富模型'!$E$11*12,'Calc'!$W$16,'Calc'!$Y$16))))))),0))</x:f>
      </x:c>
      <x:c r="AI114" t="str">
        <x:f>IF(Calc!$AG$114&gt;'Calc'!$B$8,"",MAX(Calc!$AI$113*(1+'财富模型'!$E$20/12)+'Calc'!$B$6-(IF('Calc'!$E$16=1,0,MIN(Calc!$AI$113*(1+'财富模型'!$E$20/12)+'Calc'!$B$6,IF(Calc!$AG$114&lt;='财富模型'!$E$11*12,'Calc'!$W$16,'Calc'!$Y$16)))),0))</x:f>
      </x:c>
      <x:c r="AJ114" t="str">
        <x:f>IF(Calc!$AG$114&gt;'Calc'!$B$8,"",IF('Calc'!$E$16=1,'财富模型'!$E$9,'财富模型'!$M$8+IF(Calc!$AG$114&lt;='财富模型'!$E$11*12,'Calc'!$W$16,'Calc'!$Y$16)-(IF('Calc'!$E$16=1,0,MIN(Calc!$AI$113*(1+'财富模型'!$E$20/12)+'Calc'!$B$6,IF(Calc!$AG$114&lt;='财富模型'!$E$11*12,'Calc'!$W$16,'Calc'!$Y$16))))))</x:f>
      </x:c>
      <x:c r="AK114" t="str">
        <x:f>IF(Calc!$AG$114&gt;'Calc'!$B$8,"",IF('Calc'!$E$16=1,0,MIN(Calc!$AI$113*(1+'财富模型'!$E$20/12)+'Calc'!$B$6,IF(Calc!$AG$114&lt;='财富模型'!$E$11*12,'Calc'!$W$16,'Calc'!$Y$16))))</x:f>
      </x:c>
      <x:c r="AL114" t="str">
        <x:f>IF(Calc!$AG$114&gt;'Calc'!$B$8,"",'Calc'!$B$5-'财富模型'!$E$5-(IF('Calc'!$E$16=1,'财富模型'!$E$9,'财富模型'!$M$8+IF(Calc!$AG$114&lt;='财富模型'!$E$11*12,'Calc'!$W$16,'Calc'!$Y$16)-(IF('Calc'!$E$16=1,0,MIN(Calc!$AI$113*(1+'财富模型'!$E$20/12)+'Calc'!$B$6,IF(Calc!$AG$114&lt;='财富模型'!$E$11*12,'Calc'!$W$16,'Calc'!$Y$16)))))))</x:f>
      </x:c>
      <x:c r="AM114" t="str">
        <x:f>IF(Calc!$AG$114&gt;'Calc'!$B$8,"",IF('Calc'!$E$16=1,0,MAX(Calc!$AM$113*(1+IF(Calc!$AG$114&lt;='财富模型'!$E$11*12,'财富模型'!$E$10,'财富模型'!$E$12)/12)-IF('Calc'!$E$16=1,0,IF(Calc!$AG$114&lt;='财富模型'!$E$11*12,'Calc'!$W$16,'Calc'!$Y$16)),0)))</x:f>
      </x:c>
      <x:c r="AO114" t="n">
        <x:v>93</x:v>
      </x:c>
      <x:c r="AP114" t="str">
        <x:f>IF(Calc!$AO$114&gt;'Calc'!$B$8,"",MAX(Calc!$AP$113*(1+'财富模型'!$E$6/12)+('Calc'!$B$5-'财富模型'!$E$5-(IF('Calc'!$E$17=1,'财富模型'!$E$9,'财富模型'!$M$9+IF(Calc!$AO$114&lt;='财富模型'!$E$11*12,'Calc'!$W$17,'Calc'!$Y$17)-(IF('Calc'!$E$17=1,0,MIN(Calc!$AQ$113*(1+'财富模型'!$E$20/12)+'Calc'!$B$6,IF(Calc!$AO$114&lt;='财富模型'!$E$11*12,'Calc'!$W$17,'Calc'!$Y$17))))))),0))</x:f>
      </x:c>
      <x:c r="AQ114" t="str">
        <x:f>IF(Calc!$AO$114&gt;'Calc'!$B$8,"",MAX(Calc!$AQ$113*(1+'财富模型'!$E$20/12)+'Calc'!$B$6-(IF('Calc'!$E$17=1,0,MIN(Calc!$AQ$113*(1+'财富模型'!$E$20/12)+'Calc'!$B$6,IF(Calc!$AO$114&lt;='财富模型'!$E$11*12,'Calc'!$W$17,'Calc'!$Y$17)))),0))</x:f>
      </x:c>
      <x:c r="AR114" t="str">
        <x:f>IF(Calc!$AO$114&gt;'Calc'!$B$8,"",IF('Calc'!$E$17=1,'财富模型'!$E$9,'财富模型'!$M$9+IF(Calc!$AO$114&lt;='财富模型'!$E$11*12,'Calc'!$W$17,'Calc'!$Y$17)-(IF('Calc'!$E$17=1,0,MIN(Calc!$AQ$113*(1+'财富模型'!$E$20/12)+'Calc'!$B$6,IF(Calc!$AO$114&lt;='财富模型'!$E$11*12,'Calc'!$W$17,'Calc'!$Y$17))))))</x:f>
      </x:c>
      <x:c r="AS114" t="str">
        <x:f>IF(Calc!$AO$114&gt;'Calc'!$B$8,"",IF('Calc'!$E$17=1,0,MIN(Calc!$AQ$113*(1+'财富模型'!$E$20/12)+'Calc'!$B$6,IF(Calc!$AO$114&lt;='财富模型'!$E$11*12,'Calc'!$W$17,'Calc'!$Y$17))))</x:f>
      </x:c>
      <x:c r="AT114" t="str">
        <x:f>IF(Calc!$AO$114&gt;'Calc'!$B$8,"",'Calc'!$B$5-'财富模型'!$E$5-(IF('Calc'!$E$17=1,'财富模型'!$E$9,'财富模型'!$M$9+IF(Calc!$AO$114&lt;='财富模型'!$E$11*12,'Calc'!$W$17,'Calc'!$Y$17)-(IF('Calc'!$E$17=1,0,MIN(Calc!$AQ$113*(1+'财富模型'!$E$20/12)+'Calc'!$B$6,IF(Calc!$AO$114&lt;='财富模型'!$E$11*12,'Calc'!$W$17,'Calc'!$Y$17)))))))</x:f>
      </x:c>
      <x:c r="AU114" t="str">
        <x:f>IF(Calc!$AO$114&gt;'Calc'!$B$8,"",IF('Calc'!$E$17=1,0,MAX(Calc!$AU$113*(1+IF(Calc!$AO$114&lt;='财富模型'!$E$11*12,'财富模型'!$E$10,'财富模型'!$E$12)/12)-IF('Calc'!$E$17=1,0,IF(Calc!$AO$114&lt;='财富模型'!$E$11*12,'Calc'!$W$17,'Calc'!$Y$17)),0)))</x:f>
      </x:c>
    </x:row>
    <x:row r="115">
      <x:c r="A115" t="n">
        <x:v>94</x:v>
      </x:c>
      <x:c r="B115" t="str">
        <x:f>IF(Calc!$A$115&gt;'Calc'!$B$8,"",MAX(Calc!$B$114*(1+'财富模型'!$E$6/12)+('Calc'!$B$5-'财富模型'!$E$5-(IF('Calc'!$E$12=1,'财富模型'!$E$9,'财富模型'!$M$4+IF(Calc!$A$115&lt;='财富模型'!$E$11*12,'Calc'!$W$12,'Calc'!$Y$12)-(IF('Calc'!$E$12=1,0,MIN(Calc!$C$114*(1+'财富模型'!$E$20/12)+'Calc'!$B$6,IF(Calc!$A$115&lt;='财富模型'!$E$11*12,'Calc'!$W$12,'Calc'!$Y$12))))))),0))</x:f>
      </x:c>
      <x:c r="C115" t="str">
        <x:f>IF(Calc!$A$115&gt;'Calc'!$B$8,"",MAX(Calc!$C$114*(1+'财富模型'!$E$20/12)+'Calc'!$B$6-(IF('Calc'!$E$12=1,0,MIN(Calc!$C$114*(1+'财富模型'!$E$20/12)+'Calc'!$B$6,IF(Calc!$A$115&lt;='财富模型'!$E$11*12,'Calc'!$W$12,'Calc'!$Y$12)))),0))</x:f>
      </x:c>
      <x:c r="D115" t="str">
        <x:f>IF(Calc!$A$115&gt;'Calc'!$B$8,"",IF('Calc'!$E$12=1,'财富模型'!$E$9,'财富模型'!$M$4+IF(Calc!$A$115&lt;='财富模型'!$E$11*12,'Calc'!$W$12,'Calc'!$Y$12)-(IF('Calc'!$E$12=1,0,MIN(Calc!$C$114*(1+'财富模型'!$E$20/12)+'Calc'!$B$6,IF(Calc!$A$115&lt;='财富模型'!$E$11*12,'Calc'!$W$12,'Calc'!$Y$12))))))</x:f>
      </x:c>
      <x:c r="E115" t="str">
        <x:f>IF(Calc!$A$115&gt;'Calc'!$B$8,"",IF('Calc'!$E$12=1,0,MIN(Calc!$C$114*(1+'财富模型'!$E$20/12)+'Calc'!$B$6,IF(Calc!$A$115&lt;='财富模型'!$E$11*12,'Calc'!$W$12,'Calc'!$Y$12))))</x:f>
      </x:c>
      <x:c r="F115" t="str">
        <x:f>IF(Calc!$A$115&gt;'Calc'!$B$8,"",'Calc'!$B$5-'财富模型'!$E$5-(IF('Calc'!$E$12=1,'财富模型'!$E$9,'财富模型'!$M$4+IF(Calc!$A$115&lt;='财富模型'!$E$11*12,'Calc'!$W$12,'Calc'!$Y$12)-(IF('Calc'!$E$12=1,0,MIN(Calc!$C$114*(1+'财富模型'!$E$20/12)+'Calc'!$B$6,IF(Calc!$A$115&lt;='财富模型'!$E$11*12,'Calc'!$W$12,'Calc'!$Y$12)))))))</x:f>
      </x:c>
      <x:c r="G115" t="str">
        <x:f>IF(Calc!$A$115&gt;'Calc'!$B$8,"",IF('Calc'!$E$12=1,0,MAX(Calc!$G$114*(1+IF(Calc!$A$115&lt;='财富模型'!$E$11*12,'财富模型'!$E$10,'财富模型'!$E$12)/12)-IF('Calc'!$E$12=1,0,IF(Calc!$A$115&lt;='财富模型'!$E$11*12,'Calc'!$W$12,'Calc'!$Y$12)),0)))</x:f>
      </x:c>
      <x:c r="I115" t="n">
        <x:v>94</x:v>
      </x:c>
      <x:c r="J115" t="str">
        <x:f>IF(Calc!$I$115&gt;'Calc'!$B$8,"",MAX(Calc!$J$114*(1+'财富模型'!$E$6/12)+('Calc'!$B$5-'财富模型'!$E$5-(IF('Calc'!$E$13=1,'财富模型'!$E$9,'财富模型'!$M$5+IF(Calc!$I$115&lt;='财富模型'!$E$11*12,'Calc'!$W$13,'Calc'!$Y$13)-(IF('Calc'!$E$13=1,0,MIN(Calc!$K$114*(1+'财富模型'!$E$20/12)+'Calc'!$B$6,IF(Calc!$I$115&lt;='财富模型'!$E$11*12,'Calc'!$W$13,'Calc'!$Y$13))))))),0))</x:f>
      </x:c>
      <x:c r="K115" t="str">
        <x:f>IF(Calc!$I$115&gt;'Calc'!$B$8,"",MAX(Calc!$K$114*(1+'财富模型'!$E$20/12)+'Calc'!$B$6-(IF('Calc'!$E$13=1,0,MIN(Calc!$K$114*(1+'财富模型'!$E$20/12)+'Calc'!$B$6,IF(Calc!$I$115&lt;='财富模型'!$E$11*12,'Calc'!$W$13,'Calc'!$Y$13)))),0))</x:f>
      </x:c>
      <x:c r="L115" t="str">
        <x:f>IF(Calc!$I$115&gt;'Calc'!$B$8,"",IF('Calc'!$E$13=1,'财富模型'!$E$9,'财富模型'!$M$5+IF(Calc!$I$115&lt;='财富模型'!$E$11*12,'Calc'!$W$13,'Calc'!$Y$13)-(IF('Calc'!$E$13=1,0,MIN(Calc!$K$114*(1+'财富模型'!$E$20/12)+'Calc'!$B$6,IF(Calc!$I$115&lt;='财富模型'!$E$11*12,'Calc'!$W$13,'Calc'!$Y$13))))))</x:f>
      </x:c>
      <x:c r="M115" t="str">
        <x:f>IF(Calc!$I$115&gt;'Calc'!$B$8,"",IF('Calc'!$E$13=1,0,MIN(Calc!$K$114*(1+'财富模型'!$E$20/12)+'Calc'!$B$6,IF(Calc!$I$115&lt;='财富模型'!$E$11*12,'Calc'!$W$13,'Calc'!$Y$13))))</x:f>
      </x:c>
      <x:c r="N115" t="str">
        <x:f>IF(Calc!$I$115&gt;'Calc'!$B$8,"",'Calc'!$B$5-'财富模型'!$E$5-(IF('Calc'!$E$13=1,'财富模型'!$E$9,'财富模型'!$M$5+IF(Calc!$I$115&lt;='财富模型'!$E$11*12,'Calc'!$W$13,'Calc'!$Y$13)-(IF('Calc'!$E$13=1,0,MIN(Calc!$K$114*(1+'财富模型'!$E$20/12)+'Calc'!$B$6,IF(Calc!$I$115&lt;='财富模型'!$E$11*12,'Calc'!$W$13,'Calc'!$Y$13)))))))</x:f>
      </x:c>
      <x:c r="O115" t="str">
        <x:f>IF(Calc!$I$115&gt;'Calc'!$B$8,"",IF('Calc'!$E$13=1,0,MAX(Calc!$O$114*(1+IF(Calc!$I$115&lt;='财富模型'!$E$11*12,'财富模型'!$E$10,'财富模型'!$E$12)/12)-IF('Calc'!$E$13=1,0,IF(Calc!$I$115&lt;='财富模型'!$E$11*12,'Calc'!$W$13,'Calc'!$Y$13)),0)))</x:f>
      </x:c>
      <x:c r="Q115" t="n">
        <x:v>94</x:v>
      </x:c>
      <x:c r="R115" t="str">
        <x:f>IF(Calc!$Q$115&gt;'Calc'!$B$8,"",MAX(Calc!$R$114*(1+'财富模型'!$E$6/12)+('Calc'!$B$5-'财富模型'!$E$5-(IF('Calc'!$E$14=1,'财富模型'!$E$9,'财富模型'!$M$6+IF(Calc!$Q$115&lt;='财富模型'!$E$11*12,'Calc'!$W$14,'Calc'!$Y$14)-(IF('Calc'!$E$14=1,0,MIN(Calc!$S$114*(1+'财富模型'!$E$20/12)+'Calc'!$B$6,IF(Calc!$Q$115&lt;='财富模型'!$E$11*12,'Calc'!$W$14,'Calc'!$Y$14))))))),0))</x:f>
      </x:c>
      <x:c r="S115" t="str">
        <x:f>IF(Calc!$Q$115&gt;'Calc'!$B$8,"",MAX(Calc!$S$114*(1+'财富模型'!$E$20/12)+'Calc'!$B$6-(IF('Calc'!$E$14=1,0,MIN(Calc!$S$114*(1+'财富模型'!$E$20/12)+'Calc'!$B$6,IF(Calc!$Q$115&lt;='财富模型'!$E$11*12,'Calc'!$W$14,'Calc'!$Y$14)))),0))</x:f>
      </x:c>
      <x:c r="T115" t="str">
        <x:f>IF(Calc!$Q$115&gt;'Calc'!$B$8,"",IF('Calc'!$E$14=1,'财富模型'!$E$9,'财富模型'!$M$6+IF(Calc!$Q$115&lt;='财富模型'!$E$11*12,'Calc'!$W$14,'Calc'!$Y$14)-(IF('Calc'!$E$14=1,0,MIN(Calc!$S$114*(1+'财富模型'!$E$20/12)+'Calc'!$B$6,IF(Calc!$Q$115&lt;='财富模型'!$E$11*12,'Calc'!$W$14,'Calc'!$Y$14))))))</x:f>
      </x:c>
      <x:c r="U115" t="str">
        <x:f>IF(Calc!$Q$115&gt;'Calc'!$B$8,"",IF('Calc'!$E$14=1,0,MIN(Calc!$S$114*(1+'财富模型'!$E$20/12)+'Calc'!$B$6,IF(Calc!$Q$115&lt;='财富模型'!$E$11*12,'Calc'!$W$14,'Calc'!$Y$14))))</x:f>
      </x:c>
      <x:c r="V115" t="str">
        <x:f>IF(Calc!$Q$115&gt;'Calc'!$B$8,"",'Calc'!$B$5-'财富模型'!$E$5-(IF('Calc'!$E$14=1,'财富模型'!$E$9,'财富模型'!$M$6+IF(Calc!$Q$115&lt;='财富模型'!$E$11*12,'Calc'!$W$14,'Calc'!$Y$14)-(IF('Calc'!$E$14=1,0,MIN(Calc!$S$114*(1+'财富模型'!$E$20/12)+'Calc'!$B$6,IF(Calc!$Q$115&lt;='财富模型'!$E$11*12,'Calc'!$W$14,'Calc'!$Y$14)))))))</x:f>
      </x:c>
      <x:c r="W115" t="str">
        <x:f>IF(Calc!$Q$115&gt;'Calc'!$B$8,"",IF('Calc'!$E$14=1,0,MAX(Calc!$W$114*(1+IF(Calc!$Q$115&lt;='财富模型'!$E$11*12,'财富模型'!$E$10,'财富模型'!$E$12)/12)-IF('Calc'!$E$14=1,0,IF(Calc!$Q$115&lt;='财富模型'!$E$11*12,'Calc'!$W$14,'Calc'!$Y$14)),0)))</x:f>
      </x:c>
      <x:c r="Y115" t="n">
        <x:v>94</x:v>
      </x:c>
      <x:c r="Z115" t="str">
        <x:f>IF(Calc!$Y$115&gt;'Calc'!$B$8,"",MAX(Calc!$Z$114*(1+'财富模型'!$E$6/12)+('Calc'!$B$5-'财富模型'!$E$5-(IF('Calc'!$E$15=1,'财富模型'!$E$9,'财富模型'!$M$7+IF(Calc!$Y$115&lt;='财富模型'!$E$11*12,'Calc'!$W$15,'Calc'!$Y$15)-(IF('Calc'!$E$15=1,0,MIN(Calc!$AA$114*(1+'财富模型'!$E$20/12)+'Calc'!$B$6,IF(Calc!$Y$115&lt;='财富模型'!$E$11*12,'Calc'!$W$15,'Calc'!$Y$15))))))),0))</x:f>
      </x:c>
      <x:c r="AA115" t="str">
        <x:f>IF(Calc!$Y$115&gt;'Calc'!$B$8,"",MAX(Calc!$AA$114*(1+'财富模型'!$E$20/12)+'Calc'!$B$6-(IF('Calc'!$E$15=1,0,MIN(Calc!$AA$114*(1+'财富模型'!$E$20/12)+'Calc'!$B$6,IF(Calc!$Y$115&lt;='财富模型'!$E$11*12,'Calc'!$W$15,'Calc'!$Y$15)))),0))</x:f>
      </x:c>
      <x:c r="AB115" t="str">
        <x:f>IF(Calc!$Y$115&gt;'Calc'!$B$8,"",IF('Calc'!$E$15=1,'财富模型'!$E$9,'财富模型'!$M$7+IF(Calc!$Y$115&lt;='财富模型'!$E$11*12,'Calc'!$W$15,'Calc'!$Y$15)-(IF('Calc'!$E$15=1,0,MIN(Calc!$AA$114*(1+'财富模型'!$E$20/12)+'Calc'!$B$6,IF(Calc!$Y$115&lt;='财富模型'!$E$11*12,'Calc'!$W$15,'Calc'!$Y$15))))))</x:f>
      </x:c>
      <x:c r="AC115" t="str">
        <x:f>IF(Calc!$Y$115&gt;'Calc'!$B$8,"",IF('Calc'!$E$15=1,0,MIN(Calc!$AA$114*(1+'财富模型'!$E$20/12)+'Calc'!$B$6,IF(Calc!$Y$115&lt;='财富模型'!$E$11*12,'Calc'!$W$15,'Calc'!$Y$15))))</x:f>
      </x:c>
      <x:c r="AD115" t="str">
        <x:f>IF(Calc!$Y$115&gt;'Calc'!$B$8,"",'Calc'!$B$5-'财富模型'!$E$5-(IF('Calc'!$E$15=1,'财富模型'!$E$9,'财富模型'!$M$7+IF(Calc!$Y$115&lt;='财富模型'!$E$11*12,'Calc'!$W$15,'Calc'!$Y$15)-(IF('Calc'!$E$15=1,0,MIN(Calc!$AA$114*(1+'财富模型'!$E$20/12)+'Calc'!$B$6,IF(Calc!$Y$115&lt;='财富模型'!$E$11*12,'Calc'!$W$15,'Calc'!$Y$15)))))))</x:f>
      </x:c>
      <x:c r="AE115" t="str">
        <x:f>IF(Calc!$Y$115&gt;'Calc'!$B$8,"",IF('Calc'!$E$15=1,0,MAX(Calc!$AE$114*(1+IF(Calc!$Y$115&lt;='财富模型'!$E$11*12,'财富模型'!$E$10,'财富模型'!$E$12)/12)-IF('Calc'!$E$15=1,0,IF(Calc!$Y$115&lt;='财富模型'!$E$11*12,'Calc'!$W$15,'Calc'!$Y$15)),0)))</x:f>
      </x:c>
      <x:c r="AG115" t="n">
        <x:v>94</x:v>
      </x:c>
      <x:c r="AH115" t="str">
        <x:f>IF(Calc!$AG$115&gt;'Calc'!$B$8,"",MAX(Calc!$AH$114*(1+'财富模型'!$E$6/12)+('Calc'!$B$5-'财富模型'!$E$5-(IF('Calc'!$E$16=1,'财富模型'!$E$9,'财富模型'!$M$8+IF(Calc!$AG$115&lt;='财富模型'!$E$11*12,'Calc'!$W$16,'Calc'!$Y$16)-(IF('Calc'!$E$16=1,0,MIN(Calc!$AI$114*(1+'财富模型'!$E$20/12)+'Calc'!$B$6,IF(Calc!$AG$115&lt;='财富模型'!$E$11*12,'Calc'!$W$16,'Calc'!$Y$16))))))),0))</x:f>
      </x:c>
      <x:c r="AI115" t="str">
        <x:f>IF(Calc!$AG$115&gt;'Calc'!$B$8,"",MAX(Calc!$AI$114*(1+'财富模型'!$E$20/12)+'Calc'!$B$6-(IF('Calc'!$E$16=1,0,MIN(Calc!$AI$114*(1+'财富模型'!$E$20/12)+'Calc'!$B$6,IF(Calc!$AG$115&lt;='财富模型'!$E$11*12,'Calc'!$W$16,'Calc'!$Y$16)))),0))</x:f>
      </x:c>
      <x:c r="AJ115" t="str">
        <x:f>IF(Calc!$AG$115&gt;'Calc'!$B$8,"",IF('Calc'!$E$16=1,'财富模型'!$E$9,'财富模型'!$M$8+IF(Calc!$AG$115&lt;='财富模型'!$E$11*12,'Calc'!$W$16,'Calc'!$Y$16)-(IF('Calc'!$E$16=1,0,MIN(Calc!$AI$114*(1+'财富模型'!$E$20/12)+'Calc'!$B$6,IF(Calc!$AG$115&lt;='财富模型'!$E$11*12,'Calc'!$W$16,'Calc'!$Y$16))))))</x:f>
      </x:c>
      <x:c r="AK115" t="str">
        <x:f>IF(Calc!$AG$115&gt;'Calc'!$B$8,"",IF('Calc'!$E$16=1,0,MIN(Calc!$AI$114*(1+'财富模型'!$E$20/12)+'Calc'!$B$6,IF(Calc!$AG$115&lt;='财富模型'!$E$11*12,'Calc'!$W$16,'Calc'!$Y$16))))</x:f>
      </x:c>
      <x:c r="AL115" t="str">
        <x:f>IF(Calc!$AG$115&gt;'Calc'!$B$8,"",'Calc'!$B$5-'财富模型'!$E$5-(IF('Calc'!$E$16=1,'财富模型'!$E$9,'财富模型'!$M$8+IF(Calc!$AG$115&lt;='财富模型'!$E$11*12,'Calc'!$W$16,'Calc'!$Y$16)-(IF('Calc'!$E$16=1,0,MIN(Calc!$AI$114*(1+'财富模型'!$E$20/12)+'Calc'!$B$6,IF(Calc!$AG$115&lt;='财富模型'!$E$11*12,'Calc'!$W$16,'Calc'!$Y$16)))))))</x:f>
      </x:c>
      <x:c r="AM115" t="str">
        <x:f>IF(Calc!$AG$115&gt;'Calc'!$B$8,"",IF('Calc'!$E$16=1,0,MAX(Calc!$AM$114*(1+IF(Calc!$AG$115&lt;='财富模型'!$E$11*12,'财富模型'!$E$10,'财富模型'!$E$12)/12)-IF('Calc'!$E$16=1,0,IF(Calc!$AG$115&lt;='财富模型'!$E$11*12,'Calc'!$W$16,'Calc'!$Y$16)),0)))</x:f>
      </x:c>
      <x:c r="AO115" t="n">
        <x:v>94</x:v>
      </x:c>
      <x:c r="AP115" t="str">
        <x:f>IF(Calc!$AO$115&gt;'Calc'!$B$8,"",MAX(Calc!$AP$114*(1+'财富模型'!$E$6/12)+('Calc'!$B$5-'财富模型'!$E$5-(IF('Calc'!$E$17=1,'财富模型'!$E$9,'财富模型'!$M$9+IF(Calc!$AO$115&lt;='财富模型'!$E$11*12,'Calc'!$W$17,'Calc'!$Y$17)-(IF('Calc'!$E$17=1,0,MIN(Calc!$AQ$114*(1+'财富模型'!$E$20/12)+'Calc'!$B$6,IF(Calc!$AO$115&lt;='财富模型'!$E$11*12,'Calc'!$W$17,'Calc'!$Y$17))))))),0))</x:f>
      </x:c>
      <x:c r="AQ115" t="str">
        <x:f>IF(Calc!$AO$115&gt;'Calc'!$B$8,"",MAX(Calc!$AQ$114*(1+'财富模型'!$E$20/12)+'Calc'!$B$6-(IF('Calc'!$E$17=1,0,MIN(Calc!$AQ$114*(1+'财富模型'!$E$20/12)+'Calc'!$B$6,IF(Calc!$AO$115&lt;='财富模型'!$E$11*12,'Calc'!$W$17,'Calc'!$Y$17)))),0))</x:f>
      </x:c>
      <x:c r="AR115" t="str">
        <x:f>IF(Calc!$AO$115&gt;'Calc'!$B$8,"",IF('Calc'!$E$17=1,'财富模型'!$E$9,'财富模型'!$M$9+IF(Calc!$AO$115&lt;='财富模型'!$E$11*12,'Calc'!$W$17,'Calc'!$Y$17)-(IF('Calc'!$E$17=1,0,MIN(Calc!$AQ$114*(1+'财富模型'!$E$20/12)+'Calc'!$B$6,IF(Calc!$AO$115&lt;='财富模型'!$E$11*12,'Calc'!$W$17,'Calc'!$Y$17))))))</x:f>
      </x:c>
      <x:c r="AS115" t="str">
        <x:f>IF(Calc!$AO$115&gt;'Calc'!$B$8,"",IF('Calc'!$E$17=1,0,MIN(Calc!$AQ$114*(1+'财富模型'!$E$20/12)+'Calc'!$B$6,IF(Calc!$AO$115&lt;='财富模型'!$E$11*12,'Calc'!$W$17,'Calc'!$Y$17))))</x:f>
      </x:c>
      <x:c r="AT115" t="str">
        <x:f>IF(Calc!$AO$115&gt;'Calc'!$B$8,"",'Calc'!$B$5-'财富模型'!$E$5-(IF('Calc'!$E$17=1,'财富模型'!$E$9,'财富模型'!$M$9+IF(Calc!$AO$115&lt;='财富模型'!$E$11*12,'Calc'!$W$17,'Calc'!$Y$17)-(IF('Calc'!$E$17=1,0,MIN(Calc!$AQ$114*(1+'财富模型'!$E$20/12)+'Calc'!$B$6,IF(Calc!$AO$115&lt;='财富模型'!$E$11*12,'Calc'!$W$17,'Calc'!$Y$17)))))))</x:f>
      </x:c>
      <x:c r="AU115" t="str">
        <x:f>IF(Calc!$AO$115&gt;'Calc'!$B$8,"",IF('Calc'!$E$17=1,0,MAX(Calc!$AU$114*(1+IF(Calc!$AO$115&lt;='财富模型'!$E$11*12,'财富模型'!$E$10,'财富模型'!$E$12)/12)-IF('Calc'!$E$17=1,0,IF(Calc!$AO$115&lt;='财富模型'!$E$11*12,'Calc'!$W$17,'Calc'!$Y$17)),0)))</x:f>
      </x:c>
    </x:row>
    <x:row r="116">
      <x:c r="A116" t="n">
        <x:v>95</x:v>
      </x:c>
      <x:c r="B116" t="str">
        <x:f>IF(Calc!$A$116&gt;'Calc'!$B$8,"",MAX(Calc!$B$115*(1+'财富模型'!$E$6/12)+('Calc'!$B$5-'财富模型'!$E$5-(IF('Calc'!$E$12=1,'财富模型'!$E$9,'财富模型'!$M$4+IF(Calc!$A$116&lt;='财富模型'!$E$11*12,'Calc'!$W$12,'Calc'!$Y$12)-(IF('Calc'!$E$12=1,0,MIN(Calc!$C$115*(1+'财富模型'!$E$20/12)+'Calc'!$B$6,IF(Calc!$A$116&lt;='财富模型'!$E$11*12,'Calc'!$W$12,'Calc'!$Y$12))))))),0))</x:f>
      </x:c>
      <x:c r="C116" t="str">
        <x:f>IF(Calc!$A$116&gt;'Calc'!$B$8,"",MAX(Calc!$C$115*(1+'财富模型'!$E$20/12)+'Calc'!$B$6-(IF('Calc'!$E$12=1,0,MIN(Calc!$C$115*(1+'财富模型'!$E$20/12)+'Calc'!$B$6,IF(Calc!$A$116&lt;='财富模型'!$E$11*12,'Calc'!$W$12,'Calc'!$Y$12)))),0))</x:f>
      </x:c>
      <x:c r="D116" t="str">
        <x:f>IF(Calc!$A$116&gt;'Calc'!$B$8,"",IF('Calc'!$E$12=1,'财富模型'!$E$9,'财富模型'!$M$4+IF(Calc!$A$116&lt;='财富模型'!$E$11*12,'Calc'!$W$12,'Calc'!$Y$12)-(IF('Calc'!$E$12=1,0,MIN(Calc!$C$115*(1+'财富模型'!$E$20/12)+'Calc'!$B$6,IF(Calc!$A$116&lt;='财富模型'!$E$11*12,'Calc'!$W$12,'Calc'!$Y$12))))))</x:f>
      </x:c>
      <x:c r="E116" t="str">
        <x:f>IF(Calc!$A$116&gt;'Calc'!$B$8,"",IF('Calc'!$E$12=1,0,MIN(Calc!$C$115*(1+'财富模型'!$E$20/12)+'Calc'!$B$6,IF(Calc!$A$116&lt;='财富模型'!$E$11*12,'Calc'!$W$12,'Calc'!$Y$12))))</x:f>
      </x:c>
      <x:c r="F116" t="str">
        <x:f>IF(Calc!$A$116&gt;'Calc'!$B$8,"",'Calc'!$B$5-'财富模型'!$E$5-(IF('Calc'!$E$12=1,'财富模型'!$E$9,'财富模型'!$M$4+IF(Calc!$A$116&lt;='财富模型'!$E$11*12,'Calc'!$W$12,'Calc'!$Y$12)-(IF('Calc'!$E$12=1,0,MIN(Calc!$C$115*(1+'财富模型'!$E$20/12)+'Calc'!$B$6,IF(Calc!$A$116&lt;='财富模型'!$E$11*12,'Calc'!$W$12,'Calc'!$Y$12)))))))</x:f>
      </x:c>
      <x:c r="G116" t="str">
        <x:f>IF(Calc!$A$116&gt;'Calc'!$B$8,"",IF('Calc'!$E$12=1,0,MAX(Calc!$G$115*(1+IF(Calc!$A$116&lt;='财富模型'!$E$11*12,'财富模型'!$E$10,'财富模型'!$E$12)/12)-IF('Calc'!$E$12=1,0,IF(Calc!$A$116&lt;='财富模型'!$E$11*12,'Calc'!$W$12,'Calc'!$Y$12)),0)))</x:f>
      </x:c>
      <x:c r="I116" t="n">
        <x:v>95</x:v>
      </x:c>
      <x:c r="J116" t="str">
        <x:f>IF(Calc!$I$116&gt;'Calc'!$B$8,"",MAX(Calc!$J$115*(1+'财富模型'!$E$6/12)+('Calc'!$B$5-'财富模型'!$E$5-(IF('Calc'!$E$13=1,'财富模型'!$E$9,'财富模型'!$M$5+IF(Calc!$I$116&lt;='财富模型'!$E$11*12,'Calc'!$W$13,'Calc'!$Y$13)-(IF('Calc'!$E$13=1,0,MIN(Calc!$K$115*(1+'财富模型'!$E$20/12)+'Calc'!$B$6,IF(Calc!$I$116&lt;='财富模型'!$E$11*12,'Calc'!$W$13,'Calc'!$Y$13))))))),0))</x:f>
      </x:c>
      <x:c r="K116" t="str">
        <x:f>IF(Calc!$I$116&gt;'Calc'!$B$8,"",MAX(Calc!$K$115*(1+'财富模型'!$E$20/12)+'Calc'!$B$6-(IF('Calc'!$E$13=1,0,MIN(Calc!$K$115*(1+'财富模型'!$E$20/12)+'Calc'!$B$6,IF(Calc!$I$116&lt;='财富模型'!$E$11*12,'Calc'!$W$13,'Calc'!$Y$13)))),0))</x:f>
      </x:c>
      <x:c r="L116" t="str">
        <x:f>IF(Calc!$I$116&gt;'Calc'!$B$8,"",IF('Calc'!$E$13=1,'财富模型'!$E$9,'财富模型'!$M$5+IF(Calc!$I$116&lt;='财富模型'!$E$11*12,'Calc'!$W$13,'Calc'!$Y$13)-(IF('Calc'!$E$13=1,0,MIN(Calc!$K$115*(1+'财富模型'!$E$20/12)+'Calc'!$B$6,IF(Calc!$I$116&lt;='财富模型'!$E$11*12,'Calc'!$W$13,'Calc'!$Y$13))))))</x:f>
      </x:c>
      <x:c r="M116" t="str">
        <x:f>IF(Calc!$I$116&gt;'Calc'!$B$8,"",IF('Calc'!$E$13=1,0,MIN(Calc!$K$115*(1+'财富模型'!$E$20/12)+'Calc'!$B$6,IF(Calc!$I$116&lt;='财富模型'!$E$11*12,'Calc'!$W$13,'Calc'!$Y$13))))</x:f>
      </x:c>
      <x:c r="N116" t="str">
        <x:f>IF(Calc!$I$116&gt;'Calc'!$B$8,"",'Calc'!$B$5-'财富模型'!$E$5-(IF('Calc'!$E$13=1,'财富模型'!$E$9,'财富模型'!$M$5+IF(Calc!$I$116&lt;='财富模型'!$E$11*12,'Calc'!$W$13,'Calc'!$Y$13)-(IF('Calc'!$E$13=1,0,MIN(Calc!$K$115*(1+'财富模型'!$E$20/12)+'Calc'!$B$6,IF(Calc!$I$116&lt;='财富模型'!$E$11*12,'Calc'!$W$13,'Calc'!$Y$13)))))))</x:f>
      </x:c>
      <x:c r="O116" t="str">
        <x:f>IF(Calc!$I$116&gt;'Calc'!$B$8,"",IF('Calc'!$E$13=1,0,MAX(Calc!$O$115*(1+IF(Calc!$I$116&lt;='财富模型'!$E$11*12,'财富模型'!$E$10,'财富模型'!$E$12)/12)-IF('Calc'!$E$13=1,0,IF(Calc!$I$116&lt;='财富模型'!$E$11*12,'Calc'!$W$13,'Calc'!$Y$13)),0)))</x:f>
      </x:c>
      <x:c r="Q116" t="n">
        <x:v>95</x:v>
      </x:c>
      <x:c r="R116" t="str">
        <x:f>IF(Calc!$Q$116&gt;'Calc'!$B$8,"",MAX(Calc!$R$115*(1+'财富模型'!$E$6/12)+('Calc'!$B$5-'财富模型'!$E$5-(IF('Calc'!$E$14=1,'财富模型'!$E$9,'财富模型'!$M$6+IF(Calc!$Q$116&lt;='财富模型'!$E$11*12,'Calc'!$W$14,'Calc'!$Y$14)-(IF('Calc'!$E$14=1,0,MIN(Calc!$S$115*(1+'财富模型'!$E$20/12)+'Calc'!$B$6,IF(Calc!$Q$116&lt;='财富模型'!$E$11*12,'Calc'!$W$14,'Calc'!$Y$14))))))),0))</x:f>
      </x:c>
      <x:c r="S116" t="str">
        <x:f>IF(Calc!$Q$116&gt;'Calc'!$B$8,"",MAX(Calc!$S$115*(1+'财富模型'!$E$20/12)+'Calc'!$B$6-(IF('Calc'!$E$14=1,0,MIN(Calc!$S$115*(1+'财富模型'!$E$20/12)+'Calc'!$B$6,IF(Calc!$Q$116&lt;='财富模型'!$E$11*12,'Calc'!$W$14,'Calc'!$Y$14)))),0))</x:f>
      </x:c>
      <x:c r="T116" t="str">
        <x:f>IF(Calc!$Q$116&gt;'Calc'!$B$8,"",IF('Calc'!$E$14=1,'财富模型'!$E$9,'财富模型'!$M$6+IF(Calc!$Q$116&lt;='财富模型'!$E$11*12,'Calc'!$W$14,'Calc'!$Y$14)-(IF('Calc'!$E$14=1,0,MIN(Calc!$S$115*(1+'财富模型'!$E$20/12)+'Calc'!$B$6,IF(Calc!$Q$116&lt;='财富模型'!$E$11*12,'Calc'!$W$14,'Calc'!$Y$14))))))</x:f>
      </x:c>
      <x:c r="U116" t="str">
        <x:f>IF(Calc!$Q$116&gt;'Calc'!$B$8,"",IF('Calc'!$E$14=1,0,MIN(Calc!$S$115*(1+'财富模型'!$E$20/12)+'Calc'!$B$6,IF(Calc!$Q$116&lt;='财富模型'!$E$11*12,'Calc'!$W$14,'Calc'!$Y$14))))</x:f>
      </x:c>
      <x:c r="V116" t="str">
        <x:f>IF(Calc!$Q$116&gt;'Calc'!$B$8,"",'Calc'!$B$5-'财富模型'!$E$5-(IF('Calc'!$E$14=1,'财富模型'!$E$9,'财富模型'!$M$6+IF(Calc!$Q$116&lt;='财富模型'!$E$11*12,'Calc'!$W$14,'Calc'!$Y$14)-(IF('Calc'!$E$14=1,0,MIN(Calc!$S$115*(1+'财富模型'!$E$20/12)+'Calc'!$B$6,IF(Calc!$Q$116&lt;='财富模型'!$E$11*12,'Calc'!$W$14,'Calc'!$Y$14)))))))</x:f>
      </x:c>
      <x:c r="W116" t="str">
        <x:f>IF(Calc!$Q$116&gt;'Calc'!$B$8,"",IF('Calc'!$E$14=1,0,MAX(Calc!$W$115*(1+IF(Calc!$Q$116&lt;='财富模型'!$E$11*12,'财富模型'!$E$10,'财富模型'!$E$12)/12)-IF('Calc'!$E$14=1,0,IF(Calc!$Q$116&lt;='财富模型'!$E$11*12,'Calc'!$W$14,'Calc'!$Y$14)),0)))</x:f>
      </x:c>
      <x:c r="Y116" t="n">
        <x:v>95</x:v>
      </x:c>
      <x:c r="Z116" t="str">
        <x:f>IF(Calc!$Y$116&gt;'Calc'!$B$8,"",MAX(Calc!$Z$115*(1+'财富模型'!$E$6/12)+('Calc'!$B$5-'财富模型'!$E$5-(IF('Calc'!$E$15=1,'财富模型'!$E$9,'财富模型'!$M$7+IF(Calc!$Y$116&lt;='财富模型'!$E$11*12,'Calc'!$W$15,'Calc'!$Y$15)-(IF('Calc'!$E$15=1,0,MIN(Calc!$AA$115*(1+'财富模型'!$E$20/12)+'Calc'!$B$6,IF(Calc!$Y$116&lt;='财富模型'!$E$11*12,'Calc'!$W$15,'Calc'!$Y$15))))))),0))</x:f>
      </x:c>
      <x:c r="AA116" t="str">
        <x:f>IF(Calc!$Y$116&gt;'Calc'!$B$8,"",MAX(Calc!$AA$115*(1+'财富模型'!$E$20/12)+'Calc'!$B$6-(IF('Calc'!$E$15=1,0,MIN(Calc!$AA$115*(1+'财富模型'!$E$20/12)+'Calc'!$B$6,IF(Calc!$Y$116&lt;='财富模型'!$E$11*12,'Calc'!$W$15,'Calc'!$Y$15)))),0))</x:f>
      </x:c>
      <x:c r="AB116" t="str">
        <x:f>IF(Calc!$Y$116&gt;'Calc'!$B$8,"",IF('Calc'!$E$15=1,'财富模型'!$E$9,'财富模型'!$M$7+IF(Calc!$Y$116&lt;='财富模型'!$E$11*12,'Calc'!$W$15,'Calc'!$Y$15)-(IF('Calc'!$E$15=1,0,MIN(Calc!$AA$115*(1+'财富模型'!$E$20/12)+'Calc'!$B$6,IF(Calc!$Y$116&lt;='财富模型'!$E$11*12,'Calc'!$W$15,'Calc'!$Y$15))))))</x:f>
      </x:c>
      <x:c r="AC116" t="str">
        <x:f>IF(Calc!$Y$116&gt;'Calc'!$B$8,"",IF('Calc'!$E$15=1,0,MIN(Calc!$AA$115*(1+'财富模型'!$E$20/12)+'Calc'!$B$6,IF(Calc!$Y$116&lt;='财富模型'!$E$11*12,'Calc'!$W$15,'Calc'!$Y$15))))</x:f>
      </x:c>
      <x:c r="AD116" t="str">
        <x:f>IF(Calc!$Y$116&gt;'Calc'!$B$8,"",'Calc'!$B$5-'财富模型'!$E$5-(IF('Calc'!$E$15=1,'财富模型'!$E$9,'财富模型'!$M$7+IF(Calc!$Y$116&lt;='财富模型'!$E$11*12,'Calc'!$W$15,'Calc'!$Y$15)-(IF('Calc'!$E$15=1,0,MIN(Calc!$AA$115*(1+'财富模型'!$E$20/12)+'Calc'!$B$6,IF(Calc!$Y$116&lt;='财富模型'!$E$11*12,'Calc'!$W$15,'Calc'!$Y$15)))))))</x:f>
      </x:c>
      <x:c r="AE116" t="str">
        <x:f>IF(Calc!$Y$116&gt;'Calc'!$B$8,"",IF('Calc'!$E$15=1,0,MAX(Calc!$AE$115*(1+IF(Calc!$Y$116&lt;='财富模型'!$E$11*12,'财富模型'!$E$10,'财富模型'!$E$12)/12)-IF('Calc'!$E$15=1,0,IF(Calc!$Y$116&lt;='财富模型'!$E$11*12,'Calc'!$W$15,'Calc'!$Y$15)),0)))</x:f>
      </x:c>
      <x:c r="AG116" t="n">
        <x:v>95</x:v>
      </x:c>
      <x:c r="AH116" t="str">
        <x:f>IF(Calc!$AG$116&gt;'Calc'!$B$8,"",MAX(Calc!$AH$115*(1+'财富模型'!$E$6/12)+('Calc'!$B$5-'财富模型'!$E$5-(IF('Calc'!$E$16=1,'财富模型'!$E$9,'财富模型'!$M$8+IF(Calc!$AG$116&lt;='财富模型'!$E$11*12,'Calc'!$W$16,'Calc'!$Y$16)-(IF('Calc'!$E$16=1,0,MIN(Calc!$AI$115*(1+'财富模型'!$E$20/12)+'Calc'!$B$6,IF(Calc!$AG$116&lt;='财富模型'!$E$11*12,'Calc'!$W$16,'Calc'!$Y$16))))))),0))</x:f>
      </x:c>
      <x:c r="AI116" t="str">
        <x:f>IF(Calc!$AG$116&gt;'Calc'!$B$8,"",MAX(Calc!$AI$115*(1+'财富模型'!$E$20/12)+'Calc'!$B$6-(IF('Calc'!$E$16=1,0,MIN(Calc!$AI$115*(1+'财富模型'!$E$20/12)+'Calc'!$B$6,IF(Calc!$AG$116&lt;='财富模型'!$E$11*12,'Calc'!$W$16,'Calc'!$Y$16)))),0))</x:f>
      </x:c>
      <x:c r="AJ116" t="str">
        <x:f>IF(Calc!$AG$116&gt;'Calc'!$B$8,"",IF('Calc'!$E$16=1,'财富模型'!$E$9,'财富模型'!$M$8+IF(Calc!$AG$116&lt;='财富模型'!$E$11*12,'Calc'!$W$16,'Calc'!$Y$16)-(IF('Calc'!$E$16=1,0,MIN(Calc!$AI$115*(1+'财富模型'!$E$20/12)+'Calc'!$B$6,IF(Calc!$AG$116&lt;='财富模型'!$E$11*12,'Calc'!$W$16,'Calc'!$Y$16))))))</x:f>
      </x:c>
      <x:c r="AK116" t="str">
        <x:f>IF(Calc!$AG$116&gt;'Calc'!$B$8,"",IF('Calc'!$E$16=1,0,MIN(Calc!$AI$115*(1+'财富模型'!$E$20/12)+'Calc'!$B$6,IF(Calc!$AG$116&lt;='财富模型'!$E$11*12,'Calc'!$W$16,'Calc'!$Y$16))))</x:f>
      </x:c>
      <x:c r="AL116" t="str">
        <x:f>IF(Calc!$AG$116&gt;'Calc'!$B$8,"",'Calc'!$B$5-'财富模型'!$E$5-(IF('Calc'!$E$16=1,'财富模型'!$E$9,'财富模型'!$M$8+IF(Calc!$AG$116&lt;='财富模型'!$E$11*12,'Calc'!$W$16,'Calc'!$Y$16)-(IF('Calc'!$E$16=1,0,MIN(Calc!$AI$115*(1+'财富模型'!$E$20/12)+'Calc'!$B$6,IF(Calc!$AG$116&lt;='财富模型'!$E$11*12,'Calc'!$W$16,'Calc'!$Y$16)))))))</x:f>
      </x:c>
      <x:c r="AM116" t="str">
        <x:f>IF(Calc!$AG$116&gt;'Calc'!$B$8,"",IF('Calc'!$E$16=1,0,MAX(Calc!$AM$115*(1+IF(Calc!$AG$116&lt;='财富模型'!$E$11*12,'财富模型'!$E$10,'财富模型'!$E$12)/12)-IF('Calc'!$E$16=1,0,IF(Calc!$AG$116&lt;='财富模型'!$E$11*12,'Calc'!$W$16,'Calc'!$Y$16)),0)))</x:f>
      </x:c>
      <x:c r="AO116" t="n">
        <x:v>95</x:v>
      </x:c>
      <x:c r="AP116" t="str">
        <x:f>IF(Calc!$AO$116&gt;'Calc'!$B$8,"",MAX(Calc!$AP$115*(1+'财富模型'!$E$6/12)+('Calc'!$B$5-'财富模型'!$E$5-(IF('Calc'!$E$17=1,'财富模型'!$E$9,'财富模型'!$M$9+IF(Calc!$AO$116&lt;='财富模型'!$E$11*12,'Calc'!$W$17,'Calc'!$Y$17)-(IF('Calc'!$E$17=1,0,MIN(Calc!$AQ$115*(1+'财富模型'!$E$20/12)+'Calc'!$B$6,IF(Calc!$AO$116&lt;='财富模型'!$E$11*12,'Calc'!$W$17,'Calc'!$Y$17))))))),0))</x:f>
      </x:c>
      <x:c r="AQ116" t="str">
        <x:f>IF(Calc!$AO$116&gt;'Calc'!$B$8,"",MAX(Calc!$AQ$115*(1+'财富模型'!$E$20/12)+'Calc'!$B$6-(IF('Calc'!$E$17=1,0,MIN(Calc!$AQ$115*(1+'财富模型'!$E$20/12)+'Calc'!$B$6,IF(Calc!$AO$116&lt;='财富模型'!$E$11*12,'Calc'!$W$17,'Calc'!$Y$17)))),0))</x:f>
      </x:c>
      <x:c r="AR116" t="str">
        <x:f>IF(Calc!$AO$116&gt;'Calc'!$B$8,"",IF('Calc'!$E$17=1,'财富模型'!$E$9,'财富模型'!$M$9+IF(Calc!$AO$116&lt;='财富模型'!$E$11*12,'Calc'!$W$17,'Calc'!$Y$17)-(IF('Calc'!$E$17=1,0,MIN(Calc!$AQ$115*(1+'财富模型'!$E$20/12)+'Calc'!$B$6,IF(Calc!$AO$116&lt;='财富模型'!$E$11*12,'Calc'!$W$17,'Calc'!$Y$17))))))</x:f>
      </x:c>
      <x:c r="AS116" t="str">
        <x:f>IF(Calc!$AO$116&gt;'Calc'!$B$8,"",IF('Calc'!$E$17=1,0,MIN(Calc!$AQ$115*(1+'财富模型'!$E$20/12)+'Calc'!$B$6,IF(Calc!$AO$116&lt;='财富模型'!$E$11*12,'Calc'!$W$17,'Calc'!$Y$17))))</x:f>
      </x:c>
      <x:c r="AT116" t="str">
        <x:f>IF(Calc!$AO$116&gt;'Calc'!$B$8,"",'Calc'!$B$5-'财富模型'!$E$5-(IF('Calc'!$E$17=1,'财富模型'!$E$9,'财富模型'!$M$9+IF(Calc!$AO$116&lt;='财富模型'!$E$11*12,'Calc'!$W$17,'Calc'!$Y$17)-(IF('Calc'!$E$17=1,0,MIN(Calc!$AQ$115*(1+'财富模型'!$E$20/12)+'Calc'!$B$6,IF(Calc!$AO$116&lt;='财富模型'!$E$11*12,'Calc'!$W$17,'Calc'!$Y$17)))))))</x:f>
      </x:c>
      <x:c r="AU116" t="str">
        <x:f>IF(Calc!$AO$116&gt;'Calc'!$B$8,"",IF('Calc'!$E$17=1,0,MAX(Calc!$AU$115*(1+IF(Calc!$AO$116&lt;='财富模型'!$E$11*12,'财富模型'!$E$10,'财富模型'!$E$12)/12)-IF('Calc'!$E$17=1,0,IF(Calc!$AO$116&lt;='财富模型'!$E$11*12,'Calc'!$W$17,'Calc'!$Y$17)),0)))</x:f>
      </x:c>
    </x:row>
    <x:row r="117">
      <x:c r="A117" t="n">
        <x:v>96</x:v>
      </x:c>
      <x:c r="B117" t="str">
        <x:f>IF(Calc!$A$117&gt;'Calc'!$B$8,"",MAX(Calc!$B$116*(1+'财富模型'!$E$6/12)+('Calc'!$B$5-'财富模型'!$E$5-(IF('Calc'!$E$12=1,'财富模型'!$E$9,'财富模型'!$M$4+IF(Calc!$A$117&lt;='财富模型'!$E$11*12,'Calc'!$W$12,'Calc'!$Y$12)-(IF('Calc'!$E$12=1,0,MIN(Calc!$C$116*(1+'财富模型'!$E$20/12)+'Calc'!$B$6,IF(Calc!$A$117&lt;='财富模型'!$E$11*12,'Calc'!$W$12,'Calc'!$Y$12))))))),0))</x:f>
      </x:c>
      <x:c r="C117" t="str">
        <x:f>IF(Calc!$A$117&gt;'Calc'!$B$8,"",MAX(Calc!$C$116*(1+'财富模型'!$E$20/12)+'Calc'!$B$6-(IF('Calc'!$E$12=1,0,MIN(Calc!$C$116*(1+'财富模型'!$E$20/12)+'Calc'!$B$6,IF(Calc!$A$117&lt;='财富模型'!$E$11*12,'Calc'!$W$12,'Calc'!$Y$12)))),0))</x:f>
      </x:c>
      <x:c r="D117" t="str">
        <x:f>IF(Calc!$A$117&gt;'Calc'!$B$8,"",IF('Calc'!$E$12=1,'财富模型'!$E$9,'财富模型'!$M$4+IF(Calc!$A$117&lt;='财富模型'!$E$11*12,'Calc'!$W$12,'Calc'!$Y$12)-(IF('Calc'!$E$12=1,0,MIN(Calc!$C$116*(1+'财富模型'!$E$20/12)+'Calc'!$B$6,IF(Calc!$A$117&lt;='财富模型'!$E$11*12,'Calc'!$W$12,'Calc'!$Y$12))))))</x:f>
      </x:c>
      <x:c r="E117" t="str">
        <x:f>IF(Calc!$A$117&gt;'Calc'!$B$8,"",IF('Calc'!$E$12=1,0,MIN(Calc!$C$116*(1+'财富模型'!$E$20/12)+'Calc'!$B$6,IF(Calc!$A$117&lt;='财富模型'!$E$11*12,'Calc'!$W$12,'Calc'!$Y$12))))</x:f>
      </x:c>
      <x:c r="F117" t="str">
        <x:f>IF(Calc!$A$117&gt;'Calc'!$B$8,"",'Calc'!$B$5-'财富模型'!$E$5-(IF('Calc'!$E$12=1,'财富模型'!$E$9,'财富模型'!$M$4+IF(Calc!$A$117&lt;='财富模型'!$E$11*12,'Calc'!$W$12,'Calc'!$Y$12)-(IF('Calc'!$E$12=1,0,MIN(Calc!$C$116*(1+'财富模型'!$E$20/12)+'Calc'!$B$6,IF(Calc!$A$117&lt;='财富模型'!$E$11*12,'Calc'!$W$12,'Calc'!$Y$12)))))))</x:f>
      </x:c>
      <x:c r="G117" t="str">
        <x:f>IF(Calc!$A$117&gt;'Calc'!$B$8,"",IF('Calc'!$E$12=1,0,MAX(Calc!$G$116*(1+IF(Calc!$A$117&lt;='财富模型'!$E$11*12,'财富模型'!$E$10,'财富模型'!$E$12)/12)-IF('Calc'!$E$12=1,0,IF(Calc!$A$117&lt;='财富模型'!$E$11*12,'Calc'!$W$12,'Calc'!$Y$12)),0)))</x:f>
      </x:c>
      <x:c r="I117" t="n">
        <x:v>96</x:v>
      </x:c>
      <x:c r="J117" t="str">
        <x:f>IF(Calc!$I$117&gt;'Calc'!$B$8,"",MAX(Calc!$J$116*(1+'财富模型'!$E$6/12)+('Calc'!$B$5-'财富模型'!$E$5-(IF('Calc'!$E$13=1,'财富模型'!$E$9,'财富模型'!$M$5+IF(Calc!$I$117&lt;='财富模型'!$E$11*12,'Calc'!$W$13,'Calc'!$Y$13)-(IF('Calc'!$E$13=1,0,MIN(Calc!$K$116*(1+'财富模型'!$E$20/12)+'Calc'!$B$6,IF(Calc!$I$117&lt;='财富模型'!$E$11*12,'Calc'!$W$13,'Calc'!$Y$13))))))),0))</x:f>
      </x:c>
      <x:c r="K117" t="str">
        <x:f>IF(Calc!$I$117&gt;'Calc'!$B$8,"",MAX(Calc!$K$116*(1+'财富模型'!$E$20/12)+'Calc'!$B$6-(IF('Calc'!$E$13=1,0,MIN(Calc!$K$116*(1+'财富模型'!$E$20/12)+'Calc'!$B$6,IF(Calc!$I$117&lt;='财富模型'!$E$11*12,'Calc'!$W$13,'Calc'!$Y$13)))),0))</x:f>
      </x:c>
      <x:c r="L117" t="str">
        <x:f>IF(Calc!$I$117&gt;'Calc'!$B$8,"",IF('Calc'!$E$13=1,'财富模型'!$E$9,'财富模型'!$M$5+IF(Calc!$I$117&lt;='财富模型'!$E$11*12,'Calc'!$W$13,'Calc'!$Y$13)-(IF('Calc'!$E$13=1,0,MIN(Calc!$K$116*(1+'财富模型'!$E$20/12)+'Calc'!$B$6,IF(Calc!$I$117&lt;='财富模型'!$E$11*12,'Calc'!$W$13,'Calc'!$Y$13))))))</x:f>
      </x:c>
      <x:c r="M117" t="str">
        <x:f>IF(Calc!$I$117&gt;'Calc'!$B$8,"",IF('Calc'!$E$13=1,0,MIN(Calc!$K$116*(1+'财富模型'!$E$20/12)+'Calc'!$B$6,IF(Calc!$I$117&lt;='财富模型'!$E$11*12,'Calc'!$W$13,'Calc'!$Y$13))))</x:f>
      </x:c>
      <x:c r="N117" t="str">
        <x:f>IF(Calc!$I$117&gt;'Calc'!$B$8,"",'Calc'!$B$5-'财富模型'!$E$5-(IF('Calc'!$E$13=1,'财富模型'!$E$9,'财富模型'!$M$5+IF(Calc!$I$117&lt;='财富模型'!$E$11*12,'Calc'!$W$13,'Calc'!$Y$13)-(IF('Calc'!$E$13=1,0,MIN(Calc!$K$116*(1+'财富模型'!$E$20/12)+'Calc'!$B$6,IF(Calc!$I$117&lt;='财富模型'!$E$11*12,'Calc'!$W$13,'Calc'!$Y$13)))))))</x:f>
      </x:c>
      <x:c r="O117" t="str">
        <x:f>IF(Calc!$I$117&gt;'Calc'!$B$8,"",IF('Calc'!$E$13=1,0,MAX(Calc!$O$116*(1+IF(Calc!$I$117&lt;='财富模型'!$E$11*12,'财富模型'!$E$10,'财富模型'!$E$12)/12)-IF('Calc'!$E$13=1,0,IF(Calc!$I$117&lt;='财富模型'!$E$11*12,'Calc'!$W$13,'Calc'!$Y$13)),0)))</x:f>
      </x:c>
      <x:c r="Q117" t="n">
        <x:v>96</x:v>
      </x:c>
      <x:c r="R117" t="str">
        <x:f>IF(Calc!$Q$117&gt;'Calc'!$B$8,"",MAX(Calc!$R$116*(1+'财富模型'!$E$6/12)+('Calc'!$B$5-'财富模型'!$E$5-(IF('Calc'!$E$14=1,'财富模型'!$E$9,'财富模型'!$M$6+IF(Calc!$Q$117&lt;='财富模型'!$E$11*12,'Calc'!$W$14,'Calc'!$Y$14)-(IF('Calc'!$E$14=1,0,MIN(Calc!$S$116*(1+'财富模型'!$E$20/12)+'Calc'!$B$6,IF(Calc!$Q$117&lt;='财富模型'!$E$11*12,'Calc'!$W$14,'Calc'!$Y$14))))))),0))</x:f>
      </x:c>
      <x:c r="S117" t="str">
        <x:f>IF(Calc!$Q$117&gt;'Calc'!$B$8,"",MAX(Calc!$S$116*(1+'财富模型'!$E$20/12)+'Calc'!$B$6-(IF('Calc'!$E$14=1,0,MIN(Calc!$S$116*(1+'财富模型'!$E$20/12)+'Calc'!$B$6,IF(Calc!$Q$117&lt;='财富模型'!$E$11*12,'Calc'!$W$14,'Calc'!$Y$14)))),0))</x:f>
      </x:c>
      <x:c r="T117" t="str">
        <x:f>IF(Calc!$Q$117&gt;'Calc'!$B$8,"",IF('Calc'!$E$14=1,'财富模型'!$E$9,'财富模型'!$M$6+IF(Calc!$Q$117&lt;='财富模型'!$E$11*12,'Calc'!$W$14,'Calc'!$Y$14)-(IF('Calc'!$E$14=1,0,MIN(Calc!$S$116*(1+'财富模型'!$E$20/12)+'Calc'!$B$6,IF(Calc!$Q$117&lt;='财富模型'!$E$11*12,'Calc'!$W$14,'Calc'!$Y$14))))))</x:f>
      </x:c>
      <x:c r="U117" t="str">
        <x:f>IF(Calc!$Q$117&gt;'Calc'!$B$8,"",IF('Calc'!$E$14=1,0,MIN(Calc!$S$116*(1+'财富模型'!$E$20/12)+'Calc'!$B$6,IF(Calc!$Q$117&lt;='财富模型'!$E$11*12,'Calc'!$W$14,'Calc'!$Y$14))))</x:f>
      </x:c>
      <x:c r="V117" t="str">
        <x:f>IF(Calc!$Q$117&gt;'Calc'!$B$8,"",'Calc'!$B$5-'财富模型'!$E$5-(IF('Calc'!$E$14=1,'财富模型'!$E$9,'财富模型'!$M$6+IF(Calc!$Q$117&lt;='财富模型'!$E$11*12,'Calc'!$W$14,'Calc'!$Y$14)-(IF('Calc'!$E$14=1,0,MIN(Calc!$S$116*(1+'财富模型'!$E$20/12)+'Calc'!$B$6,IF(Calc!$Q$117&lt;='财富模型'!$E$11*12,'Calc'!$W$14,'Calc'!$Y$14)))))))</x:f>
      </x:c>
      <x:c r="W117" t="str">
        <x:f>IF(Calc!$Q$117&gt;'Calc'!$B$8,"",IF('Calc'!$E$14=1,0,MAX(Calc!$W$116*(1+IF(Calc!$Q$117&lt;='财富模型'!$E$11*12,'财富模型'!$E$10,'财富模型'!$E$12)/12)-IF('Calc'!$E$14=1,0,IF(Calc!$Q$117&lt;='财富模型'!$E$11*12,'Calc'!$W$14,'Calc'!$Y$14)),0)))</x:f>
      </x:c>
      <x:c r="Y117" t="n">
        <x:v>96</x:v>
      </x:c>
      <x:c r="Z117" t="str">
        <x:f>IF(Calc!$Y$117&gt;'Calc'!$B$8,"",MAX(Calc!$Z$116*(1+'财富模型'!$E$6/12)+('Calc'!$B$5-'财富模型'!$E$5-(IF('Calc'!$E$15=1,'财富模型'!$E$9,'财富模型'!$M$7+IF(Calc!$Y$117&lt;='财富模型'!$E$11*12,'Calc'!$W$15,'Calc'!$Y$15)-(IF('Calc'!$E$15=1,0,MIN(Calc!$AA$116*(1+'财富模型'!$E$20/12)+'Calc'!$B$6,IF(Calc!$Y$117&lt;='财富模型'!$E$11*12,'Calc'!$W$15,'Calc'!$Y$15))))))),0))</x:f>
      </x:c>
      <x:c r="AA117" t="str">
        <x:f>IF(Calc!$Y$117&gt;'Calc'!$B$8,"",MAX(Calc!$AA$116*(1+'财富模型'!$E$20/12)+'Calc'!$B$6-(IF('Calc'!$E$15=1,0,MIN(Calc!$AA$116*(1+'财富模型'!$E$20/12)+'Calc'!$B$6,IF(Calc!$Y$117&lt;='财富模型'!$E$11*12,'Calc'!$W$15,'Calc'!$Y$15)))),0))</x:f>
      </x:c>
      <x:c r="AB117" t="str">
        <x:f>IF(Calc!$Y$117&gt;'Calc'!$B$8,"",IF('Calc'!$E$15=1,'财富模型'!$E$9,'财富模型'!$M$7+IF(Calc!$Y$117&lt;='财富模型'!$E$11*12,'Calc'!$W$15,'Calc'!$Y$15)-(IF('Calc'!$E$15=1,0,MIN(Calc!$AA$116*(1+'财富模型'!$E$20/12)+'Calc'!$B$6,IF(Calc!$Y$117&lt;='财富模型'!$E$11*12,'Calc'!$W$15,'Calc'!$Y$15))))))</x:f>
      </x:c>
      <x:c r="AC117" t="str">
        <x:f>IF(Calc!$Y$117&gt;'Calc'!$B$8,"",IF('Calc'!$E$15=1,0,MIN(Calc!$AA$116*(1+'财富模型'!$E$20/12)+'Calc'!$B$6,IF(Calc!$Y$117&lt;='财富模型'!$E$11*12,'Calc'!$W$15,'Calc'!$Y$15))))</x:f>
      </x:c>
      <x:c r="AD117" t="str">
        <x:f>IF(Calc!$Y$117&gt;'Calc'!$B$8,"",'Calc'!$B$5-'财富模型'!$E$5-(IF('Calc'!$E$15=1,'财富模型'!$E$9,'财富模型'!$M$7+IF(Calc!$Y$117&lt;='财富模型'!$E$11*12,'Calc'!$W$15,'Calc'!$Y$15)-(IF('Calc'!$E$15=1,0,MIN(Calc!$AA$116*(1+'财富模型'!$E$20/12)+'Calc'!$B$6,IF(Calc!$Y$117&lt;='财富模型'!$E$11*12,'Calc'!$W$15,'Calc'!$Y$15)))))))</x:f>
      </x:c>
      <x:c r="AE117" t="str">
        <x:f>IF(Calc!$Y$117&gt;'Calc'!$B$8,"",IF('Calc'!$E$15=1,0,MAX(Calc!$AE$116*(1+IF(Calc!$Y$117&lt;='财富模型'!$E$11*12,'财富模型'!$E$10,'财富模型'!$E$12)/12)-IF('Calc'!$E$15=1,0,IF(Calc!$Y$117&lt;='财富模型'!$E$11*12,'Calc'!$W$15,'Calc'!$Y$15)),0)))</x:f>
      </x:c>
      <x:c r="AG117" t="n">
        <x:v>96</x:v>
      </x:c>
      <x:c r="AH117" t="str">
        <x:f>IF(Calc!$AG$117&gt;'Calc'!$B$8,"",MAX(Calc!$AH$116*(1+'财富模型'!$E$6/12)+('Calc'!$B$5-'财富模型'!$E$5-(IF('Calc'!$E$16=1,'财富模型'!$E$9,'财富模型'!$M$8+IF(Calc!$AG$117&lt;='财富模型'!$E$11*12,'Calc'!$W$16,'Calc'!$Y$16)-(IF('Calc'!$E$16=1,0,MIN(Calc!$AI$116*(1+'财富模型'!$E$20/12)+'Calc'!$B$6,IF(Calc!$AG$117&lt;='财富模型'!$E$11*12,'Calc'!$W$16,'Calc'!$Y$16))))))),0))</x:f>
      </x:c>
      <x:c r="AI117" t="str">
        <x:f>IF(Calc!$AG$117&gt;'Calc'!$B$8,"",MAX(Calc!$AI$116*(1+'财富模型'!$E$20/12)+'Calc'!$B$6-(IF('Calc'!$E$16=1,0,MIN(Calc!$AI$116*(1+'财富模型'!$E$20/12)+'Calc'!$B$6,IF(Calc!$AG$117&lt;='财富模型'!$E$11*12,'Calc'!$W$16,'Calc'!$Y$16)))),0))</x:f>
      </x:c>
      <x:c r="AJ117" t="str">
        <x:f>IF(Calc!$AG$117&gt;'Calc'!$B$8,"",IF('Calc'!$E$16=1,'财富模型'!$E$9,'财富模型'!$M$8+IF(Calc!$AG$117&lt;='财富模型'!$E$11*12,'Calc'!$W$16,'Calc'!$Y$16)-(IF('Calc'!$E$16=1,0,MIN(Calc!$AI$116*(1+'财富模型'!$E$20/12)+'Calc'!$B$6,IF(Calc!$AG$117&lt;='财富模型'!$E$11*12,'Calc'!$W$16,'Calc'!$Y$16))))))</x:f>
      </x:c>
      <x:c r="AK117" t="str">
        <x:f>IF(Calc!$AG$117&gt;'Calc'!$B$8,"",IF('Calc'!$E$16=1,0,MIN(Calc!$AI$116*(1+'财富模型'!$E$20/12)+'Calc'!$B$6,IF(Calc!$AG$117&lt;='财富模型'!$E$11*12,'Calc'!$W$16,'Calc'!$Y$16))))</x:f>
      </x:c>
      <x:c r="AL117" t="str">
        <x:f>IF(Calc!$AG$117&gt;'Calc'!$B$8,"",'Calc'!$B$5-'财富模型'!$E$5-(IF('Calc'!$E$16=1,'财富模型'!$E$9,'财富模型'!$M$8+IF(Calc!$AG$117&lt;='财富模型'!$E$11*12,'Calc'!$W$16,'Calc'!$Y$16)-(IF('Calc'!$E$16=1,0,MIN(Calc!$AI$116*(1+'财富模型'!$E$20/12)+'Calc'!$B$6,IF(Calc!$AG$117&lt;='财富模型'!$E$11*12,'Calc'!$W$16,'Calc'!$Y$16)))))))</x:f>
      </x:c>
      <x:c r="AM117" t="str">
        <x:f>IF(Calc!$AG$117&gt;'Calc'!$B$8,"",IF('Calc'!$E$16=1,0,MAX(Calc!$AM$116*(1+IF(Calc!$AG$117&lt;='财富模型'!$E$11*12,'财富模型'!$E$10,'财富模型'!$E$12)/12)-IF('Calc'!$E$16=1,0,IF(Calc!$AG$117&lt;='财富模型'!$E$11*12,'Calc'!$W$16,'Calc'!$Y$16)),0)))</x:f>
      </x:c>
      <x:c r="AO117" t="n">
        <x:v>96</x:v>
      </x:c>
      <x:c r="AP117" t="str">
        <x:f>IF(Calc!$AO$117&gt;'Calc'!$B$8,"",MAX(Calc!$AP$116*(1+'财富模型'!$E$6/12)+('Calc'!$B$5-'财富模型'!$E$5-(IF('Calc'!$E$17=1,'财富模型'!$E$9,'财富模型'!$M$9+IF(Calc!$AO$117&lt;='财富模型'!$E$11*12,'Calc'!$W$17,'Calc'!$Y$17)-(IF('Calc'!$E$17=1,0,MIN(Calc!$AQ$116*(1+'财富模型'!$E$20/12)+'Calc'!$B$6,IF(Calc!$AO$117&lt;='财富模型'!$E$11*12,'Calc'!$W$17,'Calc'!$Y$17))))))),0))</x:f>
      </x:c>
      <x:c r="AQ117" t="str">
        <x:f>IF(Calc!$AO$117&gt;'Calc'!$B$8,"",MAX(Calc!$AQ$116*(1+'财富模型'!$E$20/12)+'Calc'!$B$6-(IF('Calc'!$E$17=1,0,MIN(Calc!$AQ$116*(1+'财富模型'!$E$20/12)+'Calc'!$B$6,IF(Calc!$AO$117&lt;='财富模型'!$E$11*12,'Calc'!$W$17,'Calc'!$Y$17)))),0))</x:f>
      </x:c>
      <x:c r="AR117" t="str">
        <x:f>IF(Calc!$AO$117&gt;'Calc'!$B$8,"",IF('Calc'!$E$17=1,'财富模型'!$E$9,'财富模型'!$M$9+IF(Calc!$AO$117&lt;='财富模型'!$E$11*12,'Calc'!$W$17,'Calc'!$Y$17)-(IF('Calc'!$E$17=1,0,MIN(Calc!$AQ$116*(1+'财富模型'!$E$20/12)+'Calc'!$B$6,IF(Calc!$AO$117&lt;='财富模型'!$E$11*12,'Calc'!$W$17,'Calc'!$Y$17))))))</x:f>
      </x:c>
      <x:c r="AS117" t="str">
        <x:f>IF(Calc!$AO$117&gt;'Calc'!$B$8,"",IF('Calc'!$E$17=1,0,MIN(Calc!$AQ$116*(1+'财富模型'!$E$20/12)+'Calc'!$B$6,IF(Calc!$AO$117&lt;='财富模型'!$E$11*12,'Calc'!$W$17,'Calc'!$Y$17))))</x:f>
      </x:c>
      <x:c r="AT117" t="str">
        <x:f>IF(Calc!$AO$117&gt;'Calc'!$B$8,"",'Calc'!$B$5-'财富模型'!$E$5-(IF('Calc'!$E$17=1,'财富模型'!$E$9,'财富模型'!$M$9+IF(Calc!$AO$117&lt;='财富模型'!$E$11*12,'Calc'!$W$17,'Calc'!$Y$17)-(IF('Calc'!$E$17=1,0,MIN(Calc!$AQ$116*(1+'财富模型'!$E$20/12)+'Calc'!$B$6,IF(Calc!$AO$117&lt;='财富模型'!$E$11*12,'Calc'!$W$17,'Calc'!$Y$17)))))))</x:f>
      </x:c>
      <x:c r="AU117" t="str">
        <x:f>IF(Calc!$AO$117&gt;'Calc'!$B$8,"",IF('Calc'!$E$17=1,0,MAX(Calc!$AU$116*(1+IF(Calc!$AO$117&lt;='财富模型'!$E$11*12,'财富模型'!$E$10,'财富模型'!$E$12)/12)-IF('Calc'!$E$17=1,0,IF(Calc!$AO$117&lt;='财富模型'!$E$11*12,'Calc'!$W$17,'Calc'!$Y$17)),0)))</x:f>
      </x:c>
    </x:row>
    <x:row r="118">
      <x:c r="A118" t="n">
        <x:v>97</x:v>
      </x:c>
      <x:c r="B118" t="str">
        <x:f>IF(Calc!$A$118&gt;'Calc'!$B$8,"",MAX(Calc!$B$117*(1+'财富模型'!$E$6/12)+('Calc'!$B$5-'财富模型'!$E$5-(IF('Calc'!$E$12=1,'财富模型'!$E$9,'财富模型'!$M$4+IF(Calc!$A$118&lt;='财富模型'!$E$11*12,'Calc'!$W$12,'Calc'!$Y$12)-(IF('Calc'!$E$12=1,0,MIN(Calc!$C$117*(1+'财富模型'!$E$20/12)+'Calc'!$B$6,IF(Calc!$A$118&lt;='财富模型'!$E$11*12,'Calc'!$W$12,'Calc'!$Y$12))))))),0))</x:f>
      </x:c>
      <x:c r="C118" t="str">
        <x:f>IF(Calc!$A$118&gt;'Calc'!$B$8,"",MAX(Calc!$C$117*(1+'财富模型'!$E$20/12)+'Calc'!$B$6-(IF('Calc'!$E$12=1,0,MIN(Calc!$C$117*(1+'财富模型'!$E$20/12)+'Calc'!$B$6,IF(Calc!$A$118&lt;='财富模型'!$E$11*12,'Calc'!$W$12,'Calc'!$Y$12)))),0))</x:f>
      </x:c>
      <x:c r="D118" t="str">
        <x:f>IF(Calc!$A$118&gt;'Calc'!$B$8,"",IF('Calc'!$E$12=1,'财富模型'!$E$9,'财富模型'!$M$4+IF(Calc!$A$118&lt;='财富模型'!$E$11*12,'Calc'!$W$12,'Calc'!$Y$12)-(IF('Calc'!$E$12=1,0,MIN(Calc!$C$117*(1+'财富模型'!$E$20/12)+'Calc'!$B$6,IF(Calc!$A$118&lt;='财富模型'!$E$11*12,'Calc'!$W$12,'Calc'!$Y$12))))))</x:f>
      </x:c>
      <x:c r="E118" t="str">
        <x:f>IF(Calc!$A$118&gt;'Calc'!$B$8,"",IF('Calc'!$E$12=1,0,MIN(Calc!$C$117*(1+'财富模型'!$E$20/12)+'Calc'!$B$6,IF(Calc!$A$118&lt;='财富模型'!$E$11*12,'Calc'!$W$12,'Calc'!$Y$12))))</x:f>
      </x:c>
      <x:c r="F118" t="str">
        <x:f>IF(Calc!$A$118&gt;'Calc'!$B$8,"",'Calc'!$B$5-'财富模型'!$E$5-(IF('Calc'!$E$12=1,'财富模型'!$E$9,'财富模型'!$M$4+IF(Calc!$A$118&lt;='财富模型'!$E$11*12,'Calc'!$W$12,'Calc'!$Y$12)-(IF('Calc'!$E$12=1,0,MIN(Calc!$C$117*(1+'财富模型'!$E$20/12)+'Calc'!$B$6,IF(Calc!$A$118&lt;='财富模型'!$E$11*12,'Calc'!$W$12,'Calc'!$Y$12)))))))</x:f>
      </x:c>
      <x:c r="G118" t="str">
        <x:f>IF(Calc!$A$118&gt;'Calc'!$B$8,"",IF('Calc'!$E$12=1,0,MAX(Calc!$G$117*(1+IF(Calc!$A$118&lt;='财富模型'!$E$11*12,'财富模型'!$E$10,'财富模型'!$E$12)/12)-IF('Calc'!$E$12=1,0,IF(Calc!$A$118&lt;='财富模型'!$E$11*12,'Calc'!$W$12,'Calc'!$Y$12)),0)))</x:f>
      </x:c>
      <x:c r="I118" t="n">
        <x:v>97</x:v>
      </x:c>
      <x:c r="J118" t="str">
        <x:f>IF(Calc!$I$118&gt;'Calc'!$B$8,"",MAX(Calc!$J$117*(1+'财富模型'!$E$6/12)+('Calc'!$B$5-'财富模型'!$E$5-(IF('Calc'!$E$13=1,'财富模型'!$E$9,'财富模型'!$M$5+IF(Calc!$I$118&lt;='财富模型'!$E$11*12,'Calc'!$W$13,'Calc'!$Y$13)-(IF('Calc'!$E$13=1,0,MIN(Calc!$K$117*(1+'财富模型'!$E$20/12)+'Calc'!$B$6,IF(Calc!$I$118&lt;='财富模型'!$E$11*12,'Calc'!$W$13,'Calc'!$Y$13))))))),0))</x:f>
      </x:c>
      <x:c r="K118" t="str">
        <x:f>IF(Calc!$I$118&gt;'Calc'!$B$8,"",MAX(Calc!$K$117*(1+'财富模型'!$E$20/12)+'Calc'!$B$6-(IF('Calc'!$E$13=1,0,MIN(Calc!$K$117*(1+'财富模型'!$E$20/12)+'Calc'!$B$6,IF(Calc!$I$118&lt;='财富模型'!$E$11*12,'Calc'!$W$13,'Calc'!$Y$13)))),0))</x:f>
      </x:c>
      <x:c r="L118" t="str">
        <x:f>IF(Calc!$I$118&gt;'Calc'!$B$8,"",IF('Calc'!$E$13=1,'财富模型'!$E$9,'财富模型'!$M$5+IF(Calc!$I$118&lt;='财富模型'!$E$11*12,'Calc'!$W$13,'Calc'!$Y$13)-(IF('Calc'!$E$13=1,0,MIN(Calc!$K$117*(1+'财富模型'!$E$20/12)+'Calc'!$B$6,IF(Calc!$I$118&lt;='财富模型'!$E$11*12,'Calc'!$W$13,'Calc'!$Y$13))))))</x:f>
      </x:c>
      <x:c r="M118" t="str">
        <x:f>IF(Calc!$I$118&gt;'Calc'!$B$8,"",IF('Calc'!$E$13=1,0,MIN(Calc!$K$117*(1+'财富模型'!$E$20/12)+'Calc'!$B$6,IF(Calc!$I$118&lt;='财富模型'!$E$11*12,'Calc'!$W$13,'Calc'!$Y$13))))</x:f>
      </x:c>
      <x:c r="N118" t="str">
        <x:f>IF(Calc!$I$118&gt;'Calc'!$B$8,"",'Calc'!$B$5-'财富模型'!$E$5-(IF('Calc'!$E$13=1,'财富模型'!$E$9,'财富模型'!$M$5+IF(Calc!$I$118&lt;='财富模型'!$E$11*12,'Calc'!$W$13,'Calc'!$Y$13)-(IF('Calc'!$E$13=1,0,MIN(Calc!$K$117*(1+'财富模型'!$E$20/12)+'Calc'!$B$6,IF(Calc!$I$118&lt;='财富模型'!$E$11*12,'Calc'!$W$13,'Calc'!$Y$13)))))))</x:f>
      </x:c>
      <x:c r="O118" t="str">
        <x:f>IF(Calc!$I$118&gt;'Calc'!$B$8,"",IF('Calc'!$E$13=1,0,MAX(Calc!$O$117*(1+IF(Calc!$I$118&lt;='财富模型'!$E$11*12,'财富模型'!$E$10,'财富模型'!$E$12)/12)-IF('Calc'!$E$13=1,0,IF(Calc!$I$118&lt;='财富模型'!$E$11*12,'Calc'!$W$13,'Calc'!$Y$13)),0)))</x:f>
      </x:c>
      <x:c r="Q118" t="n">
        <x:v>97</x:v>
      </x:c>
      <x:c r="R118" t="str">
        <x:f>IF(Calc!$Q$118&gt;'Calc'!$B$8,"",MAX(Calc!$R$117*(1+'财富模型'!$E$6/12)+('Calc'!$B$5-'财富模型'!$E$5-(IF('Calc'!$E$14=1,'财富模型'!$E$9,'财富模型'!$M$6+IF(Calc!$Q$118&lt;='财富模型'!$E$11*12,'Calc'!$W$14,'Calc'!$Y$14)-(IF('Calc'!$E$14=1,0,MIN(Calc!$S$117*(1+'财富模型'!$E$20/12)+'Calc'!$B$6,IF(Calc!$Q$118&lt;='财富模型'!$E$11*12,'Calc'!$W$14,'Calc'!$Y$14))))))),0))</x:f>
      </x:c>
      <x:c r="S118" t="str">
        <x:f>IF(Calc!$Q$118&gt;'Calc'!$B$8,"",MAX(Calc!$S$117*(1+'财富模型'!$E$20/12)+'Calc'!$B$6-(IF('Calc'!$E$14=1,0,MIN(Calc!$S$117*(1+'财富模型'!$E$20/12)+'Calc'!$B$6,IF(Calc!$Q$118&lt;='财富模型'!$E$11*12,'Calc'!$W$14,'Calc'!$Y$14)))),0))</x:f>
      </x:c>
      <x:c r="T118" t="str">
        <x:f>IF(Calc!$Q$118&gt;'Calc'!$B$8,"",IF('Calc'!$E$14=1,'财富模型'!$E$9,'财富模型'!$M$6+IF(Calc!$Q$118&lt;='财富模型'!$E$11*12,'Calc'!$W$14,'Calc'!$Y$14)-(IF('Calc'!$E$14=1,0,MIN(Calc!$S$117*(1+'财富模型'!$E$20/12)+'Calc'!$B$6,IF(Calc!$Q$118&lt;='财富模型'!$E$11*12,'Calc'!$W$14,'Calc'!$Y$14))))))</x:f>
      </x:c>
      <x:c r="U118" t="str">
        <x:f>IF(Calc!$Q$118&gt;'Calc'!$B$8,"",IF('Calc'!$E$14=1,0,MIN(Calc!$S$117*(1+'财富模型'!$E$20/12)+'Calc'!$B$6,IF(Calc!$Q$118&lt;='财富模型'!$E$11*12,'Calc'!$W$14,'Calc'!$Y$14))))</x:f>
      </x:c>
      <x:c r="V118" t="str">
        <x:f>IF(Calc!$Q$118&gt;'Calc'!$B$8,"",'Calc'!$B$5-'财富模型'!$E$5-(IF('Calc'!$E$14=1,'财富模型'!$E$9,'财富模型'!$M$6+IF(Calc!$Q$118&lt;='财富模型'!$E$11*12,'Calc'!$W$14,'Calc'!$Y$14)-(IF('Calc'!$E$14=1,0,MIN(Calc!$S$117*(1+'财富模型'!$E$20/12)+'Calc'!$B$6,IF(Calc!$Q$118&lt;='财富模型'!$E$11*12,'Calc'!$W$14,'Calc'!$Y$14)))))))</x:f>
      </x:c>
      <x:c r="W118" t="str">
        <x:f>IF(Calc!$Q$118&gt;'Calc'!$B$8,"",IF('Calc'!$E$14=1,0,MAX(Calc!$W$117*(1+IF(Calc!$Q$118&lt;='财富模型'!$E$11*12,'财富模型'!$E$10,'财富模型'!$E$12)/12)-IF('Calc'!$E$14=1,0,IF(Calc!$Q$118&lt;='财富模型'!$E$11*12,'Calc'!$W$14,'Calc'!$Y$14)),0)))</x:f>
      </x:c>
      <x:c r="Y118" t="n">
        <x:v>97</x:v>
      </x:c>
      <x:c r="Z118" t="str">
        <x:f>IF(Calc!$Y$118&gt;'Calc'!$B$8,"",MAX(Calc!$Z$117*(1+'财富模型'!$E$6/12)+('Calc'!$B$5-'财富模型'!$E$5-(IF('Calc'!$E$15=1,'财富模型'!$E$9,'财富模型'!$M$7+IF(Calc!$Y$118&lt;='财富模型'!$E$11*12,'Calc'!$W$15,'Calc'!$Y$15)-(IF('Calc'!$E$15=1,0,MIN(Calc!$AA$117*(1+'财富模型'!$E$20/12)+'Calc'!$B$6,IF(Calc!$Y$118&lt;='财富模型'!$E$11*12,'Calc'!$W$15,'Calc'!$Y$15))))))),0))</x:f>
      </x:c>
      <x:c r="AA118" t="str">
        <x:f>IF(Calc!$Y$118&gt;'Calc'!$B$8,"",MAX(Calc!$AA$117*(1+'财富模型'!$E$20/12)+'Calc'!$B$6-(IF('Calc'!$E$15=1,0,MIN(Calc!$AA$117*(1+'财富模型'!$E$20/12)+'Calc'!$B$6,IF(Calc!$Y$118&lt;='财富模型'!$E$11*12,'Calc'!$W$15,'Calc'!$Y$15)))),0))</x:f>
      </x:c>
      <x:c r="AB118" t="str">
        <x:f>IF(Calc!$Y$118&gt;'Calc'!$B$8,"",IF('Calc'!$E$15=1,'财富模型'!$E$9,'财富模型'!$M$7+IF(Calc!$Y$118&lt;='财富模型'!$E$11*12,'Calc'!$W$15,'Calc'!$Y$15)-(IF('Calc'!$E$15=1,0,MIN(Calc!$AA$117*(1+'财富模型'!$E$20/12)+'Calc'!$B$6,IF(Calc!$Y$118&lt;='财富模型'!$E$11*12,'Calc'!$W$15,'Calc'!$Y$15))))))</x:f>
      </x:c>
      <x:c r="AC118" t="str">
        <x:f>IF(Calc!$Y$118&gt;'Calc'!$B$8,"",IF('Calc'!$E$15=1,0,MIN(Calc!$AA$117*(1+'财富模型'!$E$20/12)+'Calc'!$B$6,IF(Calc!$Y$118&lt;='财富模型'!$E$11*12,'Calc'!$W$15,'Calc'!$Y$15))))</x:f>
      </x:c>
      <x:c r="AD118" t="str">
        <x:f>IF(Calc!$Y$118&gt;'Calc'!$B$8,"",'Calc'!$B$5-'财富模型'!$E$5-(IF('Calc'!$E$15=1,'财富模型'!$E$9,'财富模型'!$M$7+IF(Calc!$Y$118&lt;='财富模型'!$E$11*12,'Calc'!$W$15,'Calc'!$Y$15)-(IF('Calc'!$E$15=1,0,MIN(Calc!$AA$117*(1+'财富模型'!$E$20/12)+'Calc'!$B$6,IF(Calc!$Y$118&lt;='财富模型'!$E$11*12,'Calc'!$W$15,'Calc'!$Y$15)))))))</x:f>
      </x:c>
      <x:c r="AE118" t="str">
        <x:f>IF(Calc!$Y$118&gt;'Calc'!$B$8,"",IF('Calc'!$E$15=1,0,MAX(Calc!$AE$117*(1+IF(Calc!$Y$118&lt;='财富模型'!$E$11*12,'财富模型'!$E$10,'财富模型'!$E$12)/12)-IF('Calc'!$E$15=1,0,IF(Calc!$Y$118&lt;='财富模型'!$E$11*12,'Calc'!$W$15,'Calc'!$Y$15)),0)))</x:f>
      </x:c>
      <x:c r="AG118" t="n">
        <x:v>97</x:v>
      </x:c>
      <x:c r="AH118" t="str">
        <x:f>IF(Calc!$AG$118&gt;'Calc'!$B$8,"",MAX(Calc!$AH$117*(1+'财富模型'!$E$6/12)+('Calc'!$B$5-'财富模型'!$E$5-(IF('Calc'!$E$16=1,'财富模型'!$E$9,'财富模型'!$M$8+IF(Calc!$AG$118&lt;='财富模型'!$E$11*12,'Calc'!$W$16,'Calc'!$Y$16)-(IF('Calc'!$E$16=1,0,MIN(Calc!$AI$117*(1+'财富模型'!$E$20/12)+'Calc'!$B$6,IF(Calc!$AG$118&lt;='财富模型'!$E$11*12,'Calc'!$W$16,'Calc'!$Y$16))))))),0))</x:f>
      </x:c>
      <x:c r="AI118" t="str">
        <x:f>IF(Calc!$AG$118&gt;'Calc'!$B$8,"",MAX(Calc!$AI$117*(1+'财富模型'!$E$20/12)+'Calc'!$B$6-(IF('Calc'!$E$16=1,0,MIN(Calc!$AI$117*(1+'财富模型'!$E$20/12)+'Calc'!$B$6,IF(Calc!$AG$118&lt;='财富模型'!$E$11*12,'Calc'!$W$16,'Calc'!$Y$16)))),0))</x:f>
      </x:c>
      <x:c r="AJ118" t="str">
        <x:f>IF(Calc!$AG$118&gt;'Calc'!$B$8,"",IF('Calc'!$E$16=1,'财富模型'!$E$9,'财富模型'!$M$8+IF(Calc!$AG$118&lt;='财富模型'!$E$11*12,'Calc'!$W$16,'Calc'!$Y$16)-(IF('Calc'!$E$16=1,0,MIN(Calc!$AI$117*(1+'财富模型'!$E$20/12)+'Calc'!$B$6,IF(Calc!$AG$118&lt;='财富模型'!$E$11*12,'Calc'!$W$16,'Calc'!$Y$16))))))</x:f>
      </x:c>
      <x:c r="AK118" t="str">
        <x:f>IF(Calc!$AG$118&gt;'Calc'!$B$8,"",IF('Calc'!$E$16=1,0,MIN(Calc!$AI$117*(1+'财富模型'!$E$20/12)+'Calc'!$B$6,IF(Calc!$AG$118&lt;='财富模型'!$E$11*12,'Calc'!$W$16,'Calc'!$Y$16))))</x:f>
      </x:c>
      <x:c r="AL118" t="str">
        <x:f>IF(Calc!$AG$118&gt;'Calc'!$B$8,"",'Calc'!$B$5-'财富模型'!$E$5-(IF('Calc'!$E$16=1,'财富模型'!$E$9,'财富模型'!$M$8+IF(Calc!$AG$118&lt;='财富模型'!$E$11*12,'Calc'!$W$16,'Calc'!$Y$16)-(IF('Calc'!$E$16=1,0,MIN(Calc!$AI$117*(1+'财富模型'!$E$20/12)+'Calc'!$B$6,IF(Calc!$AG$118&lt;='财富模型'!$E$11*12,'Calc'!$W$16,'Calc'!$Y$16)))))))</x:f>
      </x:c>
      <x:c r="AM118" t="str">
        <x:f>IF(Calc!$AG$118&gt;'Calc'!$B$8,"",IF('Calc'!$E$16=1,0,MAX(Calc!$AM$117*(1+IF(Calc!$AG$118&lt;='财富模型'!$E$11*12,'财富模型'!$E$10,'财富模型'!$E$12)/12)-IF('Calc'!$E$16=1,0,IF(Calc!$AG$118&lt;='财富模型'!$E$11*12,'Calc'!$W$16,'Calc'!$Y$16)),0)))</x:f>
      </x:c>
      <x:c r="AO118" t="n">
        <x:v>97</x:v>
      </x:c>
      <x:c r="AP118" t="str">
        <x:f>IF(Calc!$AO$118&gt;'Calc'!$B$8,"",MAX(Calc!$AP$117*(1+'财富模型'!$E$6/12)+('Calc'!$B$5-'财富模型'!$E$5-(IF('Calc'!$E$17=1,'财富模型'!$E$9,'财富模型'!$M$9+IF(Calc!$AO$118&lt;='财富模型'!$E$11*12,'Calc'!$W$17,'Calc'!$Y$17)-(IF('Calc'!$E$17=1,0,MIN(Calc!$AQ$117*(1+'财富模型'!$E$20/12)+'Calc'!$B$6,IF(Calc!$AO$118&lt;='财富模型'!$E$11*12,'Calc'!$W$17,'Calc'!$Y$17))))))),0))</x:f>
      </x:c>
      <x:c r="AQ118" t="str">
        <x:f>IF(Calc!$AO$118&gt;'Calc'!$B$8,"",MAX(Calc!$AQ$117*(1+'财富模型'!$E$20/12)+'Calc'!$B$6-(IF('Calc'!$E$17=1,0,MIN(Calc!$AQ$117*(1+'财富模型'!$E$20/12)+'Calc'!$B$6,IF(Calc!$AO$118&lt;='财富模型'!$E$11*12,'Calc'!$W$17,'Calc'!$Y$17)))),0))</x:f>
      </x:c>
      <x:c r="AR118" t="str">
        <x:f>IF(Calc!$AO$118&gt;'Calc'!$B$8,"",IF('Calc'!$E$17=1,'财富模型'!$E$9,'财富模型'!$M$9+IF(Calc!$AO$118&lt;='财富模型'!$E$11*12,'Calc'!$W$17,'Calc'!$Y$17)-(IF('Calc'!$E$17=1,0,MIN(Calc!$AQ$117*(1+'财富模型'!$E$20/12)+'Calc'!$B$6,IF(Calc!$AO$118&lt;='财富模型'!$E$11*12,'Calc'!$W$17,'Calc'!$Y$17))))))</x:f>
      </x:c>
      <x:c r="AS118" t="str">
        <x:f>IF(Calc!$AO$118&gt;'Calc'!$B$8,"",IF('Calc'!$E$17=1,0,MIN(Calc!$AQ$117*(1+'财富模型'!$E$20/12)+'Calc'!$B$6,IF(Calc!$AO$118&lt;='财富模型'!$E$11*12,'Calc'!$W$17,'Calc'!$Y$17))))</x:f>
      </x:c>
      <x:c r="AT118" t="str">
        <x:f>IF(Calc!$AO$118&gt;'Calc'!$B$8,"",'Calc'!$B$5-'财富模型'!$E$5-(IF('Calc'!$E$17=1,'财富模型'!$E$9,'财富模型'!$M$9+IF(Calc!$AO$118&lt;='财富模型'!$E$11*12,'Calc'!$W$17,'Calc'!$Y$17)-(IF('Calc'!$E$17=1,0,MIN(Calc!$AQ$117*(1+'财富模型'!$E$20/12)+'Calc'!$B$6,IF(Calc!$AO$118&lt;='财富模型'!$E$11*12,'Calc'!$W$17,'Calc'!$Y$17)))))))</x:f>
      </x:c>
      <x:c r="AU118" t="str">
        <x:f>IF(Calc!$AO$118&gt;'Calc'!$B$8,"",IF('Calc'!$E$17=1,0,MAX(Calc!$AU$117*(1+IF(Calc!$AO$118&lt;='财富模型'!$E$11*12,'财富模型'!$E$10,'财富模型'!$E$12)/12)-IF('Calc'!$E$17=1,0,IF(Calc!$AO$118&lt;='财富模型'!$E$11*12,'Calc'!$W$17,'Calc'!$Y$17)),0)))</x:f>
      </x:c>
    </x:row>
    <x:row r="119">
      <x:c r="A119" t="n">
        <x:v>98</x:v>
      </x:c>
      <x:c r="B119" t="str">
        <x:f>IF(Calc!$A$119&gt;'Calc'!$B$8,"",MAX(Calc!$B$118*(1+'财富模型'!$E$6/12)+('Calc'!$B$5-'财富模型'!$E$5-(IF('Calc'!$E$12=1,'财富模型'!$E$9,'财富模型'!$M$4+IF(Calc!$A$119&lt;='财富模型'!$E$11*12,'Calc'!$W$12,'Calc'!$Y$12)-(IF('Calc'!$E$12=1,0,MIN(Calc!$C$118*(1+'财富模型'!$E$20/12)+'Calc'!$B$6,IF(Calc!$A$119&lt;='财富模型'!$E$11*12,'Calc'!$W$12,'Calc'!$Y$12))))))),0))</x:f>
      </x:c>
      <x:c r="C119" t="str">
        <x:f>IF(Calc!$A$119&gt;'Calc'!$B$8,"",MAX(Calc!$C$118*(1+'财富模型'!$E$20/12)+'Calc'!$B$6-(IF('Calc'!$E$12=1,0,MIN(Calc!$C$118*(1+'财富模型'!$E$20/12)+'Calc'!$B$6,IF(Calc!$A$119&lt;='财富模型'!$E$11*12,'Calc'!$W$12,'Calc'!$Y$12)))),0))</x:f>
      </x:c>
      <x:c r="D119" t="str">
        <x:f>IF(Calc!$A$119&gt;'Calc'!$B$8,"",IF('Calc'!$E$12=1,'财富模型'!$E$9,'财富模型'!$M$4+IF(Calc!$A$119&lt;='财富模型'!$E$11*12,'Calc'!$W$12,'Calc'!$Y$12)-(IF('Calc'!$E$12=1,0,MIN(Calc!$C$118*(1+'财富模型'!$E$20/12)+'Calc'!$B$6,IF(Calc!$A$119&lt;='财富模型'!$E$11*12,'Calc'!$W$12,'Calc'!$Y$12))))))</x:f>
      </x:c>
      <x:c r="E119" t="str">
        <x:f>IF(Calc!$A$119&gt;'Calc'!$B$8,"",IF('Calc'!$E$12=1,0,MIN(Calc!$C$118*(1+'财富模型'!$E$20/12)+'Calc'!$B$6,IF(Calc!$A$119&lt;='财富模型'!$E$11*12,'Calc'!$W$12,'Calc'!$Y$12))))</x:f>
      </x:c>
      <x:c r="F119" t="str">
        <x:f>IF(Calc!$A$119&gt;'Calc'!$B$8,"",'Calc'!$B$5-'财富模型'!$E$5-(IF('Calc'!$E$12=1,'财富模型'!$E$9,'财富模型'!$M$4+IF(Calc!$A$119&lt;='财富模型'!$E$11*12,'Calc'!$W$12,'Calc'!$Y$12)-(IF('Calc'!$E$12=1,0,MIN(Calc!$C$118*(1+'财富模型'!$E$20/12)+'Calc'!$B$6,IF(Calc!$A$119&lt;='财富模型'!$E$11*12,'Calc'!$W$12,'Calc'!$Y$12)))))))</x:f>
      </x:c>
      <x:c r="G119" t="str">
        <x:f>IF(Calc!$A$119&gt;'Calc'!$B$8,"",IF('Calc'!$E$12=1,0,MAX(Calc!$G$118*(1+IF(Calc!$A$119&lt;='财富模型'!$E$11*12,'财富模型'!$E$10,'财富模型'!$E$12)/12)-IF('Calc'!$E$12=1,0,IF(Calc!$A$119&lt;='财富模型'!$E$11*12,'Calc'!$W$12,'Calc'!$Y$12)),0)))</x:f>
      </x:c>
      <x:c r="I119" t="n">
        <x:v>98</x:v>
      </x:c>
      <x:c r="J119" t="str">
        <x:f>IF(Calc!$I$119&gt;'Calc'!$B$8,"",MAX(Calc!$J$118*(1+'财富模型'!$E$6/12)+('Calc'!$B$5-'财富模型'!$E$5-(IF('Calc'!$E$13=1,'财富模型'!$E$9,'财富模型'!$M$5+IF(Calc!$I$119&lt;='财富模型'!$E$11*12,'Calc'!$W$13,'Calc'!$Y$13)-(IF('Calc'!$E$13=1,0,MIN(Calc!$K$118*(1+'财富模型'!$E$20/12)+'Calc'!$B$6,IF(Calc!$I$119&lt;='财富模型'!$E$11*12,'Calc'!$W$13,'Calc'!$Y$13))))))),0))</x:f>
      </x:c>
      <x:c r="K119" t="str">
        <x:f>IF(Calc!$I$119&gt;'Calc'!$B$8,"",MAX(Calc!$K$118*(1+'财富模型'!$E$20/12)+'Calc'!$B$6-(IF('Calc'!$E$13=1,0,MIN(Calc!$K$118*(1+'财富模型'!$E$20/12)+'Calc'!$B$6,IF(Calc!$I$119&lt;='财富模型'!$E$11*12,'Calc'!$W$13,'Calc'!$Y$13)))),0))</x:f>
      </x:c>
      <x:c r="L119" t="str">
        <x:f>IF(Calc!$I$119&gt;'Calc'!$B$8,"",IF('Calc'!$E$13=1,'财富模型'!$E$9,'财富模型'!$M$5+IF(Calc!$I$119&lt;='财富模型'!$E$11*12,'Calc'!$W$13,'Calc'!$Y$13)-(IF('Calc'!$E$13=1,0,MIN(Calc!$K$118*(1+'财富模型'!$E$20/12)+'Calc'!$B$6,IF(Calc!$I$119&lt;='财富模型'!$E$11*12,'Calc'!$W$13,'Calc'!$Y$13))))))</x:f>
      </x:c>
      <x:c r="M119" t="str">
        <x:f>IF(Calc!$I$119&gt;'Calc'!$B$8,"",IF('Calc'!$E$13=1,0,MIN(Calc!$K$118*(1+'财富模型'!$E$20/12)+'Calc'!$B$6,IF(Calc!$I$119&lt;='财富模型'!$E$11*12,'Calc'!$W$13,'Calc'!$Y$13))))</x:f>
      </x:c>
      <x:c r="N119" t="str">
        <x:f>IF(Calc!$I$119&gt;'Calc'!$B$8,"",'Calc'!$B$5-'财富模型'!$E$5-(IF('Calc'!$E$13=1,'财富模型'!$E$9,'财富模型'!$M$5+IF(Calc!$I$119&lt;='财富模型'!$E$11*12,'Calc'!$W$13,'Calc'!$Y$13)-(IF('Calc'!$E$13=1,0,MIN(Calc!$K$118*(1+'财富模型'!$E$20/12)+'Calc'!$B$6,IF(Calc!$I$119&lt;='财富模型'!$E$11*12,'Calc'!$W$13,'Calc'!$Y$13)))))))</x:f>
      </x:c>
      <x:c r="O119" t="str">
        <x:f>IF(Calc!$I$119&gt;'Calc'!$B$8,"",IF('Calc'!$E$13=1,0,MAX(Calc!$O$118*(1+IF(Calc!$I$119&lt;='财富模型'!$E$11*12,'财富模型'!$E$10,'财富模型'!$E$12)/12)-IF('Calc'!$E$13=1,0,IF(Calc!$I$119&lt;='财富模型'!$E$11*12,'Calc'!$W$13,'Calc'!$Y$13)),0)))</x:f>
      </x:c>
      <x:c r="Q119" t="n">
        <x:v>98</x:v>
      </x:c>
      <x:c r="R119" t="str">
        <x:f>IF(Calc!$Q$119&gt;'Calc'!$B$8,"",MAX(Calc!$R$118*(1+'财富模型'!$E$6/12)+('Calc'!$B$5-'财富模型'!$E$5-(IF('Calc'!$E$14=1,'财富模型'!$E$9,'财富模型'!$M$6+IF(Calc!$Q$119&lt;='财富模型'!$E$11*12,'Calc'!$W$14,'Calc'!$Y$14)-(IF('Calc'!$E$14=1,0,MIN(Calc!$S$118*(1+'财富模型'!$E$20/12)+'Calc'!$B$6,IF(Calc!$Q$119&lt;='财富模型'!$E$11*12,'Calc'!$W$14,'Calc'!$Y$14))))))),0))</x:f>
      </x:c>
      <x:c r="S119" t="str">
        <x:f>IF(Calc!$Q$119&gt;'Calc'!$B$8,"",MAX(Calc!$S$118*(1+'财富模型'!$E$20/12)+'Calc'!$B$6-(IF('Calc'!$E$14=1,0,MIN(Calc!$S$118*(1+'财富模型'!$E$20/12)+'Calc'!$B$6,IF(Calc!$Q$119&lt;='财富模型'!$E$11*12,'Calc'!$W$14,'Calc'!$Y$14)))),0))</x:f>
      </x:c>
      <x:c r="T119" t="str">
        <x:f>IF(Calc!$Q$119&gt;'Calc'!$B$8,"",IF('Calc'!$E$14=1,'财富模型'!$E$9,'财富模型'!$M$6+IF(Calc!$Q$119&lt;='财富模型'!$E$11*12,'Calc'!$W$14,'Calc'!$Y$14)-(IF('Calc'!$E$14=1,0,MIN(Calc!$S$118*(1+'财富模型'!$E$20/12)+'Calc'!$B$6,IF(Calc!$Q$119&lt;='财富模型'!$E$11*12,'Calc'!$W$14,'Calc'!$Y$14))))))</x:f>
      </x:c>
      <x:c r="U119" t="str">
        <x:f>IF(Calc!$Q$119&gt;'Calc'!$B$8,"",IF('Calc'!$E$14=1,0,MIN(Calc!$S$118*(1+'财富模型'!$E$20/12)+'Calc'!$B$6,IF(Calc!$Q$119&lt;='财富模型'!$E$11*12,'Calc'!$W$14,'Calc'!$Y$14))))</x:f>
      </x:c>
      <x:c r="V119" t="str">
        <x:f>IF(Calc!$Q$119&gt;'Calc'!$B$8,"",'Calc'!$B$5-'财富模型'!$E$5-(IF('Calc'!$E$14=1,'财富模型'!$E$9,'财富模型'!$M$6+IF(Calc!$Q$119&lt;='财富模型'!$E$11*12,'Calc'!$W$14,'Calc'!$Y$14)-(IF('Calc'!$E$14=1,0,MIN(Calc!$S$118*(1+'财富模型'!$E$20/12)+'Calc'!$B$6,IF(Calc!$Q$119&lt;='财富模型'!$E$11*12,'Calc'!$W$14,'Calc'!$Y$14)))))))</x:f>
      </x:c>
      <x:c r="W119" t="str">
        <x:f>IF(Calc!$Q$119&gt;'Calc'!$B$8,"",IF('Calc'!$E$14=1,0,MAX(Calc!$W$118*(1+IF(Calc!$Q$119&lt;='财富模型'!$E$11*12,'财富模型'!$E$10,'财富模型'!$E$12)/12)-IF('Calc'!$E$14=1,0,IF(Calc!$Q$119&lt;='财富模型'!$E$11*12,'Calc'!$W$14,'Calc'!$Y$14)),0)))</x:f>
      </x:c>
      <x:c r="Y119" t="n">
        <x:v>98</x:v>
      </x:c>
      <x:c r="Z119" t="str">
        <x:f>IF(Calc!$Y$119&gt;'Calc'!$B$8,"",MAX(Calc!$Z$118*(1+'财富模型'!$E$6/12)+('Calc'!$B$5-'财富模型'!$E$5-(IF('Calc'!$E$15=1,'财富模型'!$E$9,'财富模型'!$M$7+IF(Calc!$Y$119&lt;='财富模型'!$E$11*12,'Calc'!$W$15,'Calc'!$Y$15)-(IF('Calc'!$E$15=1,0,MIN(Calc!$AA$118*(1+'财富模型'!$E$20/12)+'Calc'!$B$6,IF(Calc!$Y$119&lt;='财富模型'!$E$11*12,'Calc'!$W$15,'Calc'!$Y$15))))))),0))</x:f>
      </x:c>
      <x:c r="AA119" t="str">
        <x:f>IF(Calc!$Y$119&gt;'Calc'!$B$8,"",MAX(Calc!$AA$118*(1+'财富模型'!$E$20/12)+'Calc'!$B$6-(IF('Calc'!$E$15=1,0,MIN(Calc!$AA$118*(1+'财富模型'!$E$20/12)+'Calc'!$B$6,IF(Calc!$Y$119&lt;='财富模型'!$E$11*12,'Calc'!$W$15,'Calc'!$Y$15)))),0))</x:f>
      </x:c>
      <x:c r="AB119" t="str">
        <x:f>IF(Calc!$Y$119&gt;'Calc'!$B$8,"",IF('Calc'!$E$15=1,'财富模型'!$E$9,'财富模型'!$M$7+IF(Calc!$Y$119&lt;='财富模型'!$E$11*12,'Calc'!$W$15,'Calc'!$Y$15)-(IF('Calc'!$E$15=1,0,MIN(Calc!$AA$118*(1+'财富模型'!$E$20/12)+'Calc'!$B$6,IF(Calc!$Y$119&lt;='财富模型'!$E$11*12,'Calc'!$W$15,'Calc'!$Y$15))))))</x:f>
      </x:c>
      <x:c r="AC119" t="str">
        <x:f>IF(Calc!$Y$119&gt;'Calc'!$B$8,"",IF('Calc'!$E$15=1,0,MIN(Calc!$AA$118*(1+'财富模型'!$E$20/12)+'Calc'!$B$6,IF(Calc!$Y$119&lt;='财富模型'!$E$11*12,'Calc'!$W$15,'Calc'!$Y$15))))</x:f>
      </x:c>
      <x:c r="AD119" t="str">
        <x:f>IF(Calc!$Y$119&gt;'Calc'!$B$8,"",'Calc'!$B$5-'财富模型'!$E$5-(IF('Calc'!$E$15=1,'财富模型'!$E$9,'财富模型'!$M$7+IF(Calc!$Y$119&lt;='财富模型'!$E$11*12,'Calc'!$W$15,'Calc'!$Y$15)-(IF('Calc'!$E$15=1,0,MIN(Calc!$AA$118*(1+'财富模型'!$E$20/12)+'Calc'!$B$6,IF(Calc!$Y$119&lt;='财富模型'!$E$11*12,'Calc'!$W$15,'Calc'!$Y$15)))))))</x:f>
      </x:c>
      <x:c r="AE119" t="str">
        <x:f>IF(Calc!$Y$119&gt;'Calc'!$B$8,"",IF('Calc'!$E$15=1,0,MAX(Calc!$AE$118*(1+IF(Calc!$Y$119&lt;='财富模型'!$E$11*12,'财富模型'!$E$10,'财富模型'!$E$12)/12)-IF('Calc'!$E$15=1,0,IF(Calc!$Y$119&lt;='财富模型'!$E$11*12,'Calc'!$W$15,'Calc'!$Y$15)),0)))</x:f>
      </x:c>
      <x:c r="AG119" t="n">
        <x:v>98</x:v>
      </x:c>
      <x:c r="AH119" t="str">
        <x:f>IF(Calc!$AG$119&gt;'Calc'!$B$8,"",MAX(Calc!$AH$118*(1+'财富模型'!$E$6/12)+('Calc'!$B$5-'财富模型'!$E$5-(IF('Calc'!$E$16=1,'财富模型'!$E$9,'财富模型'!$M$8+IF(Calc!$AG$119&lt;='财富模型'!$E$11*12,'Calc'!$W$16,'Calc'!$Y$16)-(IF('Calc'!$E$16=1,0,MIN(Calc!$AI$118*(1+'财富模型'!$E$20/12)+'Calc'!$B$6,IF(Calc!$AG$119&lt;='财富模型'!$E$11*12,'Calc'!$W$16,'Calc'!$Y$16))))))),0))</x:f>
      </x:c>
      <x:c r="AI119" t="str">
        <x:f>IF(Calc!$AG$119&gt;'Calc'!$B$8,"",MAX(Calc!$AI$118*(1+'财富模型'!$E$20/12)+'Calc'!$B$6-(IF('Calc'!$E$16=1,0,MIN(Calc!$AI$118*(1+'财富模型'!$E$20/12)+'Calc'!$B$6,IF(Calc!$AG$119&lt;='财富模型'!$E$11*12,'Calc'!$W$16,'Calc'!$Y$16)))),0))</x:f>
      </x:c>
      <x:c r="AJ119" t="str">
        <x:f>IF(Calc!$AG$119&gt;'Calc'!$B$8,"",IF('Calc'!$E$16=1,'财富模型'!$E$9,'财富模型'!$M$8+IF(Calc!$AG$119&lt;='财富模型'!$E$11*12,'Calc'!$W$16,'Calc'!$Y$16)-(IF('Calc'!$E$16=1,0,MIN(Calc!$AI$118*(1+'财富模型'!$E$20/12)+'Calc'!$B$6,IF(Calc!$AG$119&lt;='财富模型'!$E$11*12,'Calc'!$W$16,'Calc'!$Y$16))))))</x:f>
      </x:c>
      <x:c r="AK119" t="str">
        <x:f>IF(Calc!$AG$119&gt;'Calc'!$B$8,"",IF('Calc'!$E$16=1,0,MIN(Calc!$AI$118*(1+'财富模型'!$E$20/12)+'Calc'!$B$6,IF(Calc!$AG$119&lt;='财富模型'!$E$11*12,'Calc'!$W$16,'Calc'!$Y$16))))</x:f>
      </x:c>
      <x:c r="AL119" t="str">
        <x:f>IF(Calc!$AG$119&gt;'Calc'!$B$8,"",'Calc'!$B$5-'财富模型'!$E$5-(IF('Calc'!$E$16=1,'财富模型'!$E$9,'财富模型'!$M$8+IF(Calc!$AG$119&lt;='财富模型'!$E$11*12,'Calc'!$W$16,'Calc'!$Y$16)-(IF('Calc'!$E$16=1,0,MIN(Calc!$AI$118*(1+'财富模型'!$E$20/12)+'Calc'!$B$6,IF(Calc!$AG$119&lt;='财富模型'!$E$11*12,'Calc'!$W$16,'Calc'!$Y$16)))))))</x:f>
      </x:c>
      <x:c r="AM119" t="str">
        <x:f>IF(Calc!$AG$119&gt;'Calc'!$B$8,"",IF('Calc'!$E$16=1,0,MAX(Calc!$AM$118*(1+IF(Calc!$AG$119&lt;='财富模型'!$E$11*12,'财富模型'!$E$10,'财富模型'!$E$12)/12)-IF('Calc'!$E$16=1,0,IF(Calc!$AG$119&lt;='财富模型'!$E$11*12,'Calc'!$W$16,'Calc'!$Y$16)),0)))</x:f>
      </x:c>
      <x:c r="AO119" t="n">
        <x:v>98</x:v>
      </x:c>
      <x:c r="AP119" t="str">
        <x:f>IF(Calc!$AO$119&gt;'Calc'!$B$8,"",MAX(Calc!$AP$118*(1+'财富模型'!$E$6/12)+('Calc'!$B$5-'财富模型'!$E$5-(IF('Calc'!$E$17=1,'财富模型'!$E$9,'财富模型'!$M$9+IF(Calc!$AO$119&lt;='财富模型'!$E$11*12,'Calc'!$W$17,'Calc'!$Y$17)-(IF('Calc'!$E$17=1,0,MIN(Calc!$AQ$118*(1+'财富模型'!$E$20/12)+'Calc'!$B$6,IF(Calc!$AO$119&lt;='财富模型'!$E$11*12,'Calc'!$W$17,'Calc'!$Y$17))))))),0))</x:f>
      </x:c>
      <x:c r="AQ119" t="str">
        <x:f>IF(Calc!$AO$119&gt;'Calc'!$B$8,"",MAX(Calc!$AQ$118*(1+'财富模型'!$E$20/12)+'Calc'!$B$6-(IF('Calc'!$E$17=1,0,MIN(Calc!$AQ$118*(1+'财富模型'!$E$20/12)+'Calc'!$B$6,IF(Calc!$AO$119&lt;='财富模型'!$E$11*12,'Calc'!$W$17,'Calc'!$Y$17)))),0))</x:f>
      </x:c>
      <x:c r="AR119" t="str">
        <x:f>IF(Calc!$AO$119&gt;'Calc'!$B$8,"",IF('Calc'!$E$17=1,'财富模型'!$E$9,'财富模型'!$M$9+IF(Calc!$AO$119&lt;='财富模型'!$E$11*12,'Calc'!$W$17,'Calc'!$Y$17)-(IF('Calc'!$E$17=1,0,MIN(Calc!$AQ$118*(1+'财富模型'!$E$20/12)+'Calc'!$B$6,IF(Calc!$AO$119&lt;='财富模型'!$E$11*12,'Calc'!$W$17,'Calc'!$Y$17))))))</x:f>
      </x:c>
      <x:c r="AS119" t="str">
        <x:f>IF(Calc!$AO$119&gt;'Calc'!$B$8,"",IF('Calc'!$E$17=1,0,MIN(Calc!$AQ$118*(1+'财富模型'!$E$20/12)+'Calc'!$B$6,IF(Calc!$AO$119&lt;='财富模型'!$E$11*12,'Calc'!$W$17,'Calc'!$Y$17))))</x:f>
      </x:c>
      <x:c r="AT119" t="str">
        <x:f>IF(Calc!$AO$119&gt;'Calc'!$B$8,"",'Calc'!$B$5-'财富模型'!$E$5-(IF('Calc'!$E$17=1,'财富模型'!$E$9,'财富模型'!$M$9+IF(Calc!$AO$119&lt;='财富模型'!$E$11*12,'Calc'!$W$17,'Calc'!$Y$17)-(IF('Calc'!$E$17=1,0,MIN(Calc!$AQ$118*(1+'财富模型'!$E$20/12)+'Calc'!$B$6,IF(Calc!$AO$119&lt;='财富模型'!$E$11*12,'Calc'!$W$17,'Calc'!$Y$17)))))))</x:f>
      </x:c>
      <x:c r="AU119" t="str">
        <x:f>IF(Calc!$AO$119&gt;'Calc'!$B$8,"",IF('Calc'!$E$17=1,0,MAX(Calc!$AU$118*(1+IF(Calc!$AO$119&lt;='财富模型'!$E$11*12,'财富模型'!$E$10,'财富模型'!$E$12)/12)-IF('Calc'!$E$17=1,0,IF(Calc!$AO$119&lt;='财富模型'!$E$11*12,'Calc'!$W$17,'Calc'!$Y$17)),0)))</x:f>
      </x:c>
    </x:row>
    <x:row r="120">
      <x:c r="A120" t="n">
        <x:v>99</x:v>
      </x:c>
      <x:c r="B120" t="str">
        <x:f>IF(Calc!$A$120&gt;'Calc'!$B$8,"",MAX(Calc!$B$119*(1+'财富模型'!$E$6/12)+('Calc'!$B$5-'财富模型'!$E$5-(IF('Calc'!$E$12=1,'财富模型'!$E$9,'财富模型'!$M$4+IF(Calc!$A$120&lt;='财富模型'!$E$11*12,'Calc'!$W$12,'Calc'!$Y$12)-(IF('Calc'!$E$12=1,0,MIN(Calc!$C$119*(1+'财富模型'!$E$20/12)+'Calc'!$B$6,IF(Calc!$A$120&lt;='财富模型'!$E$11*12,'Calc'!$W$12,'Calc'!$Y$12))))))),0))</x:f>
      </x:c>
      <x:c r="C120" t="str">
        <x:f>IF(Calc!$A$120&gt;'Calc'!$B$8,"",MAX(Calc!$C$119*(1+'财富模型'!$E$20/12)+'Calc'!$B$6-(IF('Calc'!$E$12=1,0,MIN(Calc!$C$119*(1+'财富模型'!$E$20/12)+'Calc'!$B$6,IF(Calc!$A$120&lt;='财富模型'!$E$11*12,'Calc'!$W$12,'Calc'!$Y$12)))),0))</x:f>
      </x:c>
      <x:c r="D120" t="str">
        <x:f>IF(Calc!$A$120&gt;'Calc'!$B$8,"",IF('Calc'!$E$12=1,'财富模型'!$E$9,'财富模型'!$M$4+IF(Calc!$A$120&lt;='财富模型'!$E$11*12,'Calc'!$W$12,'Calc'!$Y$12)-(IF('Calc'!$E$12=1,0,MIN(Calc!$C$119*(1+'财富模型'!$E$20/12)+'Calc'!$B$6,IF(Calc!$A$120&lt;='财富模型'!$E$11*12,'Calc'!$W$12,'Calc'!$Y$12))))))</x:f>
      </x:c>
      <x:c r="E120" t="str">
        <x:f>IF(Calc!$A$120&gt;'Calc'!$B$8,"",IF('Calc'!$E$12=1,0,MIN(Calc!$C$119*(1+'财富模型'!$E$20/12)+'Calc'!$B$6,IF(Calc!$A$120&lt;='财富模型'!$E$11*12,'Calc'!$W$12,'Calc'!$Y$12))))</x:f>
      </x:c>
      <x:c r="F120" t="str">
        <x:f>IF(Calc!$A$120&gt;'Calc'!$B$8,"",'Calc'!$B$5-'财富模型'!$E$5-(IF('Calc'!$E$12=1,'财富模型'!$E$9,'财富模型'!$M$4+IF(Calc!$A$120&lt;='财富模型'!$E$11*12,'Calc'!$W$12,'Calc'!$Y$12)-(IF('Calc'!$E$12=1,0,MIN(Calc!$C$119*(1+'财富模型'!$E$20/12)+'Calc'!$B$6,IF(Calc!$A$120&lt;='财富模型'!$E$11*12,'Calc'!$W$12,'Calc'!$Y$12)))))))</x:f>
      </x:c>
      <x:c r="G120" t="str">
        <x:f>IF(Calc!$A$120&gt;'Calc'!$B$8,"",IF('Calc'!$E$12=1,0,MAX(Calc!$G$119*(1+IF(Calc!$A$120&lt;='财富模型'!$E$11*12,'财富模型'!$E$10,'财富模型'!$E$12)/12)-IF('Calc'!$E$12=1,0,IF(Calc!$A$120&lt;='财富模型'!$E$11*12,'Calc'!$W$12,'Calc'!$Y$12)),0)))</x:f>
      </x:c>
      <x:c r="I120" t="n">
        <x:v>99</x:v>
      </x:c>
      <x:c r="J120" t="str">
        <x:f>IF(Calc!$I$120&gt;'Calc'!$B$8,"",MAX(Calc!$J$119*(1+'财富模型'!$E$6/12)+('Calc'!$B$5-'财富模型'!$E$5-(IF('Calc'!$E$13=1,'财富模型'!$E$9,'财富模型'!$M$5+IF(Calc!$I$120&lt;='财富模型'!$E$11*12,'Calc'!$W$13,'Calc'!$Y$13)-(IF('Calc'!$E$13=1,0,MIN(Calc!$K$119*(1+'财富模型'!$E$20/12)+'Calc'!$B$6,IF(Calc!$I$120&lt;='财富模型'!$E$11*12,'Calc'!$W$13,'Calc'!$Y$13))))))),0))</x:f>
      </x:c>
      <x:c r="K120" t="str">
        <x:f>IF(Calc!$I$120&gt;'Calc'!$B$8,"",MAX(Calc!$K$119*(1+'财富模型'!$E$20/12)+'Calc'!$B$6-(IF('Calc'!$E$13=1,0,MIN(Calc!$K$119*(1+'财富模型'!$E$20/12)+'Calc'!$B$6,IF(Calc!$I$120&lt;='财富模型'!$E$11*12,'Calc'!$W$13,'Calc'!$Y$13)))),0))</x:f>
      </x:c>
      <x:c r="L120" t="str">
        <x:f>IF(Calc!$I$120&gt;'Calc'!$B$8,"",IF('Calc'!$E$13=1,'财富模型'!$E$9,'财富模型'!$M$5+IF(Calc!$I$120&lt;='财富模型'!$E$11*12,'Calc'!$W$13,'Calc'!$Y$13)-(IF('Calc'!$E$13=1,0,MIN(Calc!$K$119*(1+'财富模型'!$E$20/12)+'Calc'!$B$6,IF(Calc!$I$120&lt;='财富模型'!$E$11*12,'Calc'!$W$13,'Calc'!$Y$13))))))</x:f>
      </x:c>
      <x:c r="M120" t="str">
        <x:f>IF(Calc!$I$120&gt;'Calc'!$B$8,"",IF('Calc'!$E$13=1,0,MIN(Calc!$K$119*(1+'财富模型'!$E$20/12)+'Calc'!$B$6,IF(Calc!$I$120&lt;='财富模型'!$E$11*12,'Calc'!$W$13,'Calc'!$Y$13))))</x:f>
      </x:c>
      <x:c r="N120" t="str">
        <x:f>IF(Calc!$I$120&gt;'Calc'!$B$8,"",'Calc'!$B$5-'财富模型'!$E$5-(IF('Calc'!$E$13=1,'财富模型'!$E$9,'财富模型'!$M$5+IF(Calc!$I$120&lt;='财富模型'!$E$11*12,'Calc'!$W$13,'Calc'!$Y$13)-(IF('Calc'!$E$13=1,0,MIN(Calc!$K$119*(1+'财富模型'!$E$20/12)+'Calc'!$B$6,IF(Calc!$I$120&lt;='财富模型'!$E$11*12,'Calc'!$W$13,'Calc'!$Y$13)))))))</x:f>
      </x:c>
      <x:c r="O120" t="str">
        <x:f>IF(Calc!$I$120&gt;'Calc'!$B$8,"",IF('Calc'!$E$13=1,0,MAX(Calc!$O$119*(1+IF(Calc!$I$120&lt;='财富模型'!$E$11*12,'财富模型'!$E$10,'财富模型'!$E$12)/12)-IF('Calc'!$E$13=1,0,IF(Calc!$I$120&lt;='财富模型'!$E$11*12,'Calc'!$W$13,'Calc'!$Y$13)),0)))</x:f>
      </x:c>
      <x:c r="Q120" t="n">
        <x:v>99</x:v>
      </x:c>
      <x:c r="R120" t="str">
        <x:f>IF(Calc!$Q$120&gt;'Calc'!$B$8,"",MAX(Calc!$R$119*(1+'财富模型'!$E$6/12)+('Calc'!$B$5-'财富模型'!$E$5-(IF('Calc'!$E$14=1,'财富模型'!$E$9,'财富模型'!$M$6+IF(Calc!$Q$120&lt;='财富模型'!$E$11*12,'Calc'!$W$14,'Calc'!$Y$14)-(IF('Calc'!$E$14=1,0,MIN(Calc!$S$119*(1+'财富模型'!$E$20/12)+'Calc'!$B$6,IF(Calc!$Q$120&lt;='财富模型'!$E$11*12,'Calc'!$W$14,'Calc'!$Y$14))))))),0))</x:f>
      </x:c>
      <x:c r="S120" t="str">
        <x:f>IF(Calc!$Q$120&gt;'Calc'!$B$8,"",MAX(Calc!$S$119*(1+'财富模型'!$E$20/12)+'Calc'!$B$6-(IF('Calc'!$E$14=1,0,MIN(Calc!$S$119*(1+'财富模型'!$E$20/12)+'Calc'!$B$6,IF(Calc!$Q$120&lt;='财富模型'!$E$11*12,'Calc'!$W$14,'Calc'!$Y$14)))),0))</x:f>
      </x:c>
      <x:c r="T120" t="str">
        <x:f>IF(Calc!$Q$120&gt;'Calc'!$B$8,"",IF('Calc'!$E$14=1,'财富模型'!$E$9,'财富模型'!$M$6+IF(Calc!$Q$120&lt;='财富模型'!$E$11*12,'Calc'!$W$14,'Calc'!$Y$14)-(IF('Calc'!$E$14=1,0,MIN(Calc!$S$119*(1+'财富模型'!$E$20/12)+'Calc'!$B$6,IF(Calc!$Q$120&lt;='财富模型'!$E$11*12,'Calc'!$W$14,'Calc'!$Y$14))))))</x:f>
      </x:c>
      <x:c r="U120" t="str">
        <x:f>IF(Calc!$Q$120&gt;'Calc'!$B$8,"",IF('Calc'!$E$14=1,0,MIN(Calc!$S$119*(1+'财富模型'!$E$20/12)+'Calc'!$B$6,IF(Calc!$Q$120&lt;='财富模型'!$E$11*12,'Calc'!$W$14,'Calc'!$Y$14))))</x:f>
      </x:c>
      <x:c r="V120" t="str">
        <x:f>IF(Calc!$Q$120&gt;'Calc'!$B$8,"",'Calc'!$B$5-'财富模型'!$E$5-(IF('Calc'!$E$14=1,'财富模型'!$E$9,'财富模型'!$M$6+IF(Calc!$Q$120&lt;='财富模型'!$E$11*12,'Calc'!$W$14,'Calc'!$Y$14)-(IF('Calc'!$E$14=1,0,MIN(Calc!$S$119*(1+'财富模型'!$E$20/12)+'Calc'!$B$6,IF(Calc!$Q$120&lt;='财富模型'!$E$11*12,'Calc'!$W$14,'Calc'!$Y$14)))))))</x:f>
      </x:c>
      <x:c r="W120" t="str">
        <x:f>IF(Calc!$Q$120&gt;'Calc'!$B$8,"",IF('Calc'!$E$14=1,0,MAX(Calc!$W$119*(1+IF(Calc!$Q$120&lt;='财富模型'!$E$11*12,'财富模型'!$E$10,'财富模型'!$E$12)/12)-IF('Calc'!$E$14=1,0,IF(Calc!$Q$120&lt;='财富模型'!$E$11*12,'Calc'!$W$14,'Calc'!$Y$14)),0)))</x:f>
      </x:c>
      <x:c r="Y120" t="n">
        <x:v>99</x:v>
      </x:c>
      <x:c r="Z120" t="str">
        <x:f>IF(Calc!$Y$120&gt;'Calc'!$B$8,"",MAX(Calc!$Z$119*(1+'财富模型'!$E$6/12)+('Calc'!$B$5-'财富模型'!$E$5-(IF('Calc'!$E$15=1,'财富模型'!$E$9,'财富模型'!$M$7+IF(Calc!$Y$120&lt;='财富模型'!$E$11*12,'Calc'!$W$15,'Calc'!$Y$15)-(IF('Calc'!$E$15=1,0,MIN(Calc!$AA$119*(1+'财富模型'!$E$20/12)+'Calc'!$B$6,IF(Calc!$Y$120&lt;='财富模型'!$E$11*12,'Calc'!$W$15,'Calc'!$Y$15))))))),0))</x:f>
      </x:c>
      <x:c r="AA120" t="str">
        <x:f>IF(Calc!$Y$120&gt;'Calc'!$B$8,"",MAX(Calc!$AA$119*(1+'财富模型'!$E$20/12)+'Calc'!$B$6-(IF('Calc'!$E$15=1,0,MIN(Calc!$AA$119*(1+'财富模型'!$E$20/12)+'Calc'!$B$6,IF(Calc!$Y$120&lt;='财富模型'!$E$11*12,'Calc'!$W$15,'Calc'!$Y$15)))),0))</x:f>
      </x:c>
      <x:c r="AB120" t="str">
        <x:f>IF(Calc!$Y$120&gt;'Calc'!$B$8,"",IF('Calc'!$E$15=1,'财富模型'!$E$9,'财富模型'!$M$7+IF(Calc!$Y$120&lt;='财富模型'!$E$11*12,'Calc'!$W$15,'Calc'!$Y$15)-(IF('Calc'!$E$15=1,0,MIN(Calc!$AA$119*(1+'财富模型'!$E$20/12)+'Calc'!$B$6,IF(Calc!$Y$120&lt;='财富模型'!$E$11*12,'Calc'!$W$15,'Calc'!$Y$15))))))</x:f>
      </x:c>
      <x:c r="AC120" t="str">
        <x:f>IF(Calc!$Y$120&gt;'Calc'!$B$8,"",IF('Calc'!$E$15=1,0,MIN(Calc!$AA$119*(1+'财富模型'!$E$20/12)+'Calc'!$B$6,IF(Calc!$Y$120&lt;='财富模型'!$E$11*12,'Calc'!$W$15,'Calc'!$Y$15))))</x:f>
      </x:c>
      <x:c r="AD120" t="str">
        <x:f>IF(Calc!$Y$120&gt;'Calc'!$B$8,"",'Calc'!$B$5-'财富模型'!$E$5-(IF('Calc'!$E$15=1,'财富模型'!$E$9,'财富模型'!$M$7+IF(Calc!$Y$120&lt;='财富模型'!$E$11*12,'Calc'!$W$15,'Calc'!$Y$15)-(IF('Calc'!$E$15=1,0,MIN(Calc!$AA$119*(1+'财富模型'!$E$20/12)+'Calc'!$B$6,IF(Calc!$Y$120&lt;='财富模型'!$E$11*12,'Calc'!$W$15,'Calc'!$Y$15)))))))</x:f>
      </x:c>
      <x:c r="AE120" t="str">
        <x:f>IF(Calc!$Y$120&gt;'Calc'!$B$8,"",IF('Calc'!$E$15=1,0,MAX(Calc!$AE$119*(1+IF(Calc!$Y$120&lt;='财富模型'!$E$11*12,'财富模型'!$E$10,'财富模型'!$E$12)/12)-IF('Calc'!$E$15=1,0,IF(Calc!$Y$120&lt;='财富模型'!$E$11*12,'Calc'!$W$15,'Calc'!$Y$15)),0)))</x:f>
      </x:c>
      <x:c r="AG120" t="n">
        <x:v>99</x:v>
      </x:c>
      <x:c r="AH120" t="str">
        <x:f>IF(Calc!$AG$120&gt;'Calc'!$B$8,"",MAX(Calc!$AH$119*(1+'财富模型'!$E$6/12)+('Calc'!$B$5-'财富模型'!$E$5-(IF('Calc'!$E$16=1,'财富模型'!$E$9,'财富模型'!$M$8+IF(Calc!$AG$120&lt;='财富模型'!$E$11*12,'Calc'!$W$16,'Calc'!$Y$16)-(IF('Calc'!$E$16=1,0,MIN(Calc!$AI$119*(1+'财富模型'!$E$20/12)+'Calc'!$B$6,IF(Calc!$AG$120&lt;='财富模型'!$E$11*12,'Calc'!$W$16,'Calc'!$Y$16))))))),0))</x:f>
      </x:c>
      <x:c r="AI120" t="str">
        <x:f>IF(Calc!$AG$120&gt;'Calc'!$B$8,"",MAX(Calc!$AI$119*(1+'财富模型'!$E$20/12)+'Calc'!$B$6-(IF('Calc'!$E$16=1,0,MIN(Calc!$AI$119*(1+'财富模型'!$E$20/12)+'Calc'!$B$6,IF(Calc!$AG$120&lt;='财富模型'!$E$11*12,'Calc'!$W$16,'Calc'!$Y$16)))),0))</x:f>
      </x:c>
      <x:c r="AJ120" t="str">
        <x:f>IF(Calc!$AG$120&gt;'Calc'!$B$8,"",IF('Calc'!$E$16=1,'财富模型'!$E$9,'财富模型'!$M$8+IF(Calc!$AG$120&lt;='财富模型'!$E$11*12,'Calc'!$W$16,'Calc'!$Y$16)-(IF('Calc'!$E$16=1,0,MIN(Calc!$AI$119*(1+'财富模型'!$E$20/12)+'Calc'!$B$6,IF(Calc!$AG$120&lt;='财富模型'!$E$11*12,'Calc'!$W$16,'Calc'!$Y$16))))))</x:f>
      </x:c>
      <x:c r="AK120" t="str">
        <x:f>IF(Calc!$AG$120&gt;'Calc'!$B$8,"",IF('Calc'!$E$16=1,0,MIN(Calc!$AI$119*(1+'财富模型'!$E$20/12)+'Calc'!$B$6,IF(Calc!$AG$120&lt;='财富模型'!$E$11*12,'Calc'!$W$16,'Calc'!$Y$16))))</x:f>
      </x:c>
      <x:c r="AL120" t="str">
        <x:f>IF(Calc!$AG$120&gt;'Calc'!$B$8,"",'Calc'!$B$5-'财富模型'!$E$5-(IF('Calc'!$E$16=1,'财富模型'!$E$9,'财富模型'!$M$8+IF(Calc!$AG$120&lt;='财富模型'!$E$11*12,'Calc'!$W$16,'Calc'!$Y$16)-(IF('Calc'!$E$16=1,0,MIN(Calc!$AI$119*(1+'财富模型'!$E$20/12)+'Calc'!$B$6,IF(Calc!$AG$120&lt;='财富模型'!$E$11*12,'Calc'!$W$16,'Calc'!$Y$16)))))))</x:f>
      </x:c>
      <x:c r="AM120" t="str">
        <x:f>IF(Calc!$AG$120&gt;'Calc'!$B$8,"",IF('Calc'!$E$16=1,0,MAX(Calc!$AM$119*(1+IF(Calc!$AG$120&lt;='财富模型'!$E$11*12,'财富模型'!$E$10,'财富模型'!$E$12)/12)-IF('Calc'!$E$16=1,0,IF(Calc!$AG$120&lt;='财富模型'!$E$11*12,'Calc'!$W$16,'Calc'!$Y$16)),0)))</x:f>
      </x:c>
      <x:c r="AO120" t="n">
        <x:v>99</x:v>
      </x:c>
      <x:c r="AP120" t="str">
        <x:f>IF(Calc!$AO$120&gt;'Calc'!$B$8,"",MAX(Calc!$AP$119*(1+'财富模型'!$E$6/12)+('Calc'!$B$5-'财富模型'!$E$5-(IF('Calc'!$E$17=1,'财富模型'!$E$9,'财富模型'!$M$9+IF(Calc!$AO$120&lt;='财富模型'!$E$11*12,'Calc'!$W$17,'Calc'!$Y$17)-(IF('Calc'!$E$17=1,0,MIN(Calc!$AQ$119*(1+'财富模型'!$E$20/12)+'Calc'!$B$6,IF(Calc!$AO$120&lt;='财富模型'!$E$11*12,'Calc'!$W$17,'Calc'!$Y$17))))))),0))</x:f>
      </x:c>
      <x:c r="AQ120" t="str">
        <x:f>IF(Calc!$AO$120&gt;'Calc'!$B$8,"",MAX(Calc!$AQ$119*(1+'财富模型'!$E$20/12)+'Calc'!$B$6-(IF('Calc'!$E$17=1,0,MIN(Calc!$AQ$119*(1+'财富模型'!$E$20/12)+'Calc'!$B$6,IF(Calc!$AO$120&lt;='财富模型'!$E$11*12,'Calc'!$W$17,'Calc'!$Y$17)))),0))</x:f>
      </x:c>
      <x:c r="AR120" t="str">
        <x:f>IF(Calc!$AO$120&gt;'Calc'!$B$8,"",IF('Calc'!$E$17=1,'财富模型'!$E$9,'财富模型'!$M$9+IF(Calc!$AO$120&lt;='财富模型'!$E$11*12,'Calc'!$W$17,'Calc'!$Y$17)-(IF('Calc'!$E$17=1,0,MIN(Calc!$AQ$119*(1+'财富模型'!$E$20/12)+'Calc'!$B$6,IF(Calc!$AO$120&lt;='财富模型'!$E$11*12,'Calc'!$W$17,'Calc'!$Y$17))))))</x:f>
      </x:c>
      <x:c r="AS120" t="str">
        <x:f>IF(Calc!$AO$120&gt;'Calc'!$B$8,"",IF('Calc'!$E$17=1,0,MIN(Calc!$AQ$119*(1+'财富模型'!$E$20/12)+'Calc'!$B$6,IF(Calc!$AO$120&lt;='财富模型'!$E$11*12,'Calc'!$W$17,'Calc'!$Y$17))))</x:f>
      </x:c>
      <x:c r="AT120" t="str">
        <x:f>IF(Calc!$AO$120&gt;'Calc'!$B$8,"",'Calc'!$B$5-'财富模型'!$E$5-(IF('Calc'!$E$17=1,'财富模型'!$E$9,'财富模型'!$M$9+IF(Calc!$AO$120&lt;='财富模型'!$E$11*12,'Calc'!$W$17,'Calc'!$Y$17)-(IF('Calc'!$E$17=1,0,MIN(Calc!$AQ$119*(1+'财富模型'!$E$20/12)+'Calc'!$B$6,IF(Calc!$AO$120&lt;='财富模型'!$E$11*12,'Calc'!$W$17,'Calc'!$Y$17)))))))</x:f>
      </x:c>
      <x:c r="AU120" t="str">
        <x:f>IF(Calc!$AO$120&gt;'Calc'!$B$8,"",IF('Calc'!$E$17=1,0,MAX(Calc!$AU$119*(1+IF(Calc!$AO$120&lt;='财富模型'!$E$11*12,'财富模型'!$E$10,'财富模型'!$E$12)/12)-IF('Calc'!$E$17=1,0,IF(Calc!$AO$120&lt;='财富模型'!$E$11*12,'Calc'!$W$17,'Calc'!$Y$17)),0)))</x:f>
      </x:c>
    </x:row>
    <x:row r="121">
      <x:c r="A121" t="n">
        <x:v>100</x:v>
      </x:c>
      <x:c r="B121" t="str">
        <x:f>IF(Calc!$A$121&gt;'Calc'!$B$8,"",MAX(Calc!$B$120*(1+'财富模型'!$E$6/12)+('Calc'!$B$5-'财富模型'!$E$5-(IF('Calc'!$E$12=1,'财富模型'!$E$9,'财富模型'!$M$4+IF(Calc!$A$121&lt;='财富模型'!$E$11*12,'Calc'!$W$12,'Calc'!$Y$12)-(IF('Calc'!$E$12=1,0,MIN(Calc!$C$120*(1+'财富模型'!$E$20/12)+'Calc'!$B$6,IF(Calc!$A$121&lt;='财富模型'!$E$11*12,'Calc'!$W$12,'Calc'!$Y$12))))))),0))</x:f>
      </x:c>
      <x:c r="C121" t="str">
        <x:f>IF(Calc!$A$121&gt;'Calc'!$B$8,"",MAX(Calc!$C$120*(1+'财富模型'!$E$20/12)+'Calc'!$B$6-(IF('Calc'!$E$12=1,0,MIN(Calc!$C$120*(1+'财富模型'!$E$20/12)+'Calc'!$B$6,IF(Calc!$A$121&lt;='财富模型'!$E$11*12,'Calc'!$W$12,'Calc'!$Y$12)))),0))</x:f>
      </x:c>
      <x:c r="D121" t="str">
        <x:f>IF(Calc!$A$121&gt;'Calc'!$B$8,"",IF('Calc'!$E$12=1,'财富模型'!$E$9,'财富模型'!$M$4+IF(Calc!$A$121&lt;='财富模型'!$E$11*12,'Calc'!$W$12,'Calc'!$Y$12)-(IF('Calc'!$E$12=1,0,MIN(Calc!$C$120*(1+'财富模型'!$E$20/12)+'Calc'!$B$6,IF(Calc!$A$121&lt;='财富模型'!$E$11*12,'Calc'!$W$12,'Calc'!$Y$12))))))</x:f>
      </x:c>
      <x:c r="E121" t="str">
        <x:f>IF(Calc!$A$121&gt;'Calc'!$B$8,"",IF('Calc'!$E$12=1,0,MIN(Calc!$C$120*(1+'财富模型'!$E$20/12)+'Calc'!$B$6,IF(Calc!$A$121&lt;='财富模型'!$E$11*12,'Calc'!$W$12,'Calc'!$Y$12))))</x:f>
      </x:c>
      <x:c r="F121" t="str">
        <x:f>IF(Calc!$A$121&gt;'Calc'!$B$8,"",'Calc'!$B$5-'财富模型'!$E$5-(IF('Calc'!$E$12=1,'财富模型'!$E$9,'财富模型'!$M$4+IF(Calc!$A$121&lt;='财富模型'!$E$11*12,'Calc'!$W$12,'Calc'!$Y$12)-(IF('Calc'!$E$12=1,0,MIN(Calc!$C$120*(1+'财富模型'!$E$20/12)+'Calc'!$B$6,IF(Calc!$A$121&lt;='财富模型'!$E$11*12,'Calc'!$W$12,'Calc'!$Y$12)))))))</x:f>
      </x:c>
      <x:c r="G121" t="str">
        <x:f>IF(Calc!$A$121&gt;'Calc'!$B$8,"",IF('Calc'!$E$12=1,0,MAX(Calc!$G$120*(1+IF(Calc!$A$121&lt;='财富模型'!$E$11*12,'财富模型'!$E$10,'财富模型'!$E$12)/12)-IF('Calc'!$E$12=1,0,IF(Calc!$A$121&lt;='财富模型'!$E$11*12,'Calc'!$W$12,'Calc'!$Y$12)),0)))</x:f>
      </x:c>
      <x:c r="I121" t="n">
        <x:v>100</x:v>
      </x:c>
      <x:c r="J121" t="str">
        <x:f>IF(Calc!$I$121&gt;'Calc'!$B$8,"",MAX(Calc!$J$120*(1+'财富模型'!$E$6/12)+('Calc'!$B$5-'财富模型'!$E$5-(IF('Calc'!$E$13=1,'财富模型'!$E$9,'财富模型'!$M$5+IF(Calc!$I$121&lt;='财富模型'!$E$11*12,'Calc'!$W$13,'Calc'!$Y$13)-(IF('Calc'!$E$13=1,0,MIN(Calc!$K$120*(1+'财富模型'!$E$20/12)+'Calc'!$B$6,IF(Calc!$I$121&lt;='财富模型'!$E$11*12,'Calc'!$W$13,'Calc'!$Y$13))))))),0))</x:f>
      </x:c>
      <x:c r="K121" t="str">
        <x:f>IF(Calc!$I$121&gt;'Calc'!$B$8,"",MAX(Calc!$K$120*(1+'财富模型'!$E$20/12)+'Calc'!$B$6-(IF('Calc'!$E$13=1,0,MIN(Calc!$K$120*(1+'财富模型'!$E$20/12)+'Calc'!$B$6,IF(Calc!$I$121&lt;='财富模型'!$E$11*12,'Calc'!$W$13,'Calc'!$Y$13)))),0))</x:f>
      </x:c>
      <x:c r="L121" t="str">
        <x:f>IF(Calc!$I$121&gt;'Calc'!$B$8,"",IF('Calc'!$E$13=1,'财富模型'!$E$9,'财富模型'!$M$5+IF(Calc!$I$121&lt;='财富模型'!$E$11*12,'Calc'!$W$13,'Calc'!$Y$13)-(IF('Calc'!$E$13=1,0,MIN(Calc!$K$120*(1+'财富模型'!$E$20/12)+'Calc'!$B$6,IF(Calc!$I$121&lt;='财富模型'!$E$11*12,'Calc'!$W$13,'Calc'!$Y$13))))))</x:f>
      </x:c>
      <x:c r="M121" t="str">
        <x:f>IF(Calc!$I$121&gt;'Calc'!$B$8,"",IF('Calc'!$E$13=1,0,MIN(Calc!$K$120*(1+'财富模型'!$E$20/12)+'Calc'!$B$6,IF(Calc!$I$121&lt;='财富模型'!$E$11*12,'Calc'!$W$13,'Calc'!$Y$13))))</x:f>
      </x:c>
      <x:c r="N121" t="str">
        <x:f>IF(Calc!$I$121&gt;'Calc'!$B$8,"",'Calc'!$B$5-'财富模型'!$E$5-(IF('Calc'!$E$13=1,'财富模型'!$E$9,'财富模型'!$M$5+IF(Calc!$I$121&lt;='财富模型'!$E$11*12,'Calc'!$W$13,'Calc'!$Y$13)-(IF('Calc'!$E$13=1,0,MIN(Calc!$K$120*(1+'财富模型'!$E$20/12)+'Calc'!$B$6,IF(Calc!$I$121&lt;='财富模型'!$E$11*12,'Calc'!$W$13,'Calc'!$Y$13)))))))</x:f>
      </x:c>
      <x:c r="O121" t="str">
        <x:f>IF(Calc!$I$121&gt;'Calc'!$B$8,"",IF('Calc'!$E$13=1,0,MAX(Calc!$O$120*(1+IF(Calc!$I$121&lt;='财富模型'!$E$11*12,'财富模型'!$E$10,'财富模型'!$E$12)/12)-IF('Calc'!$E$13=1,0,IF(Calc!$I$121&lt;='财富模型'!$E$11*12,'Calc'!$W$13,'Calc'!$Y$13)),0)))</x:f>
      </x:c>
      <x:c r="Q121" t="n">
        <x:v>100</x:v>
      </x:c>
      <x:c r="R121" t="str">
        <x:f>IF(Calc!$Q$121&gt;'Calc'!$B$8,"",MAX(Calc!$R$120*(1+'财富模型'!$E$6/12)+('Calc'!$B$5-'财富模型'!$E$5-(IF('Calc'!$E$14=1,'财富模型'!$E$9,'财富模型'!$M$6+IF(Calc!$Q$121&lt;='财富模型'!$E$11*12,'Calc'!$W$14,'Calc'!$Y$14)-(IF('Calc'!$E$14=1,0,MIN(Calc!$S$120*(1+'财富模型'!$E$20/12)+'Calc'!$B$6,IF(Calc!$Q$121&lt;='财富模型'!$E$11*12,'Calc'!$W$14,'Calc'!$Y$14))))))),0))</x:f>
      </x:c>
      <x:c r="S121" t="str">
        <x:f>IF(Calc!$Q$121&gt;'Calc'!$B$8,"",MAX(Calc!$S$120*(1+'财富模型'!$E$20/12)+'Calc'!$B$6-(IF('Calc'!$E$14=1,0,MIN(Calc!$S$120*(1+'财富模型'!$E$20/12)+'Calc'!$B$6,IF(Calc!$Q$121&lt;='财富模型'!$E$11*12,'Calc'!$W$14,'Calc'!$Y$14)))),0))</x:f>
      </x:c>
      <x:c r="T121" t="str">
        <x:f>IF(Calc!$Q$121&gt;'Calc'!$B$8,"",IF('Calc'!$E$14=1,'财富模型'!$E$9,'财富模型'!$M$6+IF(Calc!$Q$121&lt;='财富模型'!$E$11*12,'Calc'!$W$14,'Calc'!$Y$14)-(IF('Calc'!$E$14=1,0,MIN(Calc!$S$120*(1+'财富模型'!$E$20/12)+'Calc'!$B$6,IF(Calc!$Q$121&lt;='财富模型'!$E$11*12,'Calc'!$W$14,'Calc'!$Y$14))))))</x:f>
      </x:c>
      <x:c r="U121" t="str">
        <x:f>IF(Calc!$Q$121&gt;'Calc'!$B$8,"",IF('Calc'!$E$14=1,0,MIN(Calc!$S$120*(1+'财富模型'!$E$20/12)+'Calc'!$B$6,IF(Calc!$Q$121&lt;='财富模型'!$E$11*12,'Calc'!$W$14,'Calc'!$Y$14))))</x:f>
      </x:c>
      <x:c r="V121" t="str">
        <x:f>IF(Calc!$Q$121&gt;'Calc'!$B$8,"",'Calc'!$B$5-'财富模型'!$E$5-(IF('Calc'!$E$14=1,'财富模型'!$E$9,'财富模型'!$M$6+IF(Calc!$Q$121&lt;='财富模型'!$E$11*12,'Calc'!$W$14,'Calc'!$Y$14)-(IF('Calc'!$E$14=1,0,MIN(Calc!$S$120*(1+'财富模型'!$E$20/12)+'Calc'!$B$6,IF(Calc!$Q$121&lt;='财富模型'!$E$11*12,'Calc'!$W$14,'Calc'!$Y$14)))))))</x:f>
      </x:c>
      <x:c r="W121" t="str">
        <x:f>IF(Calc!$Q$121&gt;'Calc'!$B$8,"",IF('Calc'!$E$14=1,0,MAX(Calc!$W$120*(1+IF(Calc!$Q$121&lt;='财富模型'!$E$11*12,'财富模型'!$E$10,'财富模型'!$E$12)/12)-IF('Calc'!$E$14=1,0,IF(Calc!$Q$121&lt;='财富模型'!$E$11*12,'Calc'!$W$14,'Calc'!$Y$14)),0)))</x:f>
      </x:c>
      <x:c r="Y121" t="n">
        <x:v>100</x:v>
      </x:c>
      <x:c r="Z121" t="str">
        <x:f>IF(Calc!$Y$121&gt;'Calc'!$B$8,"",MAX(Calc!$Z$120*(1+'财富模型'!$E$6/12)+('Calc'!$B$5-'财富模型'!$E$5-(IF('Calc'!$E$15=1,'财富模型'!$E$9,'财富模型'!$M$7+IF(Calc!$Y$121&lt;='财富模型'!$E$11*12,'Calc'!$W$15,'Calc'!$Y$15)-(IF('Calc'!$E$15=1,0,MIN(Calc!$AA$120*(1+'财富模型'!$E$20/12)+'Calc'!$B$6,IF(Calc!$Y$121&lt;='财富模型'!$E$11*12,'Calc'!$W$15,'Calc'!$Y$15))))))),0))</x:f>
      </x:c>
      <x:c r="AA121" t="str">
        <x:f>IF(Calc!$Y$121&gt;'Calc'!$B$8,"",MAX(Calc!$AA$120*(1+'财富模型'!$E$20/12)+'Calc'!$B$6-(IF('Calc'!$E$15=1,0,MIN(Calc!$AA$120*(1+'财富模型'!$E$20/12)+'Calc'!$B$6,IF(Calc!$Y$121&lt;='财富模型'!$E$11*12,'Calc'!$W$15,'Calc'!$Y$15)))),0))</x:f>
      </x:c>
      <x:c r="AB121" t="str">
        <x:f>IF(Calc!$Y$121&gt;'Calc'!$B$8,"",IF('Calc'!$E$15=1,'财富模型'!$E$9,'财富模型'!$M$7+IF(Calc!$Y$121&lt;='财富模型'!$E$11*12,'Calc'!$W$15,'Calc'!$Y$15)-(IF('Calc'!$E$15=1,0,MIN(Calc!$AA$120*(1+'财富模型'!$E$20/12)+'Calc'!$B$6,IF(Calc!$Y$121&lt;='财富模型'!$E$11*12,'Calc'!$W$15,'Calc'!$Y$15))))))</x:f>
      </x:c>
      <x:c r="AC121" t="str">
        <x:f>IF(Calc!$Y$121&gt;'Calc'!$B$8,"",IF('Calc'!$E$15=1,0,MIN(Calc!$AA$120*(1+'财富模型'!$E$20/12)+'Calc'!$B$6,IF(Calc!$Y$121&lt;='财富模型'!$E$11*12,'Calc'!$W$15,'Calc'!$Y$15))))</x:f>
      </x:c>
      <x:c r="AD121" t="str">
        <x:f>IF(Calc!$Y$121&gt;'Calc'!$B$8,"",'Calc'!$B$5-'财富模型'!$E$5-(IF('Calc'!$E$15=1,'财富模型'!$E$9,'财富模型'!$M$7+IF(Calc!$Y$121&lt;='财富模型'!$E$11*12,'Calc'!$W$15,'Calc'!$Y$15)-(IF('Calc'!$E$15=1,0,MIN(Calc!$AA$120*(1+'财富模型'!$E$20/12)+'Calc'!$B$6,IF(Calc!$Y$121&lt;='财富模型'!$E$11*12,'Calc'!$W$15,'Calc'!$Y$15)))))))</x:f>
      </x:c>
      <x:c r="AE121" t="str">
        <x:f>IF(Calc!$Y$121&gt;'Calc'!$B$8,"",IF('Calc'!$E$15=1,0,MAX(Calc!$AE$120*(1+IF(Calc!$Y$121&lt;='财富模型'!$E$11*12,'财富模型'!$E$10,'财富模型'!$E$12)/12)-IF('Calc'!$E$15=1,0,IF(Calc!$Y$121&lt;='财富模型'!$E$11*12,'Calc'!$W$15,'Calc'!$Y$15)),0)))</x:f>
      </x:c>
      <x:c r="AG121" t="n">
        <x:v>100</x:v>
      </x:c>
      <x:c r="AH121" t="str">
        <x:f>IF(Calc!$AG$121&gt;'Calc'!$B$8,"",MAX(Calc!$AH$120*(1+'财富模型'!$E$6/12)+('Calc'!$B$5-'财富模型'!$E$5-(IF('Calc'!$E$16=1,'财富模型'!$E$9,'财富模型'!$M$8+IF(Calc!$AG$121&lt;='财富模型'!$E$11*12,'Calc'!$W$16,'Calc'!$Y$16)-(IF('Calc'!$E$16=1,0,MIN(Calc!$AI$120*(1+'财富模型'!$E$20/12)+'Calc'!$B$6,IF(Calc!$AG$121&lt;='财富模型'!$E$11*12,'Calc'!$W$16,'Calc'!$Y$16))))))),0))</x:f>
      </x:c>
      <x:c r="AI121" t="str">
        <x:f>IF(Calc!$AG$121&gt;'Calc'!$B$8,"",MAX(Calc!$AI$120*(1+'财富模型'!$E$20/12)+'Calc'!$B$6-(IF('Calc'!$E$16=1,0,MIN(Calc!$AI$120*(1+'财富模型'!$E$20/12)+'Calc'!$B$6,IF(Calc!$AG$121&lt;='财富模型'!$E$11*12,'Calc'!$W$16,'Calc'!$Y$16)))),0))</x:f>
      </x:c>
      <x:c r="AJ121" t="str">
        <x:f>IF(Calc!$AG$121&gt;'Calc'!$B$8,"",IF('Calc'!$E$16=1,'财富模型'!$E$9,'财富模型'!$M$8+IF(Calc!$AG$121&lt;='财富模型'!$E$11*12,'Calc'!$W$16,'Calc'!$Y$16)-(IF('Calc'!$E$16=1,0,MIN(Calc!$AI$120*(1+'财富模型'!$E$20/12)+'Calc'!$B$6,IF(Calc!$AG$121&lt;='财富模型'!$E$11*12,'Calc'!$W$16,'Calc'!$Y$16))))))</x:f>
      </x:c>
      <x:c r="AK121" t="str">
        <x:f>IF(Calc!$AG$121&gt;'Calc'!$B$8,"",IF('Calc'!$E$16=1,0,MIN(Calc!$AI$120*(1+'财富模型'!$E$20/12)+'Calc'!$B$6,IF(Calc!$AG$121&lt;='财富模型'!$E$11*12,'Calc'!$W$16,'Calc'!$Y$16))))</x:f>
      </x:c>
      <x:c r="AL121" t="str">
        <x:f>IF(Calc!$AG$121&gt;'Calc'!$B$8,"",'Calc'!$B$5-'财富模型'!$E$5-(IF('Calc'!$E$16=1,'财富模型'!$E$9,'财富模型'!$M$8+IF(Calc!$AG$121&lt;='财富模型'!$E$11*12,'Calc'!$W$16,'Calc'!$Y$16)-(IF('Calc'!$E$16=1,0,MIN(Calc!$AI$120*(1+'财富模型'!$E$20/12)+'Calc'!$B$6,IF(Calc!$AG$121&lt;='财富模型'!$E$11*12,'Calc'!$W$16,'Calc'!$Y$16)))))))</x:f>
      </x:c>
      <x:c r="AM121" t="str">
        <x:f>IF(Calc!$AG$121&gt;'Calc'!$B$8,"",IF('Calc'!$E$16=1,0,MAX(Calc!$AM$120*(1+IF(Calc!$AG$121&lt;='财富模型'!$E$11*12,'财富模型'!$E$10,'财富模型'!$E$12)/12)-IF('Calc'!$E$16=1,0,IF(Calc!$AG$121&lt;='财富模型'!$E$11*12,'Calc'!$W$16,'Calc'!$Y$16)),0)))</x:f>
      </x:c>
      <x:c r="AO121" t="n">
        <x:v>100</x:v>
      </x:c>
      <x:c r="AP121" t="str">
        <x:f>IF(Calc!$AO$121&gt;'Calc'!$B$8,"",MAX(Calc!$AP$120*(1+'财富模型'!$E$6/12)+('Calc'!$B$5-'财富模型'!$E$5-(IF('Calc'!$E$17=1,'财富模型'!$E$9,'财富模型'!$M$9+IF(Calc!$AO$121&lt;='财富模型'!$E$11*12,'Calc'!$W$17,'Calc'!$Y$17)-(IF('Calc'!$E$17=1,0,MIN(Calc!$AQ$120*(1+'财富模型'!$E$20/12)+'Calc'!$B$6,IF(Calc!$AO$121&lt;='财富模型'!$E$11*12,'Calc'!$W$17,'Calc'!$Y$17))))))),0))</x:f>
      </x:c>
      <x:c r="AQ121" t="str">
        <x:f>IF(Calc!$AO$121&gt;'Calc'!$B$8,"",MAX(Calc!$AQ$120*(1+'财富模型'!$E$20/12)+'Calc'!$B$6-(IF('Calc'!$E$17=1,0,MIN(Calc!$AQ$120*(1+'财富模型'!$E$20/12)+'Calc'!$B$6,IF(Calc!$AO$121&lt;='财富模型'!$E$11*12,'Calc'!$W$17,'Calc'!$Y$17)))),0))</x:f>
      </x:c>
      <x:c r="AR121" t="str">
        <x:f>IF(Calc!$AO$121&gt;'Calc'!$B$8,"",IF('Calc'!$E$17=1,'财富模型'!$E$9,'财富模型'!$M$9+IF(Calc!$AO$121&lt;='财富模型'!$E$11*12,'Calc'!$W$17,'Calc'!$Y$17)-(IF('Calc'!$E$17=1,0,MIN(Calc!$AQ$120*(1+'财富模型'!$E$20/12)+'Calc'!$B$6,IF(Calc!$AO$121&lt;='财富模型'!$E$11*12,'Calc'!$W$17,'Calc'!$Y$17))))))</x:f>
      </x:c>
      <x:c r="AS121" t="str">
        <x:f>IF(Calc!$AO$121&gt;'Calc'!$B$8,"",IF('Calc'!$E$17=1,0,MIN(Calc!$AQ$120*(1+'财富模型'!$E$20/12)+'Calc'!$B$6,IF(Calc!$AO$121&lt;='财富模型'!$E$11*12,'Calc'!$W$17,'Calc'!$Y$17))))</x:f>
      </x:c>
      <x:c r="AT121" t="str">
        <x:f>IF(Calc!$AO$121&gt;'Calc'!$B$8,"",'Calc'!$B$5-'财富模型'!$E$5-(IF('Calc'!$E$17=1,'财富模型'!$E$9,'财富模型'!$M$9+IF(Calc!$AO$121&lt;='财富模型'!$E$11*12,'Calc'!$W$17,'Calc'!$Y$17)-(IF('Calc'!$E$17=1,0,MIN(Calc!$AQ$120*(1+'财富模型'!$E$20/12)+'Calc'!$B$6,IF(Calc!$AO$121&lt;='财富模型'!$E$11*12,'Calc'!$W$17,'Calc'!$Y$17)))))))</x:f>
      </x:c>
      <x:c r="AU121" t="str">
        <x:f>IF(Calc!$AO$121&gt;'Calc'!$B$8,"",IF('Calc'!$E$17=1,0,MAX(Calc!$AU$120*(1+IF(Calc!$AO$121&lt;='财富模型'!$E$11*12,'财富模型'!$E$10,'财富模型'!$E$12)/12)-IF('Calc'!$E$17=1,0,IF(Calc!$AO$121&lt;='财富模型'!$E$11*12,'Calc'!$W$17,'Calc'!$Y$17)),0)))</x:f>
      </x:c>
    </x:row>
    <x:row r="122">
      <x:c r="A122" t="n">
        <x:v>101</x:v>
      </x:c>
      <x:c r="B122" t="str">
        <x:f>IF(Calc!$A$122&gt;'Calc'!$B$8,"",MAX(Calc!$B$121*(1+'财富模型'!$E$6/12)+('Calc'!$B$5-'财富模型'!$E$5-(IF('Calc'!$E$12=1,'财富模型'!$E$9,'财富模型'!$M$4+IF(Calc!$A$122&lt;='财富模型'!$E$11*12,'Calc'!$W$12,'Calc'!$Y$12)-(IF('Calc'!$E$12=1,0,MIN(Calc!$C$121*(1+'财富模型'!$E$20/12)+'Calc'!$B$6,IF(Calc!$A$122&lt;='财富模型'!$E$11*12,'Calc'!$W$12,'Calc'!$Y$12))))))),0))</x:f>
      </x:c>
      <x:c r="C122" t="str">
        <x:f>IF(Calc!$A$122&gt;'Calc'!$B$8,"",MAX(Calc!$C$121*(1+'财富模型'!$E$20/12)+'Calc'!$B$6-(IF('Calc'!$E$12=1,0,MIN(Calc!$C$121*(1+'财富模型'!$E$20/12)+'Calc'!$B$6,IF(Calc!$A$122&lt;='财富模型'!$E$11*12,'Calc'!$W$12,'Calc'!$Y$12)))),0))</x:f>
      </x:c>
      <x:c r="D122" t="str">
        <x:f>IF(Calc!$A$122&gt;'Calc'!$B$8,"",IF('Calc'!$E$12=1,'财富模型'!$E$9,'财富模型'!$M$4+IF(Calc!$A$122&lt;='财富模型'!$E$11*12,'Calc'!$W$12,'Calc'!$Y$12)-(IF('Calc'!$E$12=1,0,MIN(Calc!$C$121*(1+'财富模型'!$E$20/12)+'Calc'!$B$6,IF(Calc!$A$122&lt;='财富模型'!$E$11*12,'Calc'!$W$12,'Calc'!$Y$12))))))</x:f>
      </x:c>
      <x:c r="E122" t="str">
        <x:f>IF(Calc!$A$122&gt;'Calc'!$B$8,"",IF('Calc'!$E$12=1,0,MIN(Calc!$C$121*(1+'财富模型'!$E$20/12)+'Calc'!$B$6,IF(Calc!$A$122&lt;='财富模型'!$E$11*12,'Calc'!$W$12,'Calc'!$Y$12))))</x:f>
      </x:c>
      <x:c r="F122" t="str">
        <x:f>IF(Calc!$A$122&gt;'Calc'!$B$8,"",'Calc'!$B$5-'财富模型'!$E$5-(IF('Calc'!$E$12=1,'财富模型'!$E$9,'财富模型'!$M$4+IF(Calc!$A$122&lt;='财富模型'!$E$11*12,'Calc'!$W$12,'Calc'!$Y$12)-(IF('Calc'!$E$12=1,0,MIN(Calc!$C$121*(1+'财富模型'!$E$20/12)+'Calc'!$B$6,IF(Calc!$A$122&lt;='财富模型'!$E$11*12,'Calc'!$W$12,'Calc'!$Y$12)))))))</x:f>
      </x:c>
      <x:c r="G122" t="str">
        <x:f>IF(Calc!$A$122&gt;'Calc'!$B$8,"",IF('Calc'!$E$12=1,0,MAX(Calc!$G$121*(1+IF(Calc!$A$122&lt;='财富模型'!$E$11*12,'财富模型'!$E$10,'财富模型'!$E$12)/12)-IF('Calc'!$E$12=1,0,IF(Calc!$A$122&lt;='财富模型'!$E$11*12,'Calc'!$W$12,'Calc'!$Y$12)),0)))</x:f>
      </x:c>
      <x:c r="I122" t="n">
        <x:v>101</x:v>
      </x:c>
      <x:c r="J122" t="str">
        <x:f>IF(Calc!$I$122&gt;'Calc'!$B$8,"",MAX(Calc!$J$121*(1+'财富模型'!$E$6/12)+('Calc'!$B$5-'财富模型'!$E$5-(IF('Calc'!$E$13=1,'财富模型'!$E$9,'财富模型'!$M$5+IF(Calc!$I$122&lt;='财富模型'!$E$11*12,'Calc'!$W$13,'Calc'!$Y$13)-(IF('Calc'!$E$13=1,0,MIN(Calc!$K$121*(1+'财富模型'!$E$20/12)+'Calc'!$B$6,IF(Calc!$I$122&lt;='财富模型'!$E$11*12,'Calc'!$W$13,'Calc'!$Y$13))))))),0))</x:f>
      </x:c>
      <x:c r="K122" t="str">
        <x:f>IF(Calc!$I$122&gt;'Calc'!$B$8,"",MAX(Calc!$K$121*(1+'财富模型'!$E$20/12)+'Calc'!$B$6-(IF('Calc'!$E$13=1,0,MIN(Calc!$K$121*(1+'财富模型'!$E$20/12)+'Calc'!$B$6,IF(Calc!$I$122&lt;='财富模型'!$E$11*12,'Calc'!$W$13,'Calc'!$Y$13)))),0))</x:f>
      </x:c>
      <x:c r="L122" t="str">
        <x:f>IF(Calc!$I$122&gt;'Calc'!$B$8,"",IF('Calc'!$E$13=1,'财富模型'!$E$9,'财富模型'!$M$5+IF(Calc!$I$122&lt;='财富模型'!$E$11*12,'Calc'!$W$13,'Calc'!$Y$13)-(IF('Calc'!$E$13=1,0,MIN(Calc!$K$121*(1+'财富模型'!$E$20/12)+'Calc'!$B$6,IF(Calc!$I$122&lt;='财富模型'!$E$11*12,'Calc'!$W$13,'Calc'!$Y$13))))))</x:f>
      </x:c>
      <x:c r="M122" t="str">
        <x:f>IF(Calc!$I$122&gt;'Calc'!$B$8,"",IF('Calc'!$E$13=1,0,MIN(Calc!$K$121*(1+'财富模型'!$E$20/12)+'Calc'!$B$6,IF(Calc!$I$122&lt;='财富模型'!$E$11*12,'Calc'!$W$13,'Calc'!$Y$13))))</x:f>
      </x:c>
      <x:c r="N122" t="str">
        <x:f>IF(Calc!$I$122&gt;'Calc'!$B$8,"",'Calc'!$B$5-'财富模型'!$E$5-(IF('Calc'!$E$13=1,'财富模型'!$E$9,'财富模型'!$M$5+IF(Calc!$I$122&lt;='财富模型'!$E$11*12,'Calc'!$W$13,'Calc'!$Y$13)-(IF('Calc'!$E$13=1,0,MIN(Calc!$K$121*(1+'财富模型'!$E$20/12)+'Calc'!$B$6,IF(Calc!$I$122&lt;='财富模型'!$E$11*12,'Calc'!$W$13,'Calc'!$Y$13)))))))</x:f>
      </x:c>
      <x:c r="O122" t="str">
        <x:f>IF(Calc!$I$122&gt;'Calc'!$B$8,"",IF('Calc'!$E$13=1,0,MAX(Calc!$O$121*(1+IF(Calc!$I$122&lt;='财富模型'!$E$11*12,'财富模型'!$E$10,'财富模型'!$E$12)/12)-IF('Calc'!$E$13=1,0,IF(Calc!$I$122&lt;='财富模型'!$E$11*12,'Calc'!$W$13,'Calc'!$Y$13)),0)))</x:f>
      </x:c>
      <x:c r="Q122" t="n">
        <x:v>101</x:v>
      </x:c>
      <x:c r="R122" t="str">
        <x:f>IF(Calc!$Q$122&gt;'Calc'!$B$8,"",MAX(Calc!$R$121*(1+'财富模型'!$E$6/12)+('Calc'!$B$5-'财富模型'!$E$5-(IF('Calc'!$E$14=1,'财富模型'!$E$9,'财富模型'!$M$6+IF(Calc!$Q$122&lt;='财富模型'!$E$11*12,'Calc'!$W$14,'Calc'!$Y$14)-(IF('Calc'!$E$14=1,0,MIN(Calc!$S$121*(1+'财富模型'!$E$20/12)+'Calc'!$B$6,IF(Calc!$Q$122&lt;='财富模型'!$E$11*12,'Calc'!$W$14,'Calc'!$Y$14))))))),0))</x:f>
      </x:c>
      <x:c r="S122" t="str">
        <x:f>IF(Calc!$Q$122&gt;'Calc'!$B$8,"",MAX(Calc!$S$121*(1+'财富模型'!$E$20/12)+'Calc'!$B$6-(IF('Calc'!$E$14=1,0,MIN(Calc!$S$121*(1+'财富模型'!$E$20/12)+'Calc'!$B$6,IF(Calc!$Q$122&lt;='财富模型'!$E$11*12,'Calc'!$W$14,'Calc'!$Y$14)))),0))</x:f>
      </x:c>
      <x:c r="T122" t="str">
        <x:f>IF(Calc!$Q$122&gt;'Calc'!$B$8,"",IF('Calc'!$E$14=1,'财富模型'!$E$9,'财富模型'!$M$6+IF(Calc!$Q$122&lt;='财富模型'!$E$11*12,'Calc'!$W$14,'Calc'!$Y$14)-(IF('Calc'!$E$14=1,0,MIN(Calc!$S$121*(1+'财富模型'!$E$20/12)+'Calc'!$B$6,IF(Calc!$Q$122&lt;='财富模型'!$E$11*12,'Calc'!$W$14,'Calc'!$Y$14))))))</x:f>
      </x:c>
      <x:c r="U122" t="str">
        <x:f>IF(Calc!$Q$122&gt;'Calc'!$B$8,"",IF('Calc'!$E$14=1,0,MIN(Calc!$S$121*(1+'财富模型'!$E$20/12)+'Calc'!$B$6,IF(Calc!$Q$122&lt;='财富模型'!$E$11*12,'Calc'!$W$14,'Calc'!$Y$14))))</x:f>
      </x:c>
      <x:c r="V122" t="str">
        <x:f>IF(Calc!$Q$122&gt;'Calc'!$B$8,"",'Calc'!$B$5-'财富模型'!$E$5-(IF('Calc'!$E$14=1,'财富模型'!$E$9,'财富模型'!$M$6+IF(Calc!$Q$122&lt;='财富模型'!$E$11*12,'Calc'!$W$14,'Calc'!$Y$14)-(IF('Calc'!$E$14=1,0,MIN(Calc!$S$121*(1+'财富模型'!$E$20/12)+'Calc'!$B$6,IF(Calc!$Q$122&lt;='财富模型'!$E$11*12,'Calc'!$W$14,'Calc'!$Y$14)))))))</x:f>
      </x:c>
      <x:c r="W122" t="str">
        <x:f>IF(Calc!$Q$122&gt;'Calc'!$B$8,"",IF('Calc'!$E$14=1,0,MAX(Calc!$W$121*(1+IF(Calc!$Q$122&lt;='财富模型'!$E$11*12,'财富模型'!$E$10,'财富模型'!$E$12)/12)-IF('Calc'!$E$14=1,0,IF(Calc!$Q$122&lt;='财富模型'!$E$11*12,'Calc'!$W$14,'Calc'!$Y$14)),0)))</x:f>
      </x:c>
      <x:c r="Y122" t="n">
        <x:v>101</x:v>
      </x:c>
      <x:c r="Z122" t="str">
        <x:f>IF(Calc!$Y$122&gt;'Calc'!$B$8,"",MAX(Calc!$Z$121*(1+'财富模型'!$E$6/12)+('Calc'!$B$5-'财富模型'!$E$5-(IF('Calc'!$E$15=1,'财富模型'!$E$9,'财富模型'!$M$7+IF(Calc!$Y$122&lt;='财富模型'!$E$11*12,'Calc'!$W$15,'Calc'!$Y$15)-(IF('Calc'!$E$15=1,0,MIN(Calc!$AA$121*(1+'财富模型'!$E$20/12)+'Calc'!$B$6,IF(Calc!$Y$122&lt;='财富模型'!$E$11*12,'Calc'!$W$15,'Calc'!$Y$15))))))),0))</x:f>
      </x:c>
      <x:c r="AA122" t="str">
        <x:f>IF(Calc!$Y$122&gt;'Calc'!$B$8,"",MAX(Calc!$AA$121*(1+'财富模型'!$E$20/12)+'Calc'!$B$6-(IF('Calc'!$E$15=1,0,MIN(Calc!$AA$121*(1+'财富模型'!$E$20/12)+'Calc'!$B$6,IF(Calc!$Y$122&lt;='财富模型'!$E$11*12,'Calc'!$W$15,'Calc'!$Y$15)))),0))</x:f>
      </x:c>
      <x:c r="AB122" t="str">
        <x:f>IF(Calc!$Y$122&gt;'Calc'!$B$8,"",IF('Calc'!$E$15=1,'财富模型'!$E$9,'财富模型'!$M$7+IF(Calc!$Y$122&lt;='财富模型'!$E$11*12,'Calc'!$W$15,'Calc'!$Y$15)-(IF('Calc'!$E$15=1,0,MIN(Calc!$AA$121*(1+'财富模型'!$E$20/12)+'Calc'!$B$6,IF(Calc!$Y$122&lt;='财富模型'!$E$11*12,'Calc'!$W$15,'Calc'!$Y$15))))))</x:f>
      </x:c>
      <x:c r="AC122" t="str">
        <x:f>IF(Calc!$Y$122&gt;'Calc'!$B$8,"",IF('Calc'!$E$15=1,0,MIN(Calc!$AA$121*(1+'财富模型'!$E$20/12)+'Calc'!$B$6,IF(Calc!$Y$122&lt;='财富模型'!$E$11*12,'Calc'!$W$15,'Calc'!$Y$15))))</x:f>
      </x:c>
      <x:c r="AD122" t="str">
        <x:f>IF(Calc!$Y$122&gt;'Calc'!$B$8,"",'Calc'!$B$5-'财富模型'!$E$5-(IF('Calc'!$E$15=1,'财富模型'!$E$9,'财富模型'!$M$7+IF(Calc!$Y$122&lt;='财富模型'!$E$11*12,'Calc'!$W$15,'Calc'!$Y$15)-(IF('Calc'!$E$15=1,0,MIN(Calc!$AA$121*(1+'财富模型'!$E$20/12)+'Calc'!$B$6,IF(Calc!$Y$122&lt;='财富模型'!$E$11*12,'Calc'!$W$15,'Calc'!$Y$15)))))))</x:f>
      </x:c>
      <x:c r="AE122" t="str">
        <x:f>IF(Calc!$Y$122&gt;'Calc'!$B$8,"",IF('Calc'!$E$15=1,0,MAX(Calc!$AE$121*(1+IF(Calc!$Y$122&lt;='财富模型'!$E$11*12,'财富模型'!$E$10,'财富模型'!$E$12)/12)-IF('Calc'!$E$15=1,0,IF(Calc!$Y$122&lt;='财富模型'!$E$11*12,'Calc'!$W$15,'Calc'!$Y$15)),0)))</x:f>
      </x:c>
      <x:c r="AG122" t="n">
        <x:v>101</x:v>
      </x:c>
      <x:c r="AH122" t="str">
        <x:f>IF(Calc!$AG$122&gt;'Calc'!$B$8,"",MAX(Calc!$AH$121*(1+'财富模型'!$E$6/12)+('Calc'!$B$5-'财富模型'!$E$5-(IF('Calc'!$E$16=1,'财富模型'!$E$9,'财富模型'!$M$8+IF(Calc!$AG$122&lt;='财富模型'!$E$11*12,'Calc'!$W$16,'Calc'!$Y$16)-(IF('Calc'!$E$16=1,0,MIN(Calc!$AI$121*(1+'财富模型'!$E$20/12)+'Calc'!$B$6,IF(Calc!$AG$122&lt;='财富模型'!$E$11*12,'Calc'!$W$16,'Calc'!$Y$16))))))),0))</x:f>
      </x:c>
      <x:c r="AI122" t="str">
        <x:f>IF(Calc!$AG$122&gt;'Calc'!$B$8,"",MAX(Calc!$AI$121*(1+'财富模型'!$E$20/12)+'Calc'!$B$6-(IF('Calc'!$E$16=1,0,MIN(Calc!$AI$121*(1+'财富模型'!$E$20/12)+'Calc'!$B$6,IF(Calc!$AG$122&lt;='财富模型'!$E$11*12,'Calc'!$W$16,'Calc'!$Y$16)))),0))</x:f>
      </x:c>
      <x:c r="AJ122" t="str">
        <x:f>IF(Calc!$AG$122&gt;'Calc'!$B$8,"",IF('Calc'!$E$16=1,'财富模型'!$E$9,'财富模型'!$M$8+IF(Calc!$AG$122&lt;='财富模型'!$E$11*12,'Calc'!$W$16,'Calc'!$Y$16)-(IF('Calc'!$E$16=1,0,MIN(Calc!$AI$121*(1+'财富模型'!$E$20/12)+'Calc'!$B$6,IF(Calc!$AG$122&lt;='财富模型'!$E$11*12,'Calc'!$W$16,'Calc'!$Y$16))))))</x:f>
      </x:c>
      <x:c r="AK122" t="str">
        <x:f>IF(Calc!$AG$122&gt;'Calc'!$B$8,"",IF('Calc'!$E$16=1,0,MIN(Calc!$AI$121*(1+'财富模型'!$E$20/12)+'Calc'!$B$6,IF(Calc!$AG$122&lt;='财富模型'!$E$11*12,'Calc'!$W$16,'Calc'!$Y$16))))</x:f>
      </x:c>
      <x:c r="AL122" t="str">
        <x:f>IF(Calc!$AG$122&gt;'Calc'!$B$8,"",'Calc'!$B$5-'财富模型'!$E$5-(IF('Calc'!$E$16=1,'财富模型'!$E$9,'财富模型'!$M$8+IF(Calc!$AG$122&lt;='财富模型'!$E$11*12,'Calc'!$W$16,'Calc'!$Y$16)-(IF('Calc'!$E$16=1,0,MIN(Calc!$AI$121*(1+'财富模型'!$E$20/12)+'Calc'!$B$6,IF(Calc!$AG$122&lt;='财富模型'!$E$11*12,'Calc'!$W$16,'Calc'!$Y$16)))))))</x:f>
      </x:c>
      <x:c r="AM122" t="str">
        <x:f>IF(Calc!$AG$122&gt;'Calc'!$B$8,"",IF('Calc'!$E$16=1,0,MAX(Calc!$AM$121*(1+IF(Calc!$AG$122&lt;='财富模型'!$E$11*12,'财富模型'!$E$10,'财富模型'!$E$12)/12)-IF('Calc'!$E$16=1,0,IF(Calc!$AG$122&lt;='财富模型'!$E$11*12,'Calc'!$W$16,'Calc'!$Y$16)),0)))</x:f>
      </x:c>
      <x:c r="AO122" t="n">
        <x:v>101</x:v>
      </x:c>
      <x:c r="AP122" t="str">
        <x:f>IF(Calc!$AO$122&gt;'Calc'!$B$8,"",MAX(Calc!$AP$121*(1+'财富模型'!$E$6/12)+('Calc'!$B$5-'财富模型'!$E$5-(IF('Calc'!$E$17=1,'财富模型'!$E$9,'财富模型'!$M$9+IF(Calc!$AO$122&lt;='财富模型'!$E$11*12,'Calc'!$W$17,'Calc'!$Y$17)-(IF('Calc'!$E$17=1,0,MIN(Calc!$AQ$121*(1+'财富模型'!$E$20/12)+'Calc'!$B$6,IF(Calc!$AO$122&lt;='财富模型'!$E$11*12,'Calc'!$W$17,'Calc'!$Y$17))))))),0))</x:f>
      </x:c>
      <x:c r="AQ122" t="str">
        <x:f>IF(Calc!$AO$122&gt;'Calc'!$B$8,"",MAX(Calc!$AQ$121*(1+'财富模型'!$E$20/12)+'Calc'!$B$6-(IF('Calc'!$E$17=1,0,MIN(Calc!$AQ$121*(1+'财富模型'!$E$20/12)+'Calc'!$B$6,IF(Calc!$AO$122&lt;='财富模型'!$E$11*12,'Calc'!$W$17,'Calc'!$Y$17)))),0))</x:f>
      </x:c>
      <x:c r="AR122" t="str">
        <x:f>IF(Calc!$AO$122&gt;'Calc'!$B$8,"",IF('Calc'!$E$17=1,'财富模型'!$E$9,'财富模型'!$M$9+IF(Calc!$AO$122&lt;='财富模型'!$E$11*12,'Calc'!$W$17,'Calc'!$Y$17)-(IF('Calc'!$E$17=1,0,MIN(Calc!$AQ$121*(1+'财富模型'!$E$20/12)+'Calc'!$B$6,IF(Calc!$AO$122&lt;='财富模型'!$E$11*12,'Calc'!$W$17,'Calc'!$Y$17))))))</x:f>
      </x:c>
      <x:c r="AS122" t="str">
        <x:f>IF(Calc!$AO$122&gt;'Calc'!$B$8,"",IF('Calc'!$E$17=1,0,MIN(Calc!$AQ$121*(1+'财富模型'!$E$20/12)+'Calc'!$B$6,IF(Calc!$AO$122&lt;='财富模型'!$E$11*12,'Calc'!$W$17,'Calc'!$Y$17))))</x:f>
      </x:c>
      <x:c r="AT122" t="str">
        <x:f>IF(Calc!$AO$122&gt;'Calc'!$B$8,"",'Calc'!$B$5-'财富模型'!$E$5-(IF('Calc'!$E$17=1,'财富模型'!$E$9,'财富模型'!$M$9+IF(Calc!$AO$122&lt;='财富模型'!$E$11*12,'Calc'!$W$17,'Calc'!$Y$17)-(IF('Calc'!$E$17=1,0,MIN(Calc!$AQ$121*(1+'财富模型'!$E$20/12)+'Calc'!$B$6,IF(Calc!$AO$122&lt;='财富模型'!$E$11*12,'Calc'!$W$17,'Calc'!$Y$17)))))))</x:f>
      </x:c>
      <x:c r="AU122" t="str">
        <x:f>IF(Calc!$AO$122&gt;'Calc'!$B$8,"",IF('Calc'!$E$17=1,0,MAX(Calc!$AU$121*(1+IF(Calc!$AO$122&lt;='财富模型'!$E$11*12,'财富模型'!$E$10,'财富模型'!$E$12)/12)-IF('Calc'!$E$17=1,0,IF(Calc!$AO$122&lt;='财富模型'!$E$11*12,'Calc'!$W$17,'Calc'!$Y$17)),0)))</x:f>
      </x:c>
    </x:row>
    <x:row r="123">
      <x:c r="A123" t="n">
        <x:v>102</x:v>
      </x:c>
      <x:c r="B123" t="str">
        <x:f>IF(Calc!$A$123&gt;'Calc'!$B$8,"",MAX(Calc!$B$122*(1+'财富模型'!$E$6/12)+('Calc'!$B$5-'财富模型'!$E$5-(IF('Calc'!$E$12=1,'财富模型'!$E$9,'财富模型'!$M$4+IF(Calc!$A$123&lt;='财富模型'!$E$11*12,'Calc'!$W$12,'Calc'!$Y$12)-(IF('Calc'!$E$12=1,0,MIN(Calc!$C$122*(1+'财富模型'!$E$20/12)+'Calc'!$B$6,IF(Calc!$A$123&lt;='财富模型'!$E$11*12,'Calc'!$W$12,'Calc'!$Y$12))))))),0))</x:f>
      </x:c>
      <x:c r="C123" t="str">
        <x:f>IF(Calc!$A$123&gt;'Calc'!$B$8,"",MAX(Calc!$C$122*(1+'财富模型'!$E$20/12)+'Calc'!$B$6-(IF('Calc'!$E$12=1,0,MIN(Calc!$C$122*(1+'财富模型'!$E$20/12)+'Calc'!$B$6,IF(Calc!$A$123&lt;='财富模型'!$E$11*12,'Calc'!$W$12,'Calc'!$Y$12)))),0))</x:f>
      </x:c>
      <x:c r="D123" t="str">
        <x:f>IF(Calc!$A$123&gt;'Calc'!$B$8,"",IF('Calc'!$E$12=1,'财富模型'!$E$9,'财富模型'!$M$4+IF(Calc!$A$123&lt;='财富模型'!$E$11*12,'Calc'!$W$12,'Calc'!$Y$12)-(IF('Calc'!$E$12=1,0,MIN(Calc!$C$122*(1+'财富模型'!$E$20/12)+'Calc'!$B$6,IF(Calc!$A$123&lt;='财富模型'!$E$11*12,'Calc'!$W$12,'Calc'!$Y$12))))))</x:f>
      </x:c>
      <x:c r="E123" t="str">
        <x:f>IF(Calc!$A$123&gt;'Calc'!$B$8,"",IF('Calc'!$E$12=1,0,MIN(Calc!$C$122*(1+'财富模型'!$E$20/12)+'Calc'!$B$6,IF(Calc!$A$123&lt;='财富模型'!$E$11*12,'Calc'!$W$12,'Calc'!$Y$12))))</x:f>
      </x:c>
      <x:c r="F123" t="str">
        <x:f>IF(Calc!$A$123&gt;'Calc'!$B$8,"",'Calc'!$B$5-'财富模型'!$E$5-(IF('Calc'!$E$12=1,'财富模型'!$E$9,'财富模型'!$M$4+IF(Calc!$A$123&lt;='财富模型'!$E$11*12,'Calc'!$W$12,'Calc'!$Y$12)-(IF('Calc'!$E$12=1,0,MIN(Calc!$C$122*(1+'财富模型'!$E$20/12)+'Calc'!$B$6,IF(Calc!$A$123&lt;='财富模型'!$E$11*12,'Calc'!$W$12,'Calc'!$Y$12)))))))</x:f>
      </x:c>
      <x:c r="G123" t="str">
        <x:f>IF(Calc!$A$123&gt;'Calc'!$B$8,"",IF('Calc'!$E$12=1,0,MAX(Calc!$G$122*(1+IF(Calc!$A$123&lt;='财富模型'!$E$11*12,'财富模型'!$E$10,'财富模型'!$E$12)/12)-IF('Calc'!$E$12=1,0,IF(Calc!$A$123&lt;='财富模型'!$E$11*12,'Calc'!$W$12,'Calc'!$Y$12)),0)))</x:f>
      </x:c>
      <x:c r="I123" t="n">
        <x:v>102</x:v>
      </x:c>
      <x:c r="J123" t="str">
        <x:f>IF(Calc!$I$123&gt;'Calc'!$B$8,"",MAX(Calc!$J$122*(1+'财富模型'!$E$6/12)+('Calc'!$B$5-'财富模型'!$E$5-(IF('Calc'!$E$13=1,'财富模型'!$E$9,'财富模型'!$M$5+IF(Calc!$I$123&lt;='财富模型'!$E$11*12,'Calc'!$W$13,'Calc'!$Y$13)-(IF('Calc'!$E$13=1,0,MIN(Calc!$K$122*(1+'财富模型'!$E$20/12)+'Calc'!$B$6,IF(Calc!$I$123&lt;='财富模型'!$E$11*12,'Calc'!$W$13,'Calc'!$Y$13))))))),0))</x:f>
      </x:c>
      <x:c r="K123" t="str">
        <x:f>IF(Calc!$I$123&gt;'Calc'!$B$8,"",MAX(Calc!$K$122*(1+'财富模型'!$E$20/12)+'Calc'!$B$6-(IF('Calc'!$E$13=1,0,MIN(Calc!$K$122*(1+'财富模型'!$E$20/12)+'Calc'!$B$6,IF(Calc!$I$123&lt;='财富模型'!$E$11*12,'Calc'!$W$13,'Calc'!$Y$13)))),0))</x:f>
      </x:c>
      <x:c r="L123" t="str">
        <x:f>IF(Calc!$I$123&gt;'Calc'!$B$8,"",IF('Calc'!$E$13=1,'财富模型'!$E$9,'财富模型'!$M$5+IF(Calc!$I$123&lt;='财富模型'!$E$11*12,'Calc'!$W$13,'Calc'!$Y$13)-(IF('Calc'!$E$13=1,0,MIN(Calc!$K$122*(1+'财富模型'!$E$20/12)+'Calc'!$B$6,IF(Calc!$I$123&lt;='财富模型'!$E$11*12,'Calc'!$W$13,'Calc'!$Y$13))))))</x:f>
      </x:c>
      <x:c r="M123" t="str">
        <x:f>IF(Calc!$I$123&gt;'Calc'!$B$8,"",IF('Calc'!$E$13=1,0,MIN(Calc!$K$122*(1+'财富模型'!$E$20/12)+'Calc'!$B$6,IF(Calc!$I$123&lt;='财富模型'!$E$11*12,'Calc'!$W$13,'Calc'!$Y$13))))</x:f>
      </x:c>
      <x:c r="N123" t="str">
        <x:f>IF(Calc!$I$123&gt;'Calc'!$B$8,"",'Calc'!$B$5-'财富模型'!$E$5-(IF('Calc'!$E$13=1,'财富模型'!$E$9,'财富模型'!$M$5+IF(Calc!$I$123&lt;='财富模型'!$E$11*12,'Calc'!$W$13,'Calc'!$Y$13)-(IF('Calc'!$E$13=1,0,MIN(Calc!$K$122*(1+'财富模型'!$E$20/12)+'Calc'!$B$6,IF(Calc!$I$123&lt;='财富模型'!$E$11*12,'Calc'!$W$13,'Calc'!$Y$13)))))))</x:f>
      </x:c>
      <x:c r="O123" t="str">
        <x:f>IF(Calc!$I$123&gt;'Calc'!$B$8,"",IF('Calc'!$E$13=1,0,MAX(Calc!$O$122*(1+IF(Calc!$I$123&lt;='财富模型'!$E$11*12,'财富模型'!$E$10,'财富模型'!$E$12)/12)-IF('Calc'!$E$13=1,0,IF(Calc!$I$123&lt;='财富模型'!$E$11*12,'Calc'!$W$13,'Calc'!$Y$13)),0)))</x:f>
      </x:c>
      <x:c r="Q123" t="n">
        <x:v>102</x:v>
      </x:c>
      <x:c r="R123" t="str">
        <x:f>IF(Calc!$Q$123&gt;'Calc'!$B$8,"",MAX(Calc!$R$122*(1+'财富模型'!$E$6/12)+('Calc'!$B$5-'财富模型'!$E$5-(IF('Calc'!$E$14=1,'财富模型'!$E$9,'财富模型'!$M$6+IF(Calc!$Q$123&lt;='财富模型'!$E$11*12,'Calc'!$W$14,'Calc'!$Y$14)-(IF('Calc'!$E$14=1,0,MIN(Calc!$S$122*(1+'财富模型'!$E$20/12)+'Calc'!$B$6,IF(Calc!$Q$123&lt;='财富模型'!$E$11*12,'Calc'!$W$14,'Calc'!$Y$14))))))),0))</x:f>
      </x:c>
      <x:c r="S123" t="str">
        <x:f>IF(Calc!$Q$123&gt;'Calc'!$B$8,"",MAX(Calc!$S$122*(1+'财富模型'!$E$20/12)+'Calc'!$B$6-(IF('Calc'!$E$14=1,0,MIN(Calc!$S$122*(1+'财富模型'!$E$20/12)+'Calc'!$B$6,IF(Calc!$Q$123&lt;='财富模型'!$E$11*12,'Calc'!$W$14,'Calc'!$Y$14)))),0))</x:f>
      </x:c>
      <x:c r="T123" t="str">
        <x:f>IF(Calc!$Q$123&gt;'Calc'!$B$8,"",IF('Calc'!$E$14=1,'财富模型'!$E$9,'财富模型'!$M$6+IF(Calc!$Q$123&lt;='财富模型'!$E$11*12,'Calc'!$W$14,'Calc'!$Y$14)-(IF('Calc'!$E$14=1,0,MIN(Calc!$S$122*(1+'财富模型'!$E$20/12)+'Calc'!$B$6,IF(Calc!$Q$123&lt;='财富模型'!$E$11*12,'Calc'!$W$14,'Calc'!$Y$14))))))</x:f>
      </x:c>
      <x:c r="U123" t="str">
        <x:f>IF(Calc!$Q$123&gt;'Calc'!$B$8,"",IF('Calc'!$E$14=1,0,MIN(Calc!$S$122*(1+'财富模型'!$E$20/12)+'Calc'!$B$6,IF(Calc!$Q$123&lt;='财富模型'!$E$11*12,'Calc'!$W$14,'Calc'!$Y$14))))</x:f>
      </x:c>
      <x:c r="V123" t="str">
        <x:f>IF(Calc!$Q$123&gt;'Calc'!$B$8,"",'Calc'!$B$5-'财富模型'!$E$5-(IF('Calc'!$E$14=1,'财富模型'!$E$9,'财富模型'!$M$6+IF(Calc!$Q$123&lt;='财富模型'!$E$11*12,'Calc'!$W$14,'Calc'!$Y$14)-(IF('Calc'!$E$14=1,0,MIN(Calc!$S$122*(1+'财富模型'!$E$20/12)+'Calc'!$B$6,IF(Calc!$Q$123&lt;='财富模型'!$E$11*12,'Calc'!$W$14,'Calc'!$Y$14)))))))</x:f>
      </x:c>
      <x:c r="W123" t="str">
        <x:f>IF(Calc!$Q$123&gt;'Calc'!$B$8,"",IF('Calc'!$E$14=1,0,MAX(Calc!$W$122*(1+IF(Calc!$Q$123&lt;='财富模型'!$E$11*12,'财富模型'!$E$10,'财富模型'!$E$12)/12)-IF('Calc'!$E$14=1,0,IF(Calc!$Q$123&lt;='财富模型'!$E$11*12,'Calc'!$W$14,'Calc'!$Y$14)),0)))</x:f>
      </x:c>
      <x:c r="Y123" t="n">
        <x:v>102</x:v>
      </x:c>
      <x:c r="Z123" t="str">
        <x:f>IF(Calc!$Y$123&gt;'Calc'!$B$8,"",MAX(Calc!$Z$122*(1+'财富模型'!$E$6/12)+('Calc'!$B$5-'财富模型'!$E$5-(IF('Calc'!$E$15=1,'财富模型'!$E$9,'财富模型'!$M$7+IF(Calc!$Y$123&lt;='财富模型'!$E$11*12,'Calc'!$W$15,'Calc'!$Y$15)-(IF('Calc'!$E$15=1,0,MIN(Calc!$AA$122*(1+'财富模型'!$E$20/12)+'Calc'!$B$6,IF(Calc!$Y$123&lt;='财富模型'!$E$11*12,'Calc'!$W$15,'Calc'!$Y$15))))))),0))</x:f>
      </x:c>
      <x:c r="AA123" t="str">
        <x:f>IF(Calc!$Y$123&gt;'Calc'!$B$8,"",MAX(Calc!$AA$122*(1+'财富模型'!$E$20/12)+'Calc'!$B$6-(IF('Calc'!$E$15=1,0,MIN(Calc!$AA$122*(1+'财富模型'!$E$20/12)+'Calc'!$B$6,IF(Calc!$Y$123&lt;='财富模型'!$E$11*12,'Calc'!$W$15,'Calc'!$Y$15)))),0))</x:f>
      </x:c>
      <x:c r="AB123" t="str">
        <x:f>IF(Calc!$Y$123&gt;'Calc'!$B$8,"",IF('Calc'!$E$15=1,'财富模型'!$E$9,'财富模型'!$M$7+IF(Calc!$Y$123&lt;='财富模型'!$E$11*12,'Calc'!$W$15,'Calc'!$Y$15)-(IF('Calc'!$E$15=1,0,MIN(Calc!$AA$122*(1+'财富模型'!$E$20/12)+'Calc'!$B$6,IF(Calc!$Y$123&lt;='财富模型'!$E$11*12,'Calc'!$W$15,'Calc'!$Y$15))))))</x:f>
      </x:c>
      <x:c r="AC123" t="str">
        <x:f>IF(Calc!$Y$123&gt;'Calc'!$B$8,"",IF('Calc'!$E$15=1,0,MIN(Calc!$AA$122*(1+'财富模型'!$E$20/12)+'Calc'!$B$6,IF(Calc!$Y$123&lt;='财富模型'!$E$11*12,'Calc'!$W$15,'Calc'!$Y$15))))</x:f>
      </x:c>
      <x:c r="AD123" t="str">
        <x:f>IF(Calc!$Y$123&gt;'Calc'!$B$8,"",'Calc'!$B$5-'财富模型'!$E$5-(IF('Calc'!$E$15=1,'财富模型'!$E$9,'财富模型'!$M$7+IF(Calc!$Y$123&lt;='财富模型'!$E$11*12,'Calc'!$W$15,'Calc'!$Y$15)-(IF('Calc'!$E$15=1,0,MIN(Calc!$AA$122*(1+'财富模型'!$E$20/12)+'Calc'!$B$6,IF(Calc!$Y$123&lt;='财富模型'!$E$11*12,'Calc'!$W$15,'Calc'!$Y$15)))))))</x:f>
      </x:c>
      <x:c r="AE123" t="str">
        <x:f>IF(Calc!$Y$123&gt;'Calc'!$B$8,"",IF('Calc'!$E$15=1,0,MAX(Calc!$AE$122*(1+IF(Calc!$Y$123&lt;='财富模型'!$E$11*12,'财富模型'!$E$10,'财富模型'!$E$12)/12)-IF('Calc'!$E$15=1,0,IF(Calc!$Y$123&lt;='财富模型'!$E$11*12,'Calc'!$W$15,'Calc'!$Y$15)),0)))</x:f>
      </x:c>
      <x:c r="AG123" t="n">
        <x:v>102</x:v>
      </x:c>
      <x:c r="AH123" t="str">
        <x:f>IF(Calc!$AG$123&gt;'Calc'!$B$8,"",MAX(Calc!$AH$122*(1+'财富模型'!$E$6/12)+('Calc'!$B$5-'财富模型'!$E$5-(IF('Calc'!$E$16=1,'财富模型'!$E$9,'财富模型'!$M$8+IF(Calc!$AG$123&lt;='财富模型'!$E$11*12,'Calc'!$W$16,'Calc'!$Y$16)-(IF('Calc'!$E$16=1,0,MIN(Calc!$AI$122*(1+'财富模型'!$E$20/12)+'Calc'!$B$6,IF(Calc!$AG$123&lt;='财富模型'!$E$11*12,'Calc'!$W$16,'Calc'!$Y$16))))))),0))</x:f>
      </x:c>
      <x:c r="AI123" t="str">
        <x:f>IF(Calc!$AG$123&gt;'Calc'!$B$8,"",MAX(Calc!$AI$122*(1+'财富模型'!$E$20/12)+'Calc'!$B$6-(IF('Calc'!$E$16=1,0,MIN(Calc!$AI$122*(1+'财富模型'!$E$20/12)+'Calc'!$B$6,IF(Calc!$AG$123&lt;='财富模型'!$E$11*12,'Calc'!$W$16,'Calc'!$Y$16)))),0))</x:f>
      </x:c>
      <x:c r="AJ123" t="str">
        <x:f>IF(Calc!$AG$123&gt;'Calc'!$B$8,"",IF('Calc'!$E$16=1,'财富模型'!$E$9,'财富模型'!$M$8+IF(Calc!$AG$123&lt;='财富模型'!$E$11*12,'Calc'!$W$16,'Calc'!$Y$16)-(IF('Calc'!$E$16=1,0,MIN(Calc!$AI$122*(1+'财富模型'!$E$20/12)+'Calc'!$B$6,IF(Calc!$AG$123&lt;='财富模型'!$E$11*12,'Calc'!$W$16,'Calc'!$Y$16))))))</x:f>
      </x:c>
      <x:c r="AK123" t="str">
        <x:f>IF(Calc!$AG$123&gt;'Calc'!$B$8,"",IF('Calc'!$E$16=1,0,MIN(Calc!$AI$122*(1+'财富模型'!$E$20/12)+'Calc'!$B$6,IF(Calc!$AG$123&lt;='财富模型'!$E$11*12,'Calc'!$W$16,'Calc'!$Y$16))))</x:f>
      </x:c>
      <x:c r="AL123" t="str">
        <x:f>IF(Calc!$AG$123&gt;'Calc'!$B$8,"",'Calc'!$B$5-'财富模型'!$E$5-(IF('Calc'!$E$16=1,'财富模型'!$E$9,'财富模型'!$M$8+IF(Calc!$AG$123&lt;='财富模型'!$E$11*12,'Calc'!$W$16,'Calc'!$Y$16)-(IF('Calc'!$E$16=1,0,MIN(Calc!$AI$122*(1+'财富模型'!$E$20/12)+'Calc'!$B$6,IF(Calc!$AG$123&lt;='财富模型'!$E$11*12,'Calc'!$W$16,'Calc'!$Y$16)))))))</x:f>
      </x:c>
      <x:c r="AM123" t="str">
        <x:f>IF(Calc!$AG$123&gt;'Calc'!$B$8,"",IF('Calc'!$E$16=1,0,MAX(Calc!$AM$122*(1+IF(Calc!$AG$123&lt;='财富模型'!$E$11*12,'财富模型'!$E$10,'财富模型'!$E$12)/12)-IF('Calc'!$E$16=1,0,IF(Calc!$AG$123&lt;='财富模型'!$E$11*12,'Calc'!$W$16,'Calc'!$Y$16)),0)))</x:f>
      </x:c>
      <x:c r="AO123" t="n">
        <x:v>102</x:v>
      </x:c>
      <x:c r="AP123" t="str">
        <x:f>IF(Calc!$AO$123&gt;'Calc'!$B$8,"",MAX(Calc!$AP$122*(1+'财富模型'!$E$6/12)+('Calc'!$B$5-'财富模型'!$E$5-(IF('Calc'!$E$17=1,'财富模型'!$E$9,'财富模型'!$M$9+IF(Calc!$AO$123&lt;='财富模型'!$E$11*12,'Calc'!$W$17,'Calc'!$Y$17)-(IF('Calc'!$E$17=1,0,MIN(Calc!$AQ$122*(1+'财富模型'!$E$20/12)+'Calc'!$B$6,IF(Calc!$AO$123&lt;='财富模型'!$E$11*12,'Calc'!$W$17,'Calc'!$Y$17))))))),0))</x:f>
      </x:c>
      <x:c r="AQ123" t="str">
        <x:f>IF(Calc!$AO$123&gt;'Calc'!$B$8,"",MAX(Calc!$AQ$122*(1+'财富模型'!$E$20/12)+'Calc'!$B$6-(IF('Calc'!$E$17=1,0,MIN(Calc!$AQ$122*(1+'财富模型'!$E$20/12)+'Calc'!$B$6,IF(Calc!$AO$123&lt;='财富模型'!$E$11*12,'Calc'!$W$17,'Calc'!$Y$17)))),0))</x:f>
      </x:c>
      <x:c r="AR123" t="str">
        <x:f>IF(Calc!$AO$123&gt;'Calc'!$B$8,"",IF('Calc'!$E$17=1,'财富模型'!$E$9,'财富模型'!$M$9+IF(Calc!$AO$123&lt;='财富模型'!$E$11*12,'Calc'!$W$17,'Calc'!$Y$17)-(IF('Calc'!$E$17=1,0,MIN(Calc!$AQ$122*(1+'财富模型'!$E$20/12)+'Calc'!$B$6,IF(Calc!$AO$123&lt;='财富模型'!$E$11*12,'Calc'!$W$17,'Calc'!$Y$17))))))</x:f>
      </x:c>
      <x:c r="AS123" t="str">
        <x:f>IF(Calc!$AO$123&gt;'Calc'!$B$8,"",IF('Calc'!$E$17=1,0,MIN(Calc!$AQ$122*(1+'财富模型'!$E$20/12)+'Calc'!$B$6,IF(Calc!$AO$123&lt;='财富模型'!$E$11*12,'Calc'!$W$17,'Calc'!$Y$17))))</x:f>
      </x:c>
      <x:c r="AT123" t="str">
        <x:f>IF(Calc!$AO$123&gt;'Calc'!$B$8,"",'Calc'!$B$5-'财富模型'!$E$5-(IF('Calc'!$E$17=1,'财富模型'!$E$9,'财富模型'!$M$9+IF(Calc!$AO$123&lt;='财富模型'!$E$11*12,'Calc'!$W$17,'Calc'!$Y$17)-(IF('Calc'!$E$17=1,0,MIN(Calc!$AQ$122*(1+'财富模型'!$E$20/12)+'Calc'!$B$6,IF(Calc!$AO$123&lt;='财富模型'!$E$11*12,'Calc'!$W$17,'Calc'!$Y$17)))))))</x:f>
      </x:c>
      <x:c r="AU123" t="str">
        <x:f>IF(Calc!$AO$123&gt;'Calc'!$B$8,"",IF('Calc'!$E$17=1,0,MAX(Calc!$AU$122*(1+IF(Calc!$AO$123&lt;='财富模型'!$E$11*12,'财富模型'!$E$10,'财富模型'!$E$12)/12)-IF('Calc'!$E$17=1,0,IF(Calc!$AO$123&lt;='财富模型'!$E$11*12,'Calc'!$W$17,'Calc'!$Y$17)),0)))</x:f>
      </x:c>
    </x:row>
    <x:row r="124">
      <x:c r="A124" t="n">
        <x:v>103</x:v>
      </x:c>
      <x:c r="B124" t="str">
        <x:f>IF(Calc!$A$124&gt;'Calc'!$B$8,"",MAX(Calc!$B$123*(1+'财富模型'!$E$6/12)+('Calc'!$B$5-'财富模型'!$E$5-(IF('Calc'!$E$12=1,'财富模型'!$E$9,'财富模型'!$M$4+IF(Calc!$A$124&lt;='财富模型'!$E$11*12,'Calc'!$W$12,'Calc'!$Y$12)-(IF('Calc'!$E$12=1,0,MIN(Calc!$C$123*(1+'财富模型'!$E$20/12)+'Calc'!$B$6,IF(Calc!$A$124&lt;='财富模型'!$E$11*12,'Calc'!$W$12,'Calc'!$Y$12))))))),0))</x:f>
      </x:c>
      <x:c r="C124" t="str">
        <x:f>IF(Calc!$A$124&gt;'Calc'!$B$8,"",MAX(Calc!$C$123*(1+'财富模型'!$E$20/12)+'Calc'!$B$6-(IF('Calc'!$E$12=1,0,MIN(Calc!$C$123*(1+'财富模型'!$E$20/12)+'Calc'!$B$6,IF(Calc!$A$124&lt;='财富模型'!$E$11*12,'Calc'!$W$12,'Calc'!$Y$12)))),0))</x:f>
      </x:c>
      <x:c r="D124" t="str">
        <x:f>IF(Calc!$A$124&gt;'Calc'!$B$8,"",IF('Calc'!$E$12=1,'财富模型'!$E$9,'财富模型'!$M$4+IF(Calc!$A$124&lt;='财富模型'!$E$11*12,'Calc'!$W$12,'Calc'!$Y$12)-(IF('Calc'!$E$12=1,0,MIN(Calc!$C$123*(1+'财富模型'!$E$20/12)+'Calc'!$B$6,IF(Calc!$A$124&lt;='财富模型'!$E$11*12,'Calc'!$W$12,'Calc'!$Y$12))))))</x:f>
      </x:c>
      <x:c r="E124" t="str">
        <x:f>IF(Calc!$A$124&gt;'Calc'!$B$8,"",IF('Calc'!$E$12=1,0,MIN(Calc!$C$123*(1+'财富模型'!$E$20/12)+'Calc'!$B$6,IF(Calc!$A$124&lt;='财富模型'!$E$11*12,'Calc'!$W$12,'Calc'!$Y$12))))</x:f>
      </x:c>
      <x:c r="F124" t="str">
        <x:f>IF(Calc!$A$124&gt;'Calc'!$B$8,"",'Calc'!$B$5-'财富模型'!$E$5-(IF('Calc'!$E$12=1,'财富模型'!$E$9,'财富模型'!$M$4+IF(Calc!$A$124&lt;='财富模型'!$E$11*12,'Calc'!$W$12,'Calc'!$Y$12)-(IF('Calc'!$E$12=1,0,MIN(Calc!$C$123*(1+'财富模型'!$E$20/12)+'Calc'!$B$6,IF(Calc!$A$124&lt;='财富模型'!$E$11*12,'Calc'!$W$12,'Calc'!$Y$12)))))))</x:f>
      </x:c>
      <x:c r="G124" t="str">
        <x:f>IF(Calc!$A$124&gt;'Calc'!$B$8,"",IF('Calc'!$E$12=1,0,MAX(Calc!$G$123*(1+IF(Calc!$A$124&lt;='财富模型'!$E$11*12,'财富模型'!$E$10,'财富模型'!$E$12)/12)-IF('Calc'!$E$12=1,0,IF(Calc!$A$124&lt;='财富模型'!$E$11*12,'Calc'!$W$12,'Calc'!$Y$12)),0)))</x:f>
      </x:c>
      <x:c r="I124" t="n">
        <x:v>103</x:v>
      </x:c>
      <x:c r="J124" t="str">
        <x:f>IF(Calc!$I$124&gt;'Calc'!$B$8,"",MAX(Calc!$J$123*(1+'财富模型'!$E$6/12)+('Calc'!$B$5-'财富模型'!$E$5-(IF('Calc'!$E$13=1,'财富模型'!$E$9,'财富模型'!$M$5+IF(Calc!$I$124&lt;='财富模型'!$E$11*12,'Calc'!$W$13,'Calc'!$Y$13)-(IF('Calc'!$E$13=1,0,MIN(Calc!$K$123*(1+'财富模型'!$E$20/12)+'Calc'!$B$6,IF(Calc!$I$124&lt;='财富模型'!$E$11*12,'Calc'!$W$13,'Calc'!$Y$13))))))),0))</x:f>
      </x:c>
      <x:c r="K124" t="str">
        <x:f>IF(Calc!$I$124&gt;'Calc'!$B$8,"",MAX(Calc!$K$123*(1+'财富模型'!$E$20/12)+'Calc'!$B$6-(IF('Calc'!$E$13=1,0,MIN(Calc!$K$123*(1+'财富模型'!$E$20/12)+'Calc'!$B$6,IF(Calc!$I$124&lt;='财富模型'!$E$11*12,'Calc'!$W$13,'Calc'!$Y$13)))),0))</x:f>
      </x:c>
      <x:c r="L124" t="str">
        <x:f>IF(Calc!$I$124&gt;'Calc'!$B$8,"",IF('Calc'!$E$13=1,'财富模型'!$E$9,'财富模型'!$M$5+IF(Calc!$I$124&lt;='财富模型'!$E$11*12,'Calc'!$W$13,'Calc'!$Y$13)-(IF('Calc'!$E$13=1,0,MIN(Calc!$K$123*(1+'财富模型'!$E$20/12)+'Calc'!$B$6,IF(Calc!$I$124&lt;='财富模型'!$E$11*12,'Calc'!$W$13,'Calc'!$Y$13))))))</x:f>
      </x:c>
      <x:c r="M124" t="str">
        <x:f>IF(Calc!$I$124&gt;'Calc'!$B$8,"",IF('Calc'!$E$13=1,0,MIN(Calc!$K$123*(1+'财富模型'!$E$20/12)+'Calc'!$B$6,IF(Calc!$I$124&lt;='财富模型'!$E$11*12,'Calc'!$W$13,'Calc'!$Y$13))))</x:f>
      </x:c>
      <x:c r="N124" t="str">
        <x:f>IF(Calc!$I$124&gt;'Calc'!$B$8,"",'Calc'!$B$5-'财富模型'!$E$5-(IF('Calc'!$E$13=1,'财富模型'!$E$9,'财富模型'!$M$5+IF(Calc!$I$124&lt;='财富模型'!$E$11*12,'Calc'!$W$13,'Calc'!$Y$13)-(IF('Calc'!$E$13=1,0,MIN(Calc!$K$123*(1+'财富模型'!$E$20/12)+'Calc'!$B$6,IF(Calc!$I$124&lt;='财富模型'!$E$11*12,'Calc'!$W$13,'Calc'!$Y$13)))))))</x:f>
      </x:c>
      <x:c r="O124" t="str">
        <x:f>IF(Calc!$I$124&gt;'Calc'!$B$8,"",IF('Calc'!$E$13=1,0,MAX(Calc!$O$123*(1+IF(Calc!$I$124&lt;='财富模型'!$E$11*12,'财富模型'!$E$10,'财富模型'!$E$12)/12)-IF('Calc'!$E$13=1,0,IF(Calc!$I$124&lt;='财富模型'!$E$11*12,'Calc'!$W$13,'Calc'!$Y$13)),0)))</x:f>
      </x:c>
      <x:c r="Q124" t="n">
        <x:v>103</x:v>
      </x:c>
      <x:c r="R124" t="str">
        <x:f>IF(Calc!$Q$124&gt;'Calc'!$B$8,"",MAX(Calc!$R$123*(1+'财富模型'!$E$6/12)+('Calc'!$B$5-'财富模型'!$E$5-(IF('Calc'!$E$14=1,'财富模型'!$E$9,'财富模型'!$M$6+IF(Calc!$Q$124&lt;='财富模型'!$E$11*12,'Calc'!$W$14,'Calc'!$Y$14)-(IF('Calc'!$E$14=1,0,MIN(Calc!$S$123*(1+'财富模型'!$E$20/12)+'Calc'!$B$6,IF(Calc!$Q$124&lt;='财富模型'!$E$11*12,'Calc'!$W$14,'Calc'!$Y$14))))))),0))</x:f>
      </x:c>
      <x:c r="S124" t="str">
        <x:f>IF(Calc!$Q$124&gt;'Calc'!$B$8,"",MAX(Calc!$S$123*(1+'财富模型'!$E$20/12)+'Calc'!$B$6-(IF('Calc'!$E$14=1,0,MIN(Calc!$S$123*(1+'财富模型'!$E$20/12)+'Calc'!$B$6,IF(Calc!$Q$124&lt;='财富模型'!$E$11*12,'Calc'!$W$14,'Calc'!$Y$14)))),0))</x:f>
      </x:c>
      <x:c r="T124" t="str">
        <x:f>IF(Calc!$Q$124&gt;'Calc'!$B$8,"",IF('Calc'!$E$14=1,'财富模型'!$E$9,'财富模型'!$M$6+IF(Calc!$Q$124&lt;='财富模型'!$E$11*12,'Calc'!$W$14,'Calc'!$Y$14)-(IF('Calc'!$E$14=1,0,MIN(Calc!$S$123*(1+'财富模型'!$E$20/12)+'Calc'!$B$6,IF(Calc!$Q$124&lt;='财富模型'!$E$11*12,'Calc'!$W$14,'Calc'!$Y$14))))))</x:f>
      </x:c>
      <x:c r="U124" t="str">
        <x:f>IF(Calc!$Q$124&gt;'Calc'!$B$8,"",IF('Calc'!$E$14=1,0,MIN(Calc!$S$123*(1+'财富模型'!$E$20/12)+'Calc'!$B$6,IF(Calc!$Q$124&lt;='财富模型'!$E$11*12,'Calc'!$W$14,'Calc'!$Y$14))))</x:f>
      </x:c>
      <x:c r="V124" t="str">
        <x:f>IF(Calc!$Q$124&gt;'Calc'!$B$8,"",'Calc'!$B$5-'财富模型'!$E$5-(IF('Calc'!$E$14=1,'财富模型'!$E$9,'财富模型'!$M$6+IF(Calc!$Q$124&lt;='财富模型'!$E$11*12,'Calc'!$W$14,'Calc'!$Y$14)-(IF('Calc'!$E$14=1,0,MIN(Calc!$S$123*(1+'财富模型'!$E$20/12)+'Calc'!$B$6,IF(Calc!$Q$124&lt;='财富模型'!$E$11*12,'Calc'!$W$14,'Calc'!$Y$14)))))))</x:f>
      </x:c>
      <x:c r="W124" t="str">
        <x:f>IF(Calc!$Q$124&gt;'Calc'!$B$8,"",IF('Calc'!$E$14=1,0,MAX(Calc!$W$123*(1+IF(Calc!$Q$124&lt;='财富模型'!$E$11*12,'财富模型'!$E$10,'财富模型'!$E$12)/12)-IF('Calc'!$E$14=1,0,IF(Calc!$Q$124&lt;='财富模型'!$E$11*12,'Calc'!$W$14,'Calc'!$Y$14)),0)))</x:f>
      </x:c>
      <x:c r="Y124" t="n">
        <x:v>103</x:v>
      </x:c>
      <x:c r="Z124" t="str">
        <x:f>IF(Calc!$Y$124&gt;'Calc'!$B$8,"",MAX(Calc!$Z$123*(1+'财富模型'!$E$6/12)+('Calc'!$B$5-'财富模型'!$E$5-(IF('Calc'!$E$15=1,'财富模型'!$E$9,'财富模型'!$M$7+IF(Calc!$Y$124&lt;='财富模型'!$E$11*12,'Calc'!$W$15,'Calc'!$Y$15)-(IF('Calc'!$E$15=1,0,MIN(Calc!$AA$123*(1+'财富模型'!$E$20/12)+'Calc'!$B$6,IF(Calc!$Y$124&lt;='财富模型'!$E$11*12,'Calc'!$W$15,'Calc'!$Y$15))))))),0))</x:f>
      </x:c>
      <x:c r="AA124" t="str">
        <x:f>IF(Calc!$Y$124&gt;'Calc'!$B$8,"",MAX(Calc!$AA$123*(1+'财富模型'!$E$20/12)+'Calc'!$B$6-(IF('Calc'!$E$15=1,0,MIN(Calc!$AA$123*(1+'财富模型'!$E$20/12)+'Calc'!$B$6,IF(Calc!$Y$124&lt;='财富模型'!$E$11*12,'Calc'!$W$15,'Calc'!$Y$15)))),0))</x:f>
      </x:c>
      <x:c r="AB124" t="str">
        <x:f>IF(Calc!$Y$124&gt;'Calc'!$B$8,"",IF('Calc'!$E$15=1,'财富模型'!$E$9,'财富模型'!$M$7+IF(Calc!$Y$124&lt;='财富模型'!$E$11*12,'Calc'!$W$15,'Calc'!$Y$15)-(IF('Calc'!$E$15=1,0,MIN(Calc!$AA$123*(1+'财富模型'!$E$20/12)+'Calc'!$B$6,IF(Calc!$Y$124&lt;='财富模型'!$E$11*12,'Calc'!$W$15,'Calc'!$Y$15))))))</x:f>
      </x:c>
      <x:c r="AC124" t="str">
        <x:f>IF(Calc!$Y$124&gt;'Calc'!$B$8,"",IF('Calc'!$E$15=1,0,MIN(Calc!$AA$123*(1+'财富模型'!$E$20/12)+'Calc'!$B$6,IF(Calc!$Y$124&lt;='财富模型'!$E$11*12,'Calc'!$W$15,'Calc'!$Y$15))))</x:f>
      </x:c>
      <x:c r="AD124" t="str">
        <x:f>IF(Calc!$Y$124&gt;'Calc'!$B$8,"",'Calc'!$B$5-'财富模型'!$E$5-(IF('Calc'!$E$15=1,'财富模型'!$E$9,'财富模型'!$M$7+IF(Calc!$Y$124&lt;='财富模型'!$E$11*12,'Calc'!$W$15,'Calc'!$Y$15)-(IF('Calc'!$E$15=1,0,MIN(Calc!$AA$123*(1+'财富模型'!$E$20/12)+'Calc'!$B$6,IF(Calc!$Y$124&lt;='财富模型'!$E$11*12,'Calc'!$W$15,'Calc'!$Y$15)))))))</x:f>
      </x:c>
      <x:c r="AE124" t="str">
        <x:f>IF(Calc!$Y$124&gt;'Calc'!$B$8,"",IF('Calc'!$E$15=1,0,MAX(Calc!$AE$123*(1+IF(Calc!$Y$124&lt;='财富模型'!$E$11*12,'财富模型'!$E$10,'财富模型'!$E$12)/12)-IF('Calc'!$E$15=1,0,IF(Calc!$Y$124&lt;='财富模型'!$E$11*12,'Calc'!$W$15,'Calc'!$Y$15)),0)))</x:f>
      </x:c>
      <x:c r="AG124" t="n">
        <x:v>103</x:v>
      </x:c>
      <x:c r="AH124" t="str">
        <x:f>IF(Calc!$AG$124&gt;'Calc'!$B$8,"",MAX(Calc!$AH$123*(1+'财富模型'!$E$6/12)+('Calc'!$B$5-'财富模型'!$E$5-(IF('Calc'!$E$16=1,'财富模型'!$E$9,'财富模型'!$M$8+IF(Calc!$AG$124&lt;='财富模型'!$E$11*12,'Calc'!$W$16,'Calc'!$Y$16)-(IF('Calc'!$E$16=1,0,MIN(Calc!$AI$123*(1+'财富模型'!$E$20/12)+'Calc'!$B$6,IF(Calc!$AG$124&lt;='财富模型'!$E$11*12,'Calc'!$W$16,'Calc'!$Y$16))))))),0))</x:f>
      </x:c>
      <x:c r="AI124" t="str">
        <x:f>IF(Calc!$AG$124&gt;'Calc'!$B$8,"",MAX(Calc!$AI$123*(1+'财富模型'!$E$20/12)+'Calc'!$B$6-(IF('Calc'!$E$16=1,0,MIN(Calc!$AI$123*(1+'财富模型'!$E$20/12)+'Calc'!$B$6,IF(Calc!$AG$124&lt;='财富模型'!$E$11*12,'Calc'!$W$16,'Calc'!$Y$16)))),0))</x:f>
      </x:c>
      <x:c r="AJ124" t="str">
        <x:f>IF(Calc!$AG$124&gt;'Calc'!$B$8,"",IF('Calc'!$E$16=1,'财富模型'!$E$9,'财富模型'!$M$8+IF(Calc!$AG$124&lt;='财富模型'!$E$11*12,'Calc'!$W$16,'Calc'!$Y$16)-(IF('Calc'!$E$16=1,0,MIN(Calc!$AI$123*(1+'财富模型'!$E$20/12)+'Calc'!$B$6,IF(Calc!$AG$124&lt;='财富模型'!$E$11*12,'Calc'!$W$16,'Calc'!$Y$16))))))</x:f>
      </x:c>
      <x:c r="AK124" t="str">
        <x:f>IF(Calc!$AG$124&gt;'Calc'!$B$8,"",IF('Calc'!$E$16=1,0,MIN(Calc!$AI$123*(1+'财富模型'!$E$20/12)+'Calc'!$B$6,IF(Calc!$AG$124&lt;='财富模型'!$E$11*12,'Calc'!$W$16,'Calc'!$Y$16))))</x:f>
      </x:c>
      <x:c r="AL124" t="str">
        <x:f>IF(Calc!$AG$124&gt;'Calc'!$B$8,"",'Calc'!$B$5-'财富模型'!$E$5-(IF('Calc'!$E$16=1,'财富模型'!$E$9,'财富模型'!$M$8+IF(Calc!$AG$124&lt;='财富模型'!$E$11*12,'Calc'!$W$16,'Calc'!$Y$16)-(IF('Calc'!$E$16=1,0,MIN(Calc!$AI$123*(1+'财富模型'!$E$20/12)+'Calc'!$B$6,IF(Calc!$AG$124&lt;='财富模型'!$E$11*12,'Calc'!$W$16,'Calc'!$Y$16)))))))</x:f>
      </x:c>
      <x:c r="AM124" t="str">
        <x:f>IF(Calc!$AG$124&gt;'Calc'!$B$8,"",IF('Calc'!$E$16=1,0,MAX(Calc!$AM$123*(1+IF(Calc!$AG$124&lt;='财富模型'!$E$11*12,'财富模型'!$E$10,'财富模型'!$E$12)/12)-IF('Calc'!$E$16=1,0,IF(Calc!$AG$124&lt;='财富模型'!$E$11*12,'Calc'!$W$16,'Calc'!$Y$16)),0)))</x:f>
      </x:c>
      <x:c r="AO124" t="n">
        <x:v>103</x:v>
      </x:c>
      <x:c r="AP124" t="str">
        <x:f>IF(Calc!$AO$124&gt;'Calc'!$B$8,"",MAX(Calc!$AP$123*(1+'财富模型'!$E$6/12)+('Calc'!$B$5-'财富模型'!$E$5-(IF('Calc'!$E$17=1,'财富模型'!$E$9,'财富模型'!$M$9+IF(Calc!$AO$124&lt;='财富模型'!$E$11*12,'Calc'!$W$17,'Calc'!$Y$17)-(IF('Calc'!$E$17=1,0,MIN(Calc!$AQ$123*(1+'财富模型'!$E$20/12)+'Calc'!$B$6,IF(Calc!$AO$124&lt;='财富模型'!$E$11*12,'Calc'!$W$17,'Calc'!$Y$17))))))),0))</x:f>
      </x:c>
      <x:c r="AQ124" t="str">
        <x:f>IF(Calc!$AO$124&gt;'Calc'!$B$8,"",MAX(Calc!$AQ$123*(1+'财富模型'!$E$20/12)+'Calc'!$B$6-(IF('Calc'!$E$17=1,0,MIN(Calc!$AQ$123*(1+'财富模型'!$E$20/12)+'Calc'!$B$6,IF(Calc!$AO$124&lt;='财富模型'!$E$11*12,'Calc'!$W$17,'Calc'!$Y$17)))),0))</x:f>
      </x:c>
      <x:c r="AR124" t="str">
        <x:f>IF(Calc!$AO$124&gt;'Calc'!$B$8,"",IF('Calc'!$E$17=1,'财富模型'!$E$9,'财富模型'!$M$9+IF(Calc!$AO$124&lt;='财富模型'!$E$11*12,'Calc'!$W$17,'Calc'!$Y$17)-(IF('Calc'!$E$17=1,0,MIN(Calc!$AQ$123*(1+'财富模型'!$E$20/12)+'Calc'!$B$6,IF(Calc!$AO$124&lt;='财富模型'!$E$11*12,'Calc'!$W$17,'Calc'!$Y$17))))))</x:f>
      </x:c>
      <x:c r="AS124" t="str">
        <x:f>IF(Calc!$AO$124&gt;'Calc'!$B$8,"",IF('Calc'!$E$17=1,0,MIN(Calc!$AQ$123*(1+'财富模型'!$E$20/12)+'Calc'!$B$6,IF(Calc!$AO$124&lt;='财富模型'!$E$11*12,'Calc'!$W$17,'Calc'!$Y$17))))</x:f>
      </x:c>
      <x:c r="AT124" t="str">
        <x:f>IF(Calc!$AO$124&gt;'Calc'!$B$8,"",'Calc'!$B$5-'财富模型'!$E$5-(IF('Calc'!$E$17=1,'财富模型'!$E$9,'财富模型'!$M$9+IF(Calc!$AO$124&lt;='财富模型'!$E$11*12,'Calc'!$W$17,'Calc'!$Y$17)-(IF('Calc'!$E$17=1,0,MIN(Calc!$AQ$123*(1+'财富模型'!$E$20/12)+'Calc'!$B$6,IF(Calc!$AO$124&lt;='财富模型'!$E$11*12,'Calc'!$W$17,'Calc'!$Y$17)))))))</x:f>
      </x:c>
      <x:c r="AU124" t="str">
        <x:f>IF(Calc!$AO$124&gt;'Calc'!$B$8,"",IF('Calc'!$E$17=1,0,MAX(Calc!$AU$123*(1+IF(Calc!$AO$124&lt;='财富模型'!$E$11*12,'财富模型'!$E$10,'财富模型'!$E$12)/12)-IF('Calc'!$E$17=1,0,IF(Calc!$AO$124&lt;='财富模型'!$E$11*12,'Calc'!$W$17,'Calc'!$Y$17)),0)))</x:f>
      </x:c>
    </x:row>
    <x:row r="125">
      <x:c r="A125" t="n">
        <x:v>104</x:v>
      </x:c>
      <x:c r="B125" t="str">
        <x:f>IF(Calc!$A$125&gt;'Calc'!$B$8,"",MAX(Calc!$B$124*(1+'财富模型'!$E$6/12)+('Calc'!$B$5-'财富模型'!$E$5-(IF('Calc'!$E$12=1,'财富模型'!$E$9,'财富模型'!$M$4+IF(Calc!$A$125&lt;='财富模型'!$E$11*12,'Calc'!$W$12,'Calc'!$Y$12)-(IF('Calc'!$E$12=1,0,MIN(Calc!$C$124*(1+'财富模型'!$E$20/12)+'Calc'!$B$6,IF(Calc!$A$125&lt;='财富模型'!$E$11*12,'Calc'!$W$12,'Calc'!$Y$12))))))),0))</x:f>
      </x:c>
      <x:c r="C125" t="str">
        <x:f>IF(Calc!$A$125&gt;'Calc'!$B$8,"",MAX(Calc!$C$124*(1+'财富模型'!$E$20/12)+'Calc'!$B$6-(IF('Calc'!$E$12=1,0,MIN(Calc!$C$124*(1+'财富模型'!$E$20/12)+'Calc'!$B$6,IF(Calc!$A$125&lt;='财富模型'!$E$11*12,'Calc'!$W$12,'Calc'!$Y$12)))),0))</x:f>
      </x:c>
      <x:c r="D125" t="str">
        <x:f>IF(Calc!$A$125&gt;'Calc'!$B$8,"",IF('Calc'!$E$12=1,'财富模型'!$E$9,'财富模型'!$M$4+IF(Calc!$A$125&lt;='财富模型'!$E$11*12,'Calc'!$W$12,'Calc'!$Y$12)-(IF('Calc'!$E$12=1,0,MIN(Calc!$C$124*(1+'财富模型'!$E$20/12)+'Calc'!$B$6,IF(Calc!$A$125&lt;='财富模型'!$E$11*12,'Calc'!$W$12,'Calc'!$Y$12))))))</x:f>
      </x:c>
      <x:c r="E125" t="str">
        <x:f>IF(Calc!$A$125&gt;'Calc'!$B$8,"",IF('Calc'!$E$12=1,0,MIN(Calc!$C$124*(1+'财富模型'!$E$20/12)+'Calc'!$B$6,IF(Calc!$A$125&lt;='财富模型'!$E$11*12,'Calc'!$W$12,'Calc'!$Y$12))))</x:f>
      </x:c>
      <x:c r="F125" t="str">
        <x:f>IF(Calc!$A$125&gt;'Calc'!$B$8,"",'Calc'!$B$5-'财富模型'!$E$5-(IF('Calc'!$E$12=1,'财富模型'!$E$9,'财富模型'!$M$4+IF(Calc!$A$125&lt;='财富模型'!$E$11*12,'Calc'!$W$12,'Calc'!$Y$12)-(IF('Calc'!$E$12=1,0,MIN(Calc!$C$124*(1+'财富模型'!$E$20/12)+'Calc'!$B$6,IF(Calc!$A$125&lt;='财富模型'!$E$11*12,'Calc'!$W$12,'Calc'!$Y$12)))))))</x:f>
      </x:c>
      <x:c r="G125" t="str">
        <x:f>IF(Calc!$A$125&gt;'Calc'!$B$8,"",IF('Calc'!$E$12=1,0,MAX(Calc!$G$124*(1+IF(Calc!$A$125&lt;='财富模型'!$E$11*12,'财富模型'!$E$10,'财富模型'!$E$12)/12)-IF('Calc'!$E$12=1,0,IF(Calc!$A$125&lt;='财富模型'!$E$11*12,'Calc'!$W$12,'Calc'!$Y$12)),0)))</x:f>
      </x:c>
      <x:c r="I125" t="n">
        <x:v>104</x:v>
      </x:c>
      <x:c r="J125" t="str">
        <x:f>IF(Calc!$I$125&gt;'Calc'!$B$8,"",MAX(Calc!$J$124*(1+'财富模型'!$E$6/12)+('Calc'!$B$5-'财富模型'!$E$5-(IF('Calc'!$E$13=1,'财富模型'!$E$9,'财富模型'!$M$5+IF(Calc!$I$125&lt;='财富模型'!$E$11*12,'Calc'!$W$13,'Calc'!$Y$13)-(IF('Calc'!$E$13=1,0,MIN(Calc!$K$124*(1+'财富模型'!$E$20/12)+'Calc'!$B$6,IF(Calc!$I$125&lt;='财富模型'!$E$11*12,'Calc'!$W$13,'Calc'!$Y$13))))))),0))</x:f>
      </x:c>
      <x:c r="K125" t="str">
        <x:f>IF(Calc!$I$125&gt;'Calc'!$B$8,"",MAX(Calc!$K$124*(1+'财富模型'!$E$20/12)+'Calc'!$B$6-(IF('Calc'!$E$13=1,0,MIN(Calc!$K$124*(1+'财富模型'!$E$20/12)+'Calc'!$B$6,IF(Calc!$I$125&lt;='财富模型'!$E$11*12,'Calc'!$W$13,'Calc'!$Y$13)))),0))</x:f>
      </x:c>
      <x:c r="L125" t="str">
        <x:f>IF(Calc!$I$125&gt;'Calc'!$B$8,"",IF('Calc'!$E$13=1,'财富模型'!$E$9,'财富模型'!$M$5+IF(Calc!$I$125&lt;='财富模型'!$E$11*12,'Calc'!$W$13,'Calc'!$Y$13)-(IF('Calc'!$E$13=1,0,MIN(Calc!$K$124*(1+'财富模型'!$E$20/12)+'Calc'!$B$6,IF(Calc!$I$125&lt;='财富模型'!$E$11*12,'Calc'!$W$13,'Calc'!$Y$13))))))</x:f>
      </x:c>
      <x:c r="M125" t="str">
        <x:f>IF(Calc!$I$125&gt;'Calc'!$B$8,"",IF('Calc'!$E$13=1,0,MIN(Calc!$K$124*(1+'财富模型'!$E$20/12)+'Calc'!$B$6,IF(Calc!$I$125&lt;='财富模型'!$E$11*12,'Calc'!$W$13,'Calc'!$Y$13))))</x:f>
      </x:c>
      <x:c r="N125" t="str">
        <x:f>IF(Calc!$I$125&gt;'Calc'!$B$8,"",'Calc'!$B$5-'财富模型'!$E$5-(IF('Calc'!$E$13=1,'财富模型'!$E$9,'财富模型'!$M$5+IF(Calc!$I$125&lt;='财富模型'!$E$11*12,'Calc'!$W$13,'Calc'!$Y$13)-(IF('Calc'!$E$13=1,0,MIN(Calc!$K$124*(1+'财富模型'!$E$20/12)+'Calc'!$B$6,IF(Calc!$I$125&lt;='财富模型'!$E$11*12,'Calc'!$W$13,'Calc'!$Y$13)))))))</x:f>
      </x:c>
      <x:c r="O125" t="str">
        <x:f>IF(Calc!$I$125&gt;'Calc'!$B$8,"",IF('Calc'!$E$13=1,0,MAX(Calc!$O$124*(1+IF(Calc!$I$125&lt;='财富模型'!$E$11*12,'财富模型'!$E$10,'财富模型'!$E$12)/12)-IF('Calc'!$E$13=1,0,IF(Calc!$I$125&lt;='财富模型'!$E$11*12,'Calc'!$W$13,'Calc'!$Y$13)),0)))</x:f>
      </x:c>
      <x:c r="Q125" t="n">
        <x:v>104</x:v>
      </x:c>
      <x:c r="R125" t="str">
        <x:f>IF(Calc!$Q$125&gt;'Calc'!$B$8,"",MAX(Calc!$R$124*(1+'财富模型'!$E$6/12)+('Calc'!$B$5-'财富模型'!$E$5-(IF('Calc'!$E$14=1,'财富模型'!$E$9,'财富模型'!$M$6+IF(Calc!$Q$125&lt;='财富模型'!$E$11*12,'Calc'!$W$14,'Calc'!$Y$14)-(IF('Calc'!$E$14=1,0,MIN(Calc!$S$124*(1+'财富模型'!$E$20/12)+'Calc'!$B$6,IF(Calc!$Q$125&lt;='财富模型'!$E$11*12,'Calc'!$W$14,'Calc'!$Y$14))))))),0))</x:f>
      </x:c>
      <x:c r="S125" t="str">
        <x:f>IF(Calc!$Q$125&gt;'Calc'!$B$8,"",MAX(Calc!$S$124*(1+'财富模型'!$E$20/12)+'Calc'!$B$6-(IF('Calc'!$E$14=1,0,MIN(Calc!$S$124*(1+'财富模型'!$E$20/12)+'Calc'!$B$6,IF(Calc!$Q$125&lt;='财富模型'!$E$11*12,'Calc'!$W$14,'Calc'!$Y$14)))),0))</x:f>
      </x:c>
      <x:c r="T125" t="str">
        <x:f>IF(Calc!$Q$125&gt;'Calc'!$B$8,"",IF('Calc'!$E$14=1,'财富模型'!$E$9,'财富模型'!$M$6+IF(Calc!$Q$125&lt;='财富模型'!$E$11*12,'Calc'!$W$14,'Calc'!$Y$14)-(IF('Calc'!$E$14=1,0,MIN(Calc!$S$124*(1+'财富模型'!$E$20/12)+'Calc'!$B$6,IF(Calc!$Q$125&lt;='财富模型'!$E$11*12,'Calc'!$W$14,'Calc'!$Y$14))))))</x:f>
      </x:c>
      <x:c r="U125" t="str">
        <x:f>IF(Calc!$Q$125&gt;'Calc'!$B$8,"",IF('Calc'!$E$14=1,0,MIN(Calc!$S$124*(1+'财富模型'!$E$20/12)+'Calc'!$B$6,IF(Calc!$Q$125&lt;='财富模型'!$E$11*12,'Calc'!$W$14,'Calc'!$Y$14))))</x:f>
      </x:c>
      <x:c r="V125" t="str">
        <x:f>IF(Calc!$Q$125&gt;'Calc'!$B$8,"",'Calc'!$B$5-'财富模型'!$E$5-(IF('Calc'!$E$14=1,'财富模型'!$E$9,'财富模型'!$M$6+IF(Calc!$Q$125&lt;='财富模型'!$E$11*12,'Calc'!$W$14,'Calc'!$Y$14)-(IF('Calc'!$E$14=1,0,MIN(Calc!$S$124*(1+'财富模型'!$E$20/12)+'Calc'!$B$6,IF(Calc!$Q$125&lt;='财富模型'!$E$11*12,'Calc'!$W$14,'Calc'!$Y$14)))))))</x:f>
      </x:c>
      <x:c r="W125" t="str">
        <x:f>IF(Calc!$Q$125&gt;'Calc'!$B$8,"",IF('Calc'!$E$14=1,0,MAX(Calc!$W$124*(1+IF(Calc!$Q$125&lt;='财富模型'!$E$11*12,'财富模型'!$E$10,'财富模型'!$E$12)/12)-IF('Calc'!$E$14=1,0,IF(Calc!$Q$125&lt;='财富模型'!$E$11*12,'Calc'!$W$14,'Calc'!$Y$14)),0)))</x:f>
      </x:c>
      <x:c r="Y125" t="n">
        <x:v>104</x:v>
      </x:c>
      <x:c r="Z125" t="str">
        <x:f>IF(Calc!$Y$125&gt;'Calc'!$B$8,"",MAX(Calc!$Z$124*(1+'财富模型'!$E$6/12)+('Calc'!$B$5-'财富模型'!$E$5-(IF('Calc'!$E$15=1,'财富模型'!$E$9,'财富模型'!$M$7+IF(Calc!$Y$125&lt;='财富模型'!$E$11*12,'Calc'!$W$15,'Calc'!$Y$15)-(IF('Calc'!$E$15=1,0,MIN(Calc!$AA$124*(1+'财富模型'!$E$20/12)+'Calc'!$B$6,IF(Calc!$Y$125&lt;='财富模型'!$E$11*12,'Calc'!$W$15,'Calc'!$Y$15))))))),0))</x:f>
      </x:c>
      <x:c r="AA125" t="str">
        <x:f>IF(Calc!$Y$125&gt;'Calc'!$B$8,"",MAX(Calc!$AA$124*(1+'财富模型'!$E$20/12)+'Calc'!$B$6-(IF('Calc'!$E$15=1,0,MIN(Calc!$AA$124*(1+'财富模型'!$E$20/12)+'Calc'!$B$6,IF(Calc!$Y$125&lt;='财富模型'!$E$11*12,'Calc'!$W$15,'Calc'!$Y$15)))),0))</x:f>
      </x:c>
      <x:c r="AB125" t="str">
        <x:f>IF(Calc!$Y$125&gt;'Calc'!$B$8,"",IF('Calc'!$E$15=1,'财富模型'!$E$9,'财富模型'!$M$7+IF(Calc!$Y$125&lt;='财富模型'!$E$11*12,'Calc'!$W$15,'Calc'!$Y$15)-(IF('Calc'!$E$15=1,0,MIN(Calc!$AA$124*(1+'财富模型'!$E$20/12)+'Calc'!$B$6,IF(Calc!$Y$125&lt;='财富模型'!$E$11*12,'Calc'!$W$15,'Calc'!$Y$15))))))</x:f>
      </x:c>
      <x:c r="AC125" t="str">
        <x:f>IF(Calc!$Y$125&gt;'Calc'!$B$8,"",IF('Calc'!$E$15=1,0,MIN(Calc!$AA$124*(1+'财富模型'!$E$20/12)+'Calc'!$B$6,IF(Calc!$Y$125&lt;='财富模型'!$E$11*12,'Calc'!$W$15,'Calc'!$Y$15))))</x:f>
      </x:c>
      <x:c r="AD125" t="str">
        <x:f>IF(Calc!$Y$125&gt;'Calc'!$B$8,"",'Calc'!$B$5-'财富模型'!$E$5-(IF('Calc'!$E$15=1,'财富模型'!$E$9,'财富模型'!$M$7+IF(Calc!$Y$125&lt;='财富模型'!$E$11*12,'Calc'!$W$15,'Calc'!$Y$15)-(IF('Calc'!$E$15=1,0,MIN(Calc!$AA$124*(1+'财富模型'!$E$20/12)+'Calc'!$B$6,IF(Calc!$Y$125&lt;='财富模型'!$E$11*12,'Calc'!$W$15,'Calc'!$Y$15)))))))</x:f>
      </x:c>
      <x:c r="AE125" t="str">
        <x:f>IF(Calc!$Y$125&gt;'Calc'!$B$8,"",IF('Calc'!$E$15=1,0,MAX(Calc!$AE$124*(1+IF(Calc!$Y$125&lt;='财富模型'!$E$11*12,'财富模型'!$E$10,'财富模型'!$E$12)/12)-IF('Calc'!$E$15=1,0,IF(Calc!$Y$125&lt;='财富模型'!$E$11*12,'Calc'!$W$15,'Calc'!$Y$15)),0)))</x:f>
      </x:c>
      <x:c r="AG125" t="n">
        <x:v>104</x:v>
      </x:c>
      <x:c r="AH125" t="str">
        <x:f>IF(Calc!$AG$125&gt;'Calc'!$B$8,"",MAX(Calc!$AH$124*(1+'财富模型'!$E$6/12)+('Calc'!$B$5-'财富模型'!$E$5-(IF('Calc'!$E$16=1,'财富模型'!$E$9,'财富模型'!$M$8+IF(Calc!$AG$125&lt;='财富模型'!$E$11*12,'Calc'!$W$16,'Calc'!$Y$16)-(IF('Calc'!$E$16=1,0,MIN(Calc!$AI$124*(1+'财富模型'!$E$20/12)+'Calc'!$B$6,IF(Calc!$AG$125&lt;='财富模型'!$E$11*12,'Calc'!$W$16,'Calc'!$Y$16))))))),0))</x:f>
      </x:c>
      <x:c r="AI125" t="str">
        <x:f>IF(Calc!$AG$125&gt;'Calc'!$B$8,"",MAX(Calc!$AI$124*(1+'财富模型'!$E$20/12)+'Calc'!$B$6-(IF('Calc'!$E$16=1,0,MIN(Calc!$AI$124*(1+'财富模型'!$E$20/12)+'Calc'!$B$6,IF(Calc!$AG$125&lt;='财富模型'!$E$11*12,'Calc'!$W$16,'Calc'!$Y$16)))),0))</x:f>
      </x:c>
      <x:c r="AJ125" t="str">
        <x:f>IF(Calc!$AG$125&gt;'Calc'!$B$8,"",IF('Calc'!$E$16=1,'财富模型'!$E$9,'财富模型'!$M$8+IF(Calc!$AG$125&lt;='财富模型'!$E$11*12,'Calc'!$W$16,'Calc'!$Y$16)-(IF('Calc'!$E$16=1,0,MIN(Calc!$AI$124*(1+'财富模型'!$E$20/12)+'Calc'!$B$6,IF(Calc!$AG$125&lt;='财富模型'!$E$11*12,'Calc'!$W$16,'Calc'!$Y$16))))))</x:f>
      </x:c>
      <x:c r="AK125" t="str">
        <x:f>IF(Calc!$AG$125&gt;'Calc'!$B$8,"",IF('Calc'!$E$16=1,0,MIN(Calc!$AI$124*(1+'财富模型'!$E$20/12)+'Calc'!$B$6,IF(Calc!$AG$125&lt;='财富模型'!$E$11*12,'Calc'!$W$16,'Calc'!$Y$16))))</x:f>
      </x:c>
      <x:c r="AL125" t="str">
        <x:f>IF(Calc!$AG$125&gt;'Calc'!$B$8,"",'Calc'!$B$5-'财富模型'!$E$5-(IF('Calc'!$E$16=1,'财富模型'!$E$9,'财富模型'!$M$8+IF(Calc!$AG$125&lt;='财富模型'!$E$11*12,'Calc'!$W$16,'Calc'!$Y$16)-(IF('Calc'!$E$16=1,0,MIN(Calc!$AI$124*(1+'财富模型'!$E$20/12)+'Calc'!$B$6,IF(Calc!$AG$125&lt;='财富模型'!$E$11*12,'Calc'!$W$16,'Calc'!$Y$16)))))))</x:f>
      </x:c>
      <x:c r="AM125" t="str">
        <x:f>IF(Calc!$AG$125&gt;'Calc'!$B$8,"",IF('Calc'!$E$16=1,0,MAX(Calc!$AM$124*(1+IF(Calc!$AG$125&lt;='财富模型'!$E$11*12,'财富模型'!$E$10,'财富模型'!$E$12)/12)-IF('Calc'!$E$16=1,0,IF(Calc!$AG$125&lt;='财富模型'!$E$11*12,'Calc'!$W$16,'Calc'!$Y$16)),0)))</x:f>
      </x:c>
      <x:c r="AO125" t="n">
        <x:v>104</x:v>
      </x:c>
      <x:c r="AP125" t="str">
        <x:f>IF(Calc!$AO$125&gt;'Calc'!$B$8,"",MAX(Calc!$AP$124*(1+'财富模型'!$E$6/12)+('Calc'!$B$5-'财富模型'!$E$5-(IF('Calc'!$E$17=1,'财富模型'!$E$9,'财富模型'!$M$9+IF(Calc!$AO$125&lt;='财富模型'!$E$11*12,'Calc'!$W$17,'Calc'!$Y$17)-(IF('Calc'!$E$17=1,0,MIN(Calc!$AQ$124*(1+'财富模型'!$E$20/12)+'Calc'!$B$6,IF(Calc!$AO$125&lt;='财富模型'!$E$11*12,'Calc'!$W$17,'Calc'!$Y$17))))))),0))</x:f>
      </x:c>
      <x:c r="AQ125" t="str">
        <x:f>IF(Calc!$AO$125&gt;'Calc'!$B$8,"",MAX(Calc!$AQ$124*(1+'财富模型'!$E$20/12)+'Calc'!$B$6-(IF('Calc'!$E$17=1,0,MIN(Calc!$AQ$124*(1+'财富模型'!$E$20/12)+'Calc'!$B$6,IF(Calc!$AO$125&lt;='财富模型'!$E$11*12,'Calc'!$W$17,'Calc'!$Y$17)))),0))</x:f>
      </x:c>
      <x:c r="AR125" t="str">
        <x:f>IF(Calc!$AO$125&gt;'Calc'!$B$8,"",IF('Calc'!$E$17=1,'财富模型'!$E$9,'财富模型'!$M$9+IF(Calc!$AO$125&lt;='财富模型'!$E$11*12,'Calc'!$W$17,'Calc'!$Y$17)-(IF('Calc'!$E$17=1,0,MIN(Calc!$AQ$124*(1+'财富模型'!$E$20/12)+'Calc'!$B$6,IF(Calc!$AO$125&lt;='财富模型'!$E$11*12,'Calc'!$W$17,'Calc'!$Y$17))))))</x:f>
      </x:c>
      <x:c r="AS125" t="str">
        <x:f>IF(Calc!$AO$125&gt;'Calc'!$B$8,"",IF('Calc'!$E$17=1,0,MIN(Calc!$AQ$124*(1+'财富模型'!$E$20/12)+'Calc'!$B$6,IF(Calc!$AO$125&lt;='财富模型'!$E$11*12,'Calc'!$W$17,'Calc'!$Y$17))))</x:f>
      </x:c>
      <x:c r="AT125" t="str">
        <x:f>IF(Calc!$AO$125&gt;'Calc'!$B$8,"",'Calc'!$B$5-'财富模型'!$E$5-(IF('Calc'!$E$17=1,'财富模型'!$E$9,'财富模型'!$M$9+IF(Calc!$AO$125&lt;='财富模型'!$E$11*12,'Calc'!$W$17,'Calc'!$Y$17)-(IF('Calc'!$E$17=1,0,MIN(Calc!$AQ$124*(1+'财富模型'!$E$20/12)+'Calc'!$B$6,IF(Calc!$AO$125&lt;='财富模型'!$E$11*12,'Calc'!$W$17,'Calc'!$Y$17)))))))</x:f>
      </x:c>
      <x:c r="AU125" t="str">
        <x:f>IF(Calc!$AO$125&gt;'Calc'!$B$8,"",IF('Calc'!$E$17=1,0,MAX(Calc!$AU$124*(1+IF(Calc!$AO$125&lt;='财富模型'!$E$11*12,'财富模型'!$E$10,'财富模型'!$E$12)/12)-IF('Calc'!$E$17=1,0,IF(Calc!$AO$125&lt;='财富模型'!$E$11*12,'Calc'!$W$17,'Calc'!$Y$17)),0)))</x:f>
      </x:c>
    </x:row>
    <x:row r="126">
      <x:c r="A126" t="n">
        <x:v>105</x:v>
      </x:c>
      <x:c r="B126" t="str">
        <x:f>IF(Calc!$A$126&gt;'Calc'!$B$8,"",MAX(Calc!$B$125*(1+'财富模型'!$E$6/12)+('Calc'!$B$5-'财富模型'!$E$5-(IF('Calc'!$E$12=1,'财富模型'!$E$9,'财富模型'!$M$4+IF(Calc!$A$126&lt;='财富模型'!$E$11*12,'Calc'!$W$12,'Calc'!$Y$12)-(IF('Calc'!$E$12=1,0,MIN(Calc!$C$125*(1+'财富模型'!$E$20/12)+'Calc'!$B$6,IF(Calc!$A$126&lt;='财富模型'!$E$11*12,'Calc'!$W$12,'Calc'!$Y$12))))))),0))</x:f>
      </x:c>
      <x:c r="C126" t="str">
        <x:f>IF(Calc!$A$126&gt;'Calc'!$B$8,"",MAX(Calc!$C$125*(1+'财富模型'!$E$20/12)+'Calc'!$B$6-(IF('Calc'!$E$12=1,0,MIN(Calc!$C$125*(1+'财富模型'!$E$20/12)+'Calc'!$B$6,IF(Calc!$A$126&lt;='财富模型'!$E$11*12,'Calc'!$W$12,'Calc'!$Y$12)))),0))</x:f>
      </x:c>
      <x:c r="D126" t="str">
        <x:f>IF(Calc!$A$126&gt;'Calc'!$B$8,"",IF('Calc'!$E$12=1,'财富模型'!$E$9,'财富模型'!$M$4+IF(Calc!$A$126&lt;='财富模型'!$E$11*12,'Calc'!$W$12,'Calc'!$Y$12)-(IF('Calc'!$E$12=1,0,MIN(Calc!$C$125*(1+'财富模型'!$E$20/12)+'Calc'!$B$6,IF(Calc!$A$126&lt;='财富模型'!$E$11*12,'Calc'!$W$12,'Calc'!$Y$12))))))</x:f>
      </x:c>
      <x:c r="E126" t="str">
        <x:f>IF(Calc!$A$126&gt;'Calc'!$B$8,"",IF('Calc'!$E$12=1,0,MIN(Calc!$C$125*(1+'财富模型'!$E$20/12)+'Calc'!$B$6,IF(Calc!$A$126&lt;='财富模型'!$E$11*12,'Calc'!$W$12,'Calc'!$Y$12))))</x:f>
      </x:c>
      <x:c r="F126" t="str">
        <x:f>IF(Calc!$A$126&gt;'Calc'!$B$8,"",'Calc'!$B$5-'财富模型'!$E$5-(IF('Calc'!$E$12=1,'财富模型'!$E$9,'财富模型'!$M$4+IF(Calc!$A$126&lt;='财富模型'!$E$11*12,'Calc'!$W$12,'Calc'!$Y$12)-(IF('Calc'!$E$12=1,0,MIN(Calc!$C$125*(1+'财富模型'!$E$20/12)+'Calc'!$B$6,IF(Calc!$A$126&lt;='财富模型'!$E$11*12,'Calc'!$W$12,'Calc'!$Y$12)))))))</x:f>
      </x:c>
      <x:c r="G126" t="str">
        <x:f>IF(Calc!$A$126&gt;'Calc'!$B$8,"",IF('Calc'!$E$12=1,0,MAX(Calc!$G$125*(1+IF(Calc!$A$126&lt;='财富模型'!$E$11*12,'财富模型'!$E$10,'财富模型'!$E$12)/12)-IF('Calc'!$E$12=1,0,IF(Calc!$A$126&lt;='财富模型'!$E$11*12,'Calc'!$W$12,'Calc'!$Y$12)),0)))</x:f>
      </x:c>
      <x:c r="I126" t="n">
        <x:v>105</x:v>
      </x:c>
      <x:c r="J126" t="str">
        <x:f>IF(Calc!$I$126&gt;'Calc'!$B$8,"",MAX(Calc!$J$125*(1+'财富模型'!$E$6/12)+('Calc'!$B$5-'财富模型'!$E$5-(IF('Calc'!$E$13=1,'财富模型'!$E$9,'财富模型'!$M$5+IF(Calc!$I$126&lt;='财富模型'!$E$11*12,'Calc'!$W$13,'Calc'!$Y$13)-(IF('Calc'!$E$13=1,0,MIN(Calc!$K$125*(1+'财富模型'!$E$20/12)+'Calc'!$B$6,IF(Calc!$I$126&lt;='财富模型'!$E$11*12,'Calc'!$W$13,'Calc'!$Y$13))))))),0))</x:f>
      </x:c>
      <x:c r="K126" t="str">
        <x:f>IF(Calc!$I$126&gt;'Calc'!$B$8,"",MAX(Calc!$K$125*(1+'财富模型'!$E$20/12)+'Calc'!$B$6-(IF('Calc'!$E$13=1,0,MIN(Calc!$K$125*(1+'财富模型'!$E$20/12)+'Calc'!$B$6,IF(Calc!$I$126&lt;='财富模型'!$E$11*12,'Calc'!$W$13,'Calc'!$Y$13)))),0))</x:f>
      </x:c>
      <x:c r="L126" t="str">
        <x:f>IF(Calc!$I$126&gt;'Calc'!$B$8,"",IF('Calc'!$E$13=1,'财富模型'!$E$9,'财富模型'!$M$5+IF(Calc!$I$126&lt;='财富模型'!$E$11*12,'Calc'!$W$13,'Calc'!$Y$13)-(IF('Calc'!$E$13=1,0,MIN(Calc!$K$125*(1+'财富模型'!$E$20/12)+'Calc'!$B$6,IF(Calc!$I$126&lt;='财富模型'!$E$11*12,'Calc'!$W$13,'Calc'!$Y$13))))))</x:f>
      </x:c>
      <x:c r="M126" t="str">
        <x:f>IF(Calc!$I$126&gt;'Calc'!$B$8,"",IF('Calc'!$E$13=1,0,MIN(Calc!$K$125*(1+'财富模型'!$E$20/12)+'Calc'!$B$6,IF(Calc!$I$126&lt;='财富模型'!$E$11*12,'Calc'!$W$13,'Calc'!$Y$13))))</x:f>
      </x:c>
      <x:c r="N126" t="str">
        <x:f>IF(Calc!$I$126&gt;'Calc'!$B$8,"",'Calc'!$B$5-'财富模型'!$E$5-(IF('Calc'!$E$13=1,'财富模型'!$E$9,'财富模型'!$M$5+IF(Calc!$I$126&lt;='财富模型'!$E$11*12,'Calc'!$W$13,'Calc'!$Y$13)-(IF('Calc'!$E$13=1,0,MIN(Calc!$K$125*(1+'财富模型'!$E$20/12)+'Calc'!$B$6,IF(Calc!$I$126&lt;='财富模型'!$E$11*12,'Calc'!$W$13,'Calc'!$Y$13)))))))</x:f>
      </x:c>
      <x:c r="O126" t="str">
        <x:f>IF(Calc!$I$126&gt;'Calc'!$B$8,"",IF('Calc'!$E$13=1,0,MAX(Calc!$O$125*(1+IF(Calc!$I$126&lt;='财富模型'!$E$11*12,'财富模型'!$E$10,'财富模型'!$E$12)/12)-IF('Calc'!$E$13=1,0,IF(Calc!$I$126&lt;='财富模型'!$E$11*12,'Calc'!$W$13,'Calc'!$Y$13)),0)))</x:f>
      </x:c>
      <x:c r="Q126" t="n">
        <x:v>105</x:v>
      </x:c>
      <x:c r="R126" t="str">
        <x:f>IF(Calc!$Q$126&gt;'Calc'!$B$8,"",MAX(Calc!$R$125*(1+'财富模型'!$E$6/12)+('Calc'!$B$5-'财富模型'!$E$5-(IF('Calc'!$E$14=1,'财富模型'!$E$9,'财富模型'!$M$6+IF(Calc!$Q$126&lt;='财富模型'!$E$11*12,'Calc'!$W$14,'Calc'!$Y$14)-(IF('Calc'!$E$14=1,0,MIN(Calc!$S$125*(1+'财富模型'!$E$20/12)+'Calc'!$B$6,IF(Calc!$Q$126&lt;='财富模型'!$E$11*12,'Calc'!$W$14,'Calc'!$Y$14))))))),0))</x:f>
      </x:c>
      <x:c r="S126" t="str">
        <x:f>IF(Calc!$Q$126&gt;'Calc'!$B$8,"",MAX(Calc!$S$125*(1+'财富模型'!$E$20/12)+'Calc'!$B$6-(IF('Calc'!$E$14=1,0,MIN(Calc!$S$125*(1+'财富模型'!$E$20/12)+'Calc'!$B$6,IF(Calc!$Q$126&lt;='财富模型'!$E$11*12,'Calc'!$W$14,'Calc'!$Y$14)))),0))</x:f>
      </x:c>
      <x:c r="T126" t="str">
        <x:f>IF(Calc!$Q$126&gt;'Calc'!$B$8,"",IF('Calc'!$E$14=1,'财富模型'!$E$9,'财富模型'!$M$6+IF(Calc!$Q$126&lt;='财富模型'!$E$11*12,'Calc'!$W$14,'Calc'!$Y$14)-(IF('Calc'!$E$14=1,0,MIN(Calc!$S$125*(1+'财富模型'!$E$20/12)+'Calc'!$B$6,IF(Calc!$Q$126&lt;='财富模型'!$E$11*12,'Calc'!$W$14,'Calc'!$Y$14))))))</x:f>
      </x:c>
      <x:c r="U126" t="str">
        <x:f>IF(Calc!$Q$126&gt;'Calc'!$B$8,"",IF('Calc'!$E$14=1,0,MIN(Calc!$S$125*(1+'财富模型'!$E$20/12)+'Calc'!$B$6,IF(Calc!$Q$126&lt;='财富模型'!$E$11*12,'Calc'!$W$14,'Calc'!$Y$14))))</x:f>
      </x:c>
      <x:c r="V126" t="str">
        <x:f>IF(Calc!$Q$126&gt;'Calc'!$B$8,"",'Calc'!$B$5-'财富模型'!$E$5-(IF('Calc'!$E$14=1,'财富模型'!$E$9,'财富模型'!$M$6+IF(Calc!$Q$126&lt;='财富模型'!$E$11*12,'Calc'!$W$14,'Calc'!$Y$14)-(IF('Calc'!$E$14=1,0,MIN(Calc!$S$125*(1+'财富模型'!$E$20/12)+'Calc'!$B$6,IF(Calc!$Q$126&lt;='财富模型'!$E$11*12,'Calc'!$W$14,'Calc'!$Y$14)))))))</x:f>
      </x:c>
      <x:c r="W126" t="str">
        <x:f>IF(Calc!$Q$126&gt;'Calc'!$B$8,"",IF('Calc'!$E$14=1,0,MAX(Calc!$W$125*(1+IF(Calc!$Q$126&lt;='财富模型'!$E$11*12,'财富模型'!$E$10,'财富模型'!$E$12)/12)-IF('Calc'!$E$14=1,0,IF(Calc!$Q$126&lt;='财富模型'!$E$11*12,'Calc'!$W$14,'Calc'!$Y$14)),0)))</x:f>
      </x:c>
      <x:c r="Y126" t="n">
        <x:v>105</x:v>
      </x:c>
      <x:c r="Z126" t="str">
        <x:f>IF(Calc!$Y$126&gt;'Calc'!$B$8,"",MAX(Calc!$Z$125*(1+'财富模型'!$E$6/12)+('Calc'!$B$5-'财富模型'!$E$5-(IF('Calc'!$E$15=1,'财富模型'!$E$9,'财富模型'!$M$7+IF(Calc!$Y$126&lt;='财富模型'!$E$11*12,'Calc'!$W$15,'Calc'!$Y$15)-(IF('Calc'!$E$15=1,0,MIN(Calc!$AA$125*(1+'财富模型'!$E$20/12)+'Calc'!$B$6,IF(Calc!$Y$126&lt;='财富模型'!$E$11*12,'Calc'!$W$15,'Calc'!$Y$15))))))),0))</x:f>
      </x:c>
      <x:c r="AA126" t="str">
        <x:f>IF(Calc!$Y$126&gt;'Calc'!$B$8,"",MAX(Calc!$AA$125*(1+'财富模型'!$E$20/12)+'Calc'!$B$6-(IF('Calc'!$E$15=1,0,MIN(Calc!$AA$125*(1+'财富模型'!$E$20/12)+'Calc'!$B$6,IF(Calc!$Y$126&lt;='财富模型'!$E$11*12,'Calc'!$W$15,'Calc'!$Y$15)))),0))</x:f>
      </x:c>
      <x:c r="AB126" t="str">
        <x:f>IF(Calc!$Y$126&gt;'Calc'!$B$8,"",IF('Calc'!$E$15=1,'财富模型'!$E$9,'财富模型'!$M$7+IF(Calc!$Y$126&lt;='财富模型'!$E$11*12,'Calc'!$W$15,'Calc'!$Y$15)-(IF('Calc'!$E$15=1,0,MIN(Calc!$AA$125*(1+'财富模型'!$E$20/12)+'Calc'!$B$6,IF(Calc!$Y$126&lt;='财富模型'!$E$11*12,'Calc'!$W$15,'Calc'!$Y$15))))))</x:f>
      </x:c>
      <x:c r="AC126" t="str">
        <x:f>IF(Calc!$Y$126&gt;'Calc'!$B$8,"",IF('Calc'!$E$15=1,0,MIN(Calc!$AA$125*(1+'财富模型'!$E$20/12)+'Calc'!$B$6,IF(Calc!$Y$126&lt;='财富模型'!$E$11*12,'Calc'!$W$15,'Calc'!$Y$15))))</x:f>
      </x:c>
      <x:c r="AD126" t="str">
        <x:f>IF(Calc!$Y$126&gt;'Calc'!$B$8,"",'Calc'!$B$5-'财富模型'!$E$5-(IF('Calc'!$E$15=1,'财富模型'!$E$9,'财富模型'!$M$7+IF(Calc!$Y$126&lt;='财富模型'!$E$11*12,'Calc'!$W$15,'Calc'!$Y$15)-(IF('Calc'!$E$15=1,0,MIN(Calc!$AA$125*(1+'财富模型'!$E$20/12)+'Calc'!$B$6,IF(Calc!$Y$126&lt;='财富模型'!$E$11*12,'Calc'!$W$15,'Calc'!$Y$15)))))))</x:f>
      </x:c>
      <x:c r="AE126" t="str">
        <x:f>IF(Calc!$Y$126&gt;'Calc'!$B$8,"",IF('Calc'!$E$15=1,0,MAX(Calc!$AE$125*(1+IF(Calc!$Y$126&lt;='财富模型'!$E$11*12,'财富模型'!$E$10,'财富模型'!$E$12)/12)-IF('Calc'!$E$15=1,0,IF(Calc!$Y$126&lt;='财富模型'!$E$11*12,'Calc'!$W$15,'Calc'!$Y$15)),0)))</x:f>
      </x:c>
      <x:c r="AG126" t="n">
        <x:v>105</x:v>
      </x:c>
      <x:c r="AH126" t="str">
        <x:f>IF(Calc!$AG$126&gt;'Calc'!$B$8,"",MAX(Calc!$AH$125*(1+'财富模型'!$E$6/12)+('Calc'!$B$5-'财富模型'!$E$5-(IF('Calc'!$E$16=1,'财富模型'!$E$9,'财富模型'!$M$8+IF(Calc!$AG$126&lt;='财富模型'!$E$11*12,'Calc'!$W$16,'Calc'!$Y$16)-(IF('Calc'!$E$16=1,0,MIN(Calc!$AI$125*(1+'财富模型'!$E$20/12)+'Calc'!$B$6,IF(Calc!$AG$126&lt;='财富模型'!$E$11*12,'Calc'!$W$16,'Calc'!$Y$16))))))),0))</x:f>
      </x:c>
      <x:c r="AI126" t="str">
        <x:f>IF(Calc!$AG$126&gt;'Calc'!$B$8,"",MAX(Calc!$AI$125*(1+'财富模型'!$E$20/12)+'Calc'!$B$6-(IF('Calc'!$E$16=1,0,MIN(Calc!$AI$125*(1+'财富模型'!$E$20/12)+'Calc'!$B$6,IF(Calc!$AG$126&lt;='财富模型'!$E$11*12,'Calc'!$W$16,'Calc'!$Y$16)))),0))</x:f>
      </x:c>
      <x:c r="AJ126" t="str">
        <x:f>IF(Calc!$AG$126&gt;'Calc'!$B$8,"",IF('Calc'!$E$16=1,'财富模型'!$E$9,'财富模型'!$M$8+IF(Calc!$AG$126&lt;='财富模型'!$E$11*12,'Calc'!$W$16,'Calc'!$Y$16)-(IF('Calc'!$E$16=1,0,MIN(Calc!$AI$125*(1+'财富模型'!$E$20/12)+'Calc'!$B$6,IF(Calc!$AG$126&lt;='财富模型'!$E$11*12,'Calc'!$W$16,'Calc'!$Y$16))))))</x:f>
      </x:c>
      <x:c r="AK126" t="str">
        <x:f>IF(Calc!$AG$126&gt;'Calc'!$B$8,"",IF('Calc'!$E$16=1,0,MIN(Calc!$AI$125*(1+'财富模型'!$E$20/12)+'Calc'!$B$6,IF(Calc!$AG$126&lt;='财富模型'!$E$11*12,'Calc'!$W$16,'Calc'!$Y$16))))</x:f>
      </x:c>
      <x:c r="AL126" t="str">
        <x:f>IF(Calc!$AG$126&gt;'Calc'!$B$8,"",'Calc'!$B$5-'财富模型'!$E$5-(IF('Calc'!$E$16=1,'财富模型'!$E$9,'财富模型'!$M$8+IF(Calc!$AG$126&lt;='财富模型'!$E$11*12,'Calc'!$W$16,'Calc'!$Y$16)-(IF('Calc'!$E$16=1,0,MIN(Calc!$AI$125*(1+'财富模型'!$E$20/12)+'Calc'!$B$6,IF(Calc!$AG$126&lt;='财富模型'!$E$11*12,'Calc'!$W$16,'Calc'!$Y$16)))))))</x:f>
      </x:c>
      <x:c r="AM126" t="str">
        <x:f>IF(Calc!$AG$126&gt;'Calc'!$B$8,"",IF('Calc'!$E$16=1,0,MAX(Calc!$AM$125*(1+IF(Calc!$AG$126&lt;='财富模型'!$E$11*12,'财富模型'!$E$10,'财富模型'!$E$12)/12)-IF('Calc'!$E$16=1,0,IF(Calc!$AG$126&lt;='财富模型'!$E$11*12,'Calc'!$W$16,'Calc'!$Y$16)),0)))</x:f>
      </x:c>
      <x:c r="AO126" t="n">
        <x:v>105</x:v>
      </x:c>
      <x:c r="AP126" t="str">
        <x:f>IF(Calc!$AO$126&gt;'Calc'!$B$8,"",MAX(Calc!$AP$125*(1+'财富模型'!$E$6/12)+('Calc'!$B$5-'财富模型'!$E$5-(IF('Calc'!$E$17=1,'财富模型'!$E$9,'财富模型'!$M$9+IF(Calc!$AO$126&lt;='财富模型'!$E$11*12,'Calc'!$W$17,'Calc'!$Y$17)-(IF('Calc'!$E$17=1,0,MIN(Calc!$AQ$125*(1+'财富模型'!$E$20/12)+'Calc'!$B$6,IF(Calc!$AO$126&lt;='财富模型'!$E$11*12,'Calc'!$W$17,'Calc'!$Y$17))))))),0))</x:f>
      </x:c>
      <x:c r="AQ126" t="str">
        <x:f>IF(Calc!$AO$126&gt;'Calc'!$B$8,"",MAX(Calc!$AQ$125*(1+'财富模型'!$E$20/12)+'Calc'!$B$6-(IF('Calc'!$E$17=1,0,MIN(Calc!$AQ$125*(1+'财富模型'!$E$20/12)+'Calc'!$B$6,IF(Calc!$AO$126&lt;='财富模型'!$E$11*12,'Calc'!$W$17,'Calc'!$Y$17)))),0))</x:f>
      </x:c>
      <x:c r="AR126" t="str">
        <x:f>IF(Calc!$AO$126&gt;'Calc'!$B$8,"",IF('Calc'!$E$17=1,'财富模型'!$E$9,'财富模型'!$M$9+IF(Calc!$AO$126&lt;='财富模型'!$E$11*12,'Calc'!$W$17,'Calc'!$Y$17)-(IF('Calc'!$E$17=1,0,MIN(Calc!$AQ$125*(1+'财富模型'!$E$20/12)+'Calc'!$B$6,IF(Calc!$AO$126&lt;='财富模型'!$E$11*12,'Calc'!$W$17,'Calc'!$Y$17))))))</x:f>
      </x:c>
      <x:c r="AS126" t="str">
        <x:f>IF(Calc!$AO$126&gt;'Calc'!$B$8,"",IF('Calc'!$E$17=1,0,MIN(Calc!$AQ$125*(1+'财富模型'!$E$20/12)+'Calc'!$B$6,IF(Calc!$AO$126&lt;='财富模型'!$E$11*12,'Calc'!$W$17,'Calc'!$Y$17))))</x:f>
      </x:c>
      <x:c r="AT126" t="str">
        <x:f>IF(Calc!$AO$126&gt;'Calc'!$B$8,"",'Calc'!$B$5-'财富模型'!$E$5-(IF('Calc'!$E$17=1,'财富模型'!$E$9,'财富模型'!$M$9+IF(Calc!$AO$126&lt;='财富模型'!$E$11*12,'Calc'!$W$17,'Calc'!$Y$17)-(IF('Calc'!$E$17=1,0,MIN(Calc!$AQ$125*(1+'财富模型'!$E$20/12)+'Calc'!$B$6,IF(Calc!$AO$126&lt;='财富模型'!$E$11*12,'Calc'!$W$17,'Calc'!$Y$17)))))))</x:f>
      </x:c>
      <x:c r="AU126" t="str">
        <x:f>IF(Calc!$AO$126&gt;'Calc'!$B$8,"",IF('Calc'!$E$17=1,0,MAX(Calc!$AU$125*(1+IF(Calc!$AO$126&lt;='财富模型'!$E$11*12,'财富模型'!$E$10,'财富模型'!$E$12)/12)-IF('Calc'!$E$17=1,0,IF(Calc!$AO$126&lt;='财富模型'!$E$11*12,'Calc'!$W$17,'Calc'!$Y$17)),0)))</x:f>
      </x:c>
    </x:row>
    <x:row r="127">
      <x:c r="A127" t="n">
        <x:v>106</x:v>
      </x:c>
      <x:c r="B127" t="str">
        <x:f>IF(Calc!$A$127&gt;'Calc'!$B$8,"",MAX(Calc!$B$126*(1+'财富模型'!$E$6/12)+('Calc'!$B$5-'财富模型'!$E$5-(IF('Calc'!$E$12=1,'财富模型'!$E$9,'财富模型'!$M$4+IF(Calc!$A$127&lt;='财富模型'!$E$11*12,'Calc'!$W$12,'Calc'!$Y$12)-(IF('Calc'!$E$12=1,0,MIN(Calc!$C$126*(1+'财富模型'!$E$20/12)+'Calc'!$B$6,IF(Calc!$A$127&lt;='财富模型'!$E$11*12,'Calc'!$W$12,'Calc'!$Y$12))))))),0))</x:f>
      </x:c>
      <x:c r="C127" t="str">
        <x:f>IF(Calc!$A$127&gt;'Calc'!$B$8,"",MAX(Calc!$C$126*(1+'财富模型'!$E$20/12)+'Calc'!$B$6-(IF('Calc'!$E$12=1,0,MIN(Calc!$C$126*(1+'财富模型'!$E$20/12)+'Calc'!$B$6,IF(Calc!$A$127&lt;='财富模型'!$E$11*12,'Calc'!$W$12,'Calc'!$Y$12)))),0))</x:f>
      </x:c>
      <x:c r="D127" t="str">
        <x:f>IF(Calc!$A$127&gt;'Calc'!$B$8,"",IF('Calc'!$E$12=1,'财富模型'!$E$9,'财富模型'!$M$4+IF(Calc!$A$127&lt;='财富模型'!$E$11*12,'Calc'!$W$12,'Calc'!$Y$12)-(IF('Calc'!$E$12=1,0,MIN(Calc!$C$126*(1+'财富模型'!$E$20/12)+'Calc'!$B$6,IF(Calc!$A$127&lt;='财富模型'!$E$11*12,'Calc'!$W$12,'Calc'!$Y$12))))))</x:f>
      </x:c>
      <x:c r="E127" t="str">
        <x:f>IF(Calc!$A$127&gt;'Calc'!$B$8,"",IF('Calc'!$E$12=1,0,MIN(Calc!$C$126*(1+'财富模型'!$E$20/12)+'Calc'!$B$6,IF(Calc!$A$127&lt;='财富模型'!$E$11*12,'Calc'!$W$12,'Calc'!$Y$12))))</x:f>
      </x:c>
      <x:c r="F127" t="str">
        <x:f>IF(Calc!$A$127&gt;'Calc'!$B$8,"",'Calc'!$B$5-'财富模型'!$E$5-(IF('Calc'!$E$12=1,'财富模型'!$E$9,'财富模型'!$M$4+IF(Calc!$A$127&lt;='财富模型'!$E$11*12,'Calc'!$W$12,'Calc'!$Y$12)-(IF('Calc'!$E$12=1,0,MIN(Calc!$C$126*(1+'财富模型'!$E$20/12)+'Calc'!$B$6,IF(Calc!$A$127&lt;='财富模型'!$E$11*12,'Calc'!$W$12,'Calc'!$Y$12)))))))</x:f>
      </x:c>
      <x:c r="G127" t="str">
        <x:f>IF(Calc!$A$127&gt;'Calc'!$B$8,"",IF('Calc'!$E$12=1,0,MAX(Calc!$G$126*(1+IF(Calc!$A$127&lt;='财富模型'!$E$11*12,'财富模型'!$E$10,'财富模型'!$E$12)/12)-IF('Calc'!$E$12=1,0,IF(Calc!$A$127&lt;='财富模型'!$E$11*12,'Calc'!$W$12,'Calc'!$Y$12)),0)))</x:f>
      </x:c>
      <x:c r="I127" t="n">
        <x:v>106</x:v>
      </x:c>
      <x:c r="J127" t="str">
        <x:f>IF(Calc!$I$127&gt;'Calc'!$B$8,"",MAX(Calc!$J$126*(1+'财富模型'!$E$6/12)+('Calc'!$B$5-'财富模型'!$E$5-(IF('Calc'!$E$13=1,'财富模型'!$E$9,'财富模型'!$M$5+IF(Calc!$I$127&lt;='财富模型'!$E$11*12,'Calc'!$W$13,'Calc'!$Y$13)-(IF('Calc'!$E$13=1,0,MIN(Calc!$K$126*(1+'财富模型'!$E$20/12)+'Calc'!$B$6,IF(Calc!$I$127&lt;='财富模型'!$E$11*12,'Calc'!$W$13,'Calc'!$Y$13))))))),0))</x:f>
      </x:c>
      <x:c r="K127" t="str">
        <x:f>IF(Calc!$I$127&gt;'Calc'!$B$8,"",MAX(Calc!$K$126*(1+'财富模型'!$E$20/12)+'Calc'!$B$6-(IF('Calc'!$E$13=1,0,MIN(Calc!$K$126*(1+'财富模型'!$E$20/12)+'Calc'!$B$6,IF(Calc!$I$127&lt;='财富模型'!$E$11*12,'Calc'!$W$13,'Calc'!$Y$13)))),0))</x:f>
      </x:c>
      <x:c r="L127" t="str">
        <x:f>IF(Calc!$I$127&gt;'Calc'!$B$8,"",IF('Calc'!$E$13=1,'财富模型'!$E$9,'财富模型'!$M$5+IF(Calc!$I$127&lt;='财富模型'!$E$11*12,'Calc'!$W$13,'Calc'!$Y$13)-(IF('Calc'!$E$13=1,0,MIN(Calc!$K$126*(1+'财富模型'!$E$20/12)+'Calc'!$B$6,IF(Calc!$I$127&lt;='财富模型'!$E$11*12,'Calc'!$W$13,'Calc'!$Y$13))))))</x:f>
      </x:c>
      <x:c r="M127" t="str">
        <x:f>IF(Calc!$I$127&gt;'Calc'!$B$8,"",IF('Calc'!$E$13=1,0,MIN(Calc!$K$126*(1+'财富模型'!$E$20/12)+'Calc'!$B$6,IF(Calc!$I$127&lt;='财富模型'!$E$11*12,'Calc'!$W$13,'Calc'!$Y$13))))</x:f>
      </x:c>
      <x:c r="N127" t="str">
        <x:f>IF(Calc!$I$127&gt;'Calc'!$B$8,"",'Calc'!$B$5-'财富模型'!$E$5-(IF('Calc'!$E$13=1,'财富模型'!$E$9,'财富模型'!$M$5+IF(Calc!$I$127&lt;='财富模型'!$E$11*12,'Calc'!$W$13,'Calc'!$Y$13)-(IF('Calc'!$E$13=1,0,MIN(Calc!$K$126*(1+'财富模型'!$E$20/12)+'Calc'!$B$6,IF(Calc!$I$127&lt;='财富模型'!$E$11*12,'Calc'!$W$13,'Calc'!$Y$13)))))))</x:f>
      </x:c>
      <x:c r="O127" t="str">
        <x:f>IF(Calc!$I$127&gt;'Calc'!$B$8,"",IF('Calc'!$E$13=1,0,MAX(Calc!$O$126*(1+IF(Calc!$I$127&lt;='财富模型'!$E$11*12,'财富模型'!$E$10,'财富模型'!$E$12)/12)-IF('Calc'!$E$13=1,0,IF(Calc!$I$127&lt;='财富模型'!$E$11*12,'Calc'!$W$13,'Calc'!$Y$13)),0)))</x:f>
      </x:c>
      <x:c r="Q127" t="n">
        <x:v>106</x:v>
      </x:c>
      <x:c r="R127" t="str">
        <x:f>IF(Calc!$Q$127&gt;'Calc'!$B$8,"",MAX(Calc!$R$126*(1+'财富模型'!$E$6/12)+('Calc'!$B$5-'财富模型'!$E$5-(IF('Calc'!$E$14=1,'财富模型'!$E$9,'财富模型'!$M$6+IF(Calc!$Q$127&lt;='财富模型'!$E$11*12,'Calc'!$W$14,'Calc'!$Y$14)-(IF('Calc'!$E$14=1,0,MIN(Calc!$S$126*(1+'财富模型'!$E$20/12)+'Calc'!$B$6,IF(Calc!$Q$127&lt;='财富模型'!$E$11*12,'Calc'!$W$14,'Calc'!$Y$14))))))),0))</x:f>
      </x:c>
      <x:c r="S127" t="str">
        <x:f>IF(Calc!$Q$127&gt;'Calc'!$B$8,"",MAX(Calc!$S$126*(1+'财富模型'!$E$20/12)+'Calc'!$B$6-(IF('Calc'!$E$14=1,0,MIN(Calc!$S$126*(1+'财富模型'!$E$20/12)+'Calc'!$B$6,IF(Calc!$Q$127&lt;='财富模型'!$E$11*12,'Calc'!$W$14,'Calc'!$Y$14)))),0))</x:f>
      </x:c>
      <x:c r="T127" t="str">
        <x:f>IF(Calc!$Q$127&gt;'Calc'!$B$8,"",IF('Calc'!$E$14=1,'财富模型'!$E$9,'财富模型'!$M$6+IF(Calc!$Q$127&lt;='财富模型'!$E$11*12,'Calc'!$W$14,'Calc'!$Y$14)-(IF('Calc'!$E$14=1,0,MIN(Calc!$S$126*(1+'财富模型'!$E$20/12)+'Calc'!$B$6,IF(Calc!$Q$127&lt;='财富模型'!$E$11*12,'Calc'!$W$14,'Calc'!$Y$14))))))</x:f>
      </x:c>
      <x:c r="U127" t="str">
        <x:f>IF(Calc!$Q$127&gt;'Calc'!$B$8,"",IF('Calc'!$E$14=1,0,MIN(Calc!$S$126*(1+'财富模型'!$E$20/12)+'Calc'!$B$6,IF(Calc!$Q$127&lt;='财富模型'!$E$11*12,'Calc'!$W$14,'Calc'!$Y$14))))</x:f>
      </x:c>
      <x:c r="V127" t="str">
        <x:f>IF(Calc!$Q$127&gt;'Calc'!$B$8,"",'Calc'!$B$5-'财富模型'!$E$5-(IF('Calc'!$E$14=1,'财富模型'!$E$9,'财富模型'!$M$6+IF(Calc!$Q$127&lt;='财富模型'!$E$11*12,'Calc'!$W$14,'Calc'!$Y$14)-(IF('Calc'!$E$14=1,0,MIN(Calc!$S$126*(1+'财富模型'!$E$20/12)+'Calc'!$B$6,IF(Calc!$Q$127&lt;='财富模型'!$E$11*12,'Calc'!$W$14,'Calc'!$Y$14)))))))</x:f>
      </x:c>
      <x:c r="W127" t="str">
        <x:f>IF(Calc!$Q$127&gt;'Calc'!$B$8,"",IF('Calc'!$E$14=1,0,MAX(Calc!$W$126*(1+IF(Calc!$Q$127&lt;='财富模型'!$E$11*12,'财富模型'!$E$10,'财富模型'!$E$12)/12)-IF('Calc'!$E$14=1,0,IF(Calc!$Q$127&lt;='财富模型'!$E$11*12,'Calc'!$W$14,'Calc'!$Y$14)),0)))</x:f>
      </x:c>
      <x:c r="Y127" t="n">
        <x:v>106</x:v>
      </x:c>
      <x:c r="Z127" t="str">
        <x:f>IF(Calc!$Y$127&gt;'Calc'!$B$8,"",MAX(Calc!$Z$126*(1+'财富模型'!$E$6/12)+('Calc'!$B$5-'财富模型'!$E$5-(IF('Calc'!$E$15=1,'财富模型'!$E$9,'财富模型'!$M$7+IF(Calc!$Y$127&lt;='财富模型'!$E$11*12,'Calc'!$W$15,'Calc'!$Y$15)-(IF('Calc'!$E$15=1,0,MIN(Calc!$AA$126*(1+'财富模型'!$E$20/12)+'Calc'!$B$6,IF(Calc!$Y$127&lt;='财富模型'!$E$11*12,'Calc'!$W$15,'Calc'!$Y$15))))))),0))</x:f>
      </x:c>
      <x:c r="AA127" t="str">
        <x:f>IF(Calc!$Y$127&gt;'Calc'!$B$8,"",MAX(Calc!$AA$126*(1+'财富模型'!$E$20/12)+'Calc'!$B$6-(IF('Calc'!$E$15=1,0,MIN(Calc!$AA$126*(1+'财富模型'!$E$20/12)+'Calc'!$B$6,IF(Calc!$Y$127&lt;='财富模型'!$E$11*12,'Calc'!$W$15,'Calc'!$Y$15)))),0))</x:f>
      </x:c>
      <x:c r="AB127" t="str">
        <x:f>IF(Calc!$Y$127&gt;'Calc'!$B$8,"",IF('Calc'!$E$15=1,'财富模型'!$E$9,'财富模型'!$M$7+IF(Calc!$Y$127&lt;='财富模型'!$E$11*12,'Calc'!$W$15,'Calc'!$Y$15)-(IF('Calc'!$E$15=1,0,MIN(Calc!$AA$126*(1+'财富模型'!$E$20/12)+'Calc'!$B$6,IF(Calc!$Y$127&lt;='财富模型'!$E$11*12,'Calc'!$W$15,'Calc'!$Y$15))))))</x:f>
      </x:c>
      <x:c r="AC127" t="str">
        <x:f>IF(Calc!$Y$127&gt;'Calc'!$B$8,"",IF('Calc'!$E$15=1,0,MIN(Calc!$AA$126*(1+'财富模型'!$E$20/12)+'Calc'!$B$6,IF(Calc!$Y$127&lt;='财富模型'!$E$11*12,'Calc'!$W$15,'Calc'!$Y$15))))</x:f>
      </x:c>
      <x:c r="AD127" t="str">
        <x:f>IF(Calc!$Y$127&gt;'Calc'!$B$8,"",'Calc'!$B$5-'财富模型'!$E$5-(IF('Calc'!$E$15=1,'财富模型'!$E$9,'财富模型'!$M$7+IF(Calc!$Y$127&lt;='财富模型'!$E$11*12,'Calc'!$W$15,'Calc'!$Y$15)-(IF('Calc'!$E$15=1,0,MIN(Calc!$AA$126*(1+'财富模型'!$E$20/12)+'Calc'!$B$6,IF(Calc!$Y$127&lt;='财富模型'!$E$11*12,'Calc'!$W$15,'Calc'!$Y$15)))))))</x:f>
      </x:c>
      <x:c r="AE127" t="str">
        <x:f>IF(Calc!$Y$127&gt;'Calc'!$B$8,"",IF('Calc'!$E$15=1,0,MAX(Calc!$AE$126*(1+IF(Calc!$Y$127&lt;='财富模型'!$E$11*12,'财富模型'!$E$10,'财富模型'!$E$12)/12)-IF('Calc'!$E$15=1,0,IF(Calc!$Y$127&lt;='财富模型'!$E$11*12,'Calc'!$W$15,'Calc'!$Y$15)),0)))</x:f>
      </x:c>
      <x:c r="AG127" t="n">
        <x:v>106</x:v>
      </x:c>
      <x:c r="AH127" t="str">
        <x:f>IF(Calc!$AG$127&gt;'Calc'!$B$8,"",MAX(Calc!$AH$126*(1+'财富模型'!$E$6/12)+('Calc'!$B$5-'财富模型'!$E$5-(IF('Calc'!$E$16=1,'财富模型'!$E$9,'财富模型'!$M$8+IF(Calc!$AG$127&lt;='财富模型'!$E$11*12,'Calc'!$W$16,'Calc'!$Y$16)-(IF('Calc'!$E$16=1,0,MIN(Calc!$AI$126*(1+'财富模型'!$E$20/12)+'Calc'!$B$6,IF(Calc!$AG$127&lt;='财富模型'!$E$11*12,'Calc'!$W$16,'Calc'!$Y$16))))))),0))</x:f>
      </x:c>
      <x:c r="AI127" t="str">
        <x:f>IF(Calc!$AG$127&gt;'Calc'!$B$8,"",MAX(Calc!$AI$126*(1+'财富模型'!$E$20/12)+'Calc'!$B$6-(IF('Calc'!$E$16=1,0,MIN(Calc!$AI$126*(1+'财富模型'!$E$20/12)+'Calc'!$B$6,IF(Calc!$AG$127&lt;='财富模型'!$E$11*12,'Calc'!$W$16,'Calc'!$Y$16)))),0))</x:f>
      </x:c>
      <x:c r="AJ127" t="str">
        <x:f>IF(Calc!$AG$127&gt;'Calc'!$B$8,"",IF('Calc'!$E$16=1,'财富模型'!$E$9,'财富模型'!$M$8+IF(Calc!$AG$127&lt;='财富模型'!$E$11*12,'Calc'!$W$16,'Calc'!$Y$16)-(IF('Calc'!$E$16=1,0,MIN(Calc!$AI$126*(1+'财富模型'!$E$20/12)+'Calc'!$B$6,IF(Calc!$AG$127&lt;='财富模型'!$E$11*12,'Calc'!$W$16,'Calc'!$Y$16))))))</x:f>
      </x:c>
      <x:c r="AK127" t="str">
        <x:f>IF(Calc!$AG$127&gt;'Calc'!$B$8,"",IF('Calc'!$E$16=1,0,MIN(Calc!$AI$126*(1+'财富模型'!$E$20/12)+'Calc'!$B$6,IF(Calc!$AG$127&lt;='财富模型'!$E$11*12,'Calc'!$W$16,'Calc'!$Y$16))))</x:f>
      </x:c>
      <x:c r="AL127" t="str">
        <x:f>IF(Calc!$AG$127&gt;'Calc'!$B$8,"",'Calc'!$B$5-'财富模型'!$E$5-(IF('Calc'!$E$16=1,'财富模型'!$E$9,'财富模型'!$M$8+IF(Calc!$AG$127&lt;='财富模型'!$E$11*12,'Calc'!$W$16,'Calc'!$Y$16)-(IF('Calc'!$E$16=1,0,MIN(Calc!$AI$126*(1+'财富模型'!$E$20/12)+'Calc'!$B$6,IF(Calc!$AG$127&lt;='财富模型'!$E$11*12,'Calc'!$W$16,'Calc'!$Y$16)))))))</x:f>
      </x:c>
      <x:c r="AM127" t="str">
        <x:f>IF(Calc!$AG$127&gt;'Calc'!$B$8,"",IF('Calc'!$E$16=1,0,MAX(Calc!$AM$126*(1+IF(Calc!$AG$127&lt;='财富模型'!$E$11*12,'财富模型'!$E$10,'财富模型'!$E$12)/12)-IF('Calc'!$E$16=1,0,IF(Calc!$AG$127&lt;='财富模型'!$E$11*12,'Calc'!$W$16,'Calc'!$Y$16)),0)))</x:f>
      </x:c>
      <x:c r="AO127" t="n">
        <x:v>106</x:v>
      </x:c>
      <x:c r="AP127" t="str">
        <x:f>IF(Calc!$AO$127&gt;'Calc'!$B$8,"",MAX(Calc!$AP$126*(1+'财富模型'!$E$6/12)+('Calc'!$B$5-'财富模型'!$E$5-(IF('Calc'!$E$17=1,'财富模型'!$E$9,'财富模型'!$M$9+IF(Calc!$AO$127&lt;='财富模型'!$E$11*12,'Calc'!$W$17,'Calc'!$Y$17)-(IF('Calc'!$E$17=1,0,MIN(Calc!$AQ$126*(1+'财富模型'!$E$20/12)+'Calc'!$B$6,IF(Calc!$AO$127&lt;='财富模型'!$E$11*12,'Calc'!$W$17,'Calc'!$Y$17))))))),0))</x:f>
      </x:c>
      <x:c r="AQ127" t="str">
        <x:f>IF(Calc!$AO$127&gt;'Calc'!$B$8,"",MAX(Calc!$AQ$126*(1+'财富模型'!$E$20/12)+'Calc'!$B$6-(IF('Calc'!$E$17=1,0,MIN(Calc!$AQ$126*(1+'财富模型'!$E$20/12)+'Calc'!$B$6,IF(Calc!$AO$127&lt;='财富模型'!$E$11*12,'Calc'!$W$17,'Calc'!$Y$17)))),0))</x:f>
      </x:c>
      <x:c r="AR127" t="str">
        <x:f>IF(Calc!$AO$127&gt;'Calc'!$B$8,"",IF('Calc'!$E$17=1,'财富模型'!$E$9,'财富模型'!$M$9+IF(Calc!$AO$127&lt;='财富模型'!$E$11*12,'Calc'!$W$17,'Calc'!$Y$17)-(IF('Calc'!$E$17=1,0,MIN(Calc!$AQ$126*(1+'财富模型'!$E$20/12)+'Calc'!$B$6,IF(Calc!$AO$127&lt;='财富模型'!$E$11*12,'Calc'!$W$17,'Calc'!$Y$17))))))</x:f>
      </x:c>
      <x:c r="AS127" t="str">
        <x:f>IF(Calc!$AO$127&gt;'Calc'!$B$8,"",IF('Calc'!$E$17=1,0,MIN(Calc!$AQ$126*(1+'财富模型'!$E$20/12)+'Calc'!$B$6,IF(Calc!$AO$127&lt;='财富模型'!$E$11*12,'Calc'!$W$17,'Calc'!$Y$17))))</x:f>
      </x:c>
      <x:c r="AT127" t="str">
        <x:f>IF(Calc!$AO$127&gt;'Calc'!$B$8,"",'Calc'!$B$5-'财富模型'!$E$5-(IF('Calc'!$E$17=1,'财富模型'!$E$9,'财富模型'!$M$9+IF(Calc!$AO$127&lt;='财富模型'!$E$11*12,'Calc'!$W$17,'Calc'!$Y$17)-(IF('Calc'!$E$17=1,0,MIN(Calc!$AQ$126*(1+'财富模型'!$E$20/12)+'Calc'!$B$6,IF(Calc!$AO$127&lt;='财富模型'!$E$11*12,'Calc'!$W$17,'Calc'!$Y$17)))))))</x:f>
      </x:c>
      <x:c r="AU127" t="str">
        <x:f>IF(Calc!$AO$127&gt;'Calc'!$B$8,"",IF('Calc'!$E$17=1,0,MAX(Calc!$AU$126*(1+IF(Calc!$AO$127&lt;='财富模型'!$E$11*12,'财富模型'!$E$10,'财富模型'!$E$12)/12)-IF('Calc'!$E$17=1,0,IF(Calc!$AO$127&lt;='财富模型'!$E$11*12,'Calc'!$W$17,'Calc'!$Y$17)),0)))</x:f>
      </x:c>
    </x:row>
    <x:row r="128">
      <x:c r="A128" t="n">
        <x:v>107</x:v>
      </x:c>
      <x:c r="B128" t="str">
        <x:f>IF(Calc!$A$128&gt;'Calc'!$B$8,"",MAX(Calc!$B$127*(1+'财富模型'!$E$6/12)+('Calc'!$B$5-'财富模型'!$E$5-(IF('Calc'!$E$12=1,'财富模型'!$E$9,'财富模型'!$M$4+IF(Calc!$A$128&lt;='财富模型'!$E$11*12,'Calc'!$W$12,'Calc'!$Y$12)-(IF('Calc'!$E$12=1,0,MIN(Calc!$C$127*(1+'财富模型'!$E$20/12)+'Calc'!$B$6,IF(Calc!$A$128&lt;='财富模型'!$E$11*12,'Calc'!$W$12,'Calc'!$Y$12))))))),0))</x:f>
      </x:c>
      <x:c r="C128" t="str">
        <x:f>IF(Calc!$A$128&gt;'Calc'!$B$8,"",MAX(Calc!$C$127*(1+'财富模型'!$E$20/12)+'Calc'!$B$6-(IF('Calc'!$E$12=1,0,MIN(Calc!$C$127*(1+'财富模型'!$E$20/12)+'Calc'!$B$6,IF(Calc!$A$128&lt;='财富模型'!$E$11*12,'Calc'!$W$12,'Calc'!$Y$12)))),0))</x:f>
      </x:c>
      <x:c r="D128" t="str">
        <x:f>IF(Calc!$A$128&gt;'Calc'!$B$8,"",IF('Calc'!$E$12=1,'财富模型'!$E$9,'财富模型'!$M$4+IF(Calc!$A$128&lt;='财富模型'!$E$11*12,'Calc'!$W$12,'Calc'!$Y$12)-(IF('Calc'!$E$12=1,0,MIN(Calc!$C$127*(1+'财富模型'!$E$20/12)+'Calc'!$B$6,IF(Calc!$A$128&lt;='财富模型'!$E$11*12,'Calc'!$W$12,'Calc'!$Y$12))))))</x:f>
      </x:c>
      <x:c r="E128" t="str">
        <x:f>IF(Calc!$A$128&gt;'Calc'!$B$8,"",IF('Calc'!$E$12=1,0,MIN(Calc!$C$127*(1+'财富模型'!$E$20/12)+'Calc'!$B$6,IF(Calc!$A$128&lt;='财富模型'!$E$11*12,'Calc'!$W$12,'Calc'!$Y$12))))</x:f>
      </x:c>
      <x:c r="F128" t="str">
        <x:f>IF(Calc!$A$128&gt;'Calc'!$B$8,"",'Calc'!$B$5-'财富模型'!$E$5-(IF('Calc'!$E$12=1,'财富模型'!$E$9,'财富模型'!$M$4+IF(Calc!$A$128&lt;='财富模型'!$E$11*12,'Calc'!$W$12,'Calc'!$Y$12)-(IF('Calc'!$E$12=1,0,MIN(Calc!$C$127*(1+'财富模型'!$E$20/12)+'Calc'!$B$6,IF(Calc!$A$128&lt;='财富模型'!$E$11*12,'Calc'!$W$12,'Calc'!$Y$12)))))))</x:f>
      </x:c>
      <x:c r="G128" t="str">
        <x:f>IF(Calc!$A$128&gt;'Calc'!$B$8,"",IF('Calc'!$E$12=1,0,MAX(Calc!$G$127*(1+IF(Calc!$A$128&lt;='财富模型'!$E$11*12,'财富模型'!$E$10,'财富模型'!$E$12)/12)-IF('Calc'!$E$12=1,0,IF(Calc!$A$128&lt;='财富模型'!$E$11*12,'Calc'!$W$12,'Calc'!$Y$12)),0)))</x:f>
      </x:c>
      <x:c r="I128" t="n">
        <x:v>107</x:v>
      </x:c>
      <x:c r="J128" t="str">
        <x:f>IF(Calc!$I$128&gt;'Calc'!$B$8,"",MAX(Calc!$J$127*(1+'财富模型'!$E$6/12)+('Calc'!$B$5-'财富模型'!$E$5-(IF('Calc'!$E$13=1,'财富模型'!$E$9,'财富模型'!$M$5+IF(Calc!$I$128&lt;='财富模型'!$E$11*12,'Calc'!$W$13,'Calc'!$Y$13)-(IF('Calc'!$E$13=1,0,MIN(Calc!$K$127*(1+'财富模型'!$E$20/12)+'Calc'!$B$6,IF(Calc!$I$128&lt;='财富模型'!$E$11*12,'Calc'!$W$13,'Calc'!$Y$13))))))),0))</x:f>
      </x:c>
      <x:c r="K128" t="str">
        <x:f>IF(Calc!$I$128&gt;'Calc'!$B$8,"",MAX(Calc!$K$127*(1+'财富模型'!$E$20/12)+'Calc'!$B$6-(IF('Calc'!$E$13=1,0,MIN(Calc!$K$127*(1+'财富模型'!$E$20/12)+'Calc'!$B$6,IF(Calc!$I$128&lt;='财富模型'!$E$11*12,'Calc'!$W$13,'Calc'!$Y$13)))),0))</x:f>
      </x:c>
      <x:c r="L128" t="str">
        <x:f>IF(Calc!$I$128&gt;'Calc'!$B$8,"",IF('Calc'!$E$13=1,'财富模型'!$E$9,'财富模型'!$M$5+IF(Calc!$I$128&lt;='财富模型'!$E$11*12,'Calc'!$W$13,'Calc'!$Y$13)-(IF('Calc'!$E$13=1,0,MIN(Calc!$K$127*(1+'财富模型'!$E$20/12)+'Calc'!$B$6,IF(Calc!$I$128&lt;='财富模型'!$E$11*12,'Calc'!$W$13,'Calc'!$Y$13))))))</x:f>
      </x:c>
      <x:c r="M128" t="str">
        <x:f>IF(Calc!$I$128&gt;'Calc'!$B$8,"",IF('Calc'!$E$13=1,0,MIN(Calc!$K$127*(1+'财富模型'!$E$20/12)+'Calc'!$B$6,IF(Calc!$I$128&lt;='财富模型'!$E$11*12,'Calc'!$W$13,'Calc'!$Y$13))))</x:f>
      </x:c>
      <x:c r="N128" t="str">
        <x:f>IF(Calc!$I$128&gt;'Calc'!$B$8,"",'Calc'!$B$5-'财富模型'!$E$5-(IF('Calc'!$E$13=1,'财富模型'!$E$9,'财富模型'!$M$5+IF(Calc!$I$128&lt;='财富模型'!$E$11*12,'Calc'!$W$13,'Calc'!$Y$13)-(IF('Calc'!$E$13=1,0,MIN(Calc!$K$127*(1+'财富模型'!$E$20/12)+'Calc'!$B$6,IF(Calc!$I$128&lt;='财富模型'!$E$11*12,'Calc'!$W$13,'Calc'!$Y$13)))))))</x:f>
      </x:c>
      <x:c r="O128" t="str">
        <x:f>IF(Calc!$I$128&gt;'Calc'!$B$8,"",IF('Calc'!$E$13=1,0,MAX(Calc!$O$127*(1+IF(Calc!$I$128&lt;='财富模型'!$E$11*12,'财富模型'!$E$10,'财富模型'!$E$12)/12)-IF('Calc'!$E$13=1,0,IF(Calc!$I$128&lt;='财富模型'!$E$11*12,'Calc'!$W$13,'Calc'!$Y$13)),0)))</x:f>
      </x:c>
      <x:c r="Q128" t="n">
        <x:v>107</x:v>
      </x:c>
      <x:c r="R128" t="str">
        <x:f>IF(Calc!$Q$128&gt;'Calc'!$B$8,"",MAX(Calc!$R$127*(1+'财富模型'!$E$6/12)+('Calc'!$B$5-'财富模型'!$E$5-(IF('Calc'!$E$14=1,'财富模型'!$E$9,'财富模型'!$M$6+IF(Calc!$Q$128&lt;='财富模型'!$E$11*12,'Calc'!$W$14,'Calc'!$Y$14)-(IF('Calc'!$E$14=1,0,MIN(Calc!$S$127*(1+'财富模型'!$E$20/12)+'Calc'!$B$6,IF(Calc!$Q$128&lt;='财富模型'!$E$11*12,'Calc'!$W$14,'Calc'!$Y$14))))))),0))</x:f>
      </x:c>
      <x:c r="S128" t="str">
        <x:f>IF(Calc!$Q$128&gt;'Calc'!$B$8,"",MAX(Calc!$S$127*(1+'财富模型'!$E$20/12)+'Calc'!$B$6-(IF('Calc'!$E$14=1,0,MIN(Calc!$S$127*(1+'财富模型'!$E$20/12)+'Calc'!$B$6,IF(Calc!$Q$128&lt;='财富模型'!$E$11*12,'Calc'!$W$14,'Calc'!$Y$14)))),0))</x:f>
      </x:c>
      <x:c r="T128" t="str">
        <x:f>IF(Calc!$Q$128&gt;'Calc'!$B$8,"",IF('Calc'!$E$14=1,'财富模型'!$E$9,'财富模型'!$M$6+IF(Calc!$Q$128&lt;='财富模型'!$E$11*12,'Calc'!$W$14,'Calc'!$Y$14)-(IF('Calc'!$E$14=1,0,MIN(Calc!$S$127*(1+'财富模型'!$E$20/12)+'Calc'!$B$6,IF(Calc!$Q$128&lt;='财富模型'!$E$11*12,'Calc'!$W$14,'Calc'!$Y$14))))))</x:f>
      </x:c>
      <x:c r="U128" t="str">
        <x:f>IF(Calc!$Q$128&gt;'Calc'!$B$8,"",IF('Calc'!$E$14=1,0,MIN(Calc!$S$127*(1+'财富模型'!$E$20/12)+'Calc'!$B$6,IF(Calc!$Q$128&lt;='财富模型'!$E$11*12,'Calc'!$W$14,'Calc'!$Y$14))))</x:f>
      </x:c>
      <x:c r="V128" t="str">
        <x:f>IF(Calc!$Q$128&gt;'Calc'!$B$8,"",'Calc'!$B$5-'财富模型'!$E$5-(IF('Calc'!$E$14=1,'财富模型'!$E$9,'财富模型'!$M$6+IF(Calc!$Q$128&lt;='财富模型'!$E$11*12,'Calc'!$W$14,'Calc'!$Y$14)-(IF('Calc'!$E$14=1,0,MIN(Calc!$S$127*(1+'财富模型'!$E$20/12)+'Calc'!$B$6,IF(Calc!$Q$128&lt;='财富模型'!$E$11*12,'Calc'!$W$14,'Calc'!$Y$14)))))))</x:f>
      </x:c>
      <x:c r="W128" t="str">
        <x:f>IF(Calc!$Q$128&gt;'Calc'!$B$8,"",IF('Calc'!$E$14=1,0,MAX(Calc!$W$127*(1+IF(Calc!$Q$128&lt;='财富模型'!$E$11*12,'财富模型'!$E$10,'财富模型'!$E$12)/12)-IF('Calc'!$E$14=1,0,IF(Calc!$Q$128&lt;='财富模型'!$E$11*12,'Calc'!$W$14,'Calc'!$Y$14)),0)))</x:f>
      </x:c>
      <x:c r="Y128" t="n">
        <x:v>107</x:v>
      </x:c>
      <x:c r="Z128" t="str">
        <x:f>IF(Calc!$Y$128&gt;'Calc'!$B$8,"",MAX(Calc!$Z$127*(1+'财富模型'!$E$6/12)+('Calc'!$B$5-'财富模型'!$E$5-(IF('Calc'!$E$15=1,'财富模型'!$E$9,'财富模型'!$M$7+IF(Calc!$Y$128&lt;='财富模型'!$E$11*12,'Calc'!$W$15,'Calc'!$Y$15)-(IF('Calc'!$E$15=1,0,MIN(Calc!$AA$127*(1+'财富模型'!$E$20/12)+'Calc'!$B$6,IF(Calc!$Y$128&lt;='财富模型'!$E$11*12,'Calc'!$W$15,'Calc'!$Y$15))))))),0))</x:f>
      </x:c>
      <x:c r="AA128" t="str">
        <x:f>IF(Calc!$Y$128&gt;'Calc'!$B$8,"",MAX(Calc!$AA$127*(1+'财富模型'!$E$20/12)+'Calc'!$B$6-(IF('Calc'!$E$15=1,0,MIN(Calc!$AA$127*(1+'财富模型'!$E$20/12)+'Calc'!$B$6,IF(Calc!$Y$128&lt;='财富模型'!$E$11*12,'Calc'!$W$15,'Calc'!$Y$15)))),0))</x:f>
      </x:c>
      <x:c r="AB128" t="str">
        <x:f>IF(Calc!$Y$128&gt;'Calc'!$B$8,"",IF('Calc'!$E$15=1,'财富模型'!$E$9,'财富模型'!$M$7+IF(Calc!$Y$128&lt;='财富模型'!$E$11*12,'Calc'!$W$15,'Calc'!$Y$15)-(IF('Calc'!$E$15=1,0,MIN(Calc!$AA$127*(1+'财富模型'!$E$20/12)+'Calc'!$B$6,IF(Calc!$Y$128&lt;='财富模型'!$E$11*12,'Calc'!$W$15,'Calc'!$Y$15))))))</x:f>
      </x:c>
      <x:c r="AC128" t="str">
        <x:f>IF(Calc!$Y$128&gt;'Calc'!$B$8,"",IF('Calc'!$E$15=1,0,MIN(Calc!$AA$127*(1+'财富模型'!$E$20/12)+'Calc'!$B$6,IF(Calc!$Y$128&lt;='财富模型'!$E$11*12,'Calc'!$W$15,'Calc'!$Y$15))))</x:f>
      </x:c>
      <x:c r="AD128" t="str">
        <x:f>IF(Calc!$Y$128&gt;'Calc'!$B$8,"",'Calc'!$B$5-'财富模型'!$E$5-(IF('Calc'!$E$15=1,'财富模型'!$E$9,'财富模型'!$M$7+IF(Calc!$Y$128&lt;='财富模型'!$E$11*12,'Calc'!$W$15,'Calc'!$Y$15)-(IF('Calc'!$E$15=1,0,MIN(Calc!$AA$127*(1+'财富模型'!$E$20/12)+'Calc'!$B$6,IF(Calc!$Y$128&lt;='财富模型'!$E$11*12,'Calc'!$W$15,'Calc'!$Y$15)))))))</x:f>
      </x:c>
      <x:c r="AE128" t="str">
        <x:f>IF(Calc!$Y$128&gt;'Calc'!$B$8,"",IF('Calc'!$E$15=1,0,MAX(Calc!$AE$127*(1+IF(Calc!$Y$128&lt;='财富模型'!$E$11*12,'财富模型'!$E$10,'财富模型'!$E$12)/12)-IF('Calc'!$E$15=1,0,IF(Calc!$Y$128&lt;='财富模型'!$E$11*12,'Calc'!$W$15,'Calc'!$Y$15)),0)))</x:f>
      </x:c>
      <x:c r="AG128" t="n">
        <x:v>107</x:v>
      </x:c>
      <x:c r="AH128" t="str">
        <x:f>IF(Calc!$AG$128&gt;'Calc'!$B$8,"",MAX(Calc!$AH$127*(1+'财富模型'!$E$6/12)+('Calc'!$B$5-'财富模型'!$E$5-(IF('Calc'!$E$16=1,'财富模型'!$E$9,'财富模型'!$M$8+IF(Calc!$AG$128&lt;='财富模型'!$E$11*12,'Calc'!$W$16,'Calc'!$Y$16)-(IF('Calc'!$E$16=1,0,MIN(Calc!$AI$127*(1+'财富模型'!$E$20/12)+'Calc'!$B$6,IF(Calc!$AG$128&lt;='财富模型'!$E$11*12,'Calc'!$W$16,'Calc'!$Y$16))))))),0))</x:f>
      </x:c>
      <x:c r="AI128" t="str">
        <x:f>IF(Calc!$AG$128&gt;'Calc'!$B$8,"",MAX(Calc!$AI$127*(1+'财富模型'!$E$20/12)+'Calc'!$B$6-(IF('Calc'!$E$16=1,0,MIN(Calc!$AI$127*(1+'财富模型'!$E$20/12)+'Calc'!$B$6,IF(Calc!$AG$128&lt;='财富模型'!$E$11*12,'Calc'!$W$16,'Calc'!$Y$16)))),0))</x:f>
      </x:c>
      <x:c r="AJ128" t="str">
        <x:f>IF(Calc!$AG$128&gt;'Calc'!$B$8,"",IF('Calc'!$E$16=1,'财富模型'!$E$9,'财富模型'!$M$8+IF(Calc!$AG$128&lt;='财富模型'!$E$11*12,'Calc'!$W$16,'Calc'!$Y$16)-(IF('Calc'!$E$16=1,0,MIN(Calc!$AI$127*(1+'财富模型'!$E$20/12)+'Calc'!$B$6,IF(Calc!$AG$128&lt;='财富模型'!$E$11*12,'Calc'!$W$16,'Calc'!$Y$16))))))</x:f>
      </x:c>
      <x:c r="AK128" t="str">
        <x:f>IF(Calc!$AG$128&gt;'Calc'!$B$8,"",IF('Calc'!$E$16=1,0,MIN(Calc!$AI$127*(1+'财富模型'!$E$20/12)+'Calc'!$B$6,IF(Calc!$AG$128&lt;='财富模型'!$E$11*12,'Calc'!$W$16,'Calc'!$Y$16))))</x:f>
      </x:c>
      <x:c r="AL128" t="str">
        <x:f>IF(Calc!$AG$128&gt;'Calc'!$B$8,"",'Calc'!$B$5-'财富模型'!$E$5-(IF('Calc'!$E$16=1,'财富模型'!$E$9,'财富模型'!$M$8+IF(Calc!$AG$128&lt;='财富模型'!$E$11*12,'Calc'!$W$16,'Calc'!$Y$16)-(IF('Calc'!$E$16=1,0,MIN(Calc!$AI$127*(1+'财富模型'!$E$20/12)+'Calc'!$B$6,IF(Calc!$AG$128&lt;='财富模型'!$E$11*12,'Calc'!$W$16,'Calc'!$Y$16)))))))</x:f>
      </x:c>
      <x:c r="AM128" t="str">
        <x:f>IF(Calc!$AG$128&gt;'Calc'!$B$8,"",IF('Calc'!$E$16=1,0,MAX(Calc!$AM$127*(1+IF(Calc!$AG$128&lt;='财富模型'!$E$11*12,'财富模型'!$E$10,'财富模型'!$E$12)/12)-IF('Calc'!$E$16=1,0,IF(Calc!$AG$128&lt;='财富模型'!$E$11*12,'Calc'!$W$16,'Calc'!$Y$16)),0)))</x:f>
      </x:c>
      <x:c r="AO128" t="n">
        <x:v>107</x:v>
      </x:c>
      <x:c r="AP128" t="str">
        <x:f>IF(Calc!$AO$128&gt;'Calc'!$B$8,"",MAX(Calc!$AP$127*(1+'财富模型'!$E$6/12)+('Calc'!$B$5-'财富模型'!$E$5-(IF('Calc'!$E$17=1,'财富模型'!$E$9,'财富模型'!$M$9+IF(Calc!$AO$128&lt;='财富模型'!$E$11*12,'Calc'!$W$17,'Calc'!$Y$17)-(IF('Calc'!$E$17=1,0,MIN(Calc!$AQ$127*(1+'财富模型'!$E$20/12)+'Calc'!$B$6,IF(Calc!$AO$128&lt;='财富模型'!$E$11*12,'Calc'!$W$17,'Calc'!$Y$17))))))),0))</x:f>
      </x:c>
      <x:c r="AQ128" t="str">
        <x:f>IF(Calc!$AO$128&gt;'Calc'!$B$8,"",MAX(Calc!$AQ$127*(1+'财富模型'!$E$20/12)+'Calc'!$B$6-(IF('Calc'!$E$17=1,0,MIN(Calc!$AQ$127*(1+'财富模型'!$E$20/12)+'Calc'!$B$6,IF(Calc!$AO$128&lt;='财富模型'!$E$11*12,'Calc'!$W$17,'Calc'!$Y$17)))),0))</x:f>
      </x:c>
      <x:c r="AR128" t="str">
        <x:f>IF(Calc!$AO$128&gt;'Calc'!$B$8,"",IF('Calc'!$E$17=1,'财富模型'!$E$9,'财富模型'!$M$9+IF(Calc!$AO$128&lt;='财富模型'!$E$11*12,'Calc'!$W$17,'Calc'!$Y$17)-(IF('Calc'!$E$17=1,0,MIN(Calc!$AQ$127*(1+'财富模型'!$E$20/12)+'Calc'!$B$6,IF(Calc!$AO$128&lt;='财富模型'!$E$11*12,'Calc'!$W$17,'Calc'!$Y$17))))))</x:f>
      </x:c>
      <x:c r="AS128" t="str">
        <x:f>IF(Calc!$AO$128&gt;'Calc'!$B$8,"",IF('Calc'!$E$17=1,0,MIN(Calc!$AQ$127*(1+'财富模型'!$E$20/12)+'Calc'!$B$6,IF(Calc!$AO$128&lt;='财富模型'!$E$11*12,'Calc'!$W$17,'Calc'!$Y$17))))</x:f>
      </x:c>
      <x:c r="AT128" t="str">
        <x:f>IF(Calc!$AO$128&gt;'Calc'!$B$8,"",'Calc'!$B$5-'财富模型'!$E$5-(IF('Calc'!$E$17=1,'财富模型'!$E$9,'财富模型'!$M$9+IF(Calc!$AO$128&lt;='财富模型'!$E$11*12,'Calc'!$W$17,'Calc'!$Y$17)-(IF('Calc'!$E$17=1,0,MIN(Calc!$AQ$127*(1+'财富模型'!$E$20/12)+'Calc'!$B$6,IF(Calc!$AO$128&lt;='财富模型'!$E$11*12,'Calc'!$W$17,'Calc'!$Y$17)))))))</x:f>
      </x:c>
      <x:c r="AU128" t="str">
        <x:f>IF(Calc!$AO$128&gt;'Calc'!$B$8,"",IF('Calc'!$E$17=1,0,MAX(Calc!$AU$127*(1+IF(Calc!$AO$128&lt;='财富模型'!$E$11*12,'财富模型'!$E$10,'财富模型'!$E$12)/12)-IF('Calc'!$E$17=1,0,IF(Calc!$AO$128&lt;='财富模型'!$E$11*12,'Calc'!$W$17,'Calc'!$Y$17)),0)))</x:f>
      </x:c>
    </x:row>
    <x:row r="129">
      <x:c r="A129" t="n">
        <x:v>108</x:v>
      </x:c>
      <x:c r="B129" t="str">
        <x:f>IF(Calc!$A$129&gt;'Calc'!$B$8,"",MAX(Calc!$B$128*(1+'财富模型'!$E$6/12)+('Calc'!$B$5-'财富模型'!$E$5-(IF('Calc'!$E$12=1,'财富模型'!$E$9,'财富模型'!$M$4+IF(Calc!$A$129&lt;='财富模型'!$E$11*12,'Calc'!$W$12,'Calc'!$Y$12)-(IF('Calc'!$E$12=1,0,MIN(Calc!$C$128*(1+'财富模型'!$E$20/12)+'Calc'!$B$6,IF(Calc!$A$129&lt;='财富模型'!$E$11*12,'Calc'!$W$12,'Calc'!$Y$12))))))),0))</x:f>
      </x:c>
      <x:c r="C129" t="str">
        <x:f>IF(Calc!$A$129&gt;'Calc'!$B$8,"",MAX(Calc!$C$128*(1+'财富模型'!$E$20/12)+'Calc'!$B$6-(IF('Calc'!$E$12=1,0,MIN(Calc!$C$128*(1+'财富模型'!$E$20/12)+'Calc'!$B$6,IF(Calc!$A$129&lt;='财富模型'!$E$11*12,'Calc'!$W$12,'Calc'!$Y$12)))),0))</x:f>
      </x:c>
      <x:c r="D129" t="str">
        <x:f>IF(Calc!$A$129&gt;'Calc'!$B$8,"",IF('Calc'!$E$12=1,'财富模型'!$E$9,'财富模型'!$M$4+IF(Calc!$A$129&lt;='财富模型'!$E$11*12,'Calc'!$W$12,'Calc'!$Y$12)-(IF('Calc'!$E$12=1,0,MIN(Calc!$C$128*(1+'财富模型'!$E$20/12)+'Calc'!$B$6,IF(Calc!$A$129&lt;='财富模型'!$E$11*12,'Calc'!$W$12,'Calc'!$Y$12))))))</x:f>
      </x:c>
      <x:c r="E129" t="str">
        <x:f>IF(Calc!$A$129&gt;'Calc'!$B$8,"",IF('Calc'!$E$12=1,0,MIN(Calc!$C$128*(1+'财富模型'!$E$20/12)+'Calc'!$B$6,IF(Calc!$A$129&lt;='财富模型'!$E$11*12,'Calc'!$W$12,'Calc'!$Y$12))))</x:f>
      </x:c>
      <x:c r="F129" t="str">
        <x:f>IF(Calc!$A$129&gt;'Calc'!$B$8,"",'Calc'!$B$5-'财富模型'!$E$5-(IF('Calc'!$E$12=1,'财富模型'!$E$9,'财富模型'!$M$4+IF(Calc!$A$129&lt;='财富模型'!$E$11*12,'Calc'!$W$12,'Calc'!$Y$12)-(IF('Calc'!$E$12=1,0,MIN(Calc!$C$128*(1+'财富模型'!$E$20/12)+'Calc'!$B$6,IF(Calc!$A$129&lt;='财富模型'!$E$11*12,'Calc'!$W$12,'Calc'!$Y$12)))))))</x:f>
      </x:c>
      <x:c r="G129" t="str">
        <x:f>IF(Calc!$A$129&gt;'Calc'!$B$8,"",IF('Calc'!$E$12=1,0,MAX(Calc!$G$128*(1+IF(Calc!$A$129&lt;='财富模型'!$E$11*12,'财富模型'!$E$10,'财富模型'!$E$12)/12)-IF('Calc'!$E$12=1,0,IF(Calc!$A$129&lt;='财富模型'!$E$11*12,'Calc'!$W$12,'Calc'!$Y$12)),0)))</x:f>
      </x:c>
      <x:c r="I129" t="n">
        <x:v>108</x:v>
      </x:c>
      <x:c r="J129" t="str">
        <x:f>IF(Calc!$I$129&gt;'Calc'!$B$8,"",MAX(Calc!$J$128*(1+'财富模型'!$E$6/12)+('Calc'!$B$5-'财富模型'!$E$5-(IF('Calc'!$E$13=1,'财富模型'!$E$9,'财富模型'!$M$5+IF(Calc!$I$129&lt;='财富模型'!$E$11*12,'Calc'!$W$13,'Calc'!$Y$13)-(IF('Calc'!$E$13=1,0,MIN(Calc!$K$128*(1+'财富模型'!$E$20/12)+'Calc'!$B$6,IF(Calc!$I$129&lt;='财富模型'!$E$11*12,'Calc'!$W$13,'Calc'!$Y$13))))))),0))</x:f>
      </x:c>
      <x:c r="K129" t="str">
        <x:f>IF(Calc!$I$129&gt;'Calc'!$B$8,"",MAX(Calc!$K$128*(1+'财富模型'!$E$20/12)+'Calc'!$B$6-(IF('Calc'!$E$13=1,0,MIN(Calc!$K$128*(1+'财富模型'!$E$20/12)+'Calc'!$B$6,IF(Calc!$I$129&lt;='财富模型'!$E$11*12,'Calc'!$W$13,'Calc'!$Y$13)))),0))</x:f>
      </x:c>
      <x:c r="L129" t="str">
        <x:f>IF(Calc!$I$129&gt;'Calc'!$B$8,"",IF('Calc'!$E$13=1,'财富模型'!$E$9,'财富模型'!$M$5+IF(Calc!$I$129&lt;='财富模型'!$E$11*12,'Calc'!$W$13,'Calc'!$Y$13)-(IF('Calc'!$E$13=1,0,MIN(Calc!$K$128*(1+'财富模型'!$E$20/12)+'Calc'!$B$6,IF(Calc!$I$129&lt;='财富模型'!$E$11*12,'Calc'!$W$13,'Calc'!$Y$13))))))</x:f>
      </x:c>
      <x:c r="M129" t="str">
        <x:f>IF(Calc!$I$129&gt;'Calc'!$B$8,"",IF('Calc'!$E$13=1,0,MIN(Calc!$K$128*(1+'财富模型'!$E$20/12)+'Calc'!$B$6,IF(Calc!$I$129&lt;='财富模型'!$E$11*12,'Calc'!$W$13,'Calc'!$Y$13))))</x:f>
      </x:c>
      <x:c r="N129" t="str">
        <x:f>IF(Calc!$I$129&gt;'Calc'!$B$8,"",'Calc'!$B$5-'财富模型'!$E$5-(IF('Calc'!$E$13=1,'财富模型'!$E$9,'财富模型'!$M$5+IF(Calc!$I$129&lt;='财富模型'!$E$11*12,'Calc'!$W$13,'Calc'!$Y$13)-(IF('Calc'!$E$13=1,0,MIN(Calc!$K$128*(1+'财富模型'!$E$20/12)+'Calc'!$B$6,IF(Calc!$I$129&lt;='财富模型'!$E$11*12,'Calc'!$W$13,'Calc'!$Y$13)))))))</x:f>
      </x:c>
      <x:c r="O129" t="str">
        <x:f>IF(Calc!$I$129&gt;'Calc'!$B$8,"",IF('Calc'!$E$13=1,0,MAX(Calc!$O$128*(1+IF(Calc!$I$129&lt;='财富模型'!$E$11*12,'财富模型'!$E$10,'财富模型'!$E$12)/12)-IF('Calc'!$E$13=1,0,IF(Calc!$I$129&lt;='财富模型'!$E$11*12,'Calc'!$W$13,'Calc'!$Y$13)),0)))</x:f>
      </x:c>
      <x:c r="Q129" t="n">
        <x:v>108</x:v>
      </x:c>
      <x:c r="R129" t="str">
        <x:f>IF(Calc!$Q$129&gt;'Calc'!$B$8,"",MAX(Calc!$R$128*(1+'财富模型'!$E$6/12)+('Calc'!$B$5-'财富模型'!$E$5-(IF('Calc'!$E$14=1,'财富模型'!$E$9,'财富模型'!$M$6+IF(Calc!$Q$129&lt;='财富模型'!$E$11*12,'Calc'!$W$14,'Calc'!$Y$14)-(IF('Calc'!$E$14=1,0,MIN(Calc!$S$128*(1+'财富模型'!$E$20/12)+'Calc'!$B$6,IF(Calc!$Q$129&lt;='财富模型'!$E$11*12,'Calc'!$W$14,'Calc'!$Y$14))))))),0))</x:f>
      </x:c>
      <x:c r="S129" t="str">
        <x:f>IF(Calc!$Q$129&gt;'Calc'!$B$8,"",MAX(Calc!$S$128*(1+'财富模型'!$E$20/12)+'Calc'!$B$6-(IF('Calc'!$E$14=1,0,MIN(Calc!$S$128*(1+'财富模型'!$E$20/12)+'Calc'!$B$6,IF(Calc!$Q$129&lt;='财富模型'!$E$11*12,'Calc'!$W$14,'Calc'!$Y$14)))),0))</x:f>
      </x:c>
      <x:c r="T129" t="str">
        <x:f>IF(Calc!$Q$129&gt;'Calc'!$B$8,"",IF('Calc'!$E$14=1,'财富模型'!$E$9,'财富模型'!$M$6+IF(Calc!$Q$129&lt;='财富模型'!$E$11*12,'Calc'!$W$14,'Calc'!$Y$14)-(IF('Calc'!$E$14=1,0,MIN(Calc!$S$128*(1+'财富模型'!$E$20/12)+'Calc'!$B$6,IF(Calc!$Q$129&lt;='财富模型'!$E$11*12,'Calc'!$W$14,'Calc'!$Y$14))))))</x:f>
      </x:c>
      <x:c r="U129" t="str">
        <x:f>IF(Calc!$Q$129&gt;'Calc'!$B$8,"",IF('Calc'!$E$14=1,0,MIN(Calc!$S$128*(1+'财富模型'!$E$20/12)+'Calc'!$B$6,IF(Calc!$Q$129&lt;='财富模型'!$E$11*12,'Calc'!$W$14,'Calc'!$Y$14))))</x:f>
      </x:c>
      <x:c r="V129" t="str">
        <x:f>IF(Calc!$Q$129&gt;'Calc'!$B$8,"",'Calc'!$B$5-'财富模型'!$E$5-(IF('Calc'!$E$14=1,'财富模型'!$E$9,'财富模型'!$M$6+IF(Calc!$Q$129&lt;='财富模型'!$E$11*12,'Calc'!$W$14,'Calc'!$Y$14)-(IF('Calc'!$E$14=1,0,MIN(Calc!$S$128*(1+'财富模型'!$E$20/12)+'Calc'!$B$6,IF(Calc!$Q$129&lt;='财富模型'!$E$11*12,'Calc'!$W$14,'Calc'!$Y$14)))))))</x:f>
      </x:c>
      <x:c r="W129" t="str">
        <x:f>IF(Calc!$Q$129&gt;'Calc'!$B$8,"",IF('Calc'!$E$14=1,0,MAX(Calc!$W$128*(1+IF(Calc!$Q$129&lt;='财富模型'!$E$11*12,'财富模型'!$E$10,'财富模型'!$E$12)/12)-IF('Calc'!$E$14=1,0,IF(Calc!$Q$129&lt;='财富模型'!$E$11*12,'Calc'!$W$14,'Calc'!$Y$14)),0)))</x:f>
      </x:c>
      <x:c r="Y129" t="n">
        <x:v>108</x:v>
      </x:c>
      <x:c r="Z129" t="str">
        <x:f>IF(Calc!$Y$129&gt;'Calc'!$B$8,"",MAX(Calc!$Z$128*(1+'财富模型'!$E$6/12)+('Calc'!$B$5-'财富模型'!$E$5-(IF('Calc'!$E$15=1,'财富模型'!$E$9,'财富模型'!$M$7+IF(Calc!$Y$129&lt;='财富模型'!$E$11*12,'Calc'!$W$15,'Calc'!$Y$15)-(IF('Calc'!$E$15=1,0,MIN(Calc!$AA$128*(1+'财富模型'!$E$20/12)+'Calc'!$B$6,IF(Calc!$Y$129&lt;='财富模型'!$E$11*12,'Calc'!$W$15,'Calc'!$Y$15))))))),0))</x:f>
      </x:c>
      <x:c r="AA129" t="str">
        <x:f>IF(Calc!$Y$129&gt;'Calc'!$B$8,"",MAX(Calc!$AA$128*(1+'财富模型'!$E$20/12)+'Calc'!$B$6-(IF('Calc'!$E$15=1,0,MIN(Calc!$AA$128*(1+'财富模型'!$E$20/12)+'Calc'!$B$6,IF(Calc!$Y$129&lt;='财富模型'!$E$11*12,'Calc'!$W$15,'Calc'!$Y$15)))),0))</x:f>
      </x:c>
      <x:c r="AB129" t="str">
        <x:f>IF(Calc!$Y$129&gt;'Calc'!$B$8,"",IF('Calc'!$E$15=1,'财富模型'!$E$9,'财富模型'!$M$7+IF(Calc!$Y$129&lt;='财富模型'!$E$11*12,'Calc'!$W$15,'Calc'!$Y$15)-(IF('Calc'!$E$15=1,0,MIN(Calc!$AA$128*(1+'财富模型'!$E$20/12)+'Calc'!$B$6,IF(Calc!$Y$129&lt;='财富模型'!$E$11*12,'Calc'!$W$15,'Calc'!$Y$15))))))</x:f>
      </x:c>
      <x:c r="AC129" t="str">
        <x:f>IF(Calc!$Y$129&gt;'Calc'!$B$8,"",IF('Calc'!$E$15=1,0,MIN(Calc!$AA$128*(1+'财富模型'!$E$20/12)+'Calc'!$B$6,IF(Calc!$Y$129&lt;='财富模型'!$E$11*12,'Calc'!$W$15,'Calc'!$Y$15))))</x:f>
      </x:c>
      <x:c r="AD129" t="str">
        <x:f>IF(Calc!$Y$129&gt;'Calc'!$B$8,"",'Calc'!$B$5-'财富模型'!$E$5-(IF('Calc'!$E$15=1,'财富模型'!$E$9,'财富模型'!$M$7+IF(Calc!$Y$129&lt;='财富模型'!$E$11*12,'Calc'!$W$15,'Calc'!$Y$15)-(IF('Calc'!$E$15=1,0,MIN(Calc!$AA$128*(1+'财富模型'!$E$20/12)+'Calc'!$B$6,IF(Calc!$Y$129&lt;='财富模型'!$E$11*12,'Calc'!$W$15,'Calc'!$Y$15)))))))</x:f>
      </x:c>
      <x:c r="AE129" t="str">
        <x:f>IF(Calc!$Y$129&gt;'Calc'!$B$8,"",IF('Calc'!$E$15=1,0,MAX(Calc!$AE$128*(1+IF(Calc!$Y$129&lt;='财富模型'!$E$11*12,'财富模型'!$E$10,'财富模型'!$E$12)/12)-IF('Calc'!$E$15=1,0,IF(Calc!$Y$129&lt;='财富模型'!$E$11*12,'Calc'!$W$15,'Calc'!$Y$15)),0)))</x:f>
      </x:c>
      <x:c r="AG129" t="n">
        <x:v>108</x:v>
      </x:c>
      <x:c r="AH129" t="str">
        <x:f>IF(Calc!$AG$129&gt;'Calc'!$B$8,"",MAX(Calc!$AH$128*(1+'财富模型'!$E$6/12)+('Calc'!$B$5-'财富模型'!$E$5-(IF('Calc'!$E$16=1,'财富模型'!$E$9,'财富模型'!$M$8+IF(Calc!$AG$129&lt;='财富模型'!$E$11*12,'Calc'!$W$16,'Calc'!$Y$16)-(IF('Calc'!$E$16=1,0,MIN(Calc!$AI$128*(1+'财富模型'!$E$20/12)+'Calc'!$B$6,IF(Calc!$AG$129&lt;='财富模型'!$E$11*12,'Calc'!$W$16,'Calc'!$Y$16))))))),0))</x:f>
      </x:c>
      <x:c r="AI129" t="str">
        <x:f>IF(Calc!$AG$129&gt;'Calc'!$B$8,"",MAX(Calc!$AI$128*(1+'财富模型'!$E$20/12)+'Calc'!$B$6-(IF('Calc'!$E$16=1,0,MIN(Calc!$AI$128*(1+'财富模型'!$E$20/12)+'Calc'!$B$6,IF(Calc!$AG$129&lt;='财富模型'!$E$11*12,'Calc'!$W$16,'Calc'!$Y$16)))),0))</x:f>
      </x:c>
      <x:c r="AJ129" t="str">
        <x:f>IF(Calc!$AG$129&gt;'Calc'!$B$8,"",IF('Calc'!$E$16=1,'财富模型'!$E$9,'财富模型'!$M$8+IF(Calc!$AG$129&lt;='财富模型'!$E$11*12,'Calc'!$W$16,'Calc'!$Y$16)-(IF('Calc'!$E$16=1,0,MIN(Calc!$AI$128*(1+'财富模型'!$E$20/12)+'Calc'!$B$6,IF(Calc!$AG$129&lt;='财富模型'!$E$11*12,'Calc'!$W$16,'Calc'!$Y$16))))))</x:f>
      </x:c>
      <x:c r="AK129" t="str">
        <x:f>IF(Calc!$AG$129&gt;'Calc'!$B$8,"",IF('Calc'!$E$16=1,0,MIN(Calc!$AI$128*(1+'财富模型'!$E$20/12)+'Calc'!$B$6,IF(Calc!$AG$129&lt;='财富模型'!$E$11*12,'Calc'!$W$16,'Calc'!$Y$16))))</x:f>
      </x:c>
      <x:c r="AL129" t="str">
        <x:f>IF(Calc!$AG$129&gt;'Calc'!$B$8,"",'Calc'!$B$5-'财富模型'!$E$5-(IF('Calc'!$E$16=1,'财富模型'!$E$9,'财富模型'!$M$8+IF(Calc!$AG$129&lt;='财富模型'!$E$11*12,'Calc'!$W$16,'Calc'!$Y$16)-(IF('Calc'!$E$16=1,0,MIN(Calc!$AI$128*(1+'财富模型'!$E$20/12)+'Calc'!$B$6,IF(Calc!$AG$129&lt;='财富模型'!$E$11*12,'Calc'!$W$16,'Calc'!$Y$16)))))))</x:f>
      </x:c>
      <x:c r="AM129" t="str">
        <x:f>IF(Calc!$AG$129&gt;'Calc'!$B$8,"",IF('Calc'!$E$16=1,0,MAX(Calc!$AM$128*(1+IF(Calc!$AG$129&lt;='财富模型'!$E$11*12,'财富模型'!$E$10,'财富模型'!$E$12)/12)-IF('Calc'!$E$16=1,0,IF(Calc!$AG$129&lt;='财富模型'!$E$11*12,'Calc'!$W$16,'Calc'!$Y$16)),0)))</x:f>
      </x:c>
      <x:c r="AO129" t="n">
        <x:v>108</x:v>
      </x:c>
      <x:c r="AP129" t="str">
        <x:f>IF(Calc!$AO$129&gt;'Calc'!$B$8,"",MAX(Calc!$AP$128*(1+'财富模型'!$E$6/12)+('Calc'!$B$5-'财富模型'!$E$5-(IF('Calc'!$E$17=1,'财富模型'!$E$9,'财富模型'!$M$9+IF(Calc!$AO$129&lt;='财富模型'!$E$11*12,'Calc'!$W$17,'Calc'!$Y$17)-(IF('Calc'!$E$17=1,0,MIN(Calc!$AQ$128*(1+'财富模型'!$E$20/12)+'Calc'!$B$6,IF(Calc!$AO$129&lt;='财富模型'!$E$11*12,'Calc'!$W$17,'Calc'!$Y$17))))))),0))</x:f>
      </x:c>
      <x:c r="AQ129" t="str">
        <x:f>IF(Calc!$AO$129&gt;'Calc'!$B$8,"",MAX(Calc!$AQ$128*(1+'财富模型'!$E$20/12)+'Calc'!$B$6-(IF('Calc'!$E$17=1,0,MIN(Calc!$AQ$128*(1+'财富模型'!$E$20/12)+'Calc'!$B$6,IF(Calc!$AO$129&lt;='财富模型'!$E$11*12,'Calc'!$W$17,'Calc'!$Y$17)))),0))</x:f>
      </x:c>
      <x:c r="AR129" t="str">
        <x:f>IF(Calc!$AO$129&gt;'Calc'!$B$8,"",IF('Calc'!$E$17=1,'财富模型'!$E$9,'财富模型'!$M$9+IF(Calc!$AO$129&lt;='财富模型'!$E$11*12,'Calc'!$W$17,'Calc'!$Y$17)-(IF('Calc'!$E$17=1,0,MIN(Calc!$AQ$128*(1+'财富模型'!$E$20/12)+'Calc'!$B$6,IF(Calc!$AO$129&lt;='财富模型'!$E$11*12,'Calc'!$W$17,'Calc'!$Y$17))))))</x:f>
      </x:c>
      <x:c r="AS129" t="str">
        <x:f>IF(Calc!$AO$129&gt;'Calc'!$B$8,"",IF('Calc'!$E$17=1,0,MIN(Calc!$AQ$128*(1+'财富模型'!$E$20/12)+'Calc'!$B$6,IF(Calc!$AO$129&lt;='财富模型'!$E$11*12,'Calc'!$W$17,'Calc'!$Y$17))))</x:f>
      </x:c>
      <x:c r="AT129" t="str">
        <x:f>IF(Calc!$AO$129&gt;'Calc'!$B$8,"",'Calc'!$B$5-'财富模型'!$E$5-(IF('Calc'!$E$17=1,'财富模型'!$E$9,'财富模型'!$M$9+IF(Calc!$AO$129&lt;='财富模型'!$E$11*12,'Calc'!$W$17,'Calc'!$Y$17)-(IF('Calc'!$E$17=1,0,MIN(Calc!$AQ$128*(1+'财富模型'!$E$20/12)+'Calc'!$B$6,IF(Calc!$AO$129&lt;='财富模型'!$E$11*12,'Calc'!$W$17,'Calc'!$Y$17)))))))</x:f>
      </x:c>
      <x:c r="AU129" t="str">
        <x:f>IF(Calc!$AO$129&gt;'Calc'!$B$8,"",IF('Calc'!$E$17=1,0,MAX(Calc!$AU$128*(1+IF(Calc!$AO$129&lt;='财富模型'!$E$11*12,'财富模型'!$E$10,'财富模型'!$E$12)/12)-IF('Calc'!$E$17=1,0,IF(Calc!$AO$129&lt;='财富模型'!$E$11*12,'Calc'!$W$17,'Calc'!$Y$17)),0)))</x:f>
      </x:c>
    </x:row>
    <x:row r="130">
      <x:c r="A130" t="n">
        <x:v>109</x:v>
      </x:c>
      <x:c r="B130" t="str">
        <x:f>IF(Calc!$A$130&gt;'Calc'!$B$8,"",MAX(Calc!$B$129*(1+'财富模型'!$E$6/12)+('Calc'!$B$5-'财富模型'!$E$5-(IF('Calc'!$E$12=1,'财富模型'!$E$9,'财富模型'!$M$4+IF(Calc!$A$130&lt;='财富模型'!$E$11*12,'Calc'!$W$12,'Calc'!$Y$12)-(IF('Calc'!$E$12=1,0,MIN(Calc!$C$129*(1+'财富模型'!$E$20/12)+'Calc'!$B$6,IF(Calc!$A$130&lt;='财富模型'!$E$11*12,'Calc'!$W$12,'Calc'!$Y$12))))))),0))</x:f>
      </x:c>
      <x:c r="C130" t="str">
        <x:f>IF(Calc!$A$130&gt;'Calc'!$B$8,"",MAX(Calc!$C$129*(1+'财富模型'!$E$20/12)+'Calc'!$B$6-(IF('Calc'!$E$12=1,0,MIN(Calc!$C$129*(1+'财富模型'!$E$20/12)+'Calc'!$B$6,IF(Calc!$A$130&lt;='财富模型'!$E$11*12,'Calc'!$W$12,'Calc'!$Y$12)))),0))</x:f>
      </x:c>
      <x:c r="D130" t="str">
        <x:f>IF(Calc!$A$130&gt;'Calc'!$B$8,"",IF('Calc'!$E$12=1,'财富模型'!$E$9,'财富模型'!$M$4+IF(Calc!$A$130&lt;='财富模型'!$E$11*12,'Calc'!$W$12,'Calc'!$Y$12)-(IF('Calc'!$E$12=1,0,MIN(Calc!$C$129*(1+'财富模型'!$E$20/12)+'Calc'!$B$6,IF(Calc!$A$130&lt;='财富模型'!$E$11*12,'Calc'!$W$12,'Calc'!$Y$12))))))</x:f>
      </x:c>
      <x:c r="E130" t="str">
        <x:f>IF(Calc!$A$130&gt;'Calc'!$B$8,"",IF('Calc'!$E$12=1,0,MIN(Calc!$C$129*(1+'财富模型'!$E$20/12)+'Calc'!$B$6,IF(Calc!$A$130&lt;='财富模型'!$E$11*12,'Calc'!$W$12,'Calc'!$Y$12))))</x:f>
      </x:c>
      <x:c r="F130" t="str">
        <x:f>IF(Calc!$A$130&gt;'Calc'!$B$8,"",'Calc'!$B$5-'财富模型'!$E$5-(IF('Calc'!$E$12=1,'财富模型'!$E$9,'财富模型'!$M$4+IF(Calc!$A$130&lt;='财富模型'!$E$11*12,'Calc'!$W$12,'Calc'!$Y$12)-(IF('Calc'!$E$12=1,0,MIN(Calc!$C$129*(1+'财富模型'!$E$20/12)+'Calc'!$B$6,IF(Calc!$A$130&lt;='财富模型'!$E$11*12,'Calc'!$W$12,'Calc'!$Y$12)))))))</x:f>
      </x:c>
      <x:c r="G130" t="str">
        <x:f>IF(Calc!$A$130&gt;'Calc'!$B$8,"",IF('Calc'!$E$12=1,0,MAX(Calc!$G$129*(1+IF(Calc!$A$130&lt;='财富模型'!$E$11*12,'财富模型'!$E$10,'财富模型'!$E$12)/12)-IF('Calc'!$E$12=1,0,IF(Calc!$A$130&lt;='财富模型'!$E$11*12,'Calc'!$W$12,'Calc'!$Y$12)),0)))</x:f>
      </x:c>
      <x:c r="I130" t="n">
        <x:v>109</x:v>
      </x:c>
      <x:c r="J130" t="str">
        <x:f>IF(Calc!$I$130&gt;'Calc'!$B$8,"",MAX(Calc!$J$129*(1+'财富模型'!$E$6/12)+('Calc'!$B$5-'财富模型'!$E$5-(IF('Calc'!$E$13=1,'财富模型'!$E$9,'财富模型'!$M$5+IF(Calc!$I$130&lt;='财富模型'!$E$11*12,'Calc'!$W$13,'Calc'!$Y$13)-(IF('Calc'!$E$13=1,0,MIN(Calc!$K$129*(1+'财富模型'!$E$20/12)+'Calc'!$B$6,IF(Calc!$I$130&lt;='财富模型'!$E$11*12,'Calc'!$W$13,'Calc'!$Y$13))))))),0))</x:f>
      </x:c>
      <x:c r="K130" t="str">
        <x:f>IF(Calc!$I$130&gt;'Calc'!$B$8,"",MAX(Calc!$K$129*(1+'财富模型'!$E$20/12)+'Calc'!$B$6-(IF('Calc'!$E$13=1,0,MIN(Calc!$K$129*(1+'财富模型'!$E$20/12)+'Calc'!$B$6,IF(Calc!$I$130&lt;='财富模型'!$E$11*12,'Calc'!$W$13,'Calc'!$Y$13)))),0))</x:f>
      </x:c>
      <x:c r="L130" t="str">
        <x:f>IF(Calc!$I$130&gt;'Calc'!$B$8,"",IF('Calc'!$E$13=1,'财富模型'!$E$9,'财富模型'!$M$5+IF(Calc!$I$130&lt;='财富模型'!$E$11*12,'Calc'!$W$13,'Calc'!$Y$13)-(IF('Calc'!$E$13=1,0,MIN(Calc!$K$129*(1+'财富模型'!$E$20/12)+'Calc'!$B$6,IF(Calc!$I$130&lt;='财富模型'!$E$11*12,'Calc'!$W$13,'Calc'!$Y$13))))))</x:f>
      </x:c>
      <x:c r="M130" t="str">
        <x:f>IF(Calc!$I$130&gt;'Calc'!$B$8,"",IF('Calc'!$E$13=1,0,MIN(Calc!$K$129*(1+'财富模型'!$E$20/12)+'Calc'!$B$6,IF(Calc!$I$130&lt;='财富模型'!$E$11*12,'Calc'!$W$13,'Calc'!$Y$13))))</x:f>
      </x:c>
      <x:c r="N130" t="str">
        <x:f>IF(Calc!$I$130&gt;'Calc'!$B$8,"",'Calc'!$B$5-'财富模型'!$E$5-(IF('Calc'!$E$13=1,'财富模型'!$E$9,'财富模型'!$M$5+IF(Calc!$I$130&lt;='财富模型'!$E$11*12,'Calc'!$W$13,'Calc'!$Y$13)-(IF('Calc'!$E$13=1,0,MIN(Calc!$K$129*(1+'财富模型'!$E$20/12)+'Calc'!$B$6,IF(Calc!$I$130&lt;='财富模型'!$E$11*12,'Calc'!$W$13,'Calc'!$Y$13)))))))</x:f>
      </x:c>
      <x:c r="O130" t="str">
        <x:f>IF(Calc!$I$130&gt;'Calc'!$B$8,"",IF('Calc'!$E$13=1,0,MAX(Calc!$O$129*(1+IF(Calc!$I$130&lt;='财富模型'!$E$11*12,'财富模型'!$E$10,'财富模型'!$E$12)/12)-IF('Calc'!$E$13=1,0,IF(Calc!$I$130&lt;='财富模型'!$E$11*12,'Calc'!$W$13,'Calc'!$Y$13)),0)))</x:f>
      </x:c>
      <x:c r="Q130" t="n">
        <x:v>109</x:v>
      </x:c>
      <x:c r="R130" t="str">
        <x:f>IF(Calc!$Q$130&gt;'Calc'!$B$8,"",MAX(Calc!$R$129*(1+'财富模型'!$E$6/12)+('Calc'!$B$5-'财富模型'!$E$5-(IF('Calc'!$E$14=1,'财富模型'!$E$9,'财富模型'!$M$6+IF(Calc!$Q$130&lt;='财富模型'!$E$11*12,'Calc'!$W$14,'Calc'!$Y$14)-(IF('Calc'!$E$14=1,0,MIN(Calc!$S$129*(1+'财富模型'!$E$20/12)+'Calc'!$B$6,IF(Calc!$Q$130&lt;='财富模型'!$E$11*12,'Calc'!$W$14,'Calc'!$Y$14))))))),0))</x:f>
      </x:c>
      <x:c r="S130" t="str">
        <x:f>IF(Calc!$Q$130&gt;'Calc'!$B$8,"",MAX(Calc!$S$129*(1+'财富模型'!$E$20/12)+'Calc'!$B$6-(IF('Calc'!$E$14=1,0,MIN(Calc!$S$129*(1+'财富模型'!$E$20/12)+'Calc'!$B$6,IF(Calc!$Q$130&lt;='财富模型'!$E$11*12,'Calc'!$W$14,'Calc'!$Y$14)))),0))</x:f>
      </x:c>
      <x:c r="T130" t="str">
        <x:f>IF(Calc!$Q$130&gt;'Calc'!$B$8,"",IF('Calc'!$E$14=1,'财富模型'!$E$9,'财富模型'!$M$6+IF(Calc!$Q$130&lt;='财富模型'!$E$11*12,'Calc'!$W$14,'Calc'!$Y$14)-(IF('Calc'!$E$14=1,0,MIN(Calc!$S$129*(1+'财富模型'!$E$20/12)+'Calc'!$B$6,IF(Calc!$Q$130&lt;='财富模型'!$E$11*12,'Calc'!$W$14,'Calc'!$Y$14))))))</x:f>
      </x:c>
      <x:c r="U130" t="str">
        <x:f>IF(Calc!$Q$130&gt;'Calc'!$B$8,"",IF('Calc'!$E$14=1,0,MIN(Calc!$S$129*(1+'财富模型'!$E$20/12)+'Calc'!$B$6,IF(Calc!$Q$130&lt;='财富模型'!$E$11*12,'Calc'!$W$14,'Calc'!$Y$14))))</x:f>
      </x:c>
      <x:c r="V130" t="str">
        <x:f>IF(Calc!$Q$130&gt;'Calc'!$B$8,"",'Calc'!$B$5-'财富模型'!$E$5-(IF('Calc'!$E$14=1,'财富模型'!$E$9,'财富模型'!$M$6+IF(Calc!$Q$130&lt;='财富模型'!$E$11*12,'Calc'!$W$14,'Calc'!$Y$14)-(IF('Calc'!$E$14=1,0,MIN(Calc!$S$129*(1+'财富模型'!$E$20/12)+'Calc'!$B$6,IF(Calc!$Q$130&lt;='财富模型'!$E$11*12,'Calc'!$W$14,'Calc'!$Y$14)))))))</x:f>
      </x:c>
      <x:c r="W130" t="str">
        <x:f>IF(Calc!$Q$130&gt;'Calc'!$B$8,"",IF('Calc'!$E$14=1,0,MAX(Calc!$W$129*(1+IF(Calc!$Q$130&lt;='财富模型'!$E$11*12,'财富模型'!$E$10,'财富模型'!$E$12)/12)-IF('Calc'!$E$14=1,0,IF(Calc!$Q$130&lt;='财富模型'!$E$11*12,'Calc'!$W$14,'Calc'!$Y$14)),0)))</x:f>
      </x:c>
      <x:c r="Y130" t="n">
        <x:v>109</x:v>
      </x:c>
      <x:c r="Z130" t="str">
        <x:f>IF(Calc!$Y$130&gt;'Calc'!$B$8,"",MAX(Calc!$Z$129*(1+'财富模型'!$E$6/12)+('Calc'!$B$5-'财富模型'!$E$5-(IF('Calc'!$E$15=1,'财富模型'!$E$9,'财富模型'!$M$7+IF(Calc!$Y$130&lt;='财富模型'!$E$11*12,'Calc'!$W$15,'Calc'!$Y$15)-(IF('Calc'!$E$15=1,0,MIN(Calc!$AA$129*(1+'财富模型'!$E$20/12)+'Calc'!$B$6,IF(Calc!$Y$130&lt;='财富模型'!$E$11*12,'Calc'!$W$15,'Calc'!$Y$15))))))),0))</x:f>
      </x:c>
      <x:c r="AA130" t="str">
        <x:f>IF(Calc!$Y$130&gt;'Calc'!$B$8,"",MAX(Calc!$AA$129*(1+'财富模型'!$E$20/12)+'Calc'!$B$6-(IF('Calc'!$E$15=1,0,MIN(Calc!$AA$129*(1+'财富模型'!$E$20/12)+'Calc'!$B$6,IF(Calc!$Y$130&lt;='财富模型'!$E$11*12,'Calc'!$W$15,'Calc'!$Y$15)))),0))</x:f>
      </x:c>
      <x:c r="AB130" t="str">
        <x:f>IF(Calc!$Y$130&gt;'Calc'!$B$8,"",IF('Calc'!$E$15=1,'财富模型'!$E$9,'财富模型'!$M$7+IF(Calc!$Y$130&lt;='财富模型'!$E$11*12,'Calc'!$W$15,'Calc'!$Y$15)-(IF('Calc'!$E$15=1,0,MIN(Calc!$AA$129*(1+'财富模型'!$E$20/12)+'Calc'!$B$6,IF(Calc!$Y$130&lt;='财富模型'!$E$11*12,'Calc'!$W$15,'Calc'!$Y$15))))))</x:f>
      </x:c>
      <x:c r="AC130" t="str">
        <x:f>IF(Calc!$Y$130&gt;'Calc'!$B$8,"",IF('Calc'!$E$15=1,0,MIN(Calc!$AA$129*(1+'财富模型'!$E$20/12)+'Calc'!$B$6,IF(Calc!$Y$130&lt;='财富模型'!$E$11*12,'Calc'!$W$15,'Calc'!$Y$15))))</x:f>
      </x:c>
      <x:c r="AD130" t="str">
        <x:f>IF(Calc!$Y$130&gt;'Calc'!$B$8,"",'Calc'!$B$5-'财富模型'!$E$5-(IF('Calc'!$E$15=1,'财富模型'!$E$9,'财富模型'!$M$7+IF(Calc!$Y$130&lt;='财富模型'!$E$11*12,'Calc'!$W$15,'Calc'!$Y$15)-(IF('Calc'!$E$15=1,0,MIN(Calc!$AA$129*(1+'财富模型'!$E$20/12)+'Calc'!$B$6,IF(Calc!$Y$130&lt;='财富模型'!$E$11*12,'Calc'!$W$15,'Calc'!$Y$15)))))))</x:f>
      </x:c>
      <x:c r="AE130" t="str">
        <x:f>IF(Calc!$Y$130&gt;'Calc'!$B$8,"",IF('Calc'!$E$15=1,0,MAX(Calc!$AE$129*(1+IF(Calc!$Y$130&lt;='财富模型'!$E$11*12,'财富模型'!$E$10,'财富模型'!$E$12)/12)-IF('Calc'!$E$15=1,0,IF(Calc!$Y$130&lt;='财富模型'!$E$11*12,'Calc'!$W$15,'Calc'!$Y$15)),0)))</x:f>
      </x:c>
      <x:c r="AG130" t="n">
        <x:v>109</x:v>
      </x:c>
      <x:c r="AH130" t="str">
        <x:f>IF(Calc!$AG$130&gt;'Calc'!$B$8,"",MAX(Calc!$AH$129*(1+'财富模型'!$E$6/12)+('Calc'!$B$5-'财富模型'!$E$5-(IF('Calc'!$E$16=1,'财富模型'!$E$9,'财富模型'!$M$8+IF(Calc!$AG$130&lt;='财富模型'!$E$11*12,'Calc'!$W$16,'Calc'!$Y$16)-(IF('Calc'!$E$16=1,0,MIN(Calc!$AI$129*(1+'财富模型'!$E$20/12)+'Calc'!$B$6,IF(Calc!$AG$130&lt;='财富模型'!$E$11*12,'Calc'!$W$16,'Calc'!$Y$16))))))),0))</x:f>
      </x:c>
      <x:c r="AI130" t="str">
        <x:f>IF(Calc!$AG$130&gt;'Calc'!$B$8,"",MAX(Calc!$AI$129*(1+'财富模型'!$E$20/12)+'Calc'!$B$6-(IF('Calc'!$E$16=1,0,MIN(Calc!$AI$129*(1+'财富模型'!$E$20/12)+'Calc'!$B$6,IF(Calc!$AG$130&lt;='财富模型'!$E$11*12,'Calc'!$W$16,'Calc'!$Y$16)))),0))</x:f>
      </x:c>
      <x:c r="AJ130" t="str">
        <x:f>IF(Calc!$AG$130&gt;'Calc'!$B$8,"",IF('Calc'!$E$16=1,'财富模型'!$E$9,'财富模型'!$M$8+IF(Calc!$AG$130&lt;='财富模型'!$E$11*12,'Calc'!$W$16,'Calc'!$Y$16)-(IF('Calc'!$E$16=1,0,MIN(Calc!$AI$129*(1+'财富模型'!$E$20/12)+'Calc'!$B$6,IF(Calc!$AG$130&lt;='财富模型'!$E$11*12,'Calc'!$W$16,'Calc'!$Y$16))))))</x:f>
      </x:c>
      <x:c r="AK130" t="str">
        <x:f>IF(Calc!$AG$130&gt;'Calc'!$B$8,"",IF('Calc'!$E$16=1,0,MIN(Calc!$AI$129*(1+'财富模型'!$E$20/12)+'Calc'!$B$6,IF(Calc!$AG$130&lt;='财富模型'!$E$11*12,'Calc'!$W$16,'Calc'!$Y$16))))</x:f>
      </x:c>
      <x:c r="AL130" t="str">
        <x:f>IF(Calc!$AG$130&gt;'Calc'!$B$8,"",'Calc'!$B$5-'财富模型'!$E$5-(IF('Calc'!$E$16=1,'财富模型'!$E$9,'财富模型'!$M$8+IF(Calc!$AG$130&lt;='财富模型'!$E$11*12,'Calc'!$W$16,'Calc'!$Y$16)-(IF('Calc'!$E$16=1,0,MIN(Calc!$AI$129*(1+'财富模型'!$E$20/12)+'Calc'!$B$6,IF(Calc!$AG$130&lt;='财富模型'!$E$11*12,'Calc'!$W$16,'Calc'!$Y$16)))))))</x:f>
      </x:c>
      <x:c r="AM130" t="str">
        <x:f>IF(Calc!$AG$130&gt;'Calc'!$B$8,"",IF('Calc'!$E$16=1,0,MAX(Calc!$AM$129*(1+IF(Calc!$AG$130&lt;='财富模型'!$E$11*12,'财富模型'!$E$10,'财富模型'!$E$12)/12)-IF('Calc'!$E$16=1,0,IF(Calc!$AG$130&lt;='财富模型'!$E$11*12,'Calc'!$W$16,'Calc'!$Y$16)),0)))</x:f>
      </x:c>
      <x:c r="AO130" t="n">
        <x:v>109</x:v>
      </x:c>
      <x:c r="AP130" t="str">
        <x:f>IF(Calc!$AO$130&gt;'Calc'!$B$8,"",MAX(Calc!$AP$129*(1+'财富模型'!$E$6/12)+('Calc'!$B$5-'财富模型'!$E$5-(IF('Calc'!$E$17=1,'财富模型'!$E$9,'财富模型'!$M$9+IF(Calc!$AO$130&lt;='财富模型'!$E$11*12,'Calc'!$W$17,'Calc'!$Y$17)-(IF('Calc'!$E$17=1,0,MIN(Calc!$AQ$129*(1+'财富模型'!$E$20/12)+'Calc'!$B$6,IF(Calc!$AO$130&lt;='财富模型'!$E$11*12,'Calc'!$W$17,'Calc'!$Y$17))))))),0))</x:f>
      </x:c>
      <x:c r="AQ130" t="str">
        <x:f>IF(Calc!$AO$130&gt;'Calc'!$B$8,"",MAX(Calc!$AQ$129*(1+'财富模型'!$E$20/12)+'Calc'!$B$6-(IF('Calc'!$E$17=1,0,MIN(Calc!$AQ$129*(1+'财富模型'!$E$20/12)+'Calc'!$B$6,IF(Calc!$AO$130&lt;='财富模型'!$E$11*12,'Calc'!$W$17,'Calc'!$Y$17)))),0))</x:f>
      </x:c>
      <x:c r="AR130" t="str">
        <x:f>IF(Calc!$AO$130&gt;'Calc'!$B$8,"",IF('Calc'!$E$17=1,'财富模型'!$E$9,'财富模型'!$M$9+IF(Calc!$AO$130&lt;='财富模型'!$E$11*12,'Calc'!$W$17,'Calc'!$Y$17)-(IF('Calc'!$E$17=1,0,MIN(Calc!$AQ$129*(1+'财富模型'!$E$20/12)+'Calc'!$B$6,IF(Calc!$AO$130&lt;='财富模型'!$E$11*12,'Calc'!$W$17,'Calc'!$Y$17))))))</x:f>
      </x:c>
      <x:c r="AS130" t="str">
        <x:f>IF(Calc!$AO$130&gt;'Calc'!$B$8,"",IF('Calc'!$E$17=1,0,MIN(Calc!$AQ$129*(1+'财富模型'!$E$20/12)+'Calc'!$B$6,IF(Calc!$AO$130&lt;='财富模型'!$E$11*12,'Calc'!$W$17,'Calc'!$Y$17))))</x:f>
      </x:c>
      <x:c r="AT130" t="str">
        <x:f>IF(Calc!$AO$130&gt;'Calc'!$B$8,"",'Calc'!$B$5-'财富模型'!$E$5-(IF('Calc'!$E$17=1,'财富模型'!$E$9,'财富模型'!$M$9+IF(Calc!$AO$130&lt;='财富模型'!$E$11*12,'Calc'!$W$17,'Calc'!$Y$17)-(IF('Calc'!$E$17=1,0,MIN(Calc!$AQ$129*(1+'财富模型'!$E$20/12)+'Calc'!$B$6,IF(Calc!$AO$130&lt;='财富模型'!$E$11*12,'Calc'!$W$17,'Calc'!$Y$17)))))))</x:f>
      </x:c>
      <x:c r="AU130" t="str">
        <x:f>IF(Calc!$AO$130&gt;'Calc'!$B$8,"",IF('Calc'!$E$17=1,0,MAX(Calc!$AU$129*(1+IF(Calc!$AO$130&lt;='财富模型'!$E$11*12,'财富模型'!$E$10,'财富模型'!$E$12)/12)-IF('Calc'!$E$17=1,0,IF(Calc!$AO$130&lt;='财富模型'!$E$11*12,'Calc'!$W$17,'Calc'!$Y$17)),0)))</x:f>
      </x:c>
    </x:row>
    <x:row r="131">
      <x:c r="A131" t="n">
        <x:v>110</x:v>
      </x:c>
      <x:c r="B131" t="str">
        <x:f>IF(Calc!$A$131&gt;'Calc'!$B$8,"",MAX(Calc!$B$130*(1+'财富模型'!$E$6/12)+('Calc'!$B$5-'财富模型'!$E$5-(IF('Calc'!$E$12=1,'财富模型'!$E$9,'财富模型'!$M$4+IF(Calc!$A$131&lt;='财富模型'!$E$11*12,'Calc'!$W$12,'Calc'!$Y$12)-(IF('Calc'!$E$12=1,0,MIN(Calc!$C$130*(1+'财富模型'!$E$20/12)+'Calc'!$B$6,IF(Calc!$A$131&lt;='财富模型'!$E$11*12,'Calc'!$W$12,'Calc'!$Y$12))))))),0))</x:f>
      </x:c>
      <x:c r="C131" t="str">
        <x:f>IF(Calc!$A$131&gt;'Calc'!$B$8,"",MAX(Calc!$C$130*(1+'财富模型'!$E$20/12)+'Calc'!$B$6-(IF('Calc'!$E$12=1,0,MIN(Calc!$C$130*(1+'财富模型'!$E$20/12)+'Calc'!$B$6,IF(Calc!$A$131&lt;='财富模型'!$E$11*12,'Calc'!$W$12,'Calc'!$Y$12)))),0))</x:f>
      </x:c>
      <x:c r="D131" t="str">
        <x:f>IF(Calc!$A$131&gt;'Calc'!$B$8,"",IF('Calc'!$E$12=1,'财富模型'!$E$9,'财富模型'!$M$4+IF(Calc!$A$131&lt;='财富模型'!$E$11*12,'Calc'!$W$12,'Calc'!$Y$12)-(IF('Calc'!$E$12=1,0,MIN(Calc!$C$130*(1+'财富模型'!$E$20/12)+'Calc'!$B$6,IF(Calc!$A$131&lt;='财富模型'!$E$11*12,'Calc'!$W$12,'Calc'!$Y$12))))))</x:f>
      </x:c>
      <x:c r="E131" t="str">
        <x:f>IF(Calc!$A$131&gt;'Calc'!$B$8,"",IF('Calc'!$E$12=1,0,MIN(Calc!$C$130*(1+'财富模型'!$E$20/12)+'Calc'!$B$6,IF(Calc!$A$131&lt;='财富模型'!$E$11*12,'Calc'!$W$12,'Calc'!$Y$12))))</x:f>
      </x:c>
      <x:c r="F131" t="str">
        <x:f>IF(Calc!$A$131&gt;'Calc'!$B$8,"",'Calc'!$B$5-'财富模型'!$E$5-(IF('Calc'!$E$12=1,'财富模型'!$E$9,'财富模型'!$M$4+IF(Calc!$A$131&lt;='财富模型'!$E$11*12,'Calc'!$W$12,'Calc'!$Y$12)-(IF('Calc'!$E$12=1,0,MIN(Calc!$C$130*(1+'财富模型'!$E$20/12)+'Calc'!$B$6,IF(Calc!$A$131&lt;='财富模型'!$E$11*12,'Calc'!$W$12,'Calc'!$Y$12)))))))</x:f>
      </x:c>
      <x:c r="G131" t="str">
        <x:f>IF(Calc!$A$131&gt;'Calc'!$B$8,"",IF('Calc'!$E$12=1,0,MAX(Calc!$G$130*(1+IF(Calc!$A$131&lt;='财富模型'!$E$11*12,'财富模型'!$E$10,'财富模型'!$E$12)/12)-IF('Calc'!$E$12=1,0,IF(Calc!$A$131&lt;='财富模型'!$E$11*12,'Calc'!$W$12,'Calc'!$Y$12)),0)))</x:f>
      </x:c>
      <x:c r="I131" t="n">
        <x:v>110</x:v>
      </x:c>
      <x:c r="J131" t="str">
        <x:f>IF(Calc!$I$131&gt;'Calc'!$B$8,"",MAX(Calc!$J$130*(1+'财富模型'!$E$6/12)+('Calc'!$B$5-'财富模型'!$E$5-(IF('Calc'!$E$13=1,'财富模型'!$E$9,'财富模型'!$M$5+IF(Calc!$I$131&lt;='财富模型'!$E$11*12,'Calc'!$W$13,'Calc'!$Y$13)-(IF('Calc'!$E$13=1,0,MIN(Calc!$K$130*(1+'财富模型'!$E$20/12)+'Calc'!$B$6,IF(Calc!$I$131&lt;='财富模型'!$E$11*12,'Calc'!$W$13,'Calc'!$Y$13))))))),0))</x:f>
      </x:c>
      <x:c r="K131" t="str">
        <x:f>IF(Calc!$I$131&gt;'Calc'!$B$8,"",MAX(Calc!$K$130*(1+'财富模型'!$E$20/12)+'Calc'!$B$6-(IF('Calc'!$E$13=1,0,MIN(Calc!$K$130*(1+'财富模型'!$E$20/12)+'Calc'!$B$6,IF(Calc!$I$131&lt;='财富模型'!$E$11*12,'Calc'!$W$13,'Calc'!$Y$13)))),0))</x:f>
      </x:c>
      <x:c r="L131" t="str">
        <x:f>IF(Calc!$I$131&gt;'Calc'!$B$8,"",IF('Calc'!$E$13=1,'财富模型'!$E$9,'财富模型'!$M$5+IF(Calc!$I$131&lt;='财富模型'!$E$11*12,'Calc'!$W$13,'Calc'!$Y$13)-(IF('Calc'!$E$13=1,0,MIN(Calc!$K$130*(1+'财富模型'!$E$20/12)+'Calc'!$B$6,IF(Calc!$I$131&lt;='财富模型'!$E$11*12,'Calc'!$W$13,'Calc'!$Y$13))))))</x:f>
      </x:c>
      <x:c r="M131" t="str">
        <x:f>IF(Calc!$I$131&gt;'Calc'!$B$8,"",IF('Calc'!$E$13=1,0,MIN(Calc!$K$130*(1+'财富模型'!$E$20/12)+'Calc'!$B$6,IF(Calc!$I$131&lt;='财富模型'!$E$11*12,'Calc'!$W$13,'Calc'!$Y$13))))</x:f>
      </x:c>
      <x:c r="N131" t="str">
        <x:f>IF(Calc!$I$131&gt;'Calc'!$B$8,"",'Calc'!$B$5-'财富模型'!$E$5-(IF('Calc'!$E$13=1,'财富模型'!$E$9,'财富模型'!$M$5+IF(Calc!$I$131&lt;='财富模型'!$E$11*12,'Calc'!$W$13,'Calc'!$Y$13)-(IF('Calc'!$E$13=1,0,MIN(Calc!$K$130*(1+'财富模型'!$E$20/12)+'Calc'!$B$6,IF(Calc!$I$131&lt;='财富模型'!$E$11*12,'Calc'!$W$13,'Calc'!$Y$13)))))))</x:f>
      </x:c>
      <x:c r="O131" t="str">
        <x:f>IF(Calc!$I$131&gt;'Calc'!$B$8,"",IF('Calc'!$E$13=1,0,MAX(Calc!$O$130*(1+IF(Calc!$I$131&lt;='财富模型'!$E$11*12,'财富模型'!$E$10,'财富模型'!$E$12)/12)-IF('Calc'!$E$13=1,0,IF(Calc!$I$131&lt;='财富模型'!$E$11*12,'Calc'!$W$13,'Calc'!$Y$13)),0)))</x:f>
      </x:c>
      <x:c r="Q131" t="n">
        <x:v>110</x:v>
      </x:c>
      <x:c r="R131" t="str">
        <x:f>IF(Calc!$Q$131&gt;'Calc'!$B$8,"",MAX(Calc!$R$130*(1+'财富模型'!$E$6/12)+('Calc'!$B$5-'财富模型'!$E$5-(IF('Calc'!$E$14=1,'财富模型'!$E$9,'财富模型'!$M$6+IF(Calc!$Q$131&lt;='财富模型'!$E$11*12,'Calc'!$W$14,'Calc'!$Y$14)-(IF('Calc'!$E$14=1,0,MIN(Calc!$S$130*(1+'财富模型'!$E$20/12)+'Calc'!$B$6,IF(Calc!$Q$131&lt;='财富模型'!$E$11*12,'Calc'!$W$14,'Calc'!$Y$14))))))),0))</x:f>
      </x:c>
      <x:c r="S131" t="str">
        <x:f>IF(Calc!$Q$131&gt;'Calc'!$B$8,"",MAX(Calc!$S$130*(1+'财富模型'!$E$20/12)+'Calc'!$B$6-(IF('Calc'!$E$14=1,0,MIN(Calc!$S$130*(1+'财富模型'!$E$20/12)+'Calc'!$B$6,IF(Calc!$Q$131&lt;='财富模型'!$E$11*12,'Calc'!$W$14,'Calc'!$Y$14)))),0))</x:f>
      </x:c>
      <x:c r="T131" t="str">
        <x:f>IF(Calc!$Q$131&gt;'Calc'!$B$8,"",IF('Calc'!$E$14=1,'财富模型'!$E$9,'财富模型'!$M$6+IF(Calc!$Q$131&lt;='财富模型'!$E$11*12,'Calc'!$W$14,'Calc'!$Y$14)-(IF('Calc'!$E$14=1,0,MIN(Calc!$S$130*(1+'财富模型'!$E$20/12)+'Calc'!$B$6,IF(Calc!$Q$131&lt;='财富模型'!$E$11*12,'Calc'!$W$14,'Calc'!$Y$14))))))</x:f>
      </x:c>
      <x:c r="U131" t="str">
        <x:f>IF(Calc!$Q$131&gt;'Calc'!$B$8,"",IF('Calc'!$E$14=1,0,MIN(Calc!$S$130*(1+'财富模型'!$E$20/12)+'Calc'!$B$6,IF(Calc!$Q$131&lt;='财富模型'!$E$11*12,'Calc'!$W$14,'Calc'!$Y$14))))</x:f>
      </x:c>
      <x:c r="V131" t="str">
        <x:f>IF(Calc!$Q$131&gt;'Calc'!$B$8,"",'Calc'!$B$5-'财富模型'!$E$5-(IF('Calc'!$E$14=1,'财富模型'!$E$9,'财富模型'!$M$6+IF(Calc!$Q$131&lt;='财富模型'!$E$11*12,'Calc'!$W$14,'Calc'!$Y$14)-(IF('Calc'!$E$14=1,0,MIN(Calc!$S$130*(1+'财富模型'!$E$20/12)+'Calc'!$B$6,IF(Calc!$Q$131&lt;='财富模型'!$E$11*12,'Calc'!$W$14,'Calc'!$Y$14)))))))</x:f>
      </x:c>
      <x:c r="W131" t="str">
        <x:f>IF(Calc!$Q$131&gt;'Calc'!$B$8,"",IF('Calc'!$E$14=1,0,MAX(Calc!$W$130*(1+IF(Calc!$Q$131&lt;='财富模型'!$E$11*12,'财富模型'!$E$10,'财富模型'!$E$12)/12)-IF('Calc'!$E$14=1,0,IF(Calc!$Q$131&lt;='财富模型'!$E$11*12,'Calc'!$W$14,'Calc'!$Y$14)),0)))</x:f>
      </x:c>
      <x:c r="Y131" t="n">
        <x:v>110</x:v>
      </x:c>
      <x:c r="Z131" t="str">
        <x:f>IF(Calc!$Y$131&gt;'Calc'!$B$8,"",MAX(Calc!$Z$130*(1+'财富模型'!$E$6/12)+('Calc'!$B$5-'财富模型'!$E$5-(IF('Calc'!$E$15=1,'财富模型'!$E$9,'财富模型'!$M$7+IF(Calc!$Y$131&lt;='财富模型'!$E$11*12,'Calc'!$W$15,'Calc'!$Y$15)-(IF('Calc'!$E$15=1,0,MIN(Calc!$AA$130*(1+'财富模型'!$E$20/12)+'Calc'!$B$6,IF(Calc!$Y$131&lt;='财富模型'!$E$11*12,'Calc'!$W$15,'Calc'!$Y$15))))))),0))</x:f>
      </x:c>
      <x:c r="AA131" t="str">
        <x:f>IF(Calc!$Y$131&gt;'Calc'!$B$8,"",MAX(Calc!$AA$130*(1+'财富模型'!$E$20/12)+'Calc'!$B$6-(IF('Calc'!$E$15=1,0,MIN(Calc!$AA$130*(1+'财富模型'!$E$20/12)+'Calc'!$B$6,IF(Calc!$Y$131&lt;='财富模型'!$E$11*12,'Calc'!$W$15,'Calc'!$Y$15)))),0))</x:f>
      </x:c>
      <x:c r="AB131" t="str">
        <x:f>IF(Calc!$Y$131&gt;'Calc'!$B$8,"",IF('Calc'!$E$15=1,'财富模型'!$E$9,'财富模型'!$M$7+IF(Calc!$Y$131&lt;='财富模型'!$E$11*12,'Calc'!$W$15,'Calc'!$Y$15)-(IF('Calc'!$E$15=1,0,MIN(Calc!$AA$130*(1+'财富模型'!$E$20/12)+'Calc'!$B$6,IF(Calc!$Y$131&lt;='财富模型'!$E$11*12,'Calc'!$W$15,'Calc'!$Y$15))))))</x:f>
      </x:c>
      <x:c r="AC131" t="str">
        <x:f>IF(Calc!$Y$131&gt;'Calc'!$B$8,"",IF('Calc'!$E$15=1,0,MIN(Calc!$AA$130*(1+'财富模型'!$E$20/12)+'Calc'!$B$6,IF(Calc!$Y$131&lt;='财富模型'!$E$11*12,'Calc'!$W$15,'Calc'!$Y$15))))</x:f>
      </x:c>
      <x:c r="AD131" t="str">
        <x:f>IF(Calc!$Y$131&gt;'Calc'!$B$8,"",'Calc'!$B$5-'财富模型'!$E$5-(IF('Calc'!$E$15=1,'财富模型'!$E$9,'财富模型'!$M$7+IF(Calc!$Y$131&lt;='财富模型'!$E$11*12,'Calc'!$W$15,'Calc'!$Y$15)-(IF('Calc'!$E$15=1,0,MIN(Calc!$AA$130*(1+'财富模型'!$E$20/12)+'Calc'!$B$6,IF(Calc!$Y$131&lt;='财富模型'!$E$11*12,'Calc'!$W$15,'Calc'!$Y$15)))))))</x:f>
      </x:c>
      <x:c r="AE131" t="str">
        <x:f>IF(Calc!$Y$131&gt;'Calc'!$B$8,"",IF('Calc'!$E$15=1,0,MAX(Calc!$AE$130*(1+IF(Calc!$Y$131&lt;='财富模型'!$E$11*12,'财富模型'!$E$10,'财富模型'!$E$12)/12)-IF('Calc'!$E$15=1,0,IF(Calc!$Y$131&lt;='财富模型'!$E$11*12,'Calc'!$W$15,'Calc'!$Y$15)),0)))</x:f>
      </x:c>
      <x:c r="AG131" t="n">
        <x:v>110</x:v>
      </x:c>
      <x:c r="AH131" t="str">
        <x:f>IF(Calc!$AG$131&gt;'Calc'!$B$8,"",MAX(Calc!$AH$130*(1+'财富模型'!$E$6/12)+('Calc'!$B$5-'财富模型'!$E$5-(IF('Calc'!$E$16=1,'财富模型'!$E$9,'财富模型'!$M$8+IF(Calc!$AG$131&lt;='财富模型'!$E$11*12,'Calc'!$W$16,'Calc'!$Y$16)-(IF('Calc'!$E$16=1,0,MIN(Calc!$AI$130*(1+'财富模型'!$E$20/12)+'Calc'!$B$6,IF(Calc!$AG$131&lt;='财富模型'!$E$11*12,'Calc'!$W$16,'Calc'!$Y$16))))))),0))</x:f>
      </x:c>
      <x:c r="AI131" t="str">
        <x:f>IF(Calc!$AG$131&gt;'Calc'!$B$8,"",MAX(Calc!$AI$130*(1+'财富模型'!$E$20/12)+'Calc'!$B$6-(IF('Calc'!$E$16=1,0,MIN(Calc!$AI$130*(1+'财富模型'!$E$20/12)+'Calc'!$B$6,IF(Calc!$AG$131&lt;='财富模型'!$E$11*12,'Calc'!$W$16,'Calc'!$Y$16)))),0))</x:f>
      </x:c>
      <x:c r="AJ131" t="str">
        <x:f>IF(Calc!$AG$131&gt;'Calc'!$B$8,"",IF('Calc'!$E$16=1,'财富模型'!$E$9,'财富模型'!$M$8+IF(Calc!$AG$131&lt;='财富模型'!$E$11*12,'Calc'!$W$16,'Calc'!$Y$16)-(IF('Calc'!$E$16=1,0,MIN(Calc!$AI$130*(1+'财富模型'!$E$20/12)+'Calc'!$B$6,IF(Calc!$AG$131&lt;='财富模型'!$E$11*12,'Calc'!$W$16,'Calc'!$Y$16))))))</x:f>
      </x:c>
      <x:c r="AK131" t="str">
        <x:f>IF(Calc!$AG$131&gt;'Calc'!$B$8,"",IF('Calc'!$E$16=1,0,MIN(Calc!$AI$130*(1+'财富模型'!$E$20/12)+'Calc'!$B$6,IF(Calc!$AG$131&lt;='财富模型'!$E$11*12,'Calc'!$W$16,'Calc'!$Y$16))))</x:f>
      </x:c>
      <x:c r="AL131" t="str">
        <x:f>IF(Calc!$AG$131&gt;'Calc'!$B$8,"",'Calc'!$B$5-'财富模型'!$E$5-(IF('Calc'!$E$16=1,'财富模型'!$E$9,'财富模型'!$M$8+IF(Calc!$AG$131&lt;='财富模型'!$E$11*12,'Calc'!$W$16,'Calc'!$Y$16)-(IF('Calc'!$E$16=1,0,MIN(Calc!$AI$130*(1+'财富模型'!$E$20/12)+'Calc'!$B$6,IF(Calc!$AG$131&lt;='财富模型'!$E$11*12,'Calc'!$W$16,'Calc'!$Y$16)))))))</x:f>
      </x:c>
      <x:c r="AM131" t="str">
        <x:f>IF(Calc!$AG$131&gt;'Calc'!$B$8,"",IF('Calc'!$E$16=1,0,MAX(Calc!$AM$130*(1+IF(Calc!$AG$131&lt;='财富模型'!$E$11*12,'财富模型'!$E$10,'财富模型'!$E$12)/12)-IF('Calc'!$E$16=1,0,IF(Calc!$AG$131&lt;='财富模型'!$E$11*12,'Calc'!$W$16,'Calc'!$Y$16)),0)))</x:f>
      </x:c>
      <x:c r="AO131" t="n">
        <x:v>110</x:v>
      </x:c>
      <x:c r="AP131" t="str">
        <x:f>IF(Calc!$AO$131&gt;'Calc'!$B$8,"",MAX(Calc!$AP$130*(1+'财富模型'!$E$6/12)+('Calc'!$B$5-'财富模型'!$E$5-(IF('Calc'!$E$17=1,'财富模型'!$E$9,'财富模型'!$M$9+IF(Calc!$AO$131&lt;='财富模型'!$E$11*12,'Calc'!$W$17,'Calc'!$Y$17)-(IF('Calc'!$E$17=1,0,MIN(Calc!$AQ$130*(1+'财富模型'!$E$20/12)+'Calc'!$B$6,IF(Calc!$AO$131&lt;='财富模型'!$E$11*12,'Calc'!$W$17,'Calc'!$Y$17))))))),0))</x:f>
      </x:c>
      <x:c r="AQ131" t="str">
        <x:f>IF(Calc!$AO$131&gt;'Calc'!$B$8,"",MAX(Calc!$AQ$130*(1+'财富模型'!$E$20/12)+'Calc'!$B$6-(IF('Calc'!$E$17=1,0,MIN(Calc!$AQ$130*(1+'财富模型'!$E$20/12)+'Calc'!$B$6,IF(Calc!$AO$131&lt;='财富模型'!$E$11*12,'Calc'!$W$17,'Calc'!$Y$17)))),0))</x:f>
      </x:c>
      <x:c r="AR131" t="str">
        <x:f>IF(Calc!$AO$131&gt;'Calc'!$B$8,"",IF('Calc'!$E$17=1,'财富模型'!$E$9,'财富模型'!$M$9+IF(Calc!$AO$131&lt;='财富模型'!$E$11*12,'Calc'!$W$17,'Calc'!$Y$17)-(IF('Calc'!$E$17=1,0,MIN(Calc!$AQ$130*(1+'财富模型'!$E$20/12)+'Calc'!$B$6,IF(Calc!$AO$131&lt;='财富模型'!$E$11*12,'Calc'!$W$17,'Calc'!$Y$17))))))</x:f>
      </x:c>
      <x:c r="AS131" t="str">
        <x:f>IF(Calc!$AO$131&gt;'Calc'!$B$8,"",IF('Calc'!$E$17=1,0,MIN(Calc!$AQ$130*(1+'财富模型'!$E$20/12)+'Calc'!$B$6,IF(Calc!$AO$131&lt;='财富模型'!$E$11*12,'Calc'!$W$17,'Calc'!$Y$17))))</x:f>
      </x:c>
      <x:c r="AT131" t="str">
        <x:f>IF(Calc!$AO$131&gt;'Calc'!$B$8,"",'Calc'!$B$5-'财富模型'!$E$5-(IF('Calc'!$E$17=1,'财富模型'!$E$9,'财富模型'!$M$9+IF(Calc!$AO$131&lt;='财富模型'!$E$11*12,'Calc'!$W$17,'Calc'!$Y$17)-(IF('Calc'!$E$17=1,0,MIN(Calc!$AQ$130*(1+'财富模型'!$E$20/12)+'Calc'!$B$6,IF(Calc!$AO$131&lt;='财富模型'!$E$11*12,'Calc'!$W$17,'Calc'!$Y$17)))))))</x:f>
      </x:c>
      <x:c r="AU131" t="str">
        <x:f>IF(Calc!$AO$131&gt;'Calc'!$B$8,"",IF('Calc'!$E$17=1,0,MAX(Calc!$AU$130*(1+IF(Calc!$AO$131&lt;='财富模型'!$E$11*12,'财富模型'!$E$10,'财富模型'!$E$12)/12)-IF('Calc'!$E$17=1,0,IF(Calc!$AO$131&lt;='财富模型'!$E$11*12,'Calc'!$W$17,'Calc'!$Y$17)),0)))</x:f>
      </x:c>
    </x:row>
    <x:row r="132">
      <x:c r="A132" t="n">
        <x:v>111</x:v>
      </x:c>
      <x:c r="B132" t="str">
        <x:f>IF(Calc!$A$132&gt;'Calc'!$B$8,"",MAX(Calc!$B$131*(1+'财富模型'!$E$6/12)+('Calc'!$B$5-'财富模型'!$E$5-(IF('Calc'!$E$12=1,'财富模型'!$E$9,'财富模型'!$M$4+IF(Calc!$A$132&lt;='财富模型'!$E$11*12,'Calc'!$W$12,'Calc'!$Y$12)-(IF('Calc'!$E$12=1,0,MIN(Calc!$C$131*(1+'财富模型'!$E$20/12)+'Calc'!$B$6,IF(Calc!$A$132&lt;='财富模型'!$E$11*12,'Calc'!$W$12,'Calc'!$Y$12))))))),0))</x:f>
      </x:c>
      <x:c r="C132" t="str">
        <x:f>IF(Calc!$A$132&gt;'Calc'!$B$8,"",MAX(Calc!$C$131*(1+'财富模型'!$E$20/12)+'Calc'!$B$6-(IF('Calc'!$E$12=1,0,MIN(Calc!$C$131*(1+'财富模型'!$E$20/12)+'Calc'!$B$6,IF(Calc!$A$132&lt;='财富模型'!$E$11*12,'Calc'!$W$12,'Calc'!$Y$12)))),0))</x:f>
      </x:c>
      <x:c r="D132" t="str">
        <x:f>IF(Calc!$A$132&gt;'Calc'!$B$8,"",IF('Calc'!$E$12=1,'财富模型'!$E$9,'财富模型'!$M$4+IF(Calc!$A$132&lt;='财富模型'!$E$11*12,'Calc'!$W$12,'Calc'!$Y$12)-(IF('Calc'!$E$12=1,0,MIN(Calc!$C$131*(1+'财富模型'!$E$20/12)+'Calc'!$B$6,IF(Calc!$A$132&lt;='财富模型'!$E$11*12,'Calc'!$W$12,'Calc'!$Y$12))))))</x:f>
      </x:c>
      <x:c r="E132" t="str">
        <x:f>IF(Calc!$A$132&gt;'Calc'!$B$8,"",IF('Calc'!$E$12=1,0,MIN(Calc!$C$131*(1+'财富模型'!$E$20/12)+'Calc'!$B$6,IF(Calc!$A$132&lt;='财富模型'!$E$11*12,'Calc'!$W$12,'Calc'!$Y$12))))</x:f>
      </x:c>
      <x:c r="F132" t="str">
        <x:f>IF(Calc!$A$132&gt;'Calc'!$B$8,"",'Calc'!$B$5-'财富模型'!$E$5-(IF('Calc'!$E$12=1,'财富模型'!$E$9,'财富模型'!$M$4+IF(Calc!$A$132&lt;='财富模型'!$E$11*12,'Calc'!$W$12,'Calc'!$Y$12)-(IF('Calc'!$E$12=1,0,MIN(Calc!$C$131*(1+'财富模型'!$E$20/12)+'Calc'!$B$6,IF(Calc!$A$132&lt;='财富模型'!$E$11*12,'Calc'!$W$12,'Calc'!$Y$12)))))))</x:f>
      </x:c>
      <x:c r="G132" t="str">
        <x:f>IF(Calc!$A$132&gt;'Calc'!$B$8,"",IF('Calc'!$E$12=1,0,MAX(Calc!$G$131*(1+IF(Calc!$A$132&lt;='财富模型'!$E$11*12,'财富模型'!$E$10,'财富模型'!$E$12)/12)-IF('Calc'!$E$12=1,0,IF(Calc!$A$132&lt;='财富模型'!$E$11*12,'Calc'!$W$12,'Calc'!$Y$12)),0)))</x:f>
      </x:c>
      <x:c r="I132" t="n">
        <x:v>111</x:v>
      </x:c>
      <x:c r="J132" t="str">
        <x:f>IF(Calc!$I$132&gt;'Calc'!$B$8,"",MAX(Calc!$J$131*(1+'财富模型'!$E$6/12)+('Calc'!$B$5-'财富模型'!$E$5-(IF('Calc'!$E$13=1,'财富模型'!$E$9,'财富模型'!$M$5+IF(Calc!$I$132&lt;='财富模型'!$E$11*12,'Calc'!$W$13,'Calc'!$Y$13)-(IF('Calc'!$E$13=1,0,MIN(Calc!$K$131*(1+'财富模型'!$E$20/12)+'Calc'!$B$6,IF(Calc!$I$132&lt;='财富模型'!$E$11*12,'Calc'!$W$13,'Calc'!$Y$13))))))),0))</x:f>
      </x:c>
      <x:c r="K132" t="str">
        <x:f>IF(Calc!$I$132&gt;'Calc'!$B$8,"",MAX(Calc!$K$131*(1+'财富模型'!$E$20/12)+'Calc'!$B$6-(IF('Calc'!$E$13=1,0,MIN(Calc!$K$131*(1+'财富模型'!$E$20/12)+'Calc'!$B$6,IF(Calc!$I$132&lt;='财富模型'!$E$11*12,'Calc'!$W$13,'Calc'!$Y$13)))),0))</x:f>
      </x:c>
      <x:c r="L132" t="str">
        <x:f>IF(Calc!$I$132&gt;'Calc'!$B$8,"",IF('Calc'!$E$13=1,'财富模型'!$E$9,'财富模型'!$M$5+IF(Calc!$I$132&lt;='财富模型'!$E$11*12,'Calc'!$W$13,'Calc'!$Y$13)-(IF('Calc'!$E$13=1,0,MIN(Calc!$K$131*(1+'财富模型'!$E$20/12)+'Calc'!$B$6,IF(Calc!$I$132&lt;='财富模型'!$E$11*12,'Calc'!$W$13,'Calc'!$Y$13))))))</x:f>
      </x:c>
      <x:c r="M132" t="str">
        <x:f>IF(Calc!$I$132&gt;'Calc'!$B$8,"",IF('Calc'!$E$13=1,0,MIN(Calc!$K$131*(1+'财富模型'!$E$20/12)+'Calc'!$B$6,IF(Calc!$I$132&lt;='财富模型'!$E$11*12,'Calc'!$W$13,'Calc'!$Y$13))))</x:f>
      </x:c>
      <x:c r="N132" t="str">
        <x:f>IF(Calc!$I$132&gt;'Calc'!$B$8,"",'Calc'!$B$5-'财富模型'!$E$5-(IF('Calc'!$E$13=1,'财富模型'!$E$9,'财富模型'!$M$5+IF(Calc!$I$132&lt;='财富模型'!$E$11*12,'Calc'!$W$13,'Calc'!$Y$13)-(IF('Calc'!$E$13=1,0,MIN(Calc!$K$131*(1+'财富模型'!$E$20/12)+'Calc'!$B$6,IF(Calc!$I$132&lt;='财富模型'!$E$11*12,'Calc'!$W$13,'Calc'!$Y$13)))))))</x:f>
      </x:c>
      <x:c r="O132" t="str">
        <x:f>IF(Calc!$I$132&gt;'Calc'!$B$8,"",IF('Calc'!$E$13=1,0,MAX(Calc!$O$131*(1+IF(Calc!$I$132&lt;='财富模型'!$E$11*12,'财富模型'!$E$10,'财富模型'!$E$12)/12)-IF('Calc'!$E$13=1,0,IF(Calc!$I$132&lt;='财富模型'!$E$11*12,'Calc'!$W$13,'Calc'!$Y$13)),0)))</x:f>
      </x:c>
      <x:c r="Q132" t="n">
        <x:v>111</x:v>
      </x:c>
      <x:c r="R132" t="str">
        <x:f>IF(Calc!$Q$132&gt;'Calc'!$B$8,"",MAX(Calc!$R$131*(1+'财富模型'!$E$6/12)+('Calc'!$B$5-'财富模型'!$E$5-(IF('Calc'!$E$14=1,'财富模型'!$E$9,'财富模型'!$M$6+IF(Calc!$Q$132&lt;='财富模型'!$E$11*12,'Calc'!$W$14,'Calc'!$Y$14)-(IF('Calc'!$E$14=1,0,MIN(Calc!$S$131*(1+'财富模型'!$E$20/12)+'Calc'!$B$6,IF(Calc!$Q$132&lt;='财富模型'!$E$11*12,'Calc'!$W$14,'Calc'!$Y$14))))))),0))</x:f>
      </x:c>
      <x:c r="S132" t="str">
        <x:f>IF(Calc!$Q$132&gt;'Calc'!$B$8,"",MAX(Calc!$S$131*(1+'财富模型'!$E$20/12)+'Calc'!$B$6-(IF('Calc'!$E$14=1,0,MIN(Calc!$S$131*(1+'财富模型'!$E$20/12)+'Calc'!$B$6,IF(Calc!$Q$132&lt;='财富模型'!$E$11*12,'Calc'!$W$14,'Calc'!$Y$14)))),0))</x:f>
      </x:c>
      <x:c r="T132" t="str">
        <x:f>IF(Calc!$Q$132&gt;'Calc'!$B$8,"",IF('Calc'!$E$14=1,'财富模型'!$E$9,'财富模型'!$M$6+IF(Calc!$Q$132&lt;='财富模型'!$E$11*12,'Calc'!$W$14,'Calc'!$Y$14)-(IF('Calc'!$E$14=1,0,MIN(Calc!$S$131*(1+'财富模型'!$E$20/12)+'Calc'!$B$6,IF(Calc!$Q$132&lt;='财富模型'!$E$11*12,'Calc'!$W$14,'Calc'!$Y$14))))))</x:f>
      </x:c>
      <x:c r="U132" t="str">
        <x:f>IF(Calc!$Q$132&gt;'Calc'!$B$8,"",IF('Calc'!$E$14=1,0,MIN(Calc!$S$131*(1+'财富模型'!$E$20/12)+'Calc'!$B$6,IF(Calc!$Q$132&lt;='财富模型'!$E$11*12,'Calc'!$W$14,'Calc'!$Y$14))))</x:f>
      </x:c>
      <x:c r="V132" t="str">
        <x:f>IF(Calc!$Q$132&gt;'Calc'!$B$8,"",'Calc'!$B$5-'财富模型'!$E$5-(IF('Calc'!$E$14=1,'财富模型'!$E$9,'财富模型'!$M$6+IF(Calc!$Q$132&lt;='财富模型'!$E$11*12,'Calc'!$W$14,'Calc'!$Y$14)-(IF('Calc'!$E$14=1,0,MIN(Calc!$S$131*(1+'财富模型'!$E$20/12)+'Calc'!$B$6,IF(Calc!$Q$132&lt;='财富模型'!$E$11*12,'Calc'!$W$14,'Calc'!$Y$14)))))))</x:f>
      </x:c>
      <x:c r="W132" t="str">
        <x:f>IF(Calc!$Q$132&gt;'Calc'!$B$8,"",IF('Calc'!$E$14=1,0,MAX(Calc!$W$131*(1+IF(Calc!$Q$132&lt;='财富模型'!$E$11*12,'财富模型'!$E$10,'财富模型'!$E$12)/12)-IF('Calc'!$E$14=1,0,IF(Calc!$Q$132&lt;='财富模型'!$E$11*12,'Calc'!$W$14,'Calc'!$Y$14)),0)))</x:f>
      </x:c>
      <x:c r="Y132" t="n">
        <x:v>111</x:v>
      </x:c>
      <x:c r="Z132" t="str">
        <x:f>IF(Calc!$Y$132&gt;'Calc'!$B$8,"",MAX(Calc!$Z$131*(1+'财富模型'!$E$6/12)+('Calc'!$B$5-'财富模型'!$E$5-(IF('Calc'!$E$15=1,'财富模型'!$E$9,'财富模型'!$M$7+IF(Calc!$Y$132&lt;='财富模型'!$E$11*12,'Calc'!$W$15,'Calc'!$Y$15)-(IF('Calc'!$E$15=1,0,MIN(Calc!$AA$131*(1+'财富模型'!$E$20/12)+'Calc'!$B$6,IF(Calc!$Y$132&lt;='财富模型'!$E$11*12,'Calc'!$W$15,'Calc'!$Y$15))))))),0))</x:f>
      </x:c>
      <x:c r="AA132" t="str">
        <x:f>IF(Calc!$Y$132&gt;'Calc'!$B$8,"",MAX(Calc!$AA$131*(1+'财富模型'!$E$20/12)+'Calc'!$B$6-(IF('Calc'!$E$15=1,0,MIN(Calc!$AA$131*(1+'财富模型'!$E$20/12)+'Calc'!$B$6,IF(Calc!$Y$132&lt;='财富模型'!$E$11*12,'Calc'!$W$15,'Calc'!$Y$15)))),0))</x:f>
      </x:c>
      <x:c r="AB132" t="str">
        <x:f>IF(Calc!$Y$132&gt;'Calc'!$B$8,"",IF('Calc'!$E$15=1,'财富模型'!$E$9,'财富模型'!$M$7+IF(Calc!$Y$132&lt;='财富模型'!$E$11*12,'Calc'!$W$15,'Calc'!$Y$15)-(IF('Calc'!$E$15=1,0,MIN(Calc!$AA$131*(1+'财富模型'!$E$20/12)+'Calc'!$B$6,IF(Calc!$Y$132&lt;='财富模型'!$E$11*12,'Calc'!$W$15,'Calc'!$Y$15))))))</x:f>
      </x:c>
      <x:c r="AC132" t="str">
        <x:f>IF(Calc!$Y$132&gt;'Calc'!$B$8,"",IF('Calc'!$E$15=1,0,MIN(Calc!$AA$131*(1+'财富模型'!$E$20/12)+'Calc'!$B$6,IF(Calc!$Y$132&lt;='财富模型'!$E$11*12,'Calc'!$W$15,'Calc'!$Y$15))))</x:f>
      </x:c>
      <x:c r="AD132" t="str">
        <x:f>IF(Calc!$Y$132&gt;'Calc'!$B$8,"",'Calc'!$B$5-'财富模型'!$E$5-(IF('Calc'!$E$15=1,'财富模型'!$E$9,'财富模型'!$M$7+IF(Calc!$Y$132&lt;='财富模型'!$E$11*12,'Calc'!$W$15,'Calc'!$Y$15)-(IF('Calc'!$E$15=1,0,MIN(Calc!$AA$131*(1+'财富模型'!$E$20/12)+'Calc'!$B$6,IF(Calc!$Y$132&lt;='财富模型'!$E$11*12,'Calc'!$W$15,'Calc'!$Y$15)))))))</x:f>
      </x:c>
      <x:c r="AE132" t="str">
        <x:f>IF(Calc!$Y$132&gt;'Calc'!$B$8,"",IF('Calc'!$E$15=1,0,MAX(Calc!$AE$131*(1+IF(Calc!$Y$132&lt;='财富模型'!$E$11*12,'财富模型'!$E$10,'财富模型'!$E$12)/12)-IF('Calc'!$E$15=1,0,IF(Calc!$Y$132&lt;='财富模型'!$E$11*12,'Calc'!$W$15,'Calc'!$Y$15)),0)))</x:f>
      </x:c>
      <x:c r="AG132" t="n">
        <x:v>111</x:v>
      </x:c>
      <x:c r="AH132" t="str">
        <x:f>IF(Calc!$AG$132&gt;'Calc'!$B$8,"",MAX(Calc!$AH$131*(1+'财富模型'!$E$6/12)+('Calc'!$B$5-'财富模型'!$E$5-(IF('Calc'!$E$16=1,'财富模型'!$E$9,'财富模型'!$M$8+IF(Calc!$AG$132&lt;='财富模型'!$E$11*12,'Calc'!$W$16,'Calc'!$Y$16)-(IF('Calc'!$E$16=1,0,MIN(Calc!$AI$131*(1+'财富模型'!$E$20/12)+'Calc'!$B$6,IF(Calc!$AG$132&lt;='财富模型'!$E$11*12,'Calc'!$W$16,'Calc'!$Y$16))))))),0))</x:f>
      </x:c>
      <x:c r="AI132" t="str">
        <x:f>IF(Calc!$AG$132&gt;'Calc'!$B$8,"",MAX(Calc!$AI$131*(1+'财富模型'!$E$20/12)+'Calc'!$B$6-(IF('Calc'!$E$16=1,0,MIN(Calc!$AI$131*(1+'财富模型'!$E$20/12)+'Calc'!$B$6,IF(Calc!$AG$132&lt;='财富模型'!$E$11*12,'Calc'!$W$16,'Calc'!$Y$16)))),0))</x:f>
      </x:c>
      <x:c r="AJ132" t="str">
        <x:f>IF(Calc!$AG$132&gt;'Calc'!$B$8,"",IF('Calc'!$E$16=1,'财富模型'!$E$9,'财富模型'!$M$8+IF(Calc!$AG$132&lt;='财富模型'!$E$11*12,'Calc'!$W$16,'Calc'!$Y$16)-(IF('Calc'!$E$16=1,0,MIN(Calc!$AI$131*(1+'财富模型'!$E$20/12)+'Calc'!$B$6,IF(Calc!$AG$132&lt;='财富模型'!$E$11*12,'Calc'!$W$16,'Calc'!$Y$16))))))</x:f>
      </x:c>
      <x:c r="AK132" t="str">
        <x:f>IF(Calc!$AG$132&gt;'Calc'!$B$8,"",IF('Calc'!$E$16=1,0,MIN(Calc!$AI$131*(1+'财富模型'!$E$20/12)+'Calc'!$B$6,IF(Calc!$AG$132&lt;='财富模型'!$E$11*12,'Calc'!$W$16,'Calc'!$Y$16))))</x:f>
      </x:c>
      <x:c r="AL132" t="str">
        <x:f>IF(Calc!$AG$132&gt;'Calc'!$B$8,"",'Calc'!$B$5-'财富模型'!$E$5-(IF('Calc'!$E$16=1,'财富模型'!$E$9,'财富模型'!$M$8+IF(Calc!$AG$132&lt;='财富模型'!$E$11*12,'Calc'!$W$16,'Calc'!$Y$16)-(IF('Calc'!$E$16=1,0,MIN(Calc!$AI$131*(1+'财富模型'!$E$20/12)+'Calc'!$B$6,IF(Calc!$AG$132&lt;='财富模型'!$E$11*12,'Calc'!$W$16,'Calc'!$Y$16)))))))</x:f>
      </x:c>
      <x:c r="AM132" t="str">
        <x:f>IF(Calc!$AG$132&gt;'Calc'!$B$8,"",IF('Calc'!$E$16=1,0,MAX(Calc!$AM$131*(1+IF(Calc!$AG$132&lt;='财富模型'!$E$11*12,'财富模型'!$E$10,'财富模型'!$E$12)/12)-IF('Calc'!$E$16=1,0,IF(Calc!$AG$132&lt;='财富模型'!$E$11*12,'Calc'!$W$16,'Calc'!$Y$16)),0)))</x:f>
      </x:c>
      <x:c r="AO132" t="n">
        <x:v>111</x:v>
      </x:c>
      <x:c r="AP132" t="str">
        <x:f>IF(Calc!$AO$132&gt;'Calc'!$B$8,"",MAX(Calc!$AP$131*(1+'财富模型'!$E$6/12)+('Calc'!$B$5-'财富模型'!$E$5-(IF('Calc'!$E$17=1,'财富模型'!$E$9,'财富模型'!$M$9+IF(Calc!$AO$132&lt;='财富模型'!$E$11*12,'Calc'!$W$17,'Calc'!$Y$17)-(IF('Calc'!$E$17=1,0,MIN(Calc!$AQ$131*(1+'财富模型'!$E$20/12)+'Calc'!$B$6,IF(Calc!$AO$132&lt;='财富模型'!$E$11*12,'Calc'!$W$17,'Calc'!$Y$17))))))),0))</x:f>
      </x:c>
      <x:c r="AQ132" t="str">
        <x:f>IF(Calc!$AO$132&gt;'Calc'!$B$8,"",MAX(Calc!$AQ$131*(1+'财富模型'!$E$20/12)+'Calc'!$B$6-(IF('Calc'!$E$17=1,0,MIN(Calc!$AQ$131*(1+'财富模型'!$E$20/12)+'Calc'!$B$6,IF(Calc!$AO$132&lt;='财富模型'!$E$11*12,'Calc'!$W$17,'Calc'!$Y$17)))),0))</x:f>
      </x:c>
      <x:c r="AR132" t="str">
        <x:f>IF(Calc!$AO$132&gt;'Calc'!$B$8,"",IF('Calc'!$E$17=1,'财富模型'!$E$9,'财富模型'!$M$9+IF(Calc!$AO$132&lt;='财富模型'!$E$11*12,'Calc'!$W$17,'Calc'!$Y$17)-(IF('Calc'!$E$17=1,0,MIN(Calc!$AQ$131*(1+'财富模型'!$E$20/12)+'Calc'!$B$6,IF(Calc!$AO$132&lt;='财富模型'!$E$11*12,'Calc'!$W$17,'Calc'!$Y$17))))))</x:f>
      </x:c>
      <x:c r="AS132" t="str">
        <x:f>IF(Calc!$AO$132&gt;'Calc'!$B$8,"",IF('Calc'!$E$17=1,0,MIN(Calc!$AQ$131*(1+'财富模型'!$E$20/12)+'Calc'!$B$6,IF(Calc!$AO$132&lt;='财富模型'!$E$11*12,'Calc'!$W$17,'Calc'!$Y$17))))</x:f>
      </x:c>
      <x:c r="AT132" t="str">
        <x:f>IF(Calc!$AO$132&gt;'Calc'!$B$8,"",'Calc'!$B$5-'财富模型'!$E$5-(IF('Calc'!$E$17=1,'财富模型'!$E$9,'财富模型'!$M$9+IF(Calc!$AO$132&lt;='财富模型'!$E$11*12,'Calc'!$W$17,'Calc'!$Y$17)-(IF('Calc'!$E$17=1,0,MIN(Calc!$AQ$131*(1+'财富模型'!$E$20/12)+'Calc'!$B$6,IF(Calc!$AO$132&lt;='财富模型'!$E$11*12,'Calc'!$W$17,'Calc'!$Y$17)))))))</x:f>
      </x:c>
      <x:c r="AU132" t="str">
        <x:f>IF(Calc!$AO$132&gt;'Calc'!$B$8,"",IF('Calc'!$E$17=1,0,MAX(Calc!$AU$131*(1+IF(Calc!$AO$132&lt;='财富模型'!$E$11*12,'财富模型'!$E$10,'财富模型'!$E$12)/12)-IF('Calc'!$E$17=1,0,IF(Calc!$AO$132&lt;='财富模型'!$E$11*12,'Calc'!$W$17,'Calc'!$Y$17)),0)))</x:f>
      </x:c>
    </x:row>
    <x:row r="133">
      <x:c r="A133" t="n">
        <x:v>112</x:v>
      </x:c>
      <x:c r="B133" t="str">
        <x:f>IF(Calc!$A$133&gt;'Calc'!$B$8,"",MAX(Calc!$B$132*(1+'财富模型'!$E$6/12)+('Calc'!$B$5-'财富模型'!$E$5-(IF('Calc'!$E$12=1,'财富模型'!$E$9,'财富模型'!$M$4+IF(Calc!$A$133&lt;='财富模型'!$E$11*12,'Calc'!$W$12,'Calc'!$Y$12)-(IF('Calc'!$E$12=1,0,MIN(Calc!$C$132*(1+'财富模型'!$E$20/12)+'Calc'!$B$6,IF(Calc!$A$133&lt;='财富模型'!$E$11*12,'Calc'!$W$12,'Calc'!$Y$12))))))),0))</x:f>
      </x:c>
      <x:c r="C133" t="str">
        <x:f>IF(Calc!$A$133&gt;'Calc'!$B$8,"",MAX(Calc!$C$132*(1+'财富模型'!$E$20/12)+'Calc'!$B$6-(IF('Calc'!$E$12=1,0,MIN(Calc!$C$132*(1+'财富模型'!$E$20/12)+'Calc'!$B$6,IF(Calc!$A$133&lt;='财富模型'!$E$11*12,'Calc'!$W$12,'Calc'!$Y$12)))),0))</x:f>
      </x:c>
      <x:c r="D133" t="str">
        <x:f>IF(Calc!$A$133&gt;'Calc'!$B$8,"",IF('Calc'!$E$12=1,'财富模型'!$E$9,'财富模型'!$M$4+IF(Calc!$A$133&lt;='财富模型'!$E$11*12,'Calc'!$W$12,'Calc'!$Y$12)-(IF('Calc'!$E$12=1,0,MIN(Calc!$C$132*(1+'财富模型'!$E$20/12)+'Calc'!$B$6,IF(Calc!$A$133&lt;='财富模型'!$E$11*12,'Calc'!$W$12,'Calc'!$Y$12))))))</x:f>
      </x:c>
      <x:c r="E133" t="str">
        <x:f>IF(Calc!$A$133&gt;'Calc'!$B$8,"",IF('Calc'!$E$12=1,0,MIN(Calc!$C$132*(1+'财富模型'!$E$20/12)+'Calc'!$B$6,IF(Calc!$A$133&lt;='财富模型'!$E$11*12,'Calc'!$W$12,'Calc'!$Y$12))))</x:f>
      </x:c>
      <x:c r="F133" t="str">
        <x:f>IF(Calc!$A$133&gt;'Calc'!$B$8,"",'Calc'!$B$5-'财富模型'!$E$5-(IF('Calc'!$E$12=1,'财富模型'!$E$9,'财富模型'!$M$4+IF(Calc!$A$133&lt;='财富模型'!$E$11*12,'Calc'!$W$12,'Calc'!$Y$12)-(IF('Calc'!$E$12=1,0,MIN(Calc!$C$132*(1+'财富模型'!$E$20/12)+'Calc'!$B$6,IF(Calc!$A$133&lt;='财富模型'!$E$11*12,'Calc'!$W$12,'Calc'!$Y$12)))))))</x:f>
      </x:c>
      <x:c r="G133" t="str">
        <x:f>IF(Calc!$A$133&gt;'Calc'!$B$8,"",IF('Calc'!$E$12=1,0,MAX(Calc!$G$132*(1+IF(Calc!$A$133&lt;='财富模型'!$E$11*12,'财富模型'!$E$10,'财富模型'!$E$12)/12)-IF('Calc'!$E$12=1,0,IF(Calc!$A$133&lt;='财富模型'!$E$11*12,'Calc'!$W$12,'Calc'!$Y$12)),0)))</x:f>
      </x:c>
      <x:c r="I133" t="n">
        <x:v>112</x:v>
      </x:c>
      <x:c r="J133" t="str">
        <x:f>IF(Calc!$I$133&gt;'Calc'!$B$8,"",MAX(Calc!$J$132*(1+'财富模型'!$E$6/12)+('Calc'!$B$5-'财富模型'!$E$5-(IF('Calc'!$E$13=1,'财富模型'!$E$9,'财富模型'!$M$5+IF(Calc!$I$133&lt;='财富模型'!$E$11*12,'Calc'!$W$13,'Calc'!$Y$13)-(IF('Calc'!$E$13=1,0,MIN(Calc!$K$132*(1+'财富模型'!$E$20/12)+'Calc'!$B$6,IF(Calc!$I$133&lt;='财富模型'!$E$11*12,'Calc'!$W$13,'Calc'!$Y$13))))))),0))</x:f>
      </x:c>
      <x:c r="K133" t="str">
        <x:f>IF(Calc!$I$133&gt;'Calc'!$B$8,"",MAX(Calc!$K$132*(1+'财富模型'!$E$20/12)+'Calc'!$B$6-(IF('Calc'!$E$13=1,0,MIN(Calc!$K$132*(1+'财富模型'!$E$20/12)+'Calc'!$B$6,IF(Calc!$I$133&lt;='财富模型'!$E$11*12,'Calc'!$W$13,'Calc'!$Y$13)))),0))</x:f>
      </x:c>
      <x:c r="L133" t="str">
        <x:f>IF(Calc!$I$133&gt;'Calc'!$B$8,"",IF('Calc'!$E$13=1,'财富模型'!$E$9,'财富模型'!$M$5+IF(Calc!$I$133&lt;='财富模型'!$E$11*12,'Calc'!$W$13,'Calc'!$Y$13)-(IF('Calc'!$E$13=1,0,MIN(Calc!$K$132*(1+'财富模型'!$E$20/12)+'Calc'!$B$6,IF(Calc!$I$133&lt;='财富模型'!$E$11*12,'Calc'!$W$13,'Calc'!$Y$13))))))</x:f>
      </x:c>
      <x:c r="M133" t="str">
        <x:f>IF(Calc!$I$133&gt;'Calc'!$B$8,"",IF('Calc'!$E$13=1,0,MIN(Calc!$K$132*(1+'财富模型'!$E$20/12)+'Calc'!$B$6,IF(Calc!$I$133&lt;='财富模型'!$E$11*12,'Calc'!$W$13,'Calc'!$Y$13))))</x:f>
      </x:c>
      <x:c r="N133" t="str">
        <x:f>IF(Calc!$I$133&gt;'Calc'!$B$8,"",'Calc'!$B$5-'财富模型'!$E$5-(IF('Calc'!$E$13=1,'财富模型'!$E$9,'财富模型'!$M$5+IF(Calc!$I$133&lt;='财富模型'!$E$11*12,'Calc'!$W$13,'Calc'!$Y$13)-(IF('Calc'!$E$13=1,0,MIN(Calc!$K$132*(1+'财富模型'!$E$20/12)+'Calc'!$B$6,IF(Calc!$I$133&lt;='财富模型'!$E$11*12,'Calc'!$W$13,'Calc'!$Y$13)))))))</x:f>
      </x:c>
      <x:c r="O133" t="str">
        <x:f>IF(Calc!$I$133&gt;'Calc'!$B$8,"",IF('Calc'!$E$13=1,0,MAX(Calc!$O$132*(1+IF(Calc!$I$133&lt;='财富模型'!$E$11*12,'财富模型'!$E$10,'财富模型'!$E$12)/12)-IF('Calc'!$E$13=1,0,IF(Calc!$I$133&lt;='财富模型'!$E$11*12,'Calc'!$W$13,'Calc'!$Y$13)),0)))</x:f>
      </x:c>
      <x:c r="Q133" t="n">
        <x:v>112</x:v>
      </x:c>
      <x:c r="R133" t="str">
        <x:f>IF(Calc!$Q$133&gt;'Calc'!$B$8,"",MAX(Calc!$R$132*(1+'财富模型'!$E$6/12)+('Calc'!$B$5-'财富模型'!$E$5-(IF('Calc'!$E$14=1,'财富模型'!$E$9,'财富模型'!$M$6+IF(Calc!$Q$133&lt;='财富模型'!$E$11*12,'Calc'!$W$14,'Calc'!$Y$14)-(IF('Calc'!$E$14=1,0,MIN(Calc!$S$132*(1+'财富模型'!$E$20/12)+'Calc'!$B$6,IF(Calc!$Q$133&lt;='财富模型'!$E$11*12,'Calc'!$W$14,'Calc'!$Y$14))))))),0))</x:f>
      </x:c>
      <x:c r="S133" t="str">
        <x:f>IF(Calc!$Q$133&gt;'Calc'!$B$8,"",MAX(Calc!$S$132*(1+'财富模型'!$E$20/12)+'Calc'!$B$6-(IF('Calc'!$E$14=1,0,MIN(Calc!$S$132*(1+'财富模型'!$E$20/12)+'Calc'!$B$6,IF(Calc!$Q$133&lt;='财富模型'!$E$11*12,'Calc'!$W$14,'Calc'!$Y$14)))),0))</x:f>
      </x:c>
      <x:c r="T133" t="str">
        <x:f>IF(Calc!$Q$133&gt;'Calc'!$B$8,"",IF('Calc'!$E$14=1,'财富模型'!$E$9,'财富模型'!$M$6+IF(Calc!$Q$133&lt;='财富模型'!$E$11*12,'Calc'!$W$14,'Calc'!$Y$14)-(IF('Calc'!$E$14=1,0,MIN(Calc!$S$132*(1+'财富模型'!$E$20/12)+'Calc'!$B$6,IF(Calc!$Q$133&lt;='财富模型'!$E$11*12,'Calc'!$W$14,'Calc'!$Y$14))))))</x:f>
      </x:c>
      <x:c r="U133" t="str">
        <x:f>IF(Calc!$Q$133&gt;'Calc'!$B$8,"",IF('Calc'!$E$14=1,0,MIN(Calc!$S$132*(1+'财富模型'!$E$20/12)+'Calc'!$B$6,IF(Calc!$Q$133&lt;='财富模型'!$E$11*12,'Calc'!$W$14,'Calc'!$Y$14))))</x:f>
      </x:c>
      <x:c r="V133" t="str">
        <x:f>IF(Calc!$Q$133&gt;'Calc'!$B$8,"",'Calc'!$B$5-'财富模型'!$E$5-(IF('Calc'!$E$14=1,'财富模型'!$E$9,'财富模型'!$M$6+IF(Calc!$Q$133&lt;='财富模型'!$E$11*12,'Calc'!$W$14,'Calc'!$Y$14)-(IF('Calc'!$E$14=1,0,MIN(Calc!$S$132*(1+'财富模型'!$E$20/12)+'Calc'!$B$6,IF(Calc!$Q$133&lt;='财富模型'!$E$11*12,'Calc'!$W$14,'Calc'!$Y$14)))))))</x:f>
      </x:c>
      <x:c r="W133" t="str">
        <x:f>IF(Calc!$Q$133&gt;'Calc'!$B$8,"",IF('Calc'!$E$14=1,0,MAX(Calc!$W$132*(1+IF(Calc!$Q$133&lt;='财富模型'!$E$11*12,'财富模型'!$E$10,'财富模型'!$E$12)/12)-IF('Calc'!$E$14=1,0,IF(Calc!$Q$133&lt;='财富模型'!$E$11*12,'Calc'!$W$14,'Calc'!$Y$14)),0)))</x:f>
      </x:c>
      <x:c r="Y133" t="n">
        <x:v>112</x:v>
      </x:c>
      <x:c r="Z133" t="str">
        <x:f>IF(Calc!$Y$133&gt;'Calc'!$B$8,"",MAX(Calc!$Z$132*(1+'财富模型'!$E$6/12)+('Calc'!$B$5-'财富模型'!$E$5-(IF('Calc'!$E$15=1,'财富模型'!$E$9,'财富模型'!$M$7+IF(Calc!$Y$133&lt;='财富模型'!$E$11*12,'Calc'!$W$15,'Calc'!$Y$15)-(IF('Calc'!$E$15=1,0,MIN(Calc!$AA$132*(1+'财富模型'!$E$20/12)+'Calc'!$B$6,IF(Calc!$Y$133&lt;='财富模型'!$E$11*12,'Calc'!$W$15,'Calc'!$Y$15))))))),0))</x:f>
      </x:c>
      <x:c r="AA133" t="str">
        <x:f>IF(Calc!$Y$133&gt;'Calc'!$B$8,"",MAX(Calc!$AA$132*(1+'财富模型'!$E$20/12)+'Calc'!$B$6-(IF('Calc'!$E$15=1,0,MIN(Calc!$AA$132*(1+'财富模型'!$E$20/12)+'Calc'!$B$6,IF(Calc!$Y$133&lt;='财富模型'!$E$11*12,'Calc'!$W$15,'Calc'!$Y$15)))),0))</x:f>
      </x:c>
      <x:c r="AB133" t="str">
        <x:f>IF(Calc!$Y$133&gt;'Calc'!$B$8,"",IF('Calc'!$E$15=1,'财富模型'!$E$9,'财富模型'!$M$7+IF(Calc!$Y$133&lt;='财富模型'!$E$11*12,'Calc'!$W$15,'Calc'!$Y$15)-(IF('Calc'!$E$15=1,0,MIN(Calc!$AA$132*(1+'财富模型'!$E$20/12)+'Calc'!$B$6,IF(Calc!$Y$133&lt;='财富模型'!$E$11*12,'Calc'!$W$15,'Calc'!$Y$15))))))</x:f>
      </x:c>
      <x:c r="AC133" t="str">
        <x:f>IF(Calc!$Y$133&gt;'Calc'!$B$8,"",IF('Calc'!$E$15=1,0,MIN(Calc!$AA$132*(1+'财富模型'!$E$20/12)+'Calc'!$B$6,IF(Calc!$Y$133&lt;='财富模型'!$E$11*12,'Calc'!$W$15,'Calc'!$Y$15))))</x:f>
      </x:c>
      <x:c r="AD133" t="str">
        <x:f>IF(Calc!$Y$133&gt;'Calc'!$B$8,"",'Calc'!$B$5-'财富模型'!$E$5-(IF('Calc'!$E$15=1,'财富模型'!$E$9,'财富模型'!$M$7+IF(Calc!$Y$133&lt;='财富模型'!$E$11*12,'Calc'!$W$15,'Calc'!$Y$15)-(IF('Calc'!$E$15=1,0,MIN(Calc!$AA$132*(1+'财富模型'!$E$20/12)+'Calc'!$B$6,IF(Calc!$Y$133&lt;='财富模型'!$E$11*12,'Calc'!$W$15,'Calc'!$Y$15)))))))</x:f>
      </x:c>
      <x:c r="AE133" t="str">
        <x:f>IF(Calc!$Y$133&gt;'Calc'!$B$8,"",IF('Calc'!$E$15=1,0,MAX(Calc!$AE$132*(1+IF(Calc!$Y$133&lt;='财富模型'!$E$11*12,'财富模型'!$E$10,'财富模型'!$E$12)/12)-IF('Calc'!$E$15=1,0,IF(Calc!$Y$133&lt;='财富模型'!$E$11*12,'Calc'!$W$15,'Calc'!$Y$15)),0)))</x:f>
      </x:c>
      <x:c r="AG133" t="n">
        <x:v>112</x:v>
      </x:c>
      <x:c r="AH133" t="str">
        <x:f>IF(Calc!$AG$133&gt;'Calc'!$B$8,"",MAX(Calc!$AH$132*(1+'财富模型'!$E$6/12)+('Calc'!$B$5-'财富模型'!$E$5-(IF('Calc'!$E$16=1,'财富模型'!$E$9,'财富模型'!$M$8+IF(Calc!$AG$133&lt;='财富模型'!$E$11*12,'Calc'!$W$16,'Calc'!$Y$16)-(IF('Calc'!$E$16=1,0,MIN(Calc!$AI$132*(1+'财富模型'!$E$20/12)+'Calc'!$B$6,IF(Calc!$AG$133&lt;='财富模型'!$E$11*12,'Calc'!$W$16,'Calc'!$Y$16))))))),0))</x:f>
      </x:c>
      <x:c r="AI133" t="str">
        <x:f>IF(Calc!$AG$133&gt;'Calc'!$B$8,"",MAX(Calc!$AI$132*(1+'财富模型'!$E$20/12)+'Calc'!$B$6-(IF('Calc'!$E$16=1,0,MIN(Calc!$AI$132*(1+'财富模型'!$E$20/12)+'Calc'!$B$6,IF(Calc!$AG$133&lt;='财富模型'!$E$11*12,'Calc'!$W$16,'Calc'!$Y$16)))),0))</x:f>
      </x:c>
      <x:c r="AJ133" t="str">
        <x:f>IF(Calc!$AG$133&gt;'Calc'!$B$8,"",IF('Calc'!$E$16=1,'财富模型'!$E$9,'财富模型'!$M$8+IF(Calc!$AG$133&lt;='财富模型'!$E$11*12,'Calc'!$W$16,'Calc'!$Y$16)-(IF('Calc'!$E$16=1,0,MIN(Calc!$AI$132*(1+'财富模型'!$E$20/12)+'Calc'!$B$6,IF(Calc!$AG$133&lt;='财富模型'!$E$11*12,'Calc'!$W$16,'Calc'!$Y$16))))))</x:f>
      </x:c>
      <x:c r="AK133" t="str">
        <x:f>IF(Calc!$AG$133&gt;'Calc'!$B$8,"",IF('Calc'!$E$16=1,0,MIN(Calc!$AI$132*(1+'财富模型'!$E$20/12)+'Calc'!$B$6,IF(Calc!$AG$133&lt;='财富模型'!$E$11*12,'Calc'!$W$16,'Calc'!$Y$16))))</x:f>
      </x:c>
      <x:c r="AL133" t="str">
        <x:f>IF(Calc!$AG$133&gt;'Calc'!$B$8,"",'Calc'!$B$5-'财富模型'!$E$5-(IF('Calc'!$E$16=1,'财富模型'!$E$9,'财富模型'!$M$8+IF(Calc!$AG$133&lt;='财富模型'!$E$11*12,'Calc'!$W$16,'Calc'!$Y$16)-(IF('Calc'!$E$16=1,0,MIN(Calc!$AI$132*(1+'财富模型'!$E$20/12)+'Calc'!$B$6,IF(Calc!$AG$133&lt;='财富模型'!$E$11*12,'Calc'!$W$16,'Calc'!$Y$16)))))))</x:f>
      </x:c>
      <x:c r="AM133" t="str">
        <x:f>IF(Calc!$AG$133&gt;'Calc'!$B$8,"",IF('Calc'!$E$16=1,0,MAX(Calc!$AM$132*(1+IF(Calc!$AG$133&lt;='财富模型'!$E$11*12,'财富模型'!$E$10,'财富模型'!$E$12)/12)-IF('Calc'!$E$16=1,0,IF(Calc!$AG$133&lt;='财富模型'!$E$11*12,'Calc'!$W$16,'Calc'!$Y$16)),0)))</x:f>
      </x:c>
      <x:c r="AO133" t="n">
        <x:v>112</x:v>
      </x:c>
      <x:c r="AP133" t="str">
        <x:f>IF(Calc!$AO$133&gt;'Calc'!$B$8,"",MAX(Calc!$AP$132*(1+'财富模型'!$E$6/12)+('Calc'!$B$5-'财富模型'!$E$5-(IF('Calc'!$E$17=1,'财富模型'!$E$9,'财富模型'!$M$9+IF(Calc!$AO$133&lt;='财富模型'!$E$11*12,'Calc'!$W$17,'Calc'!$Y$17)-(IF('Calc'!$E$17=1,0,MIN(Calc!$AQ$132*(1+'财富模型'!$E$20/12)+'Calc'!$B$6,IF(Calc!$AO$133&lt;='财富模型'!$E$11*12,'Calc'!$W$17,'Calc'!$Y$17))))))),0))</x:f>
      </x:c>
      <x:c r="AQ133" t="str">
        <x:f>IF(Calc!$AO$133&gt;'Calc'!$B$8,"",MAX(Calc!$AQ$132*(1+'财富模型'!$E$20/12)+'Calc'!$B$6-(IF('Calc'!$E$17=1,0,MIN(Calc!$AQ$132*(1+'财富模型'!$E$20/12)+'Calc'!$B$6,IF(Calc!$AO$133&lt;='财富模型'!$E$11*12,'Calc'!$W$17,'Calc'!$Y$17)))),0))</x:f>
      </x:c>
      <x:c r="AR133" t="str">
        <x:f>IF(Calc!$AO$133&gt;'Calc'!$B$8,"",IF('Calc'!$E$17=1,'财富模型'!$E$9,'财富模型'!$M$9+IF(Calc!$AO$133&lt;='财富模型'!$E$11*12,'Calc'!$W$17,'Calc'!$Y$17)-(IF('Calc'!$E$17=1,0,MIN(Calc!$AQ$132*(1+'财富模型'!$E$20/12)+'Calc'!$B$6,IF(Calc!$AO$133&lt;='财富模型'!$E$11*12,'Calc'!$W$17,'Calc'!$Y$17))))))</x:f>
      </x:c>
      <x:c r="AS133" t="str">
        <x:f>IF(Calc!$AO$133&gt;'Calc'!$B$8,"",IF('Calc'!$E$17=1,0,MIN(Calc!$AQ$132*(1+'财富模型'!$E$20/12)+'Calc'!$B$6,IF(Calc!$AO$133&lt;='财富模型'!$E$11*12,'Calc'!$W$17,'Calc'!$Y$17))))</x:f>
      </x:c>
      <x:c r="AT133" t="str">
        <x:f>IF(Calc!$AO$133&gt;'Calc'!$B$8,"",'Calc'!$B$5-'财富模型'!$E$5-(IF('Calc'!$E$17=1,'财富模型'!$E$9,'财富模型'!$M$9+IF(Calc!$AO$133&lt;='财富模型'!$E$11*12,'Calc'!$W$17,'Calc'!$Y$17)-(IF('Calc'!$E$17=1,0,MIN(Calc!$AQ$132*(1+'财富模型'!$E$20/12)+'Calc'!$B$6,IF(Calc!$AO$133&lt;='财富模型'!$E$11*12,'Calc'!$W$17,'Calc'!$Y$17)))))))</x:f>
      </x:c>
      <x:c r="AU133" t="str">
        <x:f>IF(Calc!$AO$133&gt;'Calc'!$B$8,"",IF('Calc'!$E$17=1,0,MAX(Calc!$AU$132*(1+IF(Calc!$AO$133&lt;='财富模型'!$E$11*12,'财富模型'!$E$10,'财富模型'!$E$12)/12)-IF('Calc'!$E$17=1,0,IF(Calc!$AO$133&lt;='财富模型'!$E$11*12,'Calc'!$W$17,'Calc'!$Y$17)),0)))</x:f>
      </x:c>
    </x:row>
    <x:row r="134">
      <x:c r="A134" t="n">
        <x:v>113</x:v>
      </x:c>
      <x:c r="B134" t="str">
        <x:f>IF(Calc!$A$134&gt;'Calc'!$B$8,"",MAX(Calc!$B$133*(1+'财富模型'!$E$6/12)+('Calc'!$B$5-'财富模型'!$E$5-(IF('Calc'!$E$12=1,'财富模型'!$E$9,'财富模型'!$M$4+IF(Calc!$A$134&lt;='财富模型'!$E$11*12,'Calc'!$W$12,'Calc'!$Y$12)-(IF('Calc'!$E$12=1,0,MIN(Calc!$C$133*(1+'财富模型'!$E$20/12)+'Calc'!$B$6,IF(Calc!$A$134&lt;='财富模型'!$E$11*12,'Calc'!$W$12,'Calc'!$Y$12))))))),0))</x:f>
      </x:c>
      <x:c r="C134" t="str">
        <x:f>IF(Calc!$A$134&gt;'Calc'!$B$8,"",MAX(Calc!$C$133*(1+'财富模型'!$E$20/12)+'Calc'!$B$6-(IF('Calc'!$E$12=1,0,MIN(Calc!$C$133*(1+'财富模型'!$E$20/12)+'Calc'!$B$6,IF(Calc!$A$134&lt;='财富模型'!$E$11*12,'Calc'!$W$12,'Calc'!$Y$12)))),0))</x:f>
      </x:c>
      <x:c r="D134" t="str">
        <x:f>IF(Calc!$A$134&gt;'Calc'!$B$8,"",IF('Calc'!$E$12=1,'财富模型'!$E$9,'财富模型'!$M$4+IF(Calc!$A$134&lt;='财富模型'!$E$11*12,'Calc'!$W$12,'Calc'!$Y$12)-(IF('Calc'!$E$12=1,0,MIN(Calc!$C$133*(1+'财富模型'!$E$20/12)+'Calc'!$B$6,IF(Calc!$A$134&lt;='财富模型'!$E$11*12,'Calc'!$W$12,'Calc'!$Y$12))))))</x:f>
      </x:c>
      <x:c r="E134" t="str">
        <x:f>IF(Calc!$A$134&gt;'Calc'!$B$8,"",IF('Calc'!$E$12=1,0,MIN(Calc!$C$133*(1+'财富模型'!$E$20/12)+'Calc'!$B$6,IF(Calc!$A$134&lt;='财富模型'!$E$11*12,'Calc'!$W$12,'Calc'!$Y$12))))</x:f>
      </x:c>
      <x:c r="F134" t="str">
        <x:f>IF(Calc!$A$134&gt;'Calc'!$B$8,"",'Calc'!$B$5-'财富模型'!$E$5-(IF('Calc'!$E$12=1,'财富模型'!$E$9,'财富模型'!$M$4+IF(Calc!$A$134&lt;='财富模型'!$E$11*12,'Calc'!$W$12,'Calc'!$Y$12)-(IF('Calc'!$E$12=1,0,MIN(Calc!$C$133*(1+'财富模型'!$E$20/12)+'Calc'!$B$6,IF(Calc!$A$134&lt;='财富模型'!$E$11*12,'Calc'!$W$12,'Calc'!$Y$12)))))))</x:f>
      </x:c>
      <x:c r="G134" t="str">
        <x:f>IF(Calc!$A$134&gt;'Calc'!$B$8,"",IF('Calc'!$E$12=1,0,MAX(Calc!$G$133*(1+IF(Calc!$A$134&lt;='财富模型'!$E$11*12,'财富模型'!$E$10,'财富模型'!$E$12)/12)-IF('Calc'!$E$12=1,0,IF(Calc!$A$134&lt;='财富模型'!$E$11*12,'Calc'!$W$12,'Calc'!$Y$12)),0)))</x:f>
      </x:c>
      <x:c r="I134" t="n">
        <x:v>113</x:v>
      </x:c>
      <x:c r="J134" t="str">
        <x:f>IF(Calc!$I$134&gt;'Calc'!$B$8,"",MAX(Calc!$J$133*(1+'财富模型'!$E$6/12)+('Calc'!$B$5-'财富模型'!$E$5-(IF('Calc'!$E$13=1,'财富模型'!$E$9,'财富模型'!$M$5+IF(Calc!$I$134&lt;='财富模型'!$E$11*12,'Calc'!$W$13,'Calc'!$Y$13)-(IF('Calc'!$E$13=1,0,MIN(Calc!$K$133*(1+'财富模型'!$E$20/12)+'Calc'!$B$6,IF(Calc!$I$134&lt;='财富模型'!$E$11*12,'Calc'!$W$13,'Calc'!$Y$13))))))),0))</x:f>
      </x:c>
      <x:c r="K134" t="str">
        <x:f>IF(Calc!$I$134&gt;'Calc'!$B$8,"",MAX(Calc!$K$133*(1+'财富模型'!$E$20/12)+'Calc'!$B$6-(IF('Calc'!$E$13=1,0,MIN(Calc!$K$133*(1+'财富模型'!$E$20/12)+'Calc'!$B$6,IF(Calc!$I$134&lt;='财富模型'!$E$11*12,'Calc'!$W$13,'Calc'!$Y$13)))),0))</x:f>
      </x:c>
      <x:c r="L134" t="str">
        <x:f>IF(Calc!$I$134&gt;'Calc'!$B$8,"",IF('Calc'!$E$13=1,'财富模型'!$E$9,'财富模型'!$M$5+IF(Calc!$I$134&lt;='财富模型'!$E$11*12,'Calc'!$W$13,'Calc'!$Y$13)-(IF('Calc'!$E$13=1,0,MIN(Calc!$K$133*(1+'财富模型'!$E$20/12)+'Calc'!$B$6,IF(Calc!$I$134&lt;='财富模型'!$E$11*12,'Calc'!$W$13,'Calc'!$Y$13))))))</x:f>
      </x:c>
      <x:c r="M134" t="str">
        <x:f>IF(Calc!$I$134&gt;'Calc'!$B$8,"",IF('Calc'!$E$13=1,0,MIN(Calc!$K$133*(1+'财富模型'!$E$20/12)+'Calc'!$B$6,IF(Calc!$I$134&lt;='财富模型'!$E$11*12,'Calc'!$W$13,'Calc'!$Y$13))))</x:f>
      </x:c>
      <x:c r="N134" t="str">
        <x:f>IF(Calc!$I$134&gt;'Calc'!$B$8,"",'Calc'!$B$5-'财富模型'!$E$5-(IF('Calc'!$E$13=1,'财富模型'!$E$9,'财富模型'!$M$5+IF(Calc!$I$134&lt;='财富模型'!$E$11*12,'Calc'!$W$13,'Calc'!$Y$13)-(IF('Calc'!$E$13=1,0,MIN(Calc!$K$133*(1+'财富模型'!$E$20/12)+'Calc'!$B$6,IF(Calc!$I$134&lt;='财富模型'!$E$11*12,'Calc'!$W$13,'Calc'!$Y$13)))))))</x:f>
      </x:c>
      <x:c r="O134" t="str">
        <x:f>IF(Calc!$I$134&gt;'Calc'!$B$8,"",IF('Calc'!$E$13=1,0,MAX(Calc!$O$133*(1+IF(Calc!$I$134&lt;='财富模型'!$E$11*12,'财富模型'!$E$10,'财富模型'!$E$12)/12)-IF('Calc'!$E$13=1,0,IF(Calc!$I$134&lt;='财富模型'!$E$11*12,'Calc'!$W$13,'Calc'!$Y$13)),0)))</x:f>
      </x:c>
      <x:c r="Q134" t="n">
        <x:v>113</x:v>
      </x:c>
      <x:c r="R134" t="str">
        <x:f>IF(Calc!$Q$134&gt;'Calc'!$B$8,"",MAX(Calc!$R$133*(1+'财富模型'!$E$6/12)+('Calc'!$B$5-'财富模型'!$E$5-(IF('Calc'!$E$14=1,'财富模型'!$E$9,'财富模型'!$M$6+IF(Calc!$Q$134&lt;='财富模型'!$E$11*12,'Calc'!$W$14,'Calc'!$Y$14)-(IF('Calc'!$E$14=1,0,MIN(Calc!$S$133*(1+'财富模型'!$E$20/12)+'Calc'!$B$6,IF(Calc!$Q$134&lt;='财富模型'!$E$11*12,'Calc'!$W$14,'Calc'!$Y$14))))))),0))</x:f>
      </x:c>
      <x:c r="S134" t="str">
        <x:f>IF(Calc!$Q$134&gt;'Calc'!$B$8,"",MAX(Calc!$S$133*(1+'财富模型'!$E$20/12)+'Calc'!$B$6-(IF('Calc'!$E$14=1,0,MIN(Calc!$S$133*(1+'财富模型'!$E$20/12)+'Calc'!$B$6,IF(Calc!$Q$134&lt;='财富模型'!$E$11*12,'Calc'!$W$14,'Calc'!$Y$14)))),0))</x:f>
      </x:c>
      <x:c r="T134" t="str">
        <x:f>IF(Calc!$Q$134&gt;'Calc'!$B$8,"",IF('Calc'!$E$14=1,'财富模型'!$E$9,'财富模型'!$M$6+IF(Calc!$Q$134&lt;='财富模型'!$E$11*12,'Calc'!$W$14,'Calc'!$Y$14)-(IF('Calc'!$E$14=1,0,MIN(Calc!$S$133*(1+'财富模型'!$E$20/12)+'Calc'!$B$6,IF(Calc!$Q$134&lt;='财富模型'!$E$11*12,'Calc'!$W$14,'Calc'!$Y$14))))))</x:f>
      </x:c>
      <x:c r="U134" t="str">
        <x:f>IF(Calc!$Q$134&gt;'Calc'!$B$8,"",IF('Calc'!$E$14=1,0,MIN(Calc!$S$133*(1+'财富模型'!$E$20/12)+'Calc'!$B$6,IF(Calc!$Q$134&lt;='财富模型'!$E$11*12,'Calc'!$W$14,'Calc'!$Y$14))))</x:f>
      </x:c>
      <x:c r="V134" t="str">
        <x:f>IF(Calc!$Q$134&gt;'Calc'!$B$8,"",'Calc'!$B$5-'财富模型'!$E$5-(IF('Calc'!$E$14=1,'财富模型'!$E$9,'财富模型'!$M$6+IF(Calc!$Q$134&lt;='财富模型'!$E$11*12,'Calc'!$W$14,'Calc'!$Y$14)-(IF('Calc'!$E$14=1,0,MIN(Calc!$S$133*(1+'财富模型'!$E$20/12)+'Calc'!$B$6,IF(Calc!$Q$134&lt;='财富模型'!$E$11*12,'Calc'!$W$14,'Calc'!$Y$14)))))))</x:f>
      </x:c>
      <x:c r="W134" t="str">
        <x:f>IF(Calc!$Q$134&gt;'Calc'!$B$8,"",IF('Calc'!$E$14=1,0,MAX(Calc!$W$133*(1+IF(Calc!$Q$134&lt;='财富模型'!$E$11*12,'财富模型'!$E$10,'财富模型'!$E$12)/12)-IF('Calc'!$E$14=1,0,IF(Calc!$Q$134&lt;='财富模型'!$E$11*12,'Calc'!$W$14,'Calc'!$Y$14)),0)))</x:f>
      </x:c>
      <x:c r="Y134" t="n">
        <x:v>113</x:v>
      </x:c>
      <x:c r="Z134" t="str">
        <x:f>IF(Calc!$Y$134&gt;'Calc'!$B$8,"",MAX(Calc!$Z$133*(1+'财富模型'!$E$6/12)+('Calc'!$B$5-'财富模型'!$E$5-(IF('Calc'!$E$15=1,'财富模型'!$E$9,'财富模型'!$M$7+IF(Calc!$Y$134&lt;='财富模型'!$E$11*12,'Calc'!$W$15,'Calc'!$Y$15)-(IF('Calc'!$E$15=1,0,MIN(Calc!$AA$133*(1+'财富模型'!$E$20/12)+'Calc'!$B$6,IF(Calc!$Y$134&lt;='财富模型'!$E$11*12,'Calc'!$W$15,'Calc'!$Y$15))))))),0))</x:f>
      </x:c>
      <x:c r="AA134" t="str">
        <x:f>IF(Calc!$Y$134&gt;'Calc'!$B$8,"",MAX(Calc!$AA$133*(1+'财富模型'!$E$20/12)+'Calc'!$B$6-(IF('Calc'!$E$15=1,0,MIN(Calc!$AA$133*(1+'财富模型'!$E$20/12)+'Calc'!$B$6,IF(Calc!$Y$134&lt;='财富模型'!$E$11*12,'Calc'!$W$15,'Calc'!$Y$15)))),0))</x:f>
      </x:c>
      <x:c r="AB134" t="str">
        <x:f>IF(Calc!$Y$134&gt;'Calc'!$B$8,"",IF('Calc'!$E$15=1,'财富模型'!$E$9,'财富模型'!$M$7+IF(Calc!$Y$134&lt;='财富模型'!$E$11*12,'Calc'!$W$15,'Calc'!$Y$15)-(IF('Calc'!$E$15=1,0,MIN(Calc!$AA$133*(1+'财富模型'!$E$20/12)+'Calc'!$B$6,IF(Calc!$Y$134&lt;='财富模型'!$E$11*12,'Calc'!$W$15,'Calc'!$Y$15))))))</x:f>
      </x:c>
      <x:c r="AC134" t="str">
        <x:f>IF(Calc!$Y$134&gt;'Calc'!$B$8,"",IF('Calc'!$E$15=1,0,MIN(Calc!$AA$133*(1+'财富模型'!$E$20/12)+'Calc'!$B$6,IF(Calc!$Y$134&lt;='财富模型'!$E$11*12,'Calc'!$W$15,'Calc'!$Y$15))))</x:f>
      </x:c>
      <x:c r="AD134" t="str">
        <x:f>IF(Calc!$Y$134&gt;'Calc'!$B$8,"",'Calc'!$B$5-'财富模型'!$E$5-(IF('Calc'!$E$15=1,'财富模型'!$E$9,'财富模型'!$M$7+IF(Calc!$Y$134&lt;='财富模型'!$E$11*12,'Calc'!$W$15,'Calc'!$Y$15)-(IF('Calc'!$E$15=1,0,MIN(Calc!$AA$133*(1+'财富模型'!$E$20/12)+'Calc'!$B$6,IF(Calc!$Y$134&lt;='财富模型'!$E$11*12,'Calc'!$W$15,'Calc'!$Y$15)))))))</x:f>
      </x:c>
      <x:c r="AE134" t="str">
        <x:f>IF(Calc!$Y$134&gt;'Calc'!$B$8,"",IF('Calc'!$E$15=1,0,MAX(Calc!$AE$133*(1+IF(Calc!$Y$134&lt;='财富模型'!$E$11*12,'财富模型'!$E$10,'财富模型'!$E$12)/12)-IF('Calc'!$E$15=1,0,IF(Calc!$Y$134&lt;='财富模型'!$E$11*12,'Calc'!$W$15,'Calc'!$Y$15)),0)))</x:f>
      </x:c>
      <x:c r="AG134" t="n">
        <x:v>113</x:v>
      </x:c>
      <x:c r="AH134" t="str">
        <x:f>IF(Calc!$AG$134&gt;'Calc'!$B$8,"",MAX(Calc!$AH$133*(1+'财富模型'!$E$6/12)+('Calc'!$B$5-'财富模型'!$E$5-(IF('Calc'!$E$16=1,'财富模型'!$E$9,'财富模型'!$M$8+IF(Calc!$AG$134&lt;='财富模型'!$E$11*12,'Calc'!$W$16,'Calc'!$Y$16)-(IF('Calc'!$E$16=1,0,MIN(Calc!$AI$133*(1+'财富模型'!$E$20/12)+'Calc'!$B$6,IF(Calc!$AG$134&lt;='财富模型'!$E$11*12,'Calc'!$W$16,'Calc'!$Y$16))))))),0))</x:f>
      </x:c>
      <x:c r="AI134" t="str">
        <x:f>IF(Calc!$AG$134&gt;'Calc'!$B$8,"",MAX(Calc!$AI$133*(1+'财富模型'!$E$20/12)+'Calc'!$B$6-(IF('Calc'!$E$16=1,0,MIN(Calc!$AI$133*(1+'财富模型'!$E$20/12)+'Calc'!$B$6,IF(Calc!$AG$134&lt;='财富模型'!$E$11*12,'Calc'!$W$16,'Calc'!$Y$16)))),0))</x:f>
      </x:c>
      <x:c r="AJ134" t="str">
        <x:f>IF(Calc!$AG$134&gt;'Calc'!$B$8,"",IF('Calc'!$E$16=1,'财富模型'!$E$9,'财富模型'!$M$8+IF(Calc!$AG$134&lt;='财富模型'!$E$11*12,'Calc'!$W$16,'Calc'!$Y$16)-(IF('Calc'!$E$16=1,0,MIN(Calc!$AI$133*(1+'财富模型'!$E$20/12)+'Calc'!$B$6,IF(Calc!$AG$134&lt;='财富模型'!$E$11*12,'Calc'!$W$16,'Calc'!$Y$16))))))</x:f>
      </x:c>
      <x:c r="AK134" t="str">
        <x:f>IF(Calc!$AG$134&gt;'Calc'!$B$8,"",IF('Calc'!$E$16=1,0,MIN(Calc!$AI$133*(1+'财富模型'!$E$20/12)+'Calc'!$B$6,IF(Calc!$AG$134&lt;='财富模型'!$E$11*12,'Calc'!$W$16,'Calc'!$Y$16))))</x:f>
      </x:c>
      <x:c r="AL134" t="str">
        <x:f>IF(Calc!$AG$134&gt;'Calc'!$B$8,"",'Calc'!$B$5-'财富模型'!$E$5-(IF('Calc'!$E$16=1,'财富模型'!$E$9,'财富模型'!$M$8+IF(Calc!$AG$134&lt;='财富模型'!$E$11*12,'Calc'!$W$16,'Calc'!$Y$16)-(IF('Calc'!$E$16=1,0,MIN(Calc!$AI$133*(1+'财富模型'!$E$20/12)+'Calc'!$B$6,IF(Calc!$AG$134&lt;='财富模型'!$E$11*12,'Calc'!$W$16,'Calc'!$Y$16)))))))</x:f>
      </x:c>
      <x:c r="AM134" t="str">
        <x:f>IF(Calc!$AG$134&gt;'Calc'!$B$8,"",IF('Calc'!$E$16=1,0,MAX(Calc!$AM$133*(1+IF(Calc!$AG$134&lt;='财富模型'!$E$11*12,'财富模型'!$E$10,'财富模型'!$E$12)/12)-IF('Calc'!$E$16=1,0,IF(Calc!$AG$134&lt;='财富模型'!$E$11*12,'Calc'!$W$16,'Calc'!$Y$16)),0)))</x:f>
      </x:c>
      <x:c r="AO134" t="n">
        <x:v>113</x:v>
      </x:c>
      <x:c r="AP134" t="str">
        <x:f>IF(Calc!$AO$134&gt;'Calc'!$B$8,"",MAX(Calc!$AP$133*(1+'财富模型'!$E$6/12)+('Calc'!$B$5-'财富模型'!$E$5-(IF('Calc'!$E$17=1,'财富模型'!$E$9,'财富模型'!$M$9+IF(Calc!$AO$134&lt;='财富模型'!$E$11*12,'Calc'!$W$17,'Calc'!$Y$17)-(IF('Calc'!$E$17=1,0,MIN(Calc!$AQ$133*(1+'财富模型'!$E$20/12)+'Calc'!$B$6,IF(Calc!$AO$134&lt;='财富模型'!$E$11*12,'Calc'!$W$17,'Calc'!$Y$17))))))),0))</x:f>
      </x:c>
      <x:c r="AQ134" t="str">
        <x:f>IF(Calc!$AO$134&gt;'Calc'!$B$8,"",MAX(Calc!$AQ$133*(1+'财富模型'!$E$20/12)+'Calc'!$B$6-(IF('Calc'!$E$17=1,0,MIN(Calc!$AQ$133*(1+'财富模型'!$E$20/12)+'Calc'!$B$6,IF(Calc!$AO$134&lt;='财富模型'!$E$11*12,'Calc'!$W$17,'Calc'!$Y$17)))),0))</x:f>
      </x:c>
      <x:c r="AR134" t="str">
        <x:f>IF(Calc!$AO$134&gt;'Calc'!$B$8,"",IF('Calc'!$E$17=1,'财富模型'!$E$9,'财富模型'!$M$9+IF(Calc!$AO$134&lt;='财富模型'!$E$11*12,'Calc'!$W$17,'Calc'!$Y$17)-(IF('Calc'!$E$17=1,0,MIN(Calc!$AQ$133*(1+'财富模型'!$E$20/12)+'Calc'!$B$6,IF(Calc!$AO$134&lt;='财富模型'!$E$11*12,'Calc'!$W$17,'Calc'!$Y$17))))))</x:f>
      </x:c>
      <x:c r="AS134" t="str">
        <x:f>IF(Calc!$AO$134&gt;'Calc'!$B$8,"",IF('Calc'!$E$17=1,0,MIN(Calc!$AQ$133*(1+'财富模型'!$E$20/12)+'Calc'!$B$6,IF(Calc!$AO$134&lt;='财富模型'!$E$11*12,'Calc'!$W$17,'Calc'!$Y$17))))</x:f>
      </x:c>
      <x:c r="AT134" t="str">
        <x:f>IF(Calc!$AO$134&gt;'Calc'!$B$8,"",'Calc'!$B$5-'财富模型'!$E$5-(IF('Calc'!$E$17=1,'财富模型'!$E$9,'财富模型'!$M$9+IF(Calc!$AO$134&lt;='财富模型'!$E$11*12,'Calc'!$W$17,'Calc'!$Y$17)-(IF('Calc'!$E$17=1,0,MIN(Calc!$AQ$133*(1+'财富模型'!$E$20/12)+'Calc'!$B$6,IF(Calc!$AO$134&lt;='财富模型'!$E$11*12,'Calc'!$W$17,'Calc'!$Y$17)))))))</x:f>
      </x:c>
      <x:c r="AU134" t="str">
        <x:f>IF(Calc!$AO$134&gt;'Calc'!$B$8,"",IF('Calc'!$E$17=1,0,MAX(Calc!$AU$133*(1+IF(Calc!$AO$134&lt;='财富模型'!$E$11*12,'财富模型'!$E$10,'财富模型'!$E$12)/12)-IF('Calc'!$E$17=1,0,IF(Calc!$AO$134&lt;='财富模型'!$E$11*12,'Calc'!$W$17,'Calc'!$Y$17)),0)))</x:f>
      </x:c>
    </x:row>
    <x:row r="135">
      <x:c r="A135" t="n">
        <x:v>114</x:v>
      </x:c>
      <x:c r="B135" t="str">
        <x:f>IF(Calc!$A$135&gt;'Calc'!$B$8,"",MAX(Calc!$B$134*(1+'财富模型'!$E$6/12)+('Calc'!$B$5-'财富模型'!$E$5-(IF('Calc'!$E$12=1,'财富模型'!$E$9,'财富模型'!$M$4+IF(Calc!$A$135&lt;='财富模型'!$E$11*12,'Calc'!$W$12,'Calc'!$Y$12)-(IF('Calc'!$E$12=1,0,MIN(Calc!$C$134*(1+'财富模型'!$E$20/12)+'Calc'!$B$6,IF(Calc!$A$135&lt;='财富模型'!$E$11*12,'Calc'!$W$12,'Calc'!$Y$12))))))),0))</x:f>
      </x:c>
      <x:c r="C135" t="str">
        <x:f>IF(Calc!$A$135&gt;'Calc'!$B$8,"",MAX(Calc!$C$134*(1+'财富模型'!$E$20/12)+'Calc'!$B$6-(IF('Calc'!$E$12=1,0,MIN(Calc!$C$134*(1+'财富模型'!$E$20/12)+'Calc'!$B$6,IF(Calc!$A$135&lt;='财富模型'!$E$11*12,'Calc'!$W$12,'Calc'!$Y$12)))),0))</x:f>
      </x:c>
      <x:c r="D135" t="str">
        <x:f>IF(Calc!$A$135&gt;'Calc'!$B$8,"",IF('Calc'!$E$12=1,'财富模型'!$E$9,'财富模型'!$M$4+IF(Calc!$A$135&lt;='财富模型'!$E$11*12,'Calc'!$W$12,'Calc'!$Y$12)-(IF('Calc'!$E$12=1,0,MIN(Calc!$C$134*(1+'财富模型'!$E$20/12)+'Calc'!$B$6,IF(Calc!$A$135&lt;='财富模型'!$E$11*12,'Calc'!$W$12,'Calc'!$Y$12))))))</x:f>
      </x:c>
      <x:c r="E135" t="str">
        <x:f>IF(Calc!$A$135&gt;'Calc'!$B$8,"",IF('Calc'!$E$12=1,0,MIN(Calc!$C$134*(1+'财富模型'!$E$20/12)+'Calc'!$B$6,IF(Calc!$A$135&lt;='财富模型'!$E$11*12,'Calc'!$W$12,'Calc'!$Y$12))))</x:f>
      </x:c>
      <x:c r="F135" t="str">
        <x:f>IF(Calc!$A$135&gt;'Calc'!$B$8,"",'Calc'!$B$5-'财富模型'!$E$5-(IF('Calc'!$E$12=1,'财富模型'!$E$9,'财富模型'!$M$4+IF(Calc!$A$135&lt;='财富模型'!$E$11*12,'Calc'!$W$12,'Calc'!$Y$12)-(IF('Calc'!$E$12=1,0,MIN(Calc!$C$134*(1+'财富模型'!$E$20/12)+'Calc'!$B$6,IF(Calc!$A$135&lt;='财富模型'!$E$11*12,'Calc'!$W$12,'Calc'!$Y$12)))))))</x:f>
      </x:c>
      <x:c r="G135" t="str">
        <x:f>IF(Calc!$A$135&gt;'Calc'!$B$8,"",IF('Calc'!$E$12=1,0,MAX(Calc!$G$134*(1+IF(Calc!$A$135&lt;='财富模型'!$E$11*12,'财富模型'!$E$10,'财富模型'!$E$12)/12)-IF('Calc'!$E$12=1,0,IF(Calc!$A$135&lt;='财富模型'!$E$11*12,'Calc'!$W$12,'Calc'!$Y$12)),0)))</x:f>
      </x:c>
      <x:c r="I135" t="n">
        <x:v>114</x:v>
      </x:c>
      <x:c r="J135" t="str">
        <x:f>IF(Calc!$I$135&gt;'Calc'!$B$8,"",MAX(Calc!$J$134*(1+'财富模型'!$E$6/12)+('Calc'!$B$5-'财富模型'!$E$5-(IF('Calc'!$E$13=1,'财富模型'!$E$9,'财富模型'!$M$5+IF(Calc!$I$135&lt;='财富模型'!$E$11*12,'Calc'!$W$13,'Calc'!$Y$13)-(IF('Calc'!$E$13=1,0,MIN(Calc!$K$134*(1+'财富模型'!$E$20/12)+'Calc'!$B$6,IF(Calc!$I$135&lt;='财富模型'!$E$11*12,'Calc'!$W$13,'Calc'!$Y$13))))))),0))</x:f>
      </x:c>
      <x:c r="K135" t="str">
        <x:f>IF(Calc!$I$135&gt;'Calc'!$B$8,"",MAX(Calc!$K$134*(1+'财富模型'!$E$20/12)+'Calc'!$B$6-(IF('Calc'!$E$13=1,0,MIN(Calc!$K$134*(1+'财富模型'!$E$20/12)+'Calc'!$B$6,IF(Calc!$I$135&lt;='财富模型'!$E$11*12,'Calc'!$W$13,'Calc'!$Y$13)))),0))</x:f>
      </x:c>
      <x:c r="L135" t="str">
        <x:f>IF(Calc!$I$135&gt;'Calc'!$B$8,"",IF('Calc'!$E$13=1,'财富模型'!$E$9,'财富模型'!$M$5+IF(Calc!$I$135&lt;='财富模型'!$E$11*12,'Calc'!$W$13,'Calc'!$Y$13)-(IF('Calc'!$E$13=1,0,MIN(Calc!$K$134*(1+'财富模型'!$E$20/12)+'Calc'!$B$6,IF(Calc!$I$135&lt;='财富模型'!$E$11*12,'Calc'!$W$13,'Calc'!$Y$13))))))</x:f>
      </x:c>
      <x:c r="M135" t="str">
        <x:f>IF(Calc!$I$135&gt;'Calc'!$B$8,"",IF('Calc'!$E$13=1,0,MIN(Calc!$K$134*(1+'财富模型'!$E$20/12)+'Calc'!$B$6,IF(Calc!$I$135&lt;='财富模型'!$E$11*12,'Calc'!$W$13,'Calc'!$Y$13))))</x:f>
      </x:c>
      <x:c r="N135" t="str">
        <x:f>IF(Calc!$I$135&gt;'Calc'!$B$8,"",'Calc'!$B$5-'财富模型'!$E$5-(IF('Calc'!$E$13=1,'财富模型'!$E$9,'财富模型'!$M$5+IF(Calc!$I$135&lt;='财富模型'!$E$11*12,'Calc'!$W$13,'Calc'!$Y$13)-(IF('Calc'!$E$13=1,0,MIN(Calc!$K$134*(1+'财富模型'!$E$20/12)+'Calc'!$B$6,IF(Calc!$I$135&lt;='财富模型'!$E$11*12,'Calc'!$W$13,'Calc'!$Y$13)))))))</x:f>
      </x:c>
      <x:c r="O135" t="str">
        <x:f>IF(Calc!$I$135&gt;'Calc'!$B$8,"",IF('Calc'!$E$13=1,0,MAX(Calc!$O$134*(1+IF(Calc!$I$135&lt;='财富模型'!$E$11*12,'财富模型'!$E$10,'财富模型'!$E$12)/12)-IF('Calc'!$E$13=1,0,IF(Calc!$I$135&lt;='财富模型'!$E$11*12,'Calc'!$W$13,'Calc'!$Y$13)),0)))</x:f>
      </x:c>
      <x:c r="Q135" t="n">
        <x:v>114</x:v>
      </x:c>
      <x:c r="R135" t="str">
        <x:f>IF(Calc!$Q$135&gt;'Calc'!$B$8,"",MAX(Calc!$R$134*(1+'财富模型'!$E$6/12)+('Calc'!$B$5-'财富模型'!$E$5-(IF('Calc'!$E$14=1,'财富模型'!$E$9,'财富模型'!$M$6+IF(Calc!$Q$135&lt;='财富模型'!$E$11*12,'Calc'!$W$14,'Calc'!$Y$14)-(IF('Calc'!$E$14=1,0,MIN(Calc!$S$134*(1+'财富模型'!$E$20/12)+'Calc'!$B$6,IF(Calc!$Q$135&lt;='财富模型'!$E$11*12,'Calc'!$W$14,'Calc'!$Y$14))))))),0))</x:f>
      </x:c>
      <x:c r="S135" t="str">
        <x:f>IF(Calc!$Q$135&gt;'Calc'!$B$8,"",MAX(Calc!$S$134*(1+'财富模型'!$E$20/12)+'Calc'!$B$6-(IF('Calc'!$E$14=1,0,MIN(Calc!$S$134*(1+'财富模型'!$E$20/12)+'Calc'!$B$6,IF(Calc!$Q$135&lt;='财富模型'!$E$11*12,'Calc'!$W$14,'Calc'!$Y$14)))),0))</x:f>
      </x:c>
      <x:c r="T135" t="str">
        <x:f>IF(Calc!$Q$135&gt;'Calc'!$B$8,"",IF('Calc'!$E$14=1,'财富模型'!$E$9,'财富模型'!$M$6+IF(Calc!$Q$135&lt;='财富模型'!$E$11*12,'Calc'!$W$14,'Calc'!$Y$14)-(IF('Calc'!$E$14=1,0,MIN(Calc!$S$134*(1+'财富模型'!$E$20/12)+'Calc'!$B$6,IF(Calc!$Q$135&lt;='财富模型'!$E$11*12,'Calc'!$W$14,'Calc'!$Y$14))))))</x:f>
      </x:c>
      <x:c r="U135" t="str">
        <x:f>IF(Calc!$Q$135&gt;'Calc'!$B$8,"",IF('Calc'!$E$14=1,0,MIN(Calc!$S$134*(1+'财富模型'!$E$20/12)+'Calc'!$B$6,IF(Calc!$Q$135&lt;='财富模型'!$E$11*12,'Calc'!$W$14,'Calc'!$Y$14))))</x:f>
      </x:c>
      <x:c r="V135" t="str">
        <x:f>IF(Calc!$Q$135&gt;'Calc'!$B$8,"",'Calc'!$B$5-'财富模型'!$E$5-(IF('Calc'!$E$14=1,'财富模型'!$E$9,'财富模型'!$M$6+IF(Calc!$Q$135&lt;='财富模型'!$E$11*12,'Calc'!$W$14,'Calc'!$Y$14)-(IF('Calc'!$E$14=1,0,MIN(Calc!$S$134*(1+'财富模型'!$E$20/12)+'Calc'!$B$6,IF(Calc!$Q$135&lt;='财富模型'!$E$11*12,'Calc'!$W$14,'Calc'!$Y$14)))))))</x:f>
      </x:c>
      <x:c r="W135" t="str">
        <x:f>IF(Calc!$Q$135&gt;'Calc'!$B$8,"",IF('Calc'!$E$14=1,0,MAX(Calc!$W$134*(1+IF(Calc!$Q$135&lt;='财富模型'!$E$11*12,'财富模型'!$E$10,'财富模型'!$E$12)/12)-IF('Calc'!$E$14=1,0,IF(Calc!$Q$135&lt;='财富模型'!$E$11*12,'Calc'!$W$14,'Calc'!$Y$14)),0)))</x:f>
      </x:c>
      <x:c r="Y135" t="n">
        <x:v>114</x:v>
      </x:c>
      <x:c r="Z135" t="str">
        <x:f>IF(Calc!$Y$135&gt;'Calc'!$B$8,"",MAX(Calc!$Z$134*(1+'财富模型'!$E$6/12)+('Calc'!$B$5-'财富模型'!$E$5-(IF('Calc'!$E$15=1,'财富模型'!$E$9,'财富模型'!$M$7+IF(Calc!$Y$135&lt;='财富模型'!$E$11*12,'Calc'!$W$15,'Calc'!$Y$15)-(IF('Calc'!$E$15=1,0,MIN(Calc!$AA$134*(1+'财富模型'!$E$20/12)+'Calc'!$B$6,IF(Calc!$Y$135&lt;='财富模型'!$E$11*12,'Calc'!$W$15,'Calc'!$Y$15))))))),0))</x:f>
      </x:c>
      <x:c r="AA135" t="str">
        <x:f>IF(Calc!$Y$135&gt;'Calc'!$B$8,"",MAX(Calc!$AA$134*(1+'财富模型'!$E$20/12)+'Calc'!$B$6-(IF('Calc'!$E$15=1,0,MIN(Calc!$AA$134*(1+'财富模型'!$E$20/12)+'Calc'!$B$6,IF(Calc!$Y$135&lt;='财富模型'!$E$11*12,'Calc'!$W$15,'Calc'!$Y$15)))),0))</x:f>
      </x:c>
      <x:c r="AB135" t="str">
        <x:f>IF(Calc!$Y$135&gt;'Calc'!$B$8,"",IF('Calc'!$E$15=1,'财富模型'!$E$9,'财富模型'!$M$7+IF(Calc!$Y$135&lt;='财富模型'!$E$11*12,'Calc'!$W$15,'Calc'!$Y$15)-(IF('Calc'!$E$15=1,0,MIN(Calc!$AA$134*(1+'财富模型'!$E$20/12)+'Calc'!$B$6,IF(Calc!$Y$135&lt;='财富模型'!$E$11*12,'Calc'!$W$15,'Calc'!$Y$15))))))</x:f>
      </x:c>
      <x:c r="AC135" t="str">
        <x:f>IF(Calc!$Y$135&gt;'Calc'!$B$8,"",IF('Calc'!$E$15=1,0,MIN(Calc!$AA$134*(1+'财富模型'!$E$20/12)+'Calc'!$B$6,IF(Calc!$Y$135&lt;='财富模型'!$E$11*12,'Calc'!$W$15,'Calc'!$Y$15))))</x:f>
      </x:c>
      <x:c r="AD135" t="str">
        <x:f>IF(Calc!$Y$135&gt;'Calc'!$B$8,"",'Calc'!$B$5-'财富模型'!$E$5-(IF('Calc'!$E$15=1,'财富模型'!$E$9,'财富模型'!$M$7+IF(Calc!$Y$135&lt;='财富模型'!$E$11*12,'Calc'!$W$15,'Calc'!$Y$15)-(IF('Calc'!$E$15=1,0,MIN(Calc!$AA$134*(1+'财富模型'!$E$20/12)+'Calc'!$B$6,IF(Calc!$Y$135&lt;='财富模型'!$E$11*12,'Calc'!$W$15,'Calc'!$Y$15)))))))</x:f>
      </x:c>
      <x:c r="AE135" t="str">
        <x:f>IF(Calc!$Y$135&gt;'Calc'!$B$8,"",IF('Calc'!$E$15=1,0,MAX(Calc!$AE$134*(1+IF(Calc!$Y$135&lt;='财富模型'!$E$11*12,'财富模型'!$E$10,'财富模型'!$E$12)/12)-IF('Calc'!$E$15=1,0,IF(Calc!$Y$135&lt;='财富模型'!$E$11*12,'Calc'!$W$15,'Calc'!$Y$15)),0)))</x:f>
      </x:c>
      <x:c r="AG135" t="n">
        <x:v>114</x:v>
      </x:c>
      <x:c r="AH135" t="str">
        <x:f>IF(Calc!$AG$135&gt;'Calc'!$B$8,"",MAX(Calc!$AH$134*(1+'财富模型'!$E$6/12)+('Calc'!$B$5-'财富模型'!$E$5-(IF('Calc'!$E$16=1,'财富模型'!$E$9,'财富模型'!$M$8+IF(Calc!$AG$135&lt;='财富模型'!$E$11*12,'Calc'!$W$16,'Calc'!$Y$16)-(IF('Calc'!$E$16=1,0,MIN(Calc!$AI$134*(1+'财富模型'!$E$20/12)+'Calc'!$B$6,IF(Calc!$AG$135&lt;='财富模型'!$E$11*12,'Calc'!$W$16,'Calc'!$Y$16))))))),0))</x:f>
      </x:c>
      <x:c r="AI135" t="str">
        <x:f>IF(Calc!$AG$135&gt;'Calc'!$B$8,"",MAX(Calc!$AI$134*(1+'财富模型'!$E$20/12)+'Calc'!$B$6-(IF('Calc'!$E$16=1,0,MIN(Calc!$AI$134*(1+'财富模型'!$E$20/12)+'Calc'!$B$6,IF(Calc!$AG$135&lt;='财富模型'!$E$11*12,'Calc'!$W$16,'Calc'!$Y$16)))),0))</x:f>
      </x:c>
      <x:c r="AJ135" t="str">
        <x:f>IF(Calc!$AG$135&gt;'Calc'!$B$8,"",IF('Calc'!$E$16=1,'财富模型'!$E$9,'财富模型'!$M$8+IF(Calc!$AG$135&lt;='财富模型'!$E$11*12,'Calc'!$W$16,'Calc'!$Y$16)-(IF('Calc'!$E$16=1,0,MIN(Calc!$AI$134*(1+'财富模型'!$E$20/12)+'Calc'!$B$6,IF(Calc!$AG$135&lt;='财富模型'!$E$11*12,'Calc'!$W$16,'Calc'!$Y$16))))))</x:f>
      </x:c>
      <x:c r="AK135" t="str">
        <x:f>IF(Calc!$AG$135&gt;'Calc'!$B$8,"",IF('Calc'!$E$16=1,0,MIN(Calc!$AI$134*(1+'财富模型'!$E$20/12)+'Calc'!$B$6,IF(Calc!$AG$135&lt;='财富模型'!$E$11*12,'Calc'!$W$16,'Calc'!$Y$16))))</x:f>
      </x:c>
      <x:c r="AL135" t="str">
        <x:f>IF(Calc!$AG$135&gt;'Calc'!$B$8,"",'Calc'!$B$5-'财富模型'!$E$5-(IF('Calc'!$E$16=1,'财富模型'!$E$9,'财富模型'!$M$8+IF(Calc!$AG$135&lt;='财富模型'!$E$11*12,'Calc'!$W$16,'Calc'!$Y$16)-(IF('Calc'!$E$16=1,0,MIN(Calc!$AI$134*(1+'财富模型'!$E$20/12)+'Calc'!$B$6,IF(Calc!$AG$135&lt;='财富模型'!$E$11*12,'Calc'!$W$16,'Calc'!$Y$16)))))))</x:f>
      </x:c>
      <x:c r="AM135" t="str">
        <x:f>IF(Calc!$AG$135&gt;'Calc'!$B$8,"",IF('Calc'!$E$16=1,0,MAX(Calc!$AM$134*(1+IF(Calc!$AG$135&lt;='财富模型'!$E$11*12,'财富模型'!$E$10,'财富模型'!$E$12)/12)-IF('Calc'!$E$16=1,0,IF(Calc!$AG$135&lt;='财富模型'!$E$11*12,'Calc'!$W$16,'Calc'!$Y$16)),0)))</x:f>
      </x:c>
      <x:c r="AO135" t="n">
        <x:v>114</x:v>
      </x:c>
      <x:c r="AP135" t="str">
        <x:f>IF(Calc!$AO$135&gt;'Calc'!$B$8,"",MAX(Calc!$AP$134*(1+'财富模型'!$E$6/12)+('Calc'!$B$5-'财富模型'!$E$5-(IF('Calc'!$E$17=1,'财富模型'!$E$9,'财富模型'!$M$9+IF(Calc!$AO$135&lt;='财富模型'!$E$11*12,'Calc'!$W$17,'Calc'!$Y$17)-(IF('Calc'!$E$17=1,0,MIN(Calc!$AQ$134*(1+'财富模型'!$E$20/12)+'Calc'!$B$6,IF(Calc!$AO$135&lt;='财富模型'!$E$11*12,'Calc'!$W$17,'Calc'!$Y$17))))))),0))</x:f>
      </x:c>
      <x:c r="AQ135" t="str">
        <x:f>IF(Calc!$AO$135&gt;'Calc'!$B$8,"",MAX(Calc!$AQ$134*(1+'财富模型'!$E$20/12)+'Calc'!$B$6-(IF('Calc'!$E$17=1,0,MIN(Calc!$AQ$134*(1+'财富模型'!$E$20/12)+'Calc'!$B$6,IF(Calc!$AO$135&lt;='财富模型'!$E$11*12,'Calc'!$W$17,'Calc'!$Y$17)))),0))</x:f>
      </x:c>
      <x:c r="AR135" t="str">
        <x:f>IF(Calc!$AO$135&gt;'Calc'!$B$8,"",IF('Calc'!$E$17=1,'财富模型'!$E$9,'财富模型'!$M$9+IF(Calc!$AO$135&lt;='财富模型'!$E$11*12,'Calc'!$W$17,'Calc'!$Y$17)-(IF('Calc'!$E$17=1,0,MIN(Calc!$AQ$134*(1+'财富模型'!$E$20/12)+'Calc'!$B$6,IF(Calc!$AO$135&lt;='财富模型'!$E$11*12,'Calc'!$W$17,'Calc'!$Y$17))))))</x:f>
      </x:c>
      <x:c r="AS135" t="str">
        <x:f>IF(Calc!$AO$135&gt;'Calc'!$B$8,"",IF('Calc'!$E$17=1,0,MIN(Calc!$AQ$134*(1+'财富模型'!$E$20/12)+'Calc'!$B$6,IF(Calc!$AO$135&lt;='财富模型'!$E$11*12,'Calc'!$W$17,'Calc'!$Y$17))))</x:f>
      </x:c>
      <x:c r="AT135" t="str">
        <x:f>IF(Calc!$AO$135&gt;'Calc'!$B$8,"",'Calc'!$B$5-'财富模型'!$E$5-(IF('Calc'!$E$17=1,'财富模型'!$E$9,'财富模型'!$M$9+IF(Calc!$AO$135&lt;='财富模型'!$E$11*12,'Calc'!$W$17,'Calc'!$Y$17)-(IF('Calc'!$E$17=1,0,MIN(Calc!$AQ$134*(1+'财富模型'!$E$20/12)+'Calc'!$B$6,IF(Calc!$AO$135&lt;='财富模型'!$E$11*12,'Calc'!$W$17,'Calc'!$Y$17)))))))</x:f>
      </x:c>
      <x:c r="AU135" t="str">
        <x:f>IF(Calc!$AO$135&gt;'Calc'!$B$8,"",IF('Calc'!$E$17=1,0,MAX(Calc!$AU$134*(1+IF(Calc!$AO$135&lt;='财富模型'!$E$11*12,'财富模型'!$E$10,'财富模型'!$E$12)/12)-IF('Calc'!$E$17=1,0,IF(Calc!$AO$135&lt;='财富模型'!$E$11*12,'Calc'!$W$17,'Calc'!$Y$17)),0)))</x:f>
      </x:c>
    </x:row>
    <x:row r="136">
      <x:c r="A136" t="n">
        <x:v>115</x:v>
      </x:c>
      <x:c r="B136" t="str">
        <x:f>IF(Calc!$A$136&gt;'Calc'!$B$8,"",MAX(Calc!$B$135*(1+'财富模型'!$E$6/12)+('Calc'!$B$5-'财富模型'!$E$5-(IF('Calc'!$E$12=1,'财富模型'!$E$9,'财富模型'!$M$4+IF(Calc!$A$136&lt;='财富模型'!$E$11*12,'Calc'!$W$12,'Calc'!$Y$12)-(IF('Calc'!$E$12=1,0,MIN(Calc!$C$135*(1+'财富模型'!$E$20/12)+'Calc'!$B$6,IF(Calc!$A$136&lt;='财富模型'!$E$11*12,'Calc'!$W$12,'Calc'!$Y$12))))))),0))</x:f>
      </x:c>
      <x:c r="C136" t="str">
        <x:f>IF(Calc!$A$136&gt;'Calc'!$B$8,"",MAX(Calc!$C$135*(1+'财富模型'!$E$20/12)+'Calc'!$B$6-(IF('Calc'!$E$12=1,0,MIN(Calc!$C$135*(1+'财富模型'!$E$20/12)+'Calc'!$B$6,IF(Calc!$A$136&lt;='财富模型'!$E$11*12,'Calc'!$W$12,'Calc'!$Y$12)))),0))</x:f>
      </x:c>
      <x:c r="D136" t="str">
        <x:f>IF(Calc!$A$136&gt;'Calc'!$B$8,"",IF('Calc'!$E$12=1,'财富模型'!$E$9,'财富模型'!$M$4+IF(Calc!$A$136&lt;='财富模型'!$E$11*12,'Calc'!$W$12,'Calc'!$Y$12)-(IF('Calc'!$E$12=1,0,MIN(Calc!$C$135*(1+'财富模型'!$E$20/12)+'Calc'!$B$6,IF(Calc!$A$136&lt;='财富模型'!$E$11*12,'Calc'!$W$12,'Calc'!$Y$12))))))</x:f>
      </x:c>
      <x:c r="E136" t="str">
        <x:f>IF(Calc!$A$136&gt;'Calc'!$B$8,"",IF('Calc'!$E$12=1,0,MIN(Calc!$C$135*(1+'财富模型'!$E$20/12)+'Calc'!$B$6,IF(Calc!$A$136&lt;='财富模型'!$E$11*12,'Calc'!$W$12,'Calc'!$Y$12))))</x:f>
      </x:c>
      <x:c r="F136" t="str">
        <x:f>IF(Calc!$A$136&gt;'Calc'!$B$8,"",'Calc'!$B$5-'财富模型'!$E$5-(IF('Calc'!$E$12=1,'财富模型'!$E$9,'财富模型'!$M$4+IF(Calc!$A$136&lt;='财富模型'!$E$11*12,'Calc'!$W$12,'Calc'!$Y$12)-(IF('Calc'!$E$12=1,0,MIN(Calc!$C$135*(1+'财富模型'!$E$20/12)+'Calc'!$B$6,IF(Calc!$A$136&lt;='财富模型'!$E$11*12,'Calc'!$W$12,'Calc'!$Y$12)))))))</x:f>
      </x:c>
      <x:c r="G136" t="str">
        <x:f>IF(Calc!$A$136&gt;'Calc'!$B$8,"",IF('Calc'!$E$12=1,0,MAX(Calc!$G$135*(1+IF(Calc!$A$136&lt;='财富模型'!$E$11*12,'财富模型'!$E$10,'财富模型'!$E$12)/12)-IF('Calc'!$E$12=1,0,IF(Calc!$A$136&lt;='财富模型'!$E$11*12,'Calc'!$W$12,'Calc'!$Y$12)),0)))</x:f>
      </x:c>
      <x:c r="I136" t="n">
        <x:v>115</x:v>
      </x:c>
      <x:c r="J136" t="str">
        <x:f>IF(Calc!$I$136&gt;'Calc'!$B$8,"",MAX(Calc!$J$135*(1+'财富模型'!$E$6/12)+('Calc'!$B$5-'财富模型'!$E$5-(IF('Calc'!$E$13=1,'财富模型'!$E$9,'财富模型'!$M$5+IF(Calc!$I$136&lt;='财富模型'!$E$11*12,'Calc'!$W$13,'Calc'!$Y$13)-(IF('Calc'!$E$13=1,0,MIN(Calc!$K$135*(1+'财富模型'!$E$20/12)+'Calc'!$B$6,IF(Calc!$I$136&lt;='财富模型'!$E$11*12,'Calc'!$W$13,'Calc'!$Y$13))))))),0))</x:f>
      </x:c>
      <x:c r="K136" t="str">
        <x:f>IF(Calc!$I$136&gt;'Calc'!$B$8,"",MAX(Calc!$K$135*(1+'财富模型'!$E$20/12)+'Calc'!$B$6-(IF('Calc'!$E$13=1,0,MIN(Calc!$K$135*(1+'财富模型'!$E$20/12)+'Calc'!$B$6,IF(Calc!$I$136&lt;='财富模型'!$E$11*12,'Calc'!$W$13,'Calc'!$Y$13)))),0))</x:f>
      </x:c>
      <x:c r="L136" t="str">
        <x:f>IF(Calc!$I$136&gt;'Calc'!$B$8,"",IF('Calc'!$E$13=1,'财富模型'!$E$9,'财富模型'!$M$5+IF(Calc!$I$136&lt;='财富模型'!$E$11*12,'Calc'!$W$13,'Calc'!$Y$13)-(IF('Calc'!$E$13=1,0,MIN(Calc!$K$135*(1+'财富模型'!$E$20/12)+'Calc'!$B$6,IF(Calc!$I$136&lt;='财富模型'!$E$11*12,'Calc'!$W$13,'Calc'!$Y$13))))))</x:f>
      </x:c>
      <x:c r="M136" t="str">
        <x:f>IF(Calc!$I$136&gt;'Calc'!$B$8,"",IF('Calc'!$E$13=1,0,MIN(Calc!$K$135*(1+'财富模型'!$E$20/12)+'Calc'!$B$6,IF(Calc!$I$136&lt;='财富模型'!$E$11*12,'Calc'!$W$13,'Calc'!$Y$13))))</x:f>
      </x:c>
      <x:c r="N136" t="str">
        <x:f>IF(Calc!$I$136&gt;'Calc'!$B$8,"",'Calc'!$B$5-'财富模型'!$E$5-(IF('Calc'!$E$13=1,'财富模型'!$E$9,'财富模型'!$M$5+IF(Calc!$I$136&lt;='财富模型'!$E$11*12,'Calc'!$W$13,'Calc'!$Y$13)-(IF('Calc'!$E$13=1,0,MIN(Calc!$K$135*(1+'财富模型'!$E$20/12)+'Calc'!$B$6,IF(Calc!$I$136&lt;='财富模型'!$E$11*12,'Calc'!$W$13,'Calc'!$Y$13)))))))</x:f>
      </x:c>
      <x:c r="O136" t="str">
        <x:f>IF(Calc!$I$136&gt;'Calc'!$B$8,"",IF('Calc'!$E$13=1,0,MAX(Calc!$O$135*(1+IF(Calc!$I$136&lt;='财富模型'!$E$11*12,'财富模型'!$E$10,'财富模型'!$E$12)/12)-IF('Calc'!$E$13=1,0,IF(Calc!$I$136&lt;='财富模型'!$E$11*12,'Calc'!$W$13,'Calc'!$Y$13)),0)))</x:f>
      </x:c>
      <x:c r="Q136" t="n">
        <x:v>115</x:v>
      </x:c>
      <x:c r="R136" t="str">
        <x:f>IF(Calc!$Q$136&gt;'Calc'!$B$8,"",MAX(Calc!$R$135*(1+'财富模型'!$E$6/12)+('Calc'!$B$5-'财富模型'!$E$5-(IF('Calc'!$E$14=1,'财富模型'!$E$9,'财富模型'!$M$6+IF(Calc!$Q$136&lt;='财富模型'!$E$11*12,'Calc'!$W$14,'Calc'!$Y$14)-(IF('Calc'!$E$14=1,0,MIN(Calc!$S$135*(1+'财富模型'!$E$20/12)+'Calc'!$B$6,IF(Calc!$Q$136&lt;='财富模型'!$E$11*12,'Calc'!$W$14,'Calc'!$Y$14))))))),0))</x:f>
      </x:c>
      <x:c r="S136" t="str">
        <x:f>IF(Calc!$Q$136&gt;'Calc'!$B$8,"",MAX(Calc!$S$135*(1+'财富模型'!$E$20/12)+'Calc'!$B$6-(IF('Calc'!$E$14=1,0,MIN(Calc!$S$135*(1+'财富模型'!$E$20/12)+'Calc'!$B$6,IF(Calc!$Q$136&lt;='财富模型'!$E$11*12,'Calc'!$W$14,'Calc'!$Y$14)))),0))</x:f>
      </x:c>
      <x:c r="T136" t="str">
        <x:f>IF(Calc!$Q$136&gt;'Calc'!$B$8,"",IF('Calc'!$E$14=1,'财富模型'!$E$9,'财富模型'!$M$6+IF(Calc!$Q$136&lt;='财富模型'!$E$11*12,'Calc'!$W$14,'Calc'!$Y$14)-(IF('Calc'!$E$14=1,0,MIN(Calc!$S$135*(1+'财富模型'!$E$20/12)+'Calc'!$B$6,IF(Calc!$Q$136&lt;='财富模型'!$E$11*12,'Calc'!$W$14,'Calc'!$Y$14))))))</x:f>
      </x:c>
      <x:c r="U136" t="str">
        <x:f>IF(Calc!$Q$136&gt;'Calc'!$B$8,"",IF('Calc'!$E$14=1,0,MIN(Calc!$S$135*(1+'财富模型'!$E$20/12)+'Calc'!$B$6,IF(Calc!$Q$136&lt;='财富模型'!$E$11*12,'Calc'!$W$14,'Calc'!$Y$14))))</x:f>
      </x:c>
      <x:c r="V136" t="str">
        <x:f>IF(Calc!$Q$136&gt;'Calc'!$B$8,"",'Calc'!$B$5-'财富模型'!$E$5-(IF('Calc'!$E$14=1,'财富模型'!$E$9,'财富模型'!$M$6+IF(Calc!$Q$136&lt;='财富模型'!$E$11*12,'Calc'!$W$14,'Calc'!$Y$14)-(IF('Calc'!$E$14=1,0,MIN(Calc!$S$135*(1+'财富模型'!$E$20/12)+'Calc'!$B$6,IF(Calc!$Q$136&lt;='财富模型'!$E$11*12,'Calc'!$W$14,'Calc'!$Y$14)))))))</x:f>
      </x:c>
      <x:c r="W136" t="str">
        <x:f>IF(Calc!$Q$136&gt;'Calc'!$B$8,"",IF('Calc'!$E$14=1,0,MAX(Calc!$W$135*(1+IF(Calc!$Q$136&lt;='财富模型'!$E$11*12,'财富模型'!$E$10,'财富模型'!$E$12)/12)-IF('Calc'!$E$14=1,0,IF(Calc!$Q$136&lt;='财富模型'!$E$11*12,'Calc'!$W$14,'Calc'!$Y$14)),0)))</x:f>
      </x:c>
      <x:c r="Y136" t="n">
        <x:v>115</x:v>
      </x:c>
      <x:c r="Z136" t="str">
        <x:f>IF(Calc!$Y$136&gt;'Calc'!$B$8,"",MAX(Calc!$Z$135*(1+'财富模型'!$E$6/12)+('Calc'!$B$5-'财富模型'!$E$5-(IF('Calc'!$E$15=1,'财富模型'!$E$9,'财富模型'!$M$7+IF(Calc!$Y$136&lt;='财富模型'!$E$11*12,'Calc'!$W$15,'Calc'!$Y$15)-(IF('Calc'!$E$15=1,0,MIN(Calc!$AA$135*(1+'财富模型'!$E$20/12)+'Calc'!$B$6,IF(Calc!$Y$136&lt;='财富模型'!$E$11*12,'Calc'!$W$15,'Calc'!$Y$15))))))),0))</x:f>
      </x:c>
      <x:c r="AA136" t="str">
        <x:f>IF(Calc!$Y$136&gt;'Calc'!$B$8,"",MAX(Calc!$AA$135*(1+'财富模型'!$E$20/12)+'Calc'!$B$6-(IF('Calc'!$E$15=1,0,MIN(Calc!$AA$135*(1+'财富模型'!$E$20/12)+'Calc'!$B$6,IF(Calc!$Y$136&lt;='财富模型'!$E$11*12,'Calc'!$W$15,'Calc'!$Y$15)))),0))</x:f>
      </x:c>
      <x:c r="AB136" t="str">
        <x:f>IF(Calc!$Y$136&gt;'Calc'!$B$8,"",IF('Calc'!$E$15=1,'财富模型'!$E$9,'财富模型'!$M$7+IF(Calc!$Y$136&lt;='财富模型'!$E$11*12,'Calc'!$W$15,'Calc'!$Y$15)-(IF('Calc'!$E$15=1,0,MIN(Calc!$AA$135*(1+'财富模型'!$E$20/12)+'Calc'!$B$6,IF(Calc!$Y$136&lt;='财富模型'!$E$11*12,'Calc'!$W$15,'Calc'!$Y$15))))))</x:f>
      </x:c>
      <x:c r="AC136" t="str">
        <x:f>IF(Calc!$Y$136&gt;'Calc'!$B$8,"",IF('Calc'!$E$15=1,0,MIN(Calc!$AA$135*(1+'财富模型'!$E$20/12)+'Calc'!$B$6,IF(Calc!$Y$136&lt;='财富模型'!$E$11*12,'Calc'!$W$15,'Calc'!$Y$15))))</x:f>
      </x:c>
      <x:c r="AD136" t="str">
        <x:f>IF(Calc!$Y$136&gt;'Calc'!$B$8,"",'Calc'!$B$5-'财富模型'!$E$5-(IF('Calc'!$E$15=1,'财富模型'!$E$9,'财富模型'!$M$7+IF(Calc!$Y$136&lt;='财富模型'!$E$11*12,'Calc'!$W$15,'Calc'!$Y$15)-(IF('Calc'!$E$15=1,0,MIN(Calc!$AA$135*(1+'财富模型'!$E$20/12)+'Calc'!$B$6,IF(Calc!$Y$136&lt;='财富模型'!$E$11*12,'Calc'!$W$15,'Calc'!$Y$15)))))))</x:f>
      </x:c>
      <x:c r="AE136" t="str">
        <x:f>IF(Calc!$Y$136&gt;'Calc'!$B$8,"",IF('Calc'!$E$15=1,0,MAX(Calc!$AE$135*(1+IF(Calc!$Y$136&lt;='财富模型'!$E$11*12,'财富模型'!$E$10,'财富模型'!$E$12)/12)-IF('Calc'!$E$15=1,0,IF(Calc!$Y$136&lt;='财富模型'!$E$11*12,'Calc'!$W$15,'Calc'!$Y$15)),0)))</x:f>
      </x:c>
      <x:c r="AG136" t="n">
        <x:v>115</x:v>
      </x:c>
      <x:c r="AH136" t="str">
        <x:f>IF(Calc!$AG$136&gt;'Calc'!$B$8,"",MAX(Calc!$AH$135*(1+'财富模型'!$E$6/12)+('Calc'!$B$5-'财富模型'!$E$5-(IF('Calc'!$E$16=1,'财富模型'!$E$9,'财富模型'!$M$8+IF(Calc!$AG$136&lt;='财富模型'!$E$11*12,'Calc'!$W$16,'Calc'!$Y$16)-(IF('Calc'!$E$16=1,0,MIN(Calc!$AI$135*(1+'财富模型'!$E$20/12)+'Calc'!$B$6,IF(Calc!$AG$136&lt;='财富模型'!$E$11*12,'Calc'!$W$16,'Calc'!$Y$16))))))),0))</x:f>
      </x:c>
      <x:c r="AI136" t="str">
        <x:f>IF(Calc!$AG$136&gt;'Calc'!$B$8,"",MAX(Calc!$AI$135*(1+'财富模型'!$E$20/12)+'Calc'!$B$6-(IF('Calc'!$E$16=1,0,MIN(Calc!$AI$135*(1+'财富模型'!$E$20/12)+'Calc'!$B$6,IF(Calc!$AG$136&lt;='财富模型'!$E$11*12,'Calc'!$W$16,'Calc'!$Y$16)))),0))</x:f>
      </x:c>
      <x:c r="AJ136" t="str">
        <x:f>IF(Calc!$AG$136&gt;'Calc'!$B$8,"",IF('Calc'!$E$16=1,'财富模型'!$E$9,'财富模型'!$M$8+IF(Calc!$AG$136&lt;='财富模型'!$E$11*12,'Calc'!$W$16,'Calc'!$Y$16)-(IF('Calc'!$E$16=1,0,MIN(Calc!$AI$135*(1+'财富模型'!$E$20/12)+'Calc'!$B$6,IF(Calc!$AG$136&lt;='财富模型'!$E$11*12,'Calc'!$W$16,'Calc'!$Y$16))))))</x:f>
      </x:c>
      <x:c r="AK136" t="str">
        <x:f>IF(Calc!$AG$136&gt;'Calc'!$B$8,"",IF('Calc'!$E$16=1,0,MIN(Calc!$AI$135*(1+'财富模型'!$E$20/12)+'Calc'!$B$6,IF(Calc!$AG$136&lt;='财富模型'!$E$11*12,'Calc'!$W$16,'Calc'!$Y$16))))</x:f>
      </x:c>
      <x:c r="AL136" t="str">
        <x:f>IF(Calc!$AG$136&gt;'Calc'!$B$8,"",'Calc'!$B$5-'财富模型'!$E$5-(IF('Calc'!$E$16=1,'财富模型'!$E$9,'财富模型'!$M$8+IF(Calc!$AG$136&lt;='财富模型'!$E$11*12,'Calc'!$W$16,'Calc'!$Y$16)-(IF('Calc'!$E$16=1,0,MIN(Calc!$AI$135*(1+'财富模型'!$E$20/12)+'Calc'!$B$6,IF(Calc!$AG$136&lt;='财富模型'!$E$11*12,'Calc'!$W$16,'Calc'!$Y$16)))))))</x:f>
      </x:c>
      <x:c r="AM136" t="str">
        <x:f>IF(Calc!$AG$136&gt;'Calc'!$B$8,"",IF('Calc'!$E$16=1,0,MAX(Calc!$AM$135*(1+IF(Calc!$AG$136&lt;='财富模型'!$E$11*12,'财富模型'!$E$10,'财富模型'!$E$12)/12)-IF('Calc'!$E$16=1,0,IF(Calc!$AG$136&lt;='财富模型'!$E$11*12,'Calc'!$W$16,'Calc'!$Y$16)),0)))</x:f>
      </x:c>
      <x:c r="AO136" t="n">
        <x:v>115</x:v>
      </x:c>
      <x:c r="AP136" t="str">
        <x:f>IF(Calc!$AO$136&gt;'Calc'!$B$8,"",MAX(Calc!$AP$135*(1+'财富模型'!$E$6/12)+('Calc'!$B$5-'财富模型'!$E$5-(IF('Calc'!$E$17=1,'财富模型'!$E$9,'财富模型'!$M$9+IF(Calc!$AO$136&lt;='财富模型'!$E$11*12,'Calc'!$W$17,'Calc'!$Y$17)-(IF('Calc'!$E$17=1,0,MIN(Calc!$AQ$135*(1+'财富模型'!$E$20/12)+'Calc'!$B$6,IF(Calc!$AO$136&lt;='财富模型'!$E$11*12,'Calc'!$W$17,'Calc'!$Y$17))))))),0))</x:f>
      </x:c>
      <x:c r="AQ136" t="str">
        <x:f>IF(Calc!$AO$136&gt;'Calc'!$B$8,"",MAX(Calc!$AQ$135*(1+'财富模型'!$E$20/12)+'Calc'!$B$6-(IF('Calc'!$E$17=1,0,MIN(Calc!$AQ$135*(1+'财富模型'!$E$20/12)+'Calc'!$B$6,IF(Calc!$AO$136&lt;='财富模型'!$E$11*12,'Calc'!$W$17,'Calc'!$Y$17)))),0))</x:f>
      </x:c>
      <x:c r="AR136" t="str">
        <x:f>IF(Calc!$AO$136&gt;'Calc'!$B$8,"",IF('Calc'!$E$17=1,'财富模型'!$E$9,'财富模型'!$M$9+IF(Calc!$AO$136&lt;='财富模型'!$E$11*12,'Calc'!$W$17,'Calc'!$Y$17)-(IF('Calc'!$E$17=1,0,MIN(Calc!$AQ$135*(1+'财富模型'!$E$20/12)+'Calc'!$B$6,IF(Calc!$AO$136&lt;='财富模型'!$E$11*12,'Calc'!$W$17,'Calc'!$Y$17))))))</x:f>
      </x:c>
      <x:c r="AS136" t="str">
        <x:f>IF(Calc!$AO$136&gt;'Calc'!$B$8,"",IF('Calc'!$E$17=1,0,MIN(Calc!$AQ$135*(1+'财富模型'!$E$20/12)+'Calc'!$B$6,IF(Calc!$AO$136&lt;='财富模型'!$E$11*12,'Calc'!$W$17,'Calc'!$Y$17))))</x:f>
      </x:c>
      <x:c r="AT136" t="str">
        <x:f>IF(Calc!$AO$136&gt;'Calc'!$B$8,"",'Calc'!$B$5-'财富模型'!$E$5-(IF('Calc'!$E$17=1,'财富模型'!$E$9,'财富模型'!$M$9+IF(Calc!$AO$136&lt;='财富模型'!$E$11*12,'Calc'!$W$17,'Calc'!$Y$17)-(IF('Calc'!$E$17=1,0,MIN(Calc!$AQ$135*(1+'财富模型'!$E$20/12)+'Calc'!$B$6,IF(Calc!$AO$136&lt;='财富模型'!$E$11*12,'Calc'!$W$17,'Calc'!$Y$17)))))))</x:f>
      </x:c>
      <x:c r="AU136" t="str">
        <x:f>IF(Calc!$AO$136&gt;'Calc'!$B$8,"",IF('Calc'!$E$17=1,0,MAX(Calc!$AU$135*(1+IF(Calc!$AO$136&lt;='财富模型'!$E$11*12,'财富模型'!$E$10,'财富模型'!$E$12)/12)-IF('Calc'!$E$17=1,0,IF(Calc!$AO$136&lt;='财富模型'!$E$11*12,'Calc'!$W$17,'Calc'!$Y$17)),0)))</x:f>
      </x:c>
    </x:row>
    <x:row r="137">
      <x:c r="A137" t="n">
        <x:v>116</x:v>
      </x:c>
      <x:c r="B137" t="str">
        <x:f>IF(Calc!$A$137&gt;'Calc'!$B$8,"",MAX(Calc!$B$136*(1+'财富模型'!$E$6/12)+('Calc'!$B$5-'财富模型'!$E$5-(IF('Calc'!$E$12=1,'财富模型'!$E$9,'财富模型'!$M$4+IF(Calc!$A$137&lt;='财富模型'!$E$11*12,'Calc'!$W$12,'Calc'!$Y$12)-(IF('Calc'!$E$12=1,0,MIN(Calc!$C$136*(1+'财富模型'!$E$20/12)+'Calc'!$B$6,IF(Calc!$A$137&lt;='财富模型'!$E$11*12,'Calc'!$W$12,'Calc'!$Y$12))))))),0))</x:f>
      </x:c>
      <x:c r="C137" t="str">
        <x:f>IF(Calc!$A$137&gt;'Calc'!$B$8,"",MAX(Calc!$C$136*(1+'财富模型'!$E$20/12)+'Calc'!$B$6-(IF('Calc'!$E$12=1,0,MIN(Calc!$C$136*(1+'财富模型'!$E$20/12)+'Calc'!$B$6,IF(Calc!$A$137&lt;='财富模型'!$E$11*12,'Calc'!$W$12,'Calc'!$Y$12)))),0))</x:f>
      </x:c>
      <x:c r="D137" t="str">
        <x:f>IF(Calc!$A$137&gt;'Calc'!$B$8,"",IF('Calc'!$E$12=1,'财富模型'!$E$9,'财富模型'!$M$4+IF(Calc!$A$137&lt;='财富模型'!$E$11*12,'Calc'!$W$12,'Calc'!$Y$12)-(IF('Calc'!$E$12=1,0,MIN(Calc!$C$136*(1+'财富模型'!$E$20/12)+'Calc'!$B$6,IF(Calc!$A$137&lt;='财富模型'!$E$11*12,'Calc'!$W$12,'Calc'!$Y$12))))))</x:f>
      </x:c>
      <x:c r="E137" t="str">
        <x:f>IF(Calc!$A$137&gt;'Calc'!$B$8,"",IF('Calc'!$E$12=1,0,MIN(Calc!$C$136*(1+'财富模型'!$E$20/12)+'Calc'!$B$6,IF(Calc!$A$137&lt;='财富模型'!$E$11*12,'Calc'!$W$12,'Calc'!$Y$12))))</x:f>
      </x:c>
      <x:c r="F137" t="str">
        <x:f>IF(Calc!$A$137&gt;'Calc'!$B$8,"",'Calc'!$B$5-'财富模型'!$E$5-(IF('Calc'!$E$12=1,'财富模型'!$E$9,'财富模型'!$M$4+IF(Calc!$A$137&lt;='财富模型'!$E$11*12,'Calc'!$W$12,'Calc'!$Y$12)-(IF('Calc'!$E$12=1,0,MIN(Calc!$C$136*(1+'财富模型'!$E$20/12)+'Calc'!$B$6,IF(Calc!$A$137&lt;='财富模型'!$E$11*12,'Calc'!$W$12,'Calc'!$Y$12)))))))</x:f>
      </x:c>
      <x:c r="G137" t="str">
        <x:f>IF(Calc!$A$137&gt;'Calc'!$B$8,"",IF('Calc'!$E$12=1,0,MAX(Calc!$G$136*(1+IF(Calc!$A$137&lt;='财富模型'!$E$11*12,'财富模型'!$E$10,'财富模型'!$E$12)/12)-IF('Calc'!$E$12=1,0,IF(Calc!$A$137&lt;='财富模型'!$E$11*12,'Calc'!$W$12,'Calc'!$Y$12)),0)))</x:f>
      </x:c>
      <x:c r="I137" t="n">
        <x:v>116</x:v>
      </x:c>
      <x:c r="J137" t="str">
        <x:f>IF(Calc!$I$137&gt;'Calc'!$B$8,"",MAX(Calc!$J$136*(1+'财富模型'!$E$6/12)+('Calc'!$B$5-'财富模型'!$E$5-(IF('Calc'!$E$13=1,'财富模型'!$E$9,'财富模型'!$M$5+IF(Calc!$I$137&lt;='财富模型'!$E$11*12,'Calc'!$W$13,'Calc'!$Y$13)-(IF('Calc'!$E$13=1,0,MIN(Calc!$K$136*(1+'财富模型'!$E$20/12)+'Calc'!$B$6,IF(Calc!$I$137&lt;='财富模型'!$E$11*12,'Calc'!$W$13,'Calc'!$Y$13))))))),0))</x:f>
      </x:c>
      <x:c r="K137" t="str">
        <x:f>IF(Calc!$I$137&gt;'Calc'!$B$8,"",MAX(Calc!$K$136*(1+'财富模型'!$E$20/12)+'Calc'!$B$6-(IF('Calc'!$E$13=1,0,MIN(Calc!$K$136*(1+'财富模型'!$E$20/12)+'Calc'!$B$6,IF(Calc!$I$137&lt;='财富模型'!$E$11*12,'Calc'!$W$13,'Calc'!$Y$13)))),0))</x:f>
      </x:c>
      <x:c r="L137" t="str">
        <x:f>IF(Calc!$I$137&gt;'Calc'!$B$8,"",IF('Calc'!$E$13=1,'财富模型'!$E$9,'财富模型'!$M$5+IF(Calc!$I$137&lt;='财富模型'!$E$11*12,'Calc'!$W$13,'Calc'!$Y$13)-(IF('Calc'!$E$13=1,0,MIN(Calc!$K$136*(1+'财富模型'!$E$20/12)+'Calc'!$B$6,IF(Calc!$I$137&lt;='财富模型'!$E$11*12,'Calc'!$W$13,'Calc'!$Y$13))))))</x:f>
      </x:c>
      <x:c r="M137" t="str">
        <x:f>IF(Calc!$I$137&gt;'Calc'!$B$8,"",IF('Calc'!$E$13=1,0,MIN(Calc!$K$136*(1+'财富模型'!$E$20/12)+'Calc'!$B$6,IF(Calc!$I$137&lt;='财富模型'!$E$11*12,'Calc'!$W$13,'Calc'!$Y$13))))</x:f>
      </x:c>
      <x:c r="N137" t="str">
        <x:f>IF(Calc!$I$137&gt;'Calc'!$B$8,"",'Calc'!$B$5-'财富模型'!$E$5-(IF('Calc'!$E$13=1,'财富模型'!$E$9,'财富模型'!$M$5+IF(Calc!$I$137&lt;='财富模型'!$E$11*12,'Calc'!$W$13,'Calc'!$Y$13)-(IF('Calc'!$E$13=1,0,MIN(Calc!$K$136*(1+'财富模型'!$E$20/12)+'Calc'!$B$6,IF(Calc!$I$137&lt;='财富模型'!$E$11*12,'Calc'!$W$13,'Calc'!$Y$13)))))))</x:f>
      </x:c>
      <x:c r="O137" t="str">
        <x:f>IF(Calc!$I$137&gt;'Calc'!$B$8,"",IF('Calc'!$E$13=1,0,MAX(Calc!$O$136*(1+IF(Calc!$I$137&lt;='财富模型'!$E$11*12,'财富模型'!$E$10,'财富模型'!$E$12)/12)-IF('Calc'!$E$13=1,0,IF(Calc!$I$137&lt;='财富模型'!$E$11*12,'Calc'!$W$13,'Calc'!$Y$13)),0)))</x:f>
      </x:c>
      <x:c r="Q137" t="n">
        <x:v>116</x:v>
      </x:c>
      <x:c r="R137" t="str">
        <x:f>IF(Calc!$Q$137&gt;'Calc'!$B$8,"",MAX(Calc!$R$136*(1+'财富模型'!$E$6/12)+('Calc'!$B$5-'财富模型'!$E$5-(IF('Calc'!$E$14=1,'财富模型'!$E$9,'财富模型'!$M$6+IF(Calc!$Q$137&lt;='财富模型'!$E$11*12,'Calc'!$W$14,'Calc'!$Y$14)-(IF('Calc'!$E$14=1,0,MIN(Calc!$S$136*(1+'财富模型'!$E$20/12)+'Calc'!$B$6,IF(Calc!$Q$137&lt;='财富模型'!$E$11*12,'Calc'!$W$14,'Calc'!$Y$14))))))),0))</x:f>
      </x:c>
      <x:c r="S137" t="str">
        <x:f>IF(Calc!$Q$137&gt;'Calc'!$B$8,"",MAX(Calc!$S$136*(1+'财富模型'!$E$20/12)+'Calc'!$B$6-(IF('Calc'!$E$14=1,0,MIN(Calc!$S$136*(1+'财富模型'!$E$20/12)+'Calc'!$B$6,IF(Calc!$Q$137&lt;='财富模型'!$E$11*12,'Calc'!$W$14,'Calc'!$Y$14)))),0))</x:f>
      </x:c>
      <x:c r="T137" t="str">
        <x:f>IF(Calc!$Q$137&gt;'Calc'!$B$8,"",IF('Calc'!$E$14=1,'财富模型'!$E$9,'财富模型'!$M$6+IF(Calc!$Q$137&lt;='财富模型'!$E$11*12,'Calc'!$W$14,'Calc'!$Y$14)-(IF('Calc'!$E$14=1,0,MIN(Calc!$S$136*(1+'财富模型'!$E$20/12)+'Calc'!$B$6,IF(Calc!$Q$137&lt;='财富模型'!$E$11*12,'Calc'!$W$14,'Calc'!$Y$14))))))</x:f>
      </x:c>
      <x:c r="U137" t="str">
        <x:f>IF(Calc!$Q$137&gt;'Calc'!$B$8,"",IF('Calc'!$E$14=1,0,MIN(Calc!$S$136*(1+'财富模型'!$E$20/12)+'Calc'!$B$6,IF(Calc!$Q$137&lt;='财富模型'!$E$11*12,'Calc'!$W$14,'Calc'!$Y$14))))</x:f>
      </x:c>
      <x:c r="V137" t="str">
        <x:f>IF(Calc!$Q$137&gt;'Calc'!$B$8,"",'Calc'!$B$5-'财富模型'!$E$5-(IF('Calc'!$E$14=1,'财富模型'!$E$9,'财富模型'!$M$6+IF(Calc!$Q$137&lt;='财富模型'!$E$11*12,'Calc'!$W$14,'Calc'!$Y$14)-(IF('Calc'!$E$14=1,0,MIN(Calc!$S$136*(1+'财富模型'!$E$20/12)+'Calc'!$B$6,IF(Calc!$Q$137&lt;='财富模型'!$E$11*12,'Calc'!$W$14,'Calc'!$Y$14)))))))</x:f>
      </x:c>
      <x:c r="W137" t="str">
        <x:f>IF(Calc!$Q$137&gt;'Calc'!$B$8,"",IF('Calc'!$E$14=1,0,MAX(Calc!$W$136*(1+IF(Calc!$Q$137&lt;='财富模型'!$E$11*12,'财富模型'!$E$10,'财富模型'!$E$12)/12)-IF('Calc'!$E$14=1,0,IF(Calc!$Q$137&lt;='财富模型'!$E$11*12,'Calc'!$W$14,'Calc'!$Y$14)),0)))</x:f>
      </x:c>
      <x:c r="Y137" t="n">
        <x:v>116</x:v>
      </x:c>
      <x:c r="Z137" t="str">
        <x:f>IF(Calc!$Y$137&gt;'Calc'!$B$8,"",MAX(Calc!$Z$136*(1+'财富模型'!$E$6/12)+('Calc'!$B$5-'财富模型'!$E$5-(IF('Calc'!$E$15=1,'财富模型'!$E$9,'财富模型'!$M$7+IF(Calc!$Y$137&lt;='财富模型'!$E$11*12,'Calc'!$W$15,'Calc'!$Y$15)-(IF('Calc'!$E$15=1,0,MIN(Calc!$AA$136*(1+'财富模型'!$E$20/12)+'Calc'!$B$6,IF(Calc!$Y$137&lt;='财富模型'!$E$11*12,'Calc'!$W$15,'Calc'!$Y$15))))))),0))</x:f>
      </x:c>
      <x:c r="AA137" t="str">
        <x:f>IF(Calc!$Y$137&gt;'Calc'!$B$8,"",MAX(Calc!$AA$136*(1+'财富模型'!$E$20/12)+'Calc'!$B$6-(IF('Calc'!$E$15=1,0,MIN(Calc!$AA$136*(1+'财富模型'!$E$20/12)+'Calc'!$B$6,IF(Calc!$Y$137&lt;='财富模型'!$E$11*12,'Calc'!$W$15,'Calc'!$Y$15)))),0))</x:f>
      </x:c>
      <x:c r="AB137" t="str">
        <x:f>IF(Calc!$Y$137&gt;'Calc'!$B$8,"",IF('Calc'!$E$15=1,'财富模型'!$E$9,'财富模型'!$M$7+IF(Calc!$Y$137&lt;='财富模型'!$E$11*12,'Calc'!$W$15,'Calc'!$Y$15)-(IF('Calc'!$E$15=1,0,MIN(Calc!$AA$136*(1+'财富模型'!$E$20/12)+'Calc'!$B$6,IF(Calc!$Y$137&lt;='财富模型'!$E$11*12,'Calc'!$W$15,'Calc'!$Y$15))))))</x:f>
      </x:c>
      <x:c r="AC137" t="str">
        <x:f>IF(Calc!$Y$137&gt;'Calc'!$B$8,"",IF('Calc'!$E$15=1,0,MIN(Calc!$AA$136*(1+'财富模型'!$E$20/12)+'Calc'!$B$6,IF(Calc!$Y$137&lt;='财富模型'!$E$11*12,'Calc'!$W$15,'Calc'!$Y$15))))</x:f>
      </x:c>
      <x:c r="AD137" t="str">
        <x:f>IF(Calc!$Y$137&gt;'Calc'!$B$8,"",'Calc'!$B$5-'财富模型'!$E$5-(IF('Calc'!$E$15=1,'财富模型'!$E$9,'财富模型'!$M$7+IF(Calc!$Y$137&lt;='财富模型'!$E$11*12,'Calc'!$W$15,'Calc'!$Y$15)-(IF('Calc'!$E$15=1,0,MIN(Calc!$AA$136*(1+'财富模型'!$E$20/12)+'Calc'!$B$6,IF(Calc!$Y$137&lt;='财富模型'!$E$11*12,'Calc'!$W$15,'Calc'!$Y$15)))))))</x:f>
      </x:c>
      <x:c r="AE137" t="str">
        <x:f>IF(Calc!$Y$137&gt;'Calc'!$B$8,"",IF('Calc'!$E$15=1,0,MAX(Calc!$AE$136*(1+IF(Calc!$Y$137&lt;='财富模型'!$E$11*12,'财富模型'!$E$10,'财富模型'!$E$12)/12)-IF('Calc'!$E$15=1,0,IF(Calc!$Y$137&lt;='财富模型'!$E$11*12,'Calc'!$W$15,'Calc'!$Y$15)),0)))</x:f>
      </x:c>
      <x:c r="AG137" t="n">
        <x:v>116</x:v>
      </x:c>
      <x:c r="AH137" t="str">
        <x:f>IF(Calc!$AG$137&gt;'Calc'!$B$8,"",MAX(Calc!$AH$136*(1+'财富模型'!$E$6/12)+('Calc'!$B$5-'财富模型'!$E$5-(IF('Calc'!$E$16=1,'财富模型'!$E$9,'财富模型'!$M$8+IF(Calc!$AG$137&lt;='财富模型'!$E$11*12,'Calc'!$W$16,'Calc'!$Y$16)-(IF('Calc'!$E$16=1,0,MIN(Calc!$AI$136*(1+'财富模型'!$E$20/12)+'Calc'!$B$6,IF(Calc!$AG$137&lt;='财富模型'!$E$11*12,'Calc'!$W$16,'Calc'!$Y$16))))))),0))</x:f>
      </x:c>
      <x:c r="AI137" t="str">
        <x:f>IF(Calc!$AG$137&gt;'Calc'!$B$8,"",MAX(Calc!$AI$136*(1+'财富模型'!$E$20/12)+'Calc'!$B$6-(IF('Calc'!$E$16=1,0,MIN(Calc!$AI$136*(1+'财富模型'!$E$20/12)+'Calc'!$B$6,IF(Calc!$AG$137&lt;='财富模型'!$E$11*12,'Calc'!$W$16,'Calc'!$Y$16)))),0))</x:f>
      </x:c>
      <x:c r="AJ137" t="str">
        <x:f>IF(Calc!$AG$137&gt;'Calc'!$B$8,"",IF('Calc'!$E$16=1,'财富模型'!$E$9,'财富模型'!$M$8+IF(Calc!$AG$137&lt;='财富模型'!$E$11*12,'Calc'!$W$16,'Calc'!$Y$16)-(IF('Calc'!$E$16=1,0,MIN(Calc!$AI$136*(1+'财富模型'!$E$20/12)+'Calc'!$B$6,IF(Calc!$AG$137&lt;='财富模型'!$E$11*12,'Calc'!$W$16,'Calc'!$Y$16))))))</x:f>
      </x:c>
      <x:c r="AK137" t="str">
        <x:f>IF(Calc!$AG$137&gt;'Calc'!$B$8,"",IF('Calc'!$E$16=1,0,MIN(Calc!$AI$136*(1+'财富模型'!$E$20/12)+'Calc'!$B$6,IF(Calc!$AG$137&lt;='财富模型'!$E$11*12,'Calc'!$W$16,'Calc'!$Y$16))))</x:f>
      </x:c>
      <x:c r="AL137" t="str">
        <x:f>IF(Calc!$AG$137&gt;'Calc'!$B$8,"",'Calc'!$B$5-'财富模型'!$E$5-(IF('Calc'!$E$16=1,'财富模型'!$E$9,'财富模型'!$M$8+IF(Calc!$AG$137&lt;='财富模型'!$E$11*12,'Calc'!$W$16,'Calc'!$Y$16)-(IF('Calc'!$E$16=1,0,MIN(Calc!$AI$136*(1+'财富模型'!$E$20/12)+'Calc'!$B$6,IF(Calc!$AG$137&lt;='财富模型'!$E$11*12,'Calc'!$W$16,'Calc'!$Y$16)))))))</x:f>
      </x:c>
      <x:c r="AM137" t="str">
        <x:f>IF(Calc!$AG$137&gt;'Calc'!$B$8,"",IF('Calc'!$E$16=1,0,MAX(Calc!$AM$136*(1+IF(Calc!$AG$137&lt;='财富模型'!$E$11*12,'财富模型'!$E$10,'财富模型'!$E$12)/12)-IF('Calc'!$E$16=1,0,IF(Calc!$AG$137&lt;='财富模型'!$E$11*12,'Calc'!$W$16,'Calc'!$Y$16)),0)))</x:f>
      </x:c>
      <x:c r="AO137" t="n">
        <x:v>116</x:v>
      </x:c>
      <x:c r="AP137" t="str">
        <x:f>IF(Calc!$AO$137&gt;'Calc'!$B$8,"",MAX(Calc!$AP$136*(1+'财富模型'!$E$6/12)+('Calc'!$B$5-'财富模型'!$E$5-(IF('Calc'!$E$17=1,'财富模型'!$E$9,'财富模型'!$M$9+IF(Calc!$AO$137&lt;='财富模型'!$E$11*12,'Calc'!$W$17,'Calc'!$Y$17)-(IF('Calc'!$E$17=1,0,MIN(Calc!$AQ$136*(1+'财富模型'!$E$20/12)+'Calc'!$B$6,IF(Calc!$AO$137&lt;='财富模型'!$E$11*12,'Calc'!$W$17,'Calc'!$Y$17))))))),0))</x:f>
      </x:c>
      <x:c r="AQ137" t="str">
        <x:f>IF(Calc!$AO$137&gt;'Calc'!$B$8,"",MAX(Calc!$AQ$136*(1+'财富模型'!$E$20/12)+'Calc'!$B$6-(IF('Calc'!$E$17=1,0,MIN(Calc!$AQ$136*(1+'财富模型'!$E$20/12)+'Calc'!$B$6,IF(Calc!$AO$137&lt;='财富模型'!$E$11*12,'Calc'!$W$17,'Calc'!$Y$17)))),0))</x:f>
      </x:c>
      <x:c r="AR137" t="str">
        <x:f>IF(Calc!$AO$137&gt;'Calc'!$B$8,"",IF('Calc'!$E$17=1,'财富模型'!$E$9,'财富模型'!$M$9+IF(Calc!$AO$137&lt;='财富模型'!$E$11*12,'Calc'!$W$17,'Calc'!$Y$17)-(IF('Calc'!$E$17=1,0,MIN(Calc!$AQ$136*(1+'财富模型'!$E$20/12)+'Calc'!$B$6,IF(Calc!$AO$137&lt;='财富模型'!$E$11*12,'Calc'!$W$17,'Calc'!$Y$17))))))</x:f>
      </x:c>
      <x:c r="AS137" t="str">
        <x:f>IF(Calc!$AO$137&gt;'Calc'!$B$8,"",IF('Calc'!$E$17=1,0,MIN(Calc!$AQ$136*(1+'财富模型'!$E$20/12)+'Calc'!$B$6,IF(Calc!$AO$137&lt;='财富模型'!$E$11*12,'Calc'!$W$17,'Calc'!$Y$17))))</x:f>
      </x:c>
      <x:c r="AT137" t="str">
        <x:f>IF(Calc!$AO$137&gt;'Calc'!$B$8,"",'Calc'!$B$5-'财富模型'!$E$5-(IF('Calc'!$E$17=1,'财富模型'!$E$9,'财富模型'!$M$9+IF(Calc!$AO$137&lt;='财富模型'!$E$11*12,'Calc'!$W$17,'Calc'!$Y$17)-(IF('Calc'!$E$17=1,0,MIN(Calc!$AQ$136*(1+'财富模型'!$E$20/12)+'Calc'!$B$6,IF(Calc!$AO$137&lt;='财富模型'!$E$11*12,'Calc'!$W$17,'Calc'!$Y$17)))))))</x:f>
      </x:c>
      <x:c r="AU137" t="str">
        <x:f>IF(Calc!$AO$137&gt;'Calc'!$B$8,"",IF('Calc'!$E$17=1,0,MAX(Calc!$AU$136*(1+IF(Calc!$AO$137&lt;='财富模型'!$E$11*12,'财富模型'!$E$10,'财富模型'!$E$12)/12)-IF('Calc'!$E$17=1,0,IF(Calc!$AO$137&lt;='财富模型'!$E$11*12,'Calc'!$W$17,'Calc'!$Y$17)),0)))</x:f>
      </x:c>
    </x:row>
    <x:row r="138">
      <x:c r="A138" t="n">
        <x:v>117</x:v>
      </x:c>
      <x:c r="B138" t="str">
        <x:f>IF(Calc!$A$138&gt;'Calc'!$B$8,"",MAX(Calc!$B$137*(1+'财富模型'!$E$6/12)+('Calc'!$B$5-'财富模型'!$E$5-(IF('Calc'!$E$12=1,'财富模型'!$E$9,'财富模型'!$M$4+IF(Calc!$A$138&lt;='财富模型'!$E$11*12,'Calc'!$W$12,'Calc'!$Y$12)-(IF('Calc'!$E$12=1,0,MIN(Calc!$C$137*(1+'财富模型'!$E$20/12)+'Calc'!$B$6,IF(Calc!$A$138&lt;='财富模型'!$E$11*12,'Calc'!$W$12,'Calc'!$Y$12))))))),0))</x:f>
      </x:c>
      <x:c r="C138" t="str">
        <x:f>IF(Calc!$A$138&gt;'Calc'!$B$8,"",MAX(Calc!$C$137*(1+'财富模型'!$E$20/12)+'Calc'!$B$6-(IF('Calc'!$E$12=1,0,MIN(Calc!$C$137*(1+'财富模型'!$E$20/12)+'Calc'!$B$6,IF(Calc!$A$138&lt;='财富模型'!$E$11*12,'Calc'!$W$12,'Calc'!$Y$12)))),0))</x:f>
      </x:c>
      <x:c r="D138" t="str">
        <x:f>IF(Calc!$A$138&gt;'Calc'!$B$8,"",IF('Calc'!$E$12=1,'财富模型'!$E$9,'财富模型'!$M$4+IF(Calc!$A$138&lt;='财富模型'!$E$11*12,'Calc'!$W$12,'Calc'!$Y$12)-(IF('Calc'!$E$12=1,0,MIN(Calc!$C$137*(1+'财富模型'!$E$20/12)+'Calc'!$B$6,IF(Calc!$A$138&lt;='财富模型'!$E$11*12,'Calc'!$W$12,'Calc'!$Y$12))))))</x:f>
      </x:c>
      <x:c r="E138" t="str">
        <x:f>IF(Calc!$A$138&gt;'Calc'!$B$8,"",IF('Calc'!$E$12=1,0,MIN(Calc!$C$137*(1+'财富模型'!$E$20/12)+'Calc'!$B$6,IF(Calc!$A$138&lt;='财富模型'!$E$11*12,'Calc'!$W$12,'Calc'!$Y$12))))</x:f>
      </x:c>
      <x:c r="F138" t="str">
        <x:f>IF(Calc!$A$138&gt;'Calc'!$B$8,"",'Calc'!$B$5-'财富模型'!$E$5-(IF('Calc'!$E$12=1,'财富模型'!$E$9,'财富模型'!$M$4+IF(Calc!$A$138&lt;='财富模型'!$E$11*12,'Calc'!$W$12,'Calc'!$Y$12)-(IF('Calc'!$E$12=1,0,MIN(Calc!$C$137*(1+'财富模型'!$E$20/12)+'Calc'!$B$6,IF(Calc!$A$138&lt;='财富模型'!$E$11*12,'Calc'!$W$12,'Calc'!$Y$12)))))))</x:f>
      </x:c>
      <x:c r="G138" t="str">
        <x:f>IF(Calc!$A$138&gt;'Calc'!$B$8,"",IF('Calc'!$E$12=1,0,MAX(Calc!$G$137*(1+IF(Calc!$A$138&lt;='财富模型'!$E$11*12,'财富模型'!$E$10,'财富模型'!$E$12)/12)-IF('Calc'!$E$12=1,0,IF(Calc!$A$138&lt;='财富模型'!$E$11*12,'Calc'!$W$12,'Calc'!$Y$12)),0)))</x:f>
      </x:c>
      <x:c r="I138" t="n">
        <x:v>117</x:v>
      </x:c>
      <x:c r="J138" t="str">
        <x:f>IF(Calc!$I$138&gt;'Calc'!$B$8,"",MAX(Calc!$J$137*(1+'财富模型'!$E$6/12)+('Calc'!$B$5-'财富模型'!$E$5-(IF('Calc'!$E$13=1,'财富模型'!$E$9,'财富模型'!$M$5+IF(Calc!$I$138&lt;='财富模型'!$E$11*12,'Calc'!$W$13,'Calc'!$Y$13)-(IF('Calc'!$E$13=1,0,MIN(Calc!$K$137*(1+'财富模型'!$E$20/12)+'Calc'!$B$6,IF(Calc!$I$138&lt;='财富模型'!$E$11*12,'Calc'!$W$13,'Calc'!$Y$13))))))),0))</x:f>
      </x:c>
      <x:c r="K138" t="str">
        <x:f>IF(Calc!$I$138&gt;'Calc'!$B$8,"",MAX(Calc!$K$137*(1+'财富模型'!$E$20/12)+'Calc'!$B$6-(IF('Calc'!$E$13=1,0,MIN(Calc!$K$137*(1+'财富模型'!$E$20/12)+'Calc'!$B$6,IF(Calc!$I$138&lt;='财富模型'!$E$11*12,'Calc'!$W$13,'Calc'!$Y$13)))),0))</x:f>
      </x:c>
      <x:c r="L138" t="str">
        <x:f>IF(Calc!$I$138&gt;'Calc'!$B$8,"",IF('Calc'!$E$13=1,'财富模型'!$E$9,'财富模型'!$M$5+IF(Calc!$I$138&lt;='财富模型'!$E$11*12,'Calc'!$W$13,'Calc'!$Y$13)-(IF('Calc'!$E$13=1,0,MIN(Calc!$K$137*(1+'财富模型'!$E$20/12)+'Calc'!$B$6,IF(Calc!$I$138&lt;='财富模型'!$E$11*12,'Calc'!$W$13,'Calc'!$Y$13))))))</x:f>
      </x:c>
      <x:c r="M138" t="str">
        <x:f>IF(Calc!$I$138&gt;'Calc'!$B$8,"",IF('Calc'!$E$13=1,0,MIN(Calc!$K$137*(1+'财富模型'!$E$20/12)+'Calc'!$B$6,IF(Calc!$I$138&lt;='财富模型'!$E$11*12,'Calc'!$W$13,'Calc'!$Y$13))))</x:f>
      </x:c>
      <x:c r="N138" t="str">
        <x:f>IF(Calc!$I$138&gt;'Calc'!$B$8,"",'Calc'!$B$5-'财富模型'!$E$5-(IF('Calc'!$E$13=1,'财富模型'!$E$9,'财富模型'!$M$5+IF(Calc!$I$138&lt;='财富模型'!$E$11*12,'Calc'!$W$13,'Calc'!$Y$13)-(IF('Calc'!$E$13=1,0,MIN(Calc!$K$137*(1+'财富模型'!$E$20/12)+'Calc'!$B$6,IF(Calc!$I$138&lt;='财富模型'!$E$11*12,'Calc'!$W$13,'Calc'!$Y$13)))))))</x:f>
      </x:c>
      <x:c r="O138" t="str">
        <x:f>IF(Calc!$I$138&gt;'Calc'!$B$8,"",IF('Calc'!$E$13=1,0,MAX(Calc!$O$137*(1+IF(Calc!$I$138&lt;='财富模型'!$E$11*12,'财富模型'!$E$10,'财富模型'!$E$12)/12)-IF('Calc'!$E$13=1,0,IF(Calc!$I$138&lt;='财富模型'!$E$11*12,'Calc'!$W$13,'Calc'!$Y$13)),0)))</x:f>
      </x:c>
      <x:c r="Q138" t="n">
        <x:v>117</x:v>
      </x:c>
      <x:c r="R138" t="str">
        <x:f>IF(Calc!$Q$138&gt;'Calc'!$B$8,"",MAX(Calc!$R$137*(1+'财富模型'!$E$6/12)+('Calc'!$B$5-'财富模型'!$E$5-(IF('Calc'!$E$14=1,'财富模型'!$E$9,'财富模型'!$M$6+IF(Calc!$Q$138&lt;='财富模型'!$E$11*12,'Calc'!$W$14,'Calc'!$Y$14)-(IF('Calc'!$E$14=1,0,MIN(Calc!$S$137*(1+'财富模型'!$E$20/12)+'Calc'!$B$6,IF(Calc!$Q$138&lt;='财富模型'!$E$11*12,'Calc'!$W$14,'Calc'!$Y$14))))))),0))</x:f>
      </x:c>
      <x:c r="S138" t="str">
        <x:f>IF(Calc!$Q$138&gt;'Calc'!$B$8,"",MAX(Calc!$S$137*(1+'财富模型'!$E$20/12)+'Calc'!$B$6-(IF('Calc'!$E$14=1,0,MIN(Calc!$S$137*(1+'财富模型'!$E$20/12)+'Calc'!$B$6,IF(Calc!$Q$138&lt;='财富模型'!$E$11*12,'Calc'!$W$14,'Calc'!$Y$14)))),0))</x:f>
      </x:c>
      <x:c r="T138" t="str">
        <x:f>IF(Calc!$Q$138&gt;'Calc'!$B$8,"",IF('Calc'!$E$14=1,'财富模型'!$E$9,'财富模型'!$M$6+IF(Calc!$Q$138&lt;='财富模型'!$E$11*12,'Calc'!$W$14,'Calc'!$Y$14)-(IF('Calc'!$E$14=1,0,MIN(Calc!$S$137*(1+'财富模型'!$E$20/12)+'Calc'!$B$6,IF(Calc!$Q$138&lt;='财富模型'!$E$11*12,'Calc'!$W$14,'Calc'!$Y$14))))))</x:f>
      </x:c>
      <x:c r="U138" t="str">
        <x:f>IF(Calc!$Q$138&gt;'Calc'!$B$8,"",IF('Calc'!$E$14=1,0,MIN(Calc!$S$137*(1+'财富模型'!$E$20/12)+'Calc'!$B$6,IF(Calc!$Q$138&lt;='财富模型'!$E$11*12,'Calc'!$W$14,'Calc'!$Y$14))))</x:f>
      </x:c>
      <x:c r="V138" t="str">
        <x:f>IF(Calc!$Q$138&gt;'Calc'!$B$8,"",'Calc'!$B$5-'财富模型'!$E$5-(IF('Calc'!$E$14=1,'财富模型'!$E$9,'财富模型'!$M$6+IF(Calc!$Q$138&lt;='财富模型'!$E$11*12,'Calc'!$W$14,'Calc'!$Y$14)-(IF('Calc'!$E$14=1,0,MIN(Calc!$S$137*(1+'财富模型'!$E$20/12)+'Calc'!$B$6,IF(Calc!$Q$138&lt;='财富模型'!$E$11*12,'Calc'!$W$14,'Calc'!$Y$14)))))))</x:f>
      </x:c>
      <x:c r="W138" t="str">
        <x:f>IF(Calc!$Q$138&gt;'Calc'!$B$8,"",IF('Calc'!$E$14=1,0,MAX(Calc!$W$137*(1+IF(Calc!$Q$138&lt;='财富模型'!$E$11*12,'财富模型'!$E$10,'财富模型'!$E$12)/12)-IF('Calc'!$E$14=1,0,IF(Calc!$Q$138&lt;='财富模型'!$E$11*12,'Calc'!$W$14,'Calc'!$Y$14)),0)))</x:f>
      </x:c>
      <x:c r="Y138" t="n">
        <x:v>117</x:v>
      </x:c>
      <x:c r="Z138" t="str">
        <x:f>IF(Calc!$Y$138&gt;'Calc'!$B$8,"",MAX(Calc!$Z$137*(1+'财富模型'!$E$6/12)+('Calc'!$B$5-'财富模型'!$E$5-(IF('Calc'!$E$15=1,'财富模型'!$E$9,'财富模型'!$M$7+IF(Calc!$Y$138&lt;='财富模型'!$E$11*12,'Calc'!$W$15,'Calc'!$Y$15)-(IF('Calc'!$E$15=1,0,MIN(Calc!$AA$137*(1+'财富模型'!$E$20/12)+'Calc'!$B$6,IF(Calc!$Y$138&lt;='财富模型'!$E$11*12,'Calc'!$W$15,'Calc'!$Y$15))))))),0))</x:f>
      </x:c>
      <x:c r="AA138" t="str">
        <x:f>IF(Calc!$Y$138&gt;'Calc'!$B$8,"",MAX(Calc!$AA$137*(1+'财富模型'!$E$20/12)+'Calc'!$B$6-(IF('Calc'!$E$15=1,0,MIN(Calc!$AA$137*(1+'财富模型'!$E$20/12)+'Calc'!$B$6,IF(Calc!$Y$138&lt;='财富模型'!$E$11*12,'Calc'!$W$15,'Calc'!$Y$15)))),0))</x:f>
      </x:c>
      <x:c r="AB138" t="str">
        <x:f>IF(Calc!$Y$138&gt;'Calc'!$B$8,"",IF('Calc'!$E$15=1,'财富模型'!$E$9,'财富模型'!$M$7+IF(Calc!$Y$138&lt;='财富模型'!$E$11*12,'Calc'!$W$15,'Calc'!$Y$15)-(IF('Calc'!$E$15=1,0,MIN(Calc!$AA$137*(1+'财富模型'!$E$20/12)+'Calc'!$B$6,IF(Calc!$Y$138&lt;='财富模型'!$E$11*12,'Calc'!$W$15,'Calc'!$Y$15))))))</x:f>
      </x:c>
      <x:c r="AC138" t="str">
        <x:f>IF(Calc!$Y$138&gt;'Calc'!$B$8,"",IF('Calc'!$E$15=1,0,MIN(Calc!$AA$137*(1+'财富模型'!$E$20/12)+'Calc'!$B$6,IF(Calc!$Y$138&lt;='财富模型'!$E$11*12,'Calc'!$W$15,'Calc'!$Y$15))))</x:f>
      </x:c>
      <x:c r="AD138" t="str">
        <x:f>IF(Calc!$Y$138&gt;'Calc'!$B$8,"",'Calc'!$B$5-'财富模型'!$E$5-(IF('Calc'!$E$15=1,'财富模型'!$E$9,'财富模型'!$M$7+IF(Calc!$Y$138&lt;='财富模型'!$E$11*12,'Calc'!$W$15,'Calc'!$Y$15)-(IF('Calc'!$E$15=1,0,MIN(Calc!$AA$137*(1+'财富模型'!$E$20/12)+'Calc'!$B$6,IF(Calc!$Y$138&lt;='财富模型'!$E$11*12,'Calc'!$W$15,'Calc'!$Y$15)))))))</x:f>
      </x:c>
      <x:c r="AE138" t="str">
        <x:f>IF(Calc!$Y$138&gt;'Calc'!$B$8,"",IF('Calc'!$E$15=1,0,MAX(Calc!$AE$137*(1+IF(Calc!$Y$138&lt;='财富模型'!$E$11*12,'财富模型'!$E$10,'财富模型'!$E$12)/12)-IF('Calc'!$E$15=1,0,IF(Calc!$Y$138&lt;='财富模型'!$E$11*12,'Calc'!$W$15,'Calc'!$Y$15)),0)))</x:f>
      </x:c>
      <x:c r="AG138" t="n">
        <x:v>117</x:v>
      </x:c>
      <x:c r="AH138" t="str">
        <x:f>IF(Calc!$AG$138&gt;'Calc'!$B$8,"",MAX(Calc!$AH$137*(1+'财富模型'!$E$6/12)+('Calc'!$B$5-'财富模型'!$E$5-(IF('Calc'!$E$16=1,'财富模型'!$E$9,'财富模型'!$M$8+IF(Calc!$AG$138&lt;='财富模型'!$E$11*12,'Calc'!$W$16,'Calc'!$Y$16)-(IF('Calc'!$E$16=1,0,MIN(Calc!$AI$137*(1+'财富模型'!$E$20/12)+'Calc'!$B$6,IF(Calc!$AG$138&lt;='财富模型'!$E$11*12,'Calc'!$W$16,'Calc'!$Y$16))))))),0))</x:f>
      </x:c>
      <x:c r="AI138" t="str">
        <x:f>IF(Calc!$AG$138&gt;'Calc'!$B$8,"",MAX(Calc!$AI$137*(1+'财富模型'!$E$20/12)+'Calc'!$B$6-(IF('Calc'!$E$16=1,0,MIN(Calc!$AI$137*(1+'财富模型'!$E$20/12)+'Calc'!$B$6,IF(Calc!$AG$138&lt;='财富模型'!$E$11*12,'Calc'!$W$16,'Calc'!$Y$16)))),0))</x:f>
      </x:c>
      <x:c r="AJ138" t="str">
        <x:f>IF(Calc!$AG$138&gt;'Calc'!$B$8,"",IF('Calc'!$E$16=1,'财富模型'!$E$9,'财富模型'!$M$8+IF(Calc!$AG$138&lt;='财富模型'!$E$11*12,'Calc'!$W$16,'Calc'!$Y$16)-(IF('Calc'!$E$16=1,0,MIN(Calc!$AI$137*(1+'财富模型'!$E$20/12)+'Calc'!$B$6,IF(Calc!$AG$138&lt;='财富模型'!$E$11*12,'Calc'!$W$16,'Calc'!$Y$16))))))</x:f>
      </x:c>
      <x:c r="AK138" t="str">
        <x:f>IF(Calc!$AG$138&gt;'Calc'!$B$8,"",IF('Calc'!$E$16=1,0,MIN(Calc!$AI$137*(1+'财富模型'!$E$20/12)+'Calc'!$B$6,IF(Calc!$AG$138&lt;='财富模型'!$E$11*12,'Calc'!$W$16,'Calc'!$Y$16))))</x:f>
      </x:c>
      <x:c r="AL138" t="str">
        <x:f>IF(Calc!$AG$138&gt;'Calc'!$B$8,"",'Calc'!$B$5-'财富模型'!$E$5-(IF('Calc'!$E$16=1,'财富模型'!$E$9,'财富模型'!$M$8+IF(Calc!$AG$138&lt;='财富模型'!$E$11*12,'Calc'!$W$16,'Calc'!$Y$16)-(IF('Calc'!$E$16=1,0,MIN(Calc!$AI$137*(1+'财富模型'!$E$20/12)+'Calc'!$B$6,IF(Calc!$AG$138&lt;='财富模型'!$E$11*12,'Calc'!$W$16,'Calc'!$Y$16)))))))</x:f>
      </x:c>
      <x:c r="AM138" t="str">
        <x:f>IF(Calc!$AG$138&gt;'Calc'!$B$8,"",IF('Calc'!$E$16=1,0,MAX(Calc!$AM$137*(1+IF(Calc!$AG$138&lt;='财富模型'!$E$11*12,'财富模型'!$E$10,'财富模型'!$E$12)/12)-IF('Calc'!$E$16=1,0,IF(Calc!$AG$138&lt;='财富模型'!$E$11*12,'Calc'!$W$16,'Calc'!$Y$16)),0)))</x:f>
      </x:c>
      <x:c r="AO138" t="n">
        <x:v>117</x:v>
      </x:c>
      <x:c r="AP138" t="str">
        <x:f>IF(Calc!$AO$138&gt;'Calc'!$B$8,"",MAX(Calc!$AP$137*(1+'财富模型'!$E$6/12)+('Calc'!$B$5-'财富模型'!$E$5-(IF('Calc'!$E$17=1,'财富模型'!$E$9,'财富模型'!$M$9+IF(Calc!$AO$138&lt;='财富模型'!$E$11*12,'Calc'!$W$17,'Calc'!$Y$17)-(IF('Calc'!$E$17=1,0,MIN(Calc!$AQ$137*(1+'财富模型'!$E$20/12)+'Calc'!$B$6,IF(Calc!$AO$138&lt;='财富模型'!$E$11*12,'Calc'!$W$17,'Calc'!$Y$17))))))),0))</x:f>
      </x:c>
      <x:c r="AQ138" t="str">
        <x:f>IF(Calc!$AO$138&gt;'Calc'!$B$8,"",MAX(Calc!$AQ$137*(1+'财富模型'!$E$20/12)+'Calc'!$B$6-(IF('Calc'!$E$17=1,0,MIN(Calc!$AQ$137*(1+'财富模型'!$E$20/12)+'Calc'!$B$6,IF(Calc!$AO$138&lt;='财富模型'!$E$11*12,'Calc'!$W$17,'Calc'!$Y$17)))),0))</x:f>
      </x:c>
      <x:c r="AR138" t="str">
        <x:f>IF(Calc!$AO$138&gt;'Calc'!$B$8,"",IF('Calc'!$E$17=1,'财富模型'!$E$9,'财富模型'!$M$9+IF(Calc!$AO$138&lt;='财富模型'!$E$11*12,'Calc'!$W$17,'Calc'!$Y$17)-(IF('Calc'!$E$17=1,0,MIN(Calc!$AQ$137*(1+'财富模型'!$E$20/12)+'Calc'!$B$6,IF(Calc!$AO$138&lt;='财富模型'!$E$11*12,'Calc'!$W$17,'Calc'!$Y$17))))))</x:f>
      </x:c>
      <x:c r="AS138" t="str">
        <x:f>IF(Calc!$AO$138&gt;'Calc'!$B$8,"",IF('Calc'!$E$17=1,0,MIN(Calc!$AQ$137*(1+'财富模型'!$E$20/12)+'Calc'!$B$6,IF(Calc!$AO$138&lt;='财富模型'!$E$11*12,'Calc'!$W$17,'Calc'!$Y$17))))</x:f>
      </x:c>
      <x:c r="AT138" t="str">
        <x:f>IF(Calc!$AO$138&gt;'Calc'!$B$8,"",'Calc'!$B$5-'财富模型'!$E$5-(IF('Calc'!$E$17=1,'财富模型'!$E$9,'财富模型'!$M$9+IF(Calc!$AO$138&lt;='财富模型'!$E$11*12,'Calc'!$W$17,'Calc'!$Y$17)-(IF('Calc'!$E$17=1,0,MIN(Calc!$AQ$137*(1+'财富模型'!$E$20/12)+'Calc'!$B$6,IF(Calc!$AO$138&lt;='财富模型'!$E$11*12,'Calc'!$W$17,'Calc'!$Y$17)))))))</x:f>
      </x:c>
      <x:c r="AU138" t="str">
        <x:f>IF(Calc!$AO$138&gt;'Calc'!$B$8,"",IF('Calc'!$E$17=1,0,MAX(Calc!$AU$137*(1+IF(Calc!$AO$138&lt;='财富模型'!$E$11*12,'财富模型'!$E$10,'财富模型'!$E$12)/12)-IF('Calc'!$E$17=1,0,IF(Calc!$AO$138&lt;='财富模型'!$E$11*12,'Calc'!$W$17,'Calc'!$Y$17)),0)))</x:f>
      </x:c>
    </x:row>
    <x:row r="139">
      <x:c r="A139" t="n">
        <x:v>118</x:v>
      </x:c>
      <x:c r="B139" t="str">
        <x:f>IF(Calc!$A$139&gt;'Calc'!$B$8,"",MAX(Calc!$B$138*(1+'财富模型'!$E$6/12)+('Calc'!$B$5-'财富模型'!$E$5-(IF('Calc'!$E$12=1,'财富模型'!$E$9,'财富模型'!$M$4+IF(Calc!$A$139&lt;='财富模型'!$E$11*12,'Calc'!$W$12,'Calc'!$Y$12)-(IF('Calc'!$E$12=1,0,MIN(Calc!$C$138*(1+'财富模型'!$E$20/12)+'Calc'!$B$6,IF(Calc!$A$139&lt;='财富模型'!$E$11*12,'Calc'!$W$12,'Calc'!$Y$12))))))),0))</x:f>
      </x:c>
      <x:c r="C139" t="str">
        <x:f>IF(Calc!$A$139&gt;'Calc'!$B$8,"",MAX(Calc!$C$138*(1+'财富模型'!$E$20/12)+'Calc'!$B$6-(IF('Calc'!$E$12=1,0,MIN(Calc!$C$138*(1+'财富模型'!$E$20/12)+'Calc'!$B$6,IF(Calc!$A$139&lt;='财富模型'!$E$11*12,'Calc'!$W$12,'Calc'!$Y$12)))),0))</x:f>
      </x:c>
      <x:c r="D139" t="str">
        <x:f>IF(Calc!$A$139&gt;'Calc'!$B$8,"",IF('Calc'!$E$12=1,'财富模型'!$E$9,'财富模型'!$M$4+IF(Calc!$A$139&lt;='财富模型'!$E$11*12,'Calc'!$W$12,'Calc'!$Y$12)-(IF('Calc'!$E$12=1,0,MIN(Calc!$C$138*(1+'财富模型'!$E$20/12)+'Calc'!$B$6,IF(Calc!$A$139&lt;='财富模型'!$E$11*12,'Calc'!$W$12,'Calc'!$Y$12))))))</x:f>
      </x:c>
      <x:c r="E139" t="str">
        <x:f>IF(Calc!$A$139&gt;'Calc'!$B$8,"",IF('Calc'!$E$12=1,0,MIN(Calc!$C$138*(1+'财富模型'!$E$20/12)+'Calc'!$B$6,IF(Calc!$A$139&lt;='财富模型'!$E$11*12,'Calc'!$W$12,'Calc'!$Y$12))))</x:f>
      </x:c>
      <x:c r="F139" t="str">
        <x:f>IF(Calc!$A$139&gt;'Calc'!$B$8,"",'Calc'!$B$5-'财富模型'!$E$5-(IF('Calc'!$E$12=1,'财富模型'!$E$9,'财富模型'!$M$4+IF(Calc!$A$139&lt;='财富模型'!$E$11*12,'Calc'!$W$12,'Calc'!$Y$12)-(IF('Calc'!$E$12=1,0,MIN(Calc!$C$138*(1+'财富模型'!$E$20/12)+'Calc'!$B$6,IF(Calc!$A$139&lt;='财富模型'!$E$11*12,'Calc'!$W$12,'Calc'!$Y$12)))))))</x:f>
      </x:c>
      <x:c r="G139" t="str">
        <x:f>IF(Calc!$A$139&gt;'Calc'!$B$8,"",IF('Calc'!$E$12=1,0,MAX(Calc!$G$138*(1+IF(Calc!$A$139&lt;='财富模型'!$E$11*12,'财富模型'!$E$10,'财富模型'!$E$12)/12)-IF('Calc'!$E$12=1,0,IF(Calc!$A$139&lt;='财富模型'!$E$11*12,'Calc'!$W$12,'Calc'!$Y$12)),0)))</x:f>
      </x:c>
      <x:c r="I139" t="n">
        <x:v>118</x:v>
      </x:c>
      <x:c r="J139" t="str">
        <x:f>IF(Calc!$I$139&gt;'Calc'!$B$8,"",MAX(Calc!$J$138*(1+'财富模型'!$E$6/12)+('Calc'!$B$5-'财富模型'!$E$5-(IF('Calc'!$E$13=1,'财富模型'!$E$9,'财富模型'!$M$5+IF(Calc!$I$139&lt;='财富模型'!$E$11*12,'Calc'!$W$13,'Calc'!$Y$13)-(IF('Calc'!$E$13=1,0,MIN(Calc!$K$138*(1+'财富模型'!$E$20/12)+'Calc'!$B$6,IF(Calc!$I$139&lt;='财富模型'!$E$11*12,'Calc'!$W$13,'Calc'!$Y$13))))))),0))</x:f>
      </x:c>
      <x:c r="K139" t="str">
        <x:f>IF(Calc!$I$139&gt;'Calc'!$B$8,"",MAX(Calc!$K$138*(1+'财富模型'!$E$20/12)+'Calc'!$B$6-(IF('Calc'!$E$13=1,0,MIN(Calc!$K$138*(1+'财富模型'!$E$20/12)+'Calc'!$B$6,IF(Calc!$I$139&lt;='财富模型'!$E$11*12,'Calc'!$W$13,'Calc'!$Y$13)))),0))</x:f>
      </x:c>
      <x:c r="L139" t="str">
        <x:f>IF(Calc!$I$139&gt;'Calc'!$B$8,"",IF('Calc'!$E$13=1,'财富模型'!$E$9,'财富模型'!$M$5+IF(Calc!$I$139&lt;='财富模型'!$E$11*12,'Calc'!$W$13,'Calc'!$Y$13)-(IF('Calc'!$E$13=1,0,MIN(Calc!$K$138*(1+'财富模型'!$E$20/12)+'Calc'!$B$6,IF(Calc!$I$139&lt;='财富模型'!$E$11*12,'Calc'!$W$13,'Calc'!$Y$13))))))</x:f>
      </x:c>
      <x:c r="M139" t="str">
        <x:f>IF(Calc!$I$139&gt;'Calc'!$B$8,"",IF('Calc'!$E$13=1,0,MIN(Calc!$K$138*(1+'财富模型'!$E$20/12)+'Calc'!$B$6,IF(Calc!$I$139&lt;='财富模型'!$E$11*12,'Calc'!$W$13,'Calc'!$Y$13))))</x:f>
      </x:c>
      <x:c r="N139" t="str">
        <x:f>IF(Calc!$I$139&gt;'Calc'!$B$8,"",'Calc'!$B$5-'财富模型'!$E$5-(IF('Calc'!$E$13=1,'财富模型'!$E$9,'财富模型'!$M$5+IF(Calc!$I$139&lt;='财富模型'!$E$11*12,'Calc'!$W$13,'Calc'!$Y$13)-(IF('Calc'!$E$13=1,0,MIN(Calc!$K$138*(1+'财富模型'!$E$20/12)+'Calc'!$B$6,IF(Calc!$I$139&lt;='财富模型'!$E$11*12,'Calc'!$W$13,'Calc'!$Y$13)))))))</x:f>
      </x:c>
      <x:c r="O139" t="str">
        <x:f>IF(Calc!$I$139&gt;'Calc'!$B$8,"",IF('Calc'!$E$13=1,0,MAX(Calc!$O$138*(1+IF(Calc!$I$139&lt;='财富模型'!$E$11*12,'财富模型'!$E$10,'财富模型'!$E$12)/12)-IF('Calc'!$E$13=1,0,IF(Calc!$I$139&lt;='财富模型'!$E$11*12,'Calc'!$W$13,'Calc'!$Y$13)),0)))</x:f>
      </x:c>
      <x:c r="Q139" t="n">
        <x:v>118</x:v>
      </x:c>
      <x:c r="R139" t="str">
        <x:f>IF(Calc!$Q$139&gt;'Calc'!$B$8,"",MAX(Calc!$R$138*(1+'财富模型'!$E$6/12)+('Calc'!$B$5-'财富模型'!$E$5-(IF('Calc'!$E$14=1,'财富模型'!$E$9,'财富模型'!$M$6+IF(Calc!$Q$139&lt;='财富模型'!$E$11*12,'Calc'!$W$14,'Calc'!$Y$14)-(IF('Calc'!$E$14=1,0,MIN(Calc!$S$138*(1+'财富模型'!$E$20/12)+'Calc'!$B$6,IF(Calc!$Q$139&lt;='财富模型'!$E$11*12,'Calc'!$W$14,'Calc'!$Y$14))))))),0))</x:f>
      </x:c>
      <x:c r="S139" t="str">
        <x:f>IF(Calc!$Q$139&gt;'Calc'!$B$8,"",MAX(Calc!$S$138*(1+'财富模型'!$E$20/12)+'Calc'!$B$6-(IF('Calc'!$E$14=1,0,MIN(Calc!$S$138*(1+'财富模型'!$E$20/12)+'Calc'!$B$6,IF(Calc!$Q$139&lt;='财富模型'!$E$11*12,'Calc'!$W$14,'Calc'!$Y$14)))),0))</x:f>
      </x:c>
      <x:c r="T139" t="str">
        <x:f>IF(Calc!$Q$139&gt;'Calc'!$B$8,"",IF('Calc'!$E$14=1,'财富模型'!$E$9,'财富模型'!$M$6+IF(Calc!$Q$139&lt;='财富模型'!$E$11*12,'Calc'!$W$14,'Calc'!$Y$14)-(IF('Calc'!$E$14=1,0,MIN(Calc!$S$138*(1+'财富模型'!$E$20/12)+'Calc'!$B$6,IF(Calc!$Q$139&lt;='财富模型'!$E$11*12,'Calc'!$W$14,'Calc'!$Y$14))))))</x:f>
      </x:c>
      <x:c r="U139" t="str">
        <x:f>IF(Calc!$Q$139&gt;'Calc'!$B$8,"",IF('Calc'!$E$14=1,0,MIN(Calc!$S$138*(1+'财富模型'!$E$20/12)+'Calc'!$B$6,IF(Calc!$Q$139&lt;='财富模型'!$E$11*12,'Calc'!$W$14,'Calc'!$Y$14))))</x:f>
      </x:c>
      <x:c r="V139" t="str">
        <x:f>IF(Calc!$Q$139&gt;'Calc'!$B$8,"",'Calc'!$B$5-'财富模型'!$E$5-(IF('Calc'!$E$14=1,'财富模型'!$E$9,'财富模型'!$M$6+IF(Calc!$Q$139&lt;='财富模型'!$E$11*12,'Calc'!$W$14,'Calc'!$Y$14)-(IF('Calc'!$E$14=1,0,MIN(Calc!$S$138*(1+'财富模型'!$E$20/12)+'Calc'!$B$6,IF(Calc!$Q$139&lt;='财富模型'!$E$11*12,'Calc'!$W$14,'Calc'!$Y$14)))))))</x:f>
      </x:c>
      <x:c r="W139" t="str">
        <x:f>IF(Calc!$Q$139&gt;'Calc'!$B$8,"",IF('Calc'!$E$14=1,0,MAX(Calc!$W$138*(1+IF(Calc!$Q$139&lt;='财富模型'!$E$11*12,'财富模型'!$E$10,'财富模型'!$E$12)/12)-IF('Calc'!$E$14=1,0,IF(Calc!$Q$139&lt;='财富模型'!$E$11*12,'Calc'!$W$14,'Calc'!$Y$14)),0)))</x:f>
      </x:c>
      <x:c r="Y139" t="n">
        <x:v>118</x:v>
      </x:c>
      <x:c r="Z139" t="str">
        <x:f>IF(Calc!$Y$139&gt;'Calc'!$B$8,"",MAX(Calc!$Z$138*(1+'财富模型'!$E$6/12)+('Calc'!$B$5-'财富模型'!$E$5-(IF('Calc'!$E$15=1,'财富模型'!$E$9,'财富模型'!$M$7+IF(Calc!$Y$139&lt;='财富模型'!$E$11*12,'Calc'!$W$15,'Calc'!$Y$15)-(IF('Calc'!$E$15=1,0,MIN(Calc!$AA$138*(1+'财富模型'!$E$20/12)+'Calc'!$B$6,IF(Calc!$Y$139&lt;='财富模型'!$E$11*12,'Calc'!$W$15,'Calc'!$Y$15))))))),0))</x:f>
      </x:c>
      <x:c r="AA139" t="str">
        <x:f>IF(Calc!$Y$139&gt;'Calc'!$B$8,"",MAX(Calc!$AA$138*(1+'财富模型'!$E$20/12)+'Calc'!$B$6-(IF('Calc'!$E$15=1,0,MIN(Calc!$AA$138*(1+'财富模型'!$E$20/12)+'Calc'!$B$6,IF(Calc!$Y$139&lt;='财富模型'!$E$11*12,'Calc'!$W$15,'Calc'!$Y$15)))),0))</x:f>
      </x:c>
      <x:c r="AB139" t="str">
        <x:f>IF(Calc!$Y$139&gt;'Calc'!$B$8,"",IF('Calc'!$E$15=1,'财富模型'!$E$9,'财富模型'!$M$7+IF(Calc!$Y$139&lt;='财富模型'!$E$11*12,'Calc'!$W$15,'Calc'!$Y$15)-(IF('Calc'!$E$15=1,0,MIN(Calc!$AA$138*(1+'财富模型'!$E$20/12)+'Calc'!$B$6,IF(Calc!$Y$139&lt;='财富模型'!$E$11*12,'Calc'!$W$15,'Calc'!$Y$15))))))</x:f>
      </x:c>
      <x:c r="AC139" t="str">
        <x:f>IF(Calc!$Y$139&gt;'Calc'!$B$8,"",IF('Calc'!$E$15=1,0,MIN(Calc!$AA$138*(1+'财富模型'!$E$20/12)+'Calc'!$B$6,IF(Calc!$Y$139&lt;='财富模型'!$E$11*12,'Calc'!$W$15,'Calc'!$Y$15))))</x:f>
      </x:c>
      <x:c r="AD139" t="str">
        <x:f>IF(Calc!$Y$139&gt;'Calc'!$B$8,"",'Calc'!$B$5-'财富模型'!$E$5-(IF('Calc'!$E$15=1,'财富模型'!$E$9,'财富模型'!$M$7+IF(Calc!$Y$139&lt;='财富模型'!$E$11*12,'Calc'!$W$15,'Calc'!$Y$15)-(IF('Calc'!$E$15=1,0,MIN(Calc!$AA$138*(1+'财富模型'!$E$20/12)+'Calc'!$B$6,IF(Calc!$Y$139&lt;='财富模型'!$E$11*12,'Calc'!$W$15,'Calc'!$Y$15)))))))</x:f>
      </x:c>
      <x:c r="AE139" t="str">
        <x:f>IF(Calc!$Y$139&gt;'Calc'!$B$8,"",IF('Calc'!$E$15=1,0,MAX(Calc!$AE$138*(1+IF(Calc!$Y$139&lt;='财富模型'!$E$11*12,'财富模型'!$E$10,'财富模型'!$E$12)/12)-IF('Calc'!$E$15=1,0,IF(Calc!$Y$139&lt;='财富模型'!$E$11*12,'Calc'!$W$15,'Calc'!$Y$15)),0)))</x:f>
      </x:c>
      <x:c r="AG139" t="n">
        <x:v>118</x:v>
      </x:c>
      <x:c r="AH139" t="str">
        <x:f>IF(Calc!$AG$139&gt;'Calc'!$B$8,"",MAX(Calc!$AH$138*(1+'财富模型'!$E$6/12)+('Calc'!$B$5-'财富模型'!$E$5-(IF('Calc'!$E$16=1,'财富模型'!$E$9,'财富模型'!$M$8+IF(Calc!$AG$139&lt;='财富模型'!$E$11*12,'Calc'!$W$16,'Calc'!$Y$16)-(IF('Calc'!$E$16=1,0,MIN(Calc!$AI$138*(1+'财富模型'!$E$20/12)+'Calc'!$B$6,IF(Calc!$AG$139&lt;='财富模型'!$E$11*12,'Calc'!$W$16,'Calc'!$Y$16))))))),0))</x:f>
      </x:c>
      <x:c r="AI139" t="str">
        <x:f>IF(Calc!$AG$139&gt;'Calc'!$B$8,"",MAX(Calc!$AI$138*(1+'财富模型'!$E$20/12)+'Calc'!$B$6-(IF('Calc'!$E$16=1,0,MIN(Calc!$AI$138*(1+'财富模型'!$E$20/12)+'Calc'!$B$6,IF(Calc!$AG$139&lt;='财富模型'!$E$11*12,'Calc'!$W$16,'Calc'!$Y$16)))),0))</x:f>
      </x:c>
      <x:c r="AJ139" t="str">
        <x:f>IF(Calc!$AG$139&gt;'Calc'!$B$8,"",IF('Calc'!$E$16=1,'财富模型'!$E$9,'财富模型'!$M$8+IF(Calc!$AG$139&lt;='财富模型'!$E$11*12,'Calc'!$W$16,'Calc'!$Y$16)-(IF('Calc'!$E$16=1,0,MIN(Calc!$AI$138*(1+'财富模型'!$E$20/12)+'Calc'!$B$6,IF(Calc!$AG$139&lt;='财富模型'!$E$11*12,'Calc'!$W$16,'Calc'!$Y$16))))))</x:f>
      </x:c>
      <x:c r="AK139" t="str">
        <x:f>IF(Calc!$AG$139&gt;'Calc'!$B$8,"",IF('Calc'!$E$16=1,0,MIN(Calc!$AI$138*(1+'财富模型'!$E$20/12)+'Calc'!$B$6,IF(Calc!$AG$139&lt;='财富模型'!$E$11*12,'Calc'!$W$16,'Calc'!$Y$16))))</x:f>
      </x:c>
      <x:c r="AL139" t="str">
        <x:f>IF(Calc!$AG$139&gt;'Calc'!$B$8,"",'Calc'!$B$5-'财富模型'!$E$5-(IF('Calc'!$E$16=1,'财富模型'!$E$9,'财富模型'!$M$8+IF(Calc!$AG$139&lt;='财富模型'!$E$11*12,'Calc'!$W$16,'Calc'!$Y$16)-(IF('Calc'!$E$16=1,0,MIN(Calc!$AI$138*(1+'财富模型'!$E$20/12)+'Calc'!$B$6,IF(Calc!$AG$139&lt;='财富模型'!$E$11*12,'Calc'!$W$16,'Calc'!$Y$16)))))))</x:f>
      </x:c>
      <x:c r="AM139" t="str">
        <x:f>IF(Calc!$AG$139&gt;'Calc'!$B$8,"",IF('Calc'!$E$16=1,0,MAX(Calc!$AM$138*(1+IF(Calc!$AG$139&lt;='财富模型'!$E$11*12,'财富模型'!$E$10,'财富模型'!$E$12)/12)-IF('Calc'!$E$16=1,0,IF(Calc!$AG$139&lt;='财富模型'!$E$11*12,'Calc'!$W$16,'Calc'!$Y$16)),0)))</x:f>
      </x:c>
      <x:c r="AO139" t="n">
        <x:v>118</x:v>
      </x:c>
      <x:c r="AP139" t="str">
        <x:f>IF(Calc!$AO$139&gt;'Calc'!$B$8,"",MAX(Calc!$AP$138*(1+'财富模型'!$E$6/12)+('Calc'!$B$5-'财富模型'!$E$5-(IF('Calc'!$E$17=1,'财富模型'!$E$9,'财富模型'!$M$9+IF(Calc!$AO$139&lt;='财富模型'!$E$11*12,'Calc'!$W$17,'Calc'!$Y$17)-(IF('Calc'!$E$17=1,0,MIN(Calc!$AQ$138*(1+'财富模型'!$E$20/12)+'Calc'!$B$6,IF(Calc!$AO$139&lt;='财富模型'!$E$11*12,'Calc'!$W$17,'Calc'!$Y$17))))))),0))</x:f>
      </x:c>
      <x:c r="AQ139" t="str">
        <x:f>IF(Calc!$AO$139&gt;'Calc'!$B$8,"",MAX(Calc!$AQ$138*(1+'财富模型'!$E$20/12)+'Calc'!$B$6-(IF('Calc'!$E$17=1,0,MIN(Calc!$AQ$138*(1+'财富模型'!$E$20/12)+'Calc'!$B$6,IF(Calc!$AO$139&lt;='财富模型'!$E$11*12,'Calc'!$W$17,'Calc'!$Y$17)))),0))</x:f>
      </x:c>
      <x:c r="AR139" t="str">
        <x:f>IF(Calc!$AO$139&gt;'Calc'!$B$8,"",IF('Calc'!$E$17=1,'财富模型'!$E$9,'财富模型'!$M$9+IF(Calc!$AO$139&lt;='财富模型'!$E$11*12,'Calc'!$W$17,'Calc'!$Y$17)-(IF('Calc'!$E$17=1,0,MIN(Calc!$AQ$138*(1+'财富模型'!$E$20/12)+'Calc'!$B$6,IF(Calc!$AO$139&lt;='财富模型'!$E$11*12,'Calc'!$W$17,'Calc'!$Y$17))))))</x:f>
      </x:c>
      <x:c r="AS139" t="str">
        <x:f>IF(Calc!$AO$139&gt;'Calc'!$B$8,"",IF('Calc'!$E$17=1,0,MIN(Calc!$AQ$138*(1+'财富模型'!$E$20/12)+'Calc'!$B$6,IF(Calc!$AO$139&lt;='财富模型'!$E$11*12,'Calc'!$W$17,'Calc'!$Y$17))))</x:f>
      </x:c>
      <x:c r="AT139" t="str">
        <x:f>IF(Calc!$AO$139&gt;'Calc'!$B$8,"",'Calc'!$B$5-'财富模型'!$E$5-(IF('Calc'!$E$17=1,'财富模型'!$E$9,'财富模型'!$M$9+IF(Calc!$AO$139&lt;='财富模型'!$E$11*12,'Calc'!$W$17,'Calc'!$Y$17)-(IF('Calc'!$E$17=1,0,MIN(Calc!$AQ$138*(1+'财富模型'!$E$20/12)+'Calc'!$B$6,IF(Calc!$AO$139&lt;='财富模型'!$E$11*12,'Calc'!$W$17,'Calc'!$Y$17)))))))</x:f>
      </x:c>
      <x:c r="AU139" t="str">
        <x:f>IF(Calc!$AO$139&gt;'Calc'!$B$8,"",IF('Calc'!$E$17=1,0,MAX(Calc!$AU$138*(1+IF(Calc!$AO$139&lt;='财富模型'!$E$11*12,'财富模型'!$E$10,'财富模型'!$E$12)/12)-IF('Calc'!$E$17=1,0,IF(Calc!$AO$139&lt;='财富模型'!$E$11*12,'Calc'!$W$17,'Calc'!$Y$17)),0)))</x:f>
      </x:c>
    </x:row>
    <x:row r="140">
      <x:c r="A140" t="n">
        <x:v>119</x:v>
      </x:c>
      <x:c r="B140" t="str">
        <x:f>IF(Calc!$A$140&gt;'Calc'!$B$8,"",MAX(Calc!$B$139*(1+'财富模型'!$E$6/12)+('Calc'!$B$5-'财富模型'!$E$5-(IF('Calc'!$E$12=1,'财富模型'!$E$9,'财富模型'!$M$4+IF(Calc!$A$140&lt;='财富模型'!$E$11*12,'Calc'!$W$12,'Calc'!$Y$12)-(IF('Calc'!$E$12=1,0,MIN(Calc!$C$139*(1+'财富模型'!$E$20/12)+'Calc'!$B$6,IF(Calc!$A$140&lt;='财富模型'!$E$11*12,'Calc'!$W$12,'Calc'!$Y$12))))))),0))</x:f>
      </x:c>
      <x:c r="C140" t="str">
        <x:f>IF(Calc!$A$140&gt;'Calc'!$B$8,"",MAX(Calc!$C$139*(1+'财富模型'!$E$20/12)+'Calc'!$B$6-(IF('Calc'!$E$12=1,0,MIN(Calc!$C$139*(1+'财富模型'!$E$20/12)+'Calc'!$B$6,IF(Calc!$A$140&lt;='财富模型'!$E$11*12,'Calc'!$W$12,'Calc'!$Y$12)))),0))</x:f>
      </x:c>
      <x:c r="D140" t="str">
        <x:f>IF(Calc!$A$140&gt;'Calc'!$B$8,"",IF('Calc'!$E$12=1,'财富模型'!$E$9,'财富模型'!$M$4+IF(Calc!$A$140&lt;='财富模型'!$E$11*12,'Calc'!$W$12,'Calc'!$Y$12)-(IF('Calc'!$E$12=1,0,MIN(Calc!$C$139*(1+'财富模型'!$E$20/12)+'Calc'!$B$6,IF(Calc!$A$140&lt;='财富模型'!$E$11*12,'Calc'!$W$12,'Calc'!$Y$12))))))</x:f>
      </x:c>
      <x:c r="E140" t="str">
        <x:f>IF(Calc!$A$140&gt;'Calc'!$B$8,"",IF('Calc'!$E$12=1,0,MIN(Calc!$C$139*(1+'财富模型'!$E$20/12)+'Calc'!$B$6,IF(Calc!$A$140&lt;='财富模型'!$E$11*12,'Calc'!$W$12,'Calc'!$Y$12))))</x:f>
      </x:c>
      <x:c r="F140" t="str">
        <x:f>IF(Calc!$A$140&gt;'Calc'!$B$8,"",'Calc'!$B$5-'财富模型'!$E$5-(IF('Calc'!$E$12=1,'财富模型'!$E$9,'财富模型'!$M$4+IF(Calc!$A$140&lt;='财富模型'!$E$11*12,'Calc'!$W$12,'Calc'!$Y$12)-(IF('Calc'!$E$12=1,0,MIN(Calc!$C$139*(1+'财富模型'!$E$20/12)+'Calc'!$B$6,IF(Calc!$A$140&lt;='财富模型'!$E$11*12,'Calc'!$W$12,'Calc'!$Y$12)))))))</x:f>
      </x:c>
      <x:c r="G140" t="str">
        <x:f>IF(Calc!$A$140&gt;'Calc'!$B$8,"",IF('Calc'!$E$12=1,0,MAX(Calc!$G$139*(1+IF(Calc!$A$140&lt;='财富模型'!$E$11*12,'财富模型'!$E$10,'财富模型'!$E$12)/12)-IF('Calc'!$E$12=1,0,IF(Calc!$A$140&lt;='财富模型'!$E$11*12,'Calc'!$W$12,'Calc'!$Y$12)),0)))</x:f>
      </x:c>
      <x:c r="I140" t="n">
        <x:v>119</x:v>
      </x:c>
      <x:c r="J140" t="str">
        <x:f>IF(Calc!$I$140&gt;'Calc'!$B$8,"",MAX(Calc!$J$139*(1+'财富模型'!$E$6/12)+('Calc'!$B$5-'财富模型'!$E$5-(IF('Calc'!$E$13=1,'财富模型'!$E$9,'财富模型'!$M$5+IF(Calc!$I$140&lt;='财富模型'!$E$11*12,'Calc'!$W$13,'Calc'!$Y$13)-(IF('Calc'!$E$13=1,0,MIN(Calc!$K$139*(1+'财富模型'!$E$20/12)+'Calc'!$B$6,IF(Calc!$I$140&lt;='财富模型'!$E$11*12,'Calc'!$W$13,'Calc'!$Y$13))))))),0))</x:f>
      </x:c>
      <x:c r="K140" t="str">
        <x:f>IF(Calc!$I$140&gt;'Calc'!$B$8,"",MAX(Calc!$K$139*(1+'财富模型'!$E$20/12)+'Calc'!$B$6-(IF('Calc'!$E$13=1,0,MIN(Calc!$K$139*(1+'财富模型'!$E$20/12)+'Calc'!$B$6,IF(Calc!$I$140&lt;='财富模型'!$E$11*12,'Calc'!$W$13,'Calc'!$Y$13)))),0))</x:f>
      </x:c>
      <x:c r="L140" t="str">
        <x:f>IF(Calc!$I$140&gt;'Calc'!$B$8,"",IF('Calc'!$E$13=1,'财富模型'!$E$9,'财富模型'!$M$5+IF(Calc!$I$140&lt;='财富模型'!$E$11*12,'Calc'!$W$13,'Calc'!$Y$13)-(IF('Calc'!$E$13=1,0,MIN(Calc!$K$139*(1+'财富模型'!$E$20/12)+'Calc'!$B$6,IF(Calc!$I$140&lt;='财富模型'!$E$11*12,'Calc'!$W$13,'Calc'!$Y$13))))))</x:f>
      </x:c>
      <x:c r="M140" t="str">
        <x:f>IF(Calc!$I$140&gt;'Calc'!$B$8,"",IF('Calc'!$E$13=1,0,MIN(Calc!$K$139*(1+'财富模型'!$E$20/12)+'Calc'!$B$6,IF(Calc!$I$140&lt;='财富模型'!$E$11*12,'Calc'!$W$13,'Calc'!$Y$13))))</x:f>
      </x:c>
      <x:c r="N140" t="str">
        <x:f>IF(Calc!$I$140&gt;'Calc'!$B$8,"",'Calc'!$B$5-'财富模型'!$E$5-(IF('Calc'!$E$13=1,'财富模型'!$E$9,'财富模型'!$M$5+IF(Calc!$I$140&lt;='财富模型'!$E$11*12,'Calc'!$W$13,'Calc'!$Y$13)-(IF('Calc'!$E$13=1,0,MIN(Calc!$K$139*(1+'财富模型'!$E$20/12)+'Calc'!$B$6,IF(Calc!$I$140&lt;='财富模型'!$E$11*12,'Calc'!$W$13,'Calc'!$Y$13)))))))</x:f>
      </x:c>
      <x:c r="O140" t="str">
        <x:f>IF(Calc!$I$140&gt;'Calc'!$B$8,"",IF('Calc'!$E$13=1,0,MAX(Calc!$O$139*(1+IF(Calc!$I$140&lt;='财富模型'!$E$11*12,'财富模型'!$E$10,'财富模型'!$E$12)/12)-IF('Calc'!$E$13=1,0,IF(Calc!$I$140&lt;='财富模型'!$E$11*12,'Calc'!$W$13,'Calc'!$Y$13)),0)))</x:f>
      </x:c>
      <x:c r="Q140" t="n">
        <x:v>119</x:v>
      </x:c>
      <x:c r="R140" t="str">
        <x:f>IF(Calc!$Q$140&gt;'Calc'!$B$8,"",MAX(Calc!$R$139*(1+'财富模型'!$E$6/12)+('Calc'!$B$5-'财富模型'!$E$5-(IF('Calc'!$E$14=1,'财富模型'!$E$9,'财富模型'!$M$6+IF(Calc!$Q$140&lt;='财富模型'!$E$11*12,'Calc'!$W$14,'Calc'!$Y$14)-(IF('Calc'!$E$14=1,0,MIN(Calc!$S$139*(1+'财富模型'!$E$20/12)+'Calc'!$B$6,IF(Calc!$Q$140&lt;='财富模型'!$E$11*12,'Calc'!$W$14,'Calc'!$Y$14))))))),0))</x:f>
      </x:c>
      <x:c r="S140" t="str">
        <x:f>IF(Calc!$Q$140&gt;'Calc'!$B$8,"",MAX(Calc!$S$139*(1+'财富模型'!$E$20/12)+'Calc'!$B$6-(IF('Calc'!$E$14=1,0,MIN(Calc!$S$139*(1+'财富模型'!$E$20/12)+'Calc'!$B$6,IF(Calc!$Q$140&lt;='财富模型'!$E$11*12,'Calc'!$W$14,'Calc'!$Y$14)))),0))</x:f>
      </x:c>
      <x:c r="T140" t="str">
        <x:f>IF(Calc!$Q$140&gt;'Calc'!$B$8,"",IF('Calc'!$E$14=1,'财富模型'!$E$9,'财富模型'!$M$6+IF(Calc!$Q$140&lt;='财富模型'!$E$11*12,'Calc'!$W$14,'Calc'!$Y$14)-(IF('Calc'!$E$14=1,0,MIN(Calc!$S$139*(1+'财富模型'!$E$20/12)+'Calc'!$B$6,IF(Calc!$Q$140&lt;='财富模型'!$E$11*12,'Calc'!$W$14,'Calc'!$Y$14))))))</x:f>
      </x:c>
      <x:c r="U140" t="str">
        <x:f>IF(Calc!$Q$140&gt;'Calc'!$B$8,"",IF('Calc'!$E$14=1,0,MIN(Calc!$S$139*(1+'财富模型'!$E$20/12)+'Calc'!$B$6,IF(Calc!$Q$140&lt;='财富模型'!$E$11*12,'Calc'!$W$14,'Calc'!$Y$14))))</x:f>
      </x:c>
      <x:c r="V140" t="str">
        <x:f>IF(Calc!$Q$140&gt;'Calc'!$B$8,"",'Calc'!$B$5-'财富模型'!$E$5-(IF('Calc'!$E$14=1,'财富模型'!$E$9,'财富模型'!$M$6+IF(Calc!$Q$140&lt;='财富模型'!$E$11*12,'Calc'!$W$14,'Calc'!$Y$14)-(IF('Calc'!$E$14=1,0,MIN(Calc!$S$139*(1+'财富模型'!$E$20/12)+'Calc'!$B$6,IF(Calc!$Q$140&lt;='财富模型'!$E$11*12,'Calc'!$W$14,'Calc'!$Y$14)))))))</x:f>
      </x:c>
      <x:c r="W140" t="str">
        <x:f>IF(Calc!$Q$140&gt;'Calc'!$B$8,"",IF('Calc'!$E$14=1,0,MAX(Calc!$W$139*(1+IF(Calc!$Q$140&lt;='财富模型'!$E$11*12,'财富模型'!$E$10,'财富模型'!$E$12)/12)-IF('Calc'!$E$14=1,0,IF(Calc!$Q$140&lt;='财富模型'!$E$11*12,'Calc'!$W$14,'Calc'!$Y$14)),0)))</x:f>
      </x:c>
      <x:c r="Y140" t="n">
        <x:v>119</x:v>
      </x:c>
      <x:c r="Z140" t="str">
        <x:f>IF(Calc!$Y$140&gt;'Calc'!$B$8,"",MAX(Calc!$Z$139*(1+'财富模型'!$E$6/12)+('Calc'!$B$5-'财富模型'!$E$5-(IF('Calc'!$E$15=1,'财富模型'!$E$9,'财富模型'!$M$7+IF(Calc!$Y$140&lt;='财富模型'!$E$11*12,'Calc'!$W$15,'Calc'!$Y$15)-(IF('Calc'!$E$15=1,0,MIN(Calc!$AA$139*(1+'财富模型'!$E$20/12)+'Calc'!$B$6,IF(Calc!$Y$140&lt;='财富模型'!$E$11*12,'Calc'!$W$15,'Calc'!$Y$15))))))),0))</x:f>
      </x:c>
      <x:c r="AA140" t="str">
        <x:f>IF(Calc!$Y$140&gt;'Calc'!$B$8,"",MAX(Calc!$AA$139*(1+'财富模型'!$E$20/12)+'Calc'!$B$6-(IF('Calc'!$E$15=1,0,MIN(Calc!$AA$139*(1+'财富模型'!$E$20/12)+'Calc'!$B$6,IF(Calc!$Y$140&lt;='财富模型'!$E$11*12,'Calc'!$W$15,'Calc'!$Y$15)))),0))</x:f>
      </x:c>
      <x:c r="AB140" t="str">
        <x:f>IF(Calc!$Y$140&gt;'Calc'!$B$8,"",IF('Calc'!$E$15=1,'财富模型'!$E$9,'财富模型'!$M$7+IF(Calc!$Y$140&lt;='财富模型'!$E$11*12,'Calc'!$W$15,'Calc'!$Y$15)-(IF('Calc'!$E$15=1,0,MIN(Calc!$AA$139*(1+'财富模型'!$E$20/12)+'Calc'!$B$6,IF(Calc!$Y$140&lt;='财富模型'!$E$11*12,'Calc'!$W$15,'Calc'!$Y$15))))))</x:f>
      </x:c>
      <x:c r="AC140" t="str">
        <x:f>IF(Calc!$Y$140&gt;'Calc'!$B$8,"",IF('Calc'!$E$15=1,0,MIN(Calc!$AA$139*(1+'财富模型'!$E$20/12)+'Calc'!$B$6,IF(Calc!$Y$140&lt;='财富模型'!$E$11*12,'Calc'!$W$15,'Calc'!$Y$15))))</x:f>
      </x:c>
      <x:c r="AD140" t="str">
        <x:f>IF(Calc!$Y$140&gt;'Calc'!$B$8,"",'Calc'!$B$5-'财富模型'!$E$5-(IF('Calc'!$E$15=1,'财富模型'!$E$9,'财富模型'!$M$7+IF(Calc!$Y$140&lt;='财富模型'!$E$11*12,'Calc'!$W$15,'Calc'!$Y$15)-(IF('Calc'!$E$15=1,0,MIN(Calc!$AA$139*(1+'财富模型'!$E$20/12)+'Calc'!$B$6,IF(Calc!$Y$140&lt;='财富模型'!$E$11*12,'Calc'!$W$15,'Calc'!$Y$15)))))))</x:f>
      </x:c>
      <x:c r="AE140" t="str">
        <x:f>IF(Calc!$Y$140&gt;'Calc'!$B$8,"",IF('Calc'!$E$15=1,0,MAX(Calc!$AE$139*(1+IF(Calc!$Y$140&lt;='财富模型'!$E$11*12,'财富模型'!$E$10,'财富模型'!$E$12)/12)-IF('Calc'!$E$15=1,0,IF(Calc!$Y$140&lt;='财富模型'!$E$11*12,'Calc'!$W$15,'Calc'!$Y$15)),0)))</x:f>
      </x:c>
      <x:c r="AG140" t="n">
        <x:v>119</x:v>
      </x:c>
      <x:c r="AH140" t="str">
        <x:f>IF(Calc!$AG$140&gt;'Calc'!$B$8,"",MAX(Calc!$AH$139*(1+'财富模型'!$E$6/12)+('Calc'!$B$5-'财富模型'!$E$5-(IF('Calc'!$E$16=1,'财富模型'!$E$9,'财富模型'!$M$8+IF(Calc!$AG$140&lt;='财富模型'!$E$11*12,'Calc'!$W$16,'Calc'!$Y$16)-(IF('Calc'!$E$16=1,0,MIN(Calc!$AI$139*(1+'财富模型'!$E$20/12)+'Calc'!$B$6,IF(Calc!$AG$140&lt;='财富模型'!$E$11*12,'Calc'!$W$16,'Calc'!$Y$16))))))),0))</x:f>
      </x:c>
      <x:c r="AI140" t="str">
        <x:f>IF(Calc!$AG$140&gt;'Calc'!$B$8,"",MAX(Calc!$AI$139*(1+'财富模型'!$E$20/12)+'Calc'!$B$6-(IF('Calc'!$E$16=1,0,MIN(Calc!$AI$139*(1+'财富模型'!$E$20/12)+'Calc'!$B$6,IF(Calc!$AG$140&lt;='财富模型'!$E$11*12,'Calc'!$W$16,'Calc'!$Y$16)))),0))</x:f>
      </x:c>
      <x:c r="AJ140" t="str">
        <x:f>IF(Calc!$AG$140&gt;'Calc'!$B$8,"",IF('Calc'!$E$16=1,'财富模型'!$E$9,'财富模型'!$M$8+IF(Calc!$AG$140&lt;='财富模型'!$E$11*12,'Calc'!$W$16,'Calc'!$Y$16)-(IF('Calc'!$E$16=1,0,MIN(Calc!$AI$139*(1+'财富模型'!$E$20/12)+'Calc'!$B$6,IF(Calc!$AG$140&lt;='财富模型'!$E$11*12,'Calc'!$W$16,'Calc'!$Y$16))))))</x:f>
      </x:c>
      <x:c r="AK140" t="str">
        <x:f>IF(Calc!$AG$140&gt;'Calc'!$B$8,"",IF('Calc'!$E$16=1,0,MIN(Calc!$AI$139*(1+'财富模型'!$E$20/12)+'Calc'!$B$6,IF(Calc!$AG$140&lt;='财富模型'!$E$11*12,'Calc'!$W$16,'Calc'!$Y$16))))</x:f>
      </x:c>
      <x:c r="AL140" t="str">
        <x:f>IF(Calc!$AG$140&gt;'Calc'!$B$8,"",'Calc'!$B$5-'财富模型'!$E$5-(IF('Calc'!$E$16=1,'财富模型'!$E$9,'财富模型'!$M$8+IF(Calc!$AG$140&lt;='财富模型'!$E$11*12,'Calc'!$W$16,'Calc'!$Y$16)-(IF('Calc'!$E$16=1,0,MIN(Calc!$AI$139*(1+'财富模型'!$E$20/12)+'Calc'!$B$6,IF(Calc!$AG$140&lt;='财富模型'!$E$11*12,'Calc'!$W$16,'Calc'!$Y$16)))))))</x:f>
      </x:c>
      <x:c r="AM140" t="str">
        <x:f>IF(Calc!$AG$140&gt;'Calc'!$B$8,"",IF('Calc'!$E$16=1,0,MAX(Calc!$AM$139*(1+IF(Calc!$AG$140&lt;='财富模型'!$E$11*12,'财富模型'!$E$10,'财富模型'!$E$12)/12)-IF('Calc'!$E$16=1,0,IF(Calc!$AG$140&lt;='财富模型'!$E$11*12,'Calc'!$W$16,'Calc'!$Y$16)),0)))</x:f>
      </x:c>
      <x:c r="AO140" t="n">
        <x:v>119</x:v>
      </x:c>
      <x:c r="AP140" t="str">
        <x:f>IF(Calc!$AO$140&gt;'Calc'!$B$8,"",MAX(Calc!$AP$139*(1+'财富模型'!$E$6/12)+('Calc'!$B$5-'财富模型'!$E$5-(IF('Calc'!$E$17=1,'财富模型'!$E$9,'财富模型'!$M$9+IF(Calc!$AO$140&lt;='财富模型'!$E$11*12,'Calc'!$W$17,'Calc'!$Y$17)-(IF('Calc'!$E$17=1,0,MIN(Calc!$AQ$139*(1+'财富模型'!$E$20/12)+'Calc'!$B$6,IF(Calc!$AO$140&lt;='财富模型'!$E$11*12,'Calc'!$W$17,'Calc'!$Y$17))))))),0))</x:f>
      </x:c>
      <x:c r="AQ140" t="str">
        <x:f>IF(Calc!$AO$140&gt;'Calc'!$B$8,"",MAX(Calc!$AQ$139*(1+'财富模型'!$E$20/12)+'Calc'!$B$6-(IF('Calc'!$E$17=1,0,MIN(Calc!$AQ$139*(1+'财富模型'!$E$20/12)+'Calc'!$B$6,IF(Calc!$AO$140&lt;='财富模型'!$E$11*12,'Calc'!$W$17,'Calc'!$Y$17)))),0))</x:f>
      </x:c>
      <x:c r="AR140" t="str">
        <x:f>IF(Calc!$AO$140&gt;'Calc'!$B$8,"",IF('Calc'!$E$17=1,'财富模型'!$E$9,'财富模型'!$M$9+IF(Calc!$AO$140&lt;='财富模型'!$E$11*12,'Calc'!$W$17,'Calc'!$Y$17)-(IF('Calc'!$E$17=1,0,MIN(Calc!$AQ$139*(1+'财富模型'!$E$20/12)+'Calc'!$B$6,IF(Calc!$AO$140&lt;='财富模型'!$E$11*12,'Calc'!$W$17,'Calc'!$Y$17))))))</x:f>
      </x:c>
      <x:c r="AS140" t="str">
        <x:f>IF(Calc!$AO$140&gt;'Calc'!$B$8,"",IF('Calc'!$E$17=1,0,MIN(Calc!$AQ$139*(1+'财富模型'!$E$20/12)+'Calc'!$B$6,IF(Calc!$AO$140&lt;='财富模型'!$E$11*12,'Calc'!$W$17,'Calc'!$Y$17))))</x:f>
      </x:c>
      <x:c r="AT140" t="str">
        <x:f>IF(Calc!$AO$140&gt;'Calc'!$B$8,"",'Calc'!$B$5-'财富模型'!$E$5-(IF('Calc'!$E$17=1,'财富模型'!$E$9,'财富模型'!$M$9+IF(Calc!$AO$140&lt;='财富模型'!$E$11*12,'Calc'!$W$17,'Calc'!$Y$17)-(IF('Calc'!$E$17=1,0,MIN(Calc!$AQ$139*(1+'财富模型'!$E$20/12)+'Calc'!$B$6,IF(Calc!$AO$140&lt;='财富模型'!$E$11*12,'Calc'!$W$17,'Calc'!$Y$17)))))))</x:f>
      </x:c>
      <x:c r="AU140" t="str">
        <x:f>IF(Calc!$AO$140&gt;'Calc'!$B$8,"",IF('Calc'!$E$17=1,0,MAX(Calc!$AU$139*(1+IF(Calc!$AO$140&lt;='财富模型'!$E$11*12,'财富模型'!$E$10,'财富模型'!$E$12)/12)-IF('Calc'!$E$17=1,0,IF(Calc!$AO$140&lt;='财富模型'!$E$11*12,'Calc'!$W$17,'Calc'!$Y$17)),0)))</x:f>
      </x:c>
    </x:row>
    <x:row r="141">
      <x:c r="A141" t="n">
        <x:v>120</x:v>
      </x:c>
      <x:c r="B141" t="str">
        <x:f>IF(Calc!$A$141&gt;'Calc'!$B$8,"",MAX(Calc!$B$140*(1+'财富模型'!$E$6/12)+('Calc'!$B$5-'财富模型'!$E$5-(IF('Calc'!$E$12=1,'财富模型'!$E$9,'财富模型'!$M$4+IF(Calc!$A$141&lt;='财富模型'!$E$11*12,'Calc'!$W$12,'Calc'!$Y$12)-(IF('Calc'!$E$12=1,0,MIN(Calc!$C$140*(1+'财富模型'!$E$20/12)+'Calc'!$B$6,IF(Calc!$A$141&lt;='财富模型'!$E$11*12,'Calc'!$W$12,'Calc'!$Y$12))))))),0))</x:f>
      </x:c>
      <x:c r="C141" t="str">
        <x:f>IF(Calc!$A$141&gt;'Calc'!$B$8,"",MAX(Calc!$C$140*(1+'财富模型'!$E$20/12)+'Calc'!$B$6-(IF('Calc'!$E$12=1,0,MIN(Calc!$C$140*(1+'财富模型'!$E$20/12)+'Calc'!$B$6,IF(Calc!$A$141&lt;='财富模型'!$E$11*12,'Calc'!$W$12,'Calc'!$Y$12)))),0))</x:f>
      </x:c>
      <x:c r="D141" t="str">
        <x:f>IF(Calc!$A$141&gt;'Calc'!$B$8,"",IF('Calc'!$E$12=1,'财富模型'!$E$9,'财富模型'!$M$4+IF(Calc!$A$141&lt;='财富模型'!$E$11*12,'Calc'!$W$12,'Calc'!$Y$12)-(IF('Calc'!$E$12=1,0,MIN(Calc!$C$140*(1+'财富模型'!$E$20/12)+'Calc'!$B$6,IF(Calc!$A$141&lt;='财富模型'!$E$11*12,'Calc'!$W$12,'Calc'!$Y$12))))))</x:f>
      </x:c>
      <x:c r="E141" t="str">
        <x:f>IF(Calc!$A$141&gt;'Calc'!$B$8,"",IF('Calc'!$E$12=1,0,MIN(Calc!$C$140*(1+'财富模型'!$E$20/12)+'Calc'!$B$6,IF(Calc!$A$141&lt;='财富模型'!$E$11*12,'Calc'!$W$12,'Calc'!$Y$12))))</x:f>
      </x:c>
      <x:c r="F141" t="str">
        <x:f>IF(Calc!$A$141&gt;'Calc'!$B$8,"",'Calc'!$B$5-'财富模型'!$E$5-(IF('Calc'!$E$12=1,'财富模型'!$E$9,'财富模型'!$M$4+IF(Calc!$A$141&lt;='财富模型'!$E$11*12,'Calc'!$W$12,'Calc'!$Y$12)-(IF('Calc'!$E$12=1,0,MIN(Calc!$C$140*(1+'财富模型'!$E$20/12)+'Calc'!$B$6,IF(Calc!$A$141&lt;='财富模型'!$E$11*12,'Calc'!$W$12,'Calc'!$Y$12)))))))</x:f>
      </x:c>
      <x:c r="G141" t="str">
        <x:f>IF(Calc!$A$141&gt;'Calc'!$B$8,"",IF('Calc'!$E$12=1,0,MAX(Calc!$G$140*(1+IF(Calc!$A$141&lt;='财富模型'!$E$11*12,'财富模型'!$E$10,'财富模型'!$E$12)/12)-IF('Calc'!$E$12=1,0,IF(Calc!$A$141&lt;='财富模型'!$E$11*12,'Calc'!$W$12,'Calc'!$Y$12)),0)))</x:f>
      </x:c>
      <x:c r="I141" t="n">
        <x:v>120</x:v>
      </x:c>
      <x:c r="J141" t="str">
        <x:f>IF(Calc!$I$141&gt;'Calc'!$B$8,"",MAX(Calc!$J$140*(1+'财富模型'!$E$6/12)+('Calc'!$B$5-'财富模型'!$E$5-(IF('Calc'!$E$13=1,'财富模型'!$E$9,'财富模型'!$M$5+IF(Calc!$I$141&lt;='财富模型'!$E$11*12,'Calc'!$W$13,'Calc'!$Y$13)-(IF('Calc'!$E$13=1,0,MIN(Calc!$K$140*(1+'财富模型'!$E$20/12)+'Calc'!$B$6,IF(Calc!$I$141&lt;='财富模型'!$E$11*12,'Calc'!$W$13,'Calc'!$Y$13))))))),0))</x:f>
      </x:c>
      <x:c r="K141" t="str">
        <x:f>IF(Calc!$I$141&gt;'Calc'!$B$8,"",MAX(Calc!$K$140*(1+'财富模型'!$E$20/12)+'Calc'!$B$6-(IF('Calc'!$E$13=1,0,MIN(Calc!$K$140*(1+'财富模型'!$E$20/12)+'Calc'!$B$6,IF(Calc!$I$141&lt;='财富模型'!$E$11*12,'Calc'!$W$13,'Calc'!$Y$13)))),0))</x:f>
      </x:c>
      <x:c r="L141" t="str">
        <x:f>IF(Calc!$I$141&gt;'Calc'!$B$8,"",IF('Calc'!$E$13=1,'财富模型'!$E$9,'财富模型'!$M$5+IF(Calc!$I$141&lt;='财富模型'!$E$11*12,'Calc'!$W$13,'Calc'!$Y$13)-(IF('Calc'!$E$13=1,0,MIN(Calc!$K$140*(1+'财富模型'!$E$20/12)+'Calc'!$B$6,IF(Calc!$I$141&lt;='财富模型'!$E$11*12,'Calc'!$W$13,'Calc'!$Y$13))))))</x:f>
      </x:c>
      <x:c r="M141" t="str">
        <x:f>IF(Calc!$I$141&gt;'Calc'!$B$8,"",IF('Calc'!$E$13=1,0,MIN(Calc!$K$140*(1+'财富模型'!$E$20/12)+'Calc'!$B$6,IF(Calc!$I$141&lt;='财富模型'!$E$11*12,'Calc'!$W$13,'Calc'!$Y$13))))</x:f>
      </x:c>
      <x:c r="N141" t="str">
        <x:f>IF(Calc!$I$141&gt;'Calc'!$B$8,"",'Calc'!$B$5-'财富模型'!$E$5-(IF('Calc'!$E$13=1,'财富模型'!$E$9,'财富模型'!$M$5+IF(Calc!$I$141&lt;='财富模型'!$E$11*12,'Calc'!$W$13,'Calc'!$Y$13)-(IF('Calc'!$E$13=1,0,MIN(Calc!$K$140*(1+'财富模型'!$E$20/12)+'Calc'!$B$6,IF(Calc!$I$141&lt;='财富模型'!$E$11*12,'Calc'!$W$13,'Calc'!$Y$13)))))))</x:f>
      </x:c>
      <x:c r="O141" t="str">
        <x:f>IF(Calc!$I$141&gt;'Calc'!$B$8,"",IF('Calc'!$E$13=1,0,MAX(Calc!$O$140*(1+IF(Calc!$I$141&lt;='财富模型'!$E$11*12,'财富模型'!$E$10,'财富模型'!$E$12)/12)-IF('Calc'!$E$13=1,0,IF(Calc!$I$141&lt;='财富模型'!$E$11*12,'Calc'!$W$13,'Calc'!$Y$13)),0)))</x:f>
      </x:c>
      <x:c r="Q141" t="n">
        <x:v>120</x:v>
      </x:c>
      <x:c r="R141" t="str">
        <x:f>IF(Calc!$Q$141&gt;'Calc'!$B$8,"",MAX(Calc!$R$140*(1+'财富模型'!$E$6/12)+('Calc'!$B$5-'财富模型'!$E$5-(IF('Calc'!$E$14=1,'财富模型'!$E$9,'财富模型'!$M$6+IF(Calc!$Q$141&lt;='财富模型'!$E$11*12,'Calc'!$W$14,'Calc'!$Y$14)-(IF('Calc'!$E$14=1,0,MIN(Calc!$S$140*(1+'财富模型'!$E$20/12)+'Calc'!$B$6,IF(Calc!$Q$141&lt;='财富模型'!$E$11*12,'Calc'!$W$14,'Calc'!$Y$14))))))),0))</x:f>
      </x:c>
      <x:c r="S141" t="str">
        <x:f>IF(Calc!$Q$141&gt;'Calc'!$B$8,"",MAX(Calc!$S$140*(1+'财富模型'!$E$20/12)+'Calc'!$B$6-(IF('Calc'!$E$14=1,0,MIN(Calc!$S$140*(1+'财富模型'!$E$20/12)+'Calc'!$B$6,IF(Calc!$Q$141&lt;='财富模型'!$E$11*12,'Calc'!$W$14,'Calc'!$Y$14)))),0))</x:f>
      </x:c>
      <x:c r="T141" t="str">
        <x:f>IF(Calc!$Q$141&gt;'Calc'!$B$8,"",IF('Calc'!$E$14=1,'财富模型'!$E$9,'财富模型'!$M$6+IF(Calc!$Q$141&lt;='财富模型'!$E$11*12,'Calc'!$W$14,'Calc'!$Y$14)-(IF('Calc'!$E$14=1,0,MIN(Calc!$S$140*(1+'财富模型'!$E$20/12)+'Calc'!$B$6,IF(Calc!$Q$141&lt;='财富模型'!$E$11*12,'Calc'!$W$14,'Calc'!$Y$14))))))</x:f>
      </x:c>
      <x:c r="U141" t="str">
        <x:f>IF(Calc!$Q$141&gt;'Calc'!$B$8,"",IF('Calc'!$E$14=1,0,MIN(Calc!$S$140*(1+'财富模型'!$E$20/12)+'Calc'!$B$6,IF(Calc!$Q$141&lt;='财富模型'!$E$11*12,'Calc'!$W$14,'Calc'!$Y$14))))</x:f>
      </x:c>
      <x:c r="V141" t="str">
        <x:f>IF(Calc!$Q$141&gt;'Calc'!$B$8,"",'Calc'!$B$5-'财富模型'!$E$5-(IF('Calc'!$E$14=1,'财富模型'!$E$9,'财富模型'!$M$6+IF(Calc!$Q$141&lt;='财富模型'!$E$11*12,'Calc'!$W$14,'Calc'!$Y$14)-(IF('Calc'!$E$14=1,0,MIN(Calc!$S$140*(1+'财富模型'!$E$20/12)+'Calc'!$B$6,IF(Calc!$Q$141&lt;='财富模型'!$E$11*12,'Calc'!$W$14,'Calc'!$Y$14)))))))</x:f>
      </x:c>
      <x:c r="W141" t="str">
        <x:f>IF(Calc!$Q$141&gt;'Calc'!$B$8,"",IF('Calc'!$E$14=1,0,MAX(Calc!$W$140*(1+IF(Calc!$Q$141&lt;='财富模型'!$E$11*12,'财富模型'!$E$10,'财富模型'!$E$12)/12)-IF('Calc'!$E$14=1,0,IF(Calc!$Q$141&lt;='财富模型'!$E$11*12,'Calc'!$W$14,'Calc'!$Y$14)),0)))</x:f>
      </x:c>
      <x:c r="Y141" t="n">
        <x:v>120</x:v>
      </x:c>
      <x:c r="Z141" t="str">
        <x:f>IF(Calc!$Y$141&gt;'Calc'!$B$8,"",MAX(Calc!$Z$140*(1+'财富模型'!$E$6/12)+('Calc'!$B$5-'财富模型'!$E$5-(IF('Calc'!$E$15=1,'财富模型'!$E$9,'财富模型'!$M$7+IF(Calc!$Y$141&lt;='财富模型'!$E$11*12,'Calc'!$W$15,'Calc'!$Y$15)-(IF('Calc'!$E$15=1,0,MIN(Calc!$AA$140*(1+'财富模型'!$E$20/12)+'Calc'!$B$6,IF(Calc!$Y$141&lt;='财富模型'!$E$11*12,'Calc'!$W$15,'Calc'!$Y$15))))))),0))</x:f>
      </x:c>
      <x:c r="AA141" t="str">
        <x:f>IF(Calc!$Y$141&gt;'Calc'!$B$8,"",MAX(Calc!$AA$140*(1+'财富模型'!$E$20/12)+'Calc'!$B$6-(IF('Calc'!$E$15=1,0,MIN(Calc!$AA$140*(1+'财富模型'!$E$20/12)+'Calc'!$B$6,IF(Calc!$Y$141&lt;='财富模型'!$E$11*12,'Calc'!$W$15,'Calc'!$Y$15)))),0))</x:f>
      </x:c>
      <x:c r="AB141" t="str">
        <x:f>IF(Calc!$Y$141&gt;'Calc'!$B$8,"",IF('Calc'!$E$15=1,'财富模型'!$E$9,'财富模型'!$M$7+IF(Calc!$Y$141&lt;='财富模型'!$E$11*12,'Calc'!$W$15,'Calc'!$Y$15)-(IF('Calc'!$E$15=1,0,MIN(Calc!$AA$140*(1+'财富模型'!$E$20/12)+'Calc'!$B$6,IF(Calc!$Y$141&lt;='财富模型'!$E$11*12,'Calc'!$W$15,'Calc'!$Y$15))))))</x:f>
      </x:c>
      <x:c r="AC141" t="str">
        <x:f>IF(Calc!$Y$141&gt;'Calc'!$B$8,"",IF('Calc'!$E$15=1,0,MIN(Calc!$AA$140*(1+'财富模型'!$E$20/12)+'Calc'!$B$6,IF(Calc!$Y$141&lt;='财富模型'!$E$11*12,'Calc'!$W$15,'Calc'!$Y$15))))</x:f>
      </x:c>
      <x:c r="AD141" t="str">
        <x:f>IF(Calc!$Y$141&gt;'Calc'!$B$8,"",'Calc'!$B$5-'财富模型'!$E$5-(IF('Calc'!$E$15=1,'财富模型'!$E$9,'财富模型'!$M$7+IF(Calc!$Y$141&lt;='财富模型'!$E$11*12,'Calc'!$W$15,'Calc'!$Y$15)-(IF('Calc'!$E$15=1,0,MIN(Calc!$AA$140*(1+'财富模型'!$E$20/12)+'Calc'!$B$6,IF(Calc!$Y$141&lt;='财富模型'!$E$11*12,'Calc'!$W$15,'Calc'!$Y$15)))))))</x:f>
      </x:c>
      <x:c r="AE141" t="str">
        <x:f>IF(Calc!$Y$141&gt;'Calc'!$B$8,"",IF('Calc'!$E$15=1,0,MAX(Calc!$AE$140*(1+IF(Calc!$Y$141&lt;='财富模型'!$E$11*12,'财富模型'!$E$10,'财富模型'!$E$12)/12)-IF('Calc'!$E$15=1,0,IF(Calc!$Y$141&lt;='财富模型'!$E$11*12,'Calc'!$W$15,'Calc'!$Y$15)),0)))</x:f>
      </x:c>
      <x:c r="AG141" t="n">
        <x:v>120</x:v>
      </x:c>
      <x:c r="AH141" t="str">
        <x:f>IF(Calc!$AG$141&gt;'Calc'!$B$8,"",MAX(Calc!$AH$140*(1+'财富模型'!$E$6/12)+('Calc'!$B$5-'财富模型'!$E$5-(IF('Calc'!$E$16=1,'财富模型'!$E$9,'财富模型'!$M$8+IF(Calc!$AG$141&lt;='财富模型'!$E$11*12,'Calc'!$W$16,'Calc'!$Y$16)-(IF('Calc'!$E$16=1,0,MIN(Calc!$AI$140*(1+'财富模型'!$E$20/12)+'Calc'!$B$6,IF(Calc!$AG$141&lt;='财富模型'!$E$11*12,'Calc'!$W$16,'Calc'!$Y$16))))))),0))</x:f>
      </x:c>
      <x:c r="AI141" t="str">
        <x:f>IF(Calc!$AG$141&gt;'Calc'!$B$8,"",MAX(Calc!$AI$140*(1+'财富模型'!$E$20/12)+'Calc'!$B$6-(IF('Calc'!$E$16=1,0,MIN(Calc!$AI$140*(1+'财富模型'!$E$20/12)+'Calc'!$B$6,IF(Calc!$AG$141&lt;='财富模型'!$E$11*12,'Calc'!$W$16,'Calc'!$Y$16)))),0))</x:f>
      </x:c>
      <x:c r="AJ141" t="str">
        <x:f>IF(Calc!$AG$141&gt;'Calc'!$B$8,"",IF('Calc'!$E$16=1,'财富模型'!$E$9,'财富模型'!$M$8+IF(Calc!$AG$141&lt;='财富模型'!$E$11*12,'Calc'!$W$16,'Calc'!$Y$16)-(IF('Calc'!$E$16=1,0,MIN(Calc!$AI$140*(1+'财富模型'!$E$20/12)+'Calc'!$B$6,IF(Calc!$AG$141&lt;='财富模型'!$E$11*12,'Calc'!$W$16,'Calc'!$Y$16))))))</x:f>
      </x:c>
      <x:c r="AK141" t="str">
        <x:f>IF(Calc!$AG$141&gt;'Calc'!$B$8,"",IF('Calc'!$E$16=1,0,MIN(Calc!$AI$140*(1+'财富模型'!$E$20/12)+'Calc'!$B$6,IF(Calc!$AG$141&lt;='财富模型'!$E$11*12,'Calc'!$W$16,'Calc'!$Y$16))))</x:f>
      </x:c>
      <x:c r="AL141" t="str">
        <x:f>IF(Calc!$AG$141&gt;'Calc'!$B$8,"",'Calc'!$B$5-'财富模型'!$E$5-(IF('Calc'!$E$16=1,'财富模型'!$E$9,'财富模型'!$M$8+IF(Calc!$AG$141&lt;='财富模型'!$E$11*12,'Calc'!$W$16,'Calc'!$Y$16)-(IF('Calc'!$E$16=1,0,MIN(Calc!$AI$140*(1+'财富模型'!$E$20/12)+'Calc'!$B$6,IF(Calc!$AG$141&lt;='财富模型'!$E$11*12,'Calc'!$W$16,'Calc'!$Y$16)))))))</x:f>
      </x:c>
      <x:c r="AM141" t="str">
        <x:f>IF(Calc!$AG$141&gt;'Calc'!$B$8,"",IF('Calc'!$E$16=1,0,MAX(Calc!$AM$140*(1+IF(Calc!$AG$141&lt;='财富模型'!$E$11*12,'财富模型'!$E$10,'财富模型'!$E$12)/12)-IF('Calc'!$E$16=1,0,IF(Calc!$AG$141&lt;='财富模型'!$E$11*12,'Calc'!$W$16,'Calc'!$Y$16)),0)))</x:f>
      </x:c>
      <x:c r="AO141" t="n">
        <x:v>120</x:v>
      </x:c>
      <x:c r="AP141" t="str">
        <x:f>IF(Calc!$AO$141&gt;'Calc'!$B$8,"",MAX(Calc!$AP$140*(1+'财富模型'!$E$6/12)+('Calc'!$B$5-'财富模型'!$E$5-(IF('Calc'!$E$17=1,'财富模型'!$E$9,'财富模型'!$M$9+IF(Calc!$AO$141&lt;='财富模型'!$E$11*12,'Calc'!$W$17,'Calc'!$Y$17)-(IF('Calc'!$E$17=1,0,MIN(Calc!$AQ$140*(1+'财富模型'!$E$20/12)+'Calc'!$B$6,IF(Calc!$AO$141&lt;='财富模型'!$E$11*12,'Calc'!$W$17,'Calc'!$Y$17))))))),0))</x:f>
      </x:c>
      <x:c r="AQ141" t="str">
        <x:f>IF(Calc!$AO$141&gt;'Calc'!$B$8,"",MAX(Calc!$AQ$140*(1+'财富模型'!$E$20/12)+'Calc'!$B$6-(IF('Calc'!$E$17=1,0,MIN(Calc!$AQ$140*(1+'财富模型'!$E$20/12)+'Calc'!$B$6,IF(Calc!$AO$141&lt;='财富模型'!$E$11*12,'Calc'!$W$17,'Calc'!$Y$17)))),0))</x:f>
      </x:c>
      <x:c r="AR141" t="str">
        <x:f>IF(Calc!$AO$141&gt;'Calc'!$B$8,"",IF('Calc'!$E$17=1,'财富模型'!$E$9,'财富模型'!$M$9+IF(Calc!$AO$141&lt;='财富模型'!$E$11*12,'Calc'!$W$17,'Calc'!$Y$17)-(IF('Calc'!$E$17=1,0,MIN(Calc!$AQ$140*(1+'财富模型'!$E$20/12)+'Calc'!$B$6,IF(Calc!$AO$141&lt;='财富模型'!$E$11*12,'Calc'!$W$17,'Calc'!$Y$17))))))</x:f>
      </x:c>
      <x:c r="AS141" t="str">
        <x:f>IF(Calc!$AO$141&gt;'Calc'!$B$8,"",IF('Calc'!$E$17=1,0,MIN(Calc!$AQ$140*(1+'财富模型'!$E$20/12)+'Calc'!$B$6,IF(Calc!$AO$141&lt;='财富模型'!$E$11*12,'Calc'!$W$17,'Calc'!$Y$17))))</x:f>
      </x:c>
      <x:c r="AT141" t="str">
        <x:f>IF(Calc!$AO$141&gt;'Calc'!$B$8,"",'Calc'!$B$5-'财富模型'!$E$5-(IF('Calc'!$E$17=1,'财富模型'!$E$9,'财富模型'!$M$9+IF(Calc!$AO$141&lt;='财富模型'!$E$11*12,'Calc'!$W$17,'Calc'!$Y$17)-(IF('Calc'!$E$17=1,0,MIN(Calc!$AQ$140*(1+'财富模型'!$E$20/12)+'Calc'!$B$6,IF(Calc!$AO$141&lt;='财富模型'!$E$11*12,'Calc'!$W$17,'Calc'!$Y$17)))))))</x:f>
      </x:c>
      <x:c r="AU141" t="str">
        <x:f>IF(Calc!$AO$141&gt;'Calc'!$B$8,"",IF('Calc'!$E$17=1,0,MAX(Calc!$AU$140*(1+IF(Calc!$AO$141&lt;='财富模型'!$E$11*12,'财富模型'!$E$10,'财富模型'!$E$12)/12)-IF('Calc'!$E$17=1,0,IF(Calc!$AO$141&lt;='财富模型'!$E$11*12,'Calc'!$W$17,'Calc'!$Y$17)),0)))</x:f>
      </x:c>
    </x:row>
    <x:row r="142">
      <x:c r="A142" t="n">
        <x:v>121</x:v>
      </x:c>
      <x:c r="B142" t="str">
        <x:f>IF(Calc!$A$142&gt;'Calc'!$B$8,"",MAX(Calc!$B$141*(1+'财富模型'!$E$6/12)+('Calc'!$B$5-'财富模型'!$E$5-(IF('Calc'!$E$12=1,'财富模型'!$E$9,'财富模型'!$M$4+IF(Calc!$A$142&lt;='财富模型'!$E$11*12,'Calc'!$W$12,'Calc'!$Y$12)-(IF('Calc'!$E$12=1,0,MIN(Calc!$C$141*(1+'财富模型'!$E$20/12)+'Calc'!$B$6,IF(Calc!$A$142&lt;='财富模型'!$E$11*12,'Calc'!$W$12,'Calc'!$Y$12))))))),0))</x:f>
      </x:c>
      <x:c r="C142" t="str">
        <x:f>IF(Calc!$A$142&gt;'Calc'!$B$8,"",MAX(Calc!$C$141*(1+'财富模型'!$E$20/12)+'Calc'!$B$6-(IF('Calc'!$E$12=1,0,MIN(Calc!$C$141*(1+'财富模型'!$E$20/12)+'Calc'!$B$6,IF(Calc!$A$142&lt;='财富模型'!$E$11*12,'Calc'!$W$12,'Calc'!$Y$12)))),0))</x:f>
      </x:c>
      <x:c r="D142" t="str">
        <x:f>IF(Calc!$A$142&gt;'Calc'!$B$8,"",IF('Calc'!$E$12=1,'财富模型'!$E$9,'财富模型'!$M$4+IF(Calc!$A$142&lt;='财富模型'!$E$11*12,'Calc'!$W$12,'Calc'!$Y$12)-(IF('Calc'!$E$12=1,0,MIN(Calc!$C$141*(1+'财富模型'!$E$20/12)+'Calc'!$B$6,IF(Calc!$A$142&lt;='财富模型'!$E$11*12,'Calc'!$W$12,'Calc'!$Y$12))))))</x:f>
      </x:c>
      <x:c r="E142" t="str">
        <x:f>IF(Calc!$A$142&gt;'Calc'!$B$8,"",IF('Calc'!$E$12=1,0,MIN(Calc!$C$141*(1+'财富模型'!$E$20/12)+'Calc'!$B$6,IF(Calc!$A$142&lt;='财富模型'!$E$11*12,'Calc'!$W$12,'Calc'!$Y$12))))</x:f>
      </x:c>
      <x:c r="F142" t="str">
        <x:f>IF(Calc!$A$142&gt;'Calc'!$B$8,"",'Calc'!$B$5-'财富模型'!$E$5-(IF('Calc'!$E$12=1,'财富模型'!$E$9,'财富模型'!$M$4+IF(Calc!$A$142&lt;='财富模型'!$E$11*12,'Calc'!$W$12,'Calc'!$Y$12)-(IF('Calc'!$E$12=1,0,MIN(Calc!$C$141*(1+'财富模型'!$E$20/12)+'Calc'!$B$6,IF(Calc!$A$142&lt;='财富模型'!$E$11*12,'Calc'!$W$12,'Calc'!$Y$12)))))))</x:f>
      </x:c>
      <x:c r="G142" t="str">
        <x:f>IF(Calc!$A$142&gt;'Calc'!$B$8,"",IF('Calc'!$E$12=1,0,MAX(Calc!$G$141*(1+IF(Calc!$A$142&lt;='财富模型'!$E$11*12,'财富模型'!$E$10,'财富模型'!$E$12)/12)-IF('Calc'!$E$12=1,0,IF(Calc!$A$142&lt;='财富模型'!$E$11*12,'Calc'!$W$12,'Calc'!$Y$12)),0)))</x:f>
      </x:c>
      <x:c r="I142" t="n">
        <x:v>121</x:v>
      </x:c>
      <x:c r="J142" t="str">
        <x:f>IF(Calc!$I$142&gt;'Calc'!$B$8,"",MAX(Calc!$J$141*(1+'财富模型'!$E$6/12)+('Calc'!$B$5-'财富模型'!$E$5-(IF('Calc'!$E$13=1,'财富模型'!$E$9,'财富模型'!$M$5+IF(Calc!$I$142&lt;='财富模型'!$E$11*12,'Calc'!$W$13,'Calc'!$Y$13)-(IF('Calc'!$E$13=1,0,MIN(Calc!$K$141*(1+'财富模型'!$E$20/12)+'Calc'!$B$6,IF(Calc!$I$142&lt;='财富模型'!$E$11*12,'Calc'!$W$13,'Calc'!$Y$13))))))),0))</x:f>
      </x:c>
      <x:c r="K142" t="str">
        <x:f>IF(Calc!$I$142&gt;'Calc'!$B$8,"",MAX(Calc!$K$141*(1+'财富模型'!$E$20/12)+'Calc'!$B$6-(IF('Calc'!$E$13=1,0,MIN(Calc!$K$141*(1+'财富模型'!$E$20/12)+'Calc'!$B$6,IF(Calc!$I$142&lt;='财富模型'!$E$11*12,'Calc'!$W$13,'Calc'!$Y$13)))),0))</x:f>
      </x:c>
      <x:c r="L142" t="str">
        <x:f>IF(Calc!$I$142&gt;'Calc'!$B$8,"",IF('Calc'!$E$13=1,'财富模型'!$E$9,'财富模型'!$M$5+IF(Calc!$I$142&lt;='财富模型'!$E$11*12,'Calc'!$W$13,'Calc'!$Y$13)-(IF('Calc'!$E$13=1,0,MIN(Calc!$K$141*(1+'财富模型'!$E$20/12)+'Calc'!$B$6,IF(Calc!$I$142&lt;='财富模型'!$E$11*12,'Calc'!$W$13,'Calc'!$Y$13))))))</x:f>
      </x:c>
      <x:c r="M142" t="str">
        <x:f>IF(Calc!$I$142&gt;'Calc'!$B$8,"",IF('Calc'!$E$13=1,0,MIN(Calc!$K$141*(1+'财富模型'!$E$20/12)+'Calc'!$B$6,IF(Calc!$I$142&lt;='财富模型'!$E$11*12,'Calc'!$W$13,'Calc'!$Y$13))))</x:f>
      </x:c>
      <x:c r="N142" t="str">
        <x:f>IF(Calc!$I$142&gt;'Calc'!$B$8,"",'Calc'!$B$5-'财富模型'!$E$5-(IF('Calc'!$E$13=1,'财富模型'!$E$9,'财富模型'!$M$5+IF(Calc!$I$142&lt;='财富模型'!$E$11*12,'Calc'!$W$13,'Calc'!$Y$13)-(IF('Calc'!$E$13=1,0,MIN(Calc!$K$141*(1+'财富模型'!$E$20/12)+'Calc'!$B$6,IF(Calc!$I$142&lt;='财富模型'!$E$11*12,'Calc'!$W$13,'Calc'!$Y$13)))))))</x:f>
      </x:c>
      <x:c r="O142" t="str">
        <x:f>IF(Calc!$I$142&gt;'Calc'!$B$8,"",IF('Calc'!$E$13=1,0,MAX(Calc!$O$141*(1+IF(Calc!$I$142&lt;='财富模型'!$E$11*12,'财富模型'!$E$10,'财富模型'!$E$12)/12)-IF('Calc'!$E$13=1,0,IF(Calc!$I$142&lt;='财富模型'!$E$11*12,'Calc'!$W$13,'Calc'!$Y$13)),0)))</x:f>
      </x:c>
      <x:c r="Q142" t="n">
        <x:v>121</x:v>
      </x:c>
      <x:c r="R142" t="str">
        <x:f>IF(Calc!$Q$142&gt;'Calc'!$B$8,"",MAX(Calc!$R$141*(1+'财富模型'!$E$6/12)+('Calc'!$B$5-'财富模型'!$E$5-(IF('Calc'!$E$14=1,'财富模型'!$E$9,'财富模型'!$M$6+IF(Calc!$Q$142&lt;='财富模型'!$E$11*12,'Calc'!$W$14,'Calc'!$Y$14)-(IF('Calc'!$E$14=1,0,MIN(Calc!$S$141*(1+'财富模型'!$E$20/12)+'Calc'!$B$6,IF(Calc!$Q$142&lt;='财富模型'!$E$11*12,'Calc'!$W$14,'Calc'!$Y$14))))))),0))</x:f>
      </x:c>
      <x:c r="S142" t="str">
        <x:f>IF(Calc!$Q$142&gt;'Calc'!$B$8,"",MAX(Calc!$S$141*(1+'财富模型'!$E$20/12)+'Calc'!$B$6-(IF('Calc'!$E$14=1,0,MIN(Calc!$S$141*(1+'财富模型'!$E$20/12)+'Calc'!$B$6,IF(Calc!$Q$142&lt;='财富模型'!$E$11*12,'Calc'!$W$14,'Calc'!$Y$14)))),0))</x:f>
      </x:c>
      <x:c r="T142" t="str">
        <x:f>IF(Calc!$Q$142&gt;'Calc'!$B$8,"",IF('Calc'!$E$14=1,'财富模型'!$E$9,'财富模型'!$M$6+IF(Calc!$Q$142&lt;='财富模型'!$E$11*12,'Calc'!$W$14,'Calc'!$Y$14)-(IF('Calc'!$E$14=1,0,MIN(Calc!$S$141*(1+'财富模型'!$E$20/12)+'Calc'!$B$6,IF(Calc!$Q$142&lt;='财富模型'!$E$11*12,'Calc'!$W$14,'Calc'!$Y$14))))))</x:f>
      </x:c>
      <x:c r="U142" t="str">
        <x:f>IF(Calc!$Q$142&gt;'Calc'!$B$8,"",IF('Calc'!$E$14=1,0,MIN(Calc!$S$141*(1+'财富模型'!$E$20/12)+'Calc'!$B$6,IF(Calc!$Q$142&lt;='财富模型'!$E$11*12,'Calc'!$W$14,'Calc'!$Y$14))))</x:f>
      </x:c>
      <x:c r="V142" t="str">
        <x:f>IF(Calc!$Q$142&gt;'Calc'!$B$8,"",'Calc'!$B$5-'财富模型'!$E$5-(IF('Calc'!$E$14=1,'财富模型'!$E$9,'财富模型'!$M$6+IF(Calc!$Q$142&lt;='财富模型'!$E$11*12,'Calc'!$W$14,'Calc'!$Y$14)-(IF('Calc'!$E$14=1,0,MIN(Calc!$S$141*(1+'财富模型'!$E$20/12)+'Calc'!$B$6,IF(Calc!$Q$142&lt;='财富模型'!$E$11*12,'Calc'!$W$14,'Calc'!$Y$14)))))))</x:f>
      </x:c>
      <x:c r="W142" t="str">
        <x:f>IF(Calc!$Q$142&gt;'Calc'!$B$8,"",IF('Calc'!$E$14=1,0,MAX(Calc!$W$141*(1+IF(Calc!$Q$142&lt;='财富模型'!$E$11*12,'财富模型'!$E$10,'财富模型'!$E$12)/12)-IF('Calc'!$E$14=1,0,IF(Calc!$Q$142&lt;='财富模型'!$E$11*12,'Calc'!$W$14,'Calc'!$Y$14)),0)))</x:f>
      </x:c>
      <x:c r="Y142" t="n">
        <x:v>121</x:v>
      </x:c>
      <x:c r="Z142" t="str">
        <x:f>IF(Calc!$Y$142&gt;'Calc'!$B$8,"",MAX(Calc!$Z$141*(1+'财富模型'!$E$6/12)+('Calc'!$B$5-'财富模型'!$E$5-(IF('Calc'!$E$15=1,'财富模型'!$E$9,'财富模型'!$M$7+IF(Calc!$Y$142&lt;='财富模型'!$E$11*12,'Calc'!$W$15,'Calc'!$Y$15)-(IF('Calc'!$E$15=1,0,MIN(Calc!$AA$141*(1+'财富模型'!$E$20/12)+'Calc'!$B$6,IF(Calc!$Y$142&lt;='财富模型'!$E$11*12,'Calc'!$W$15,'Calc'!$Y$15))))))),0))</x:f>
      </x:c>
      <x:c r="AA142" t="str">
        <x:f>IF(Calc!$Y$142&gt;'Calc'!$B$8,"",MAX(Calc!$AA$141*(1+'财富模型'!$E$20/12)+'Calc'!$B$6-(IF('Calc'!$E$15=1,0,MIN(Calc!$AA$141*(1+'财富模型'!$E$20/12)+'Calc'!$B$6,IF(Calc!$Y$142&lt;='财富模型'!$E$11*12,'Calc'!$W$15,'Calc'!$Y$15)))),0))</x:f>
      </x:c>
      <x:c r="AB142" t="str">
        <x:f>IF(Calc!$Y$142&gt;'Calc'!$B$8,"",IF('Calc'!$E$15=1,'财富模型'!$E$9,'财富模型'!$M$7+IF(Calc!$Y$142&lt;='财富模型'!$E$11*12,'Calc'!$W$15,'Calc'!$Y$15)-(IF('Calc'!$E$15=1,0,MIN(Calc!$AA$141*(1+'财富模型'!$E$20/12)+'Calc'!$B$6,IF(Calc!$Y$142&lt;='财富模型'!$E$11*12,'Calc'!$W$15,'Calc'!$Y$15))))))</x:f>
      </x:c>
      <x:c r="AC142" t="str">
        <x:f>IF(Calc!$Y$142&gt;'Calc'!$B$8,"",IF('Calc'!$E$15=1,0,MIN(Calc!$AA$141*(1+'财富模型'!$E$20/12)+'Calc'!$B$6,IF(Calc!$Y$142&lt;='财富模型'!$E$11*12,'Calc'!$W$15,'Calc'!$Y$15))))</x:f>
      </x:c>
      <x:c r="AD142" t="str">
        <x:f>IF(Calc!$Y$142&gt;'Calc'!$B$8,"",'Calc'!$B$5-'财富模型'!$E$5-(IF('Calc'!$E$15=1,'财富模型'!$E$9,'财富模型'!$M$7+IF(Calc!$Y$142&lt;='财富模型'!$E$11*12,'Calc'!$W$15,'Calc'!$Y$15)-(IF('Calc'!$E$15=1,0,MIN(Calc!$AA$141*(1+'财富模型'!$E$20/12)+'Calc'!$B$6,IF(Calc!$Y$142&lt;='财富模型'!$E$11*12,'Calc'!$W$15,'Calc'!$Y$15)))))))</x:f>
      </x:c>
      <x:c r="AE142" t="str">
        <x:f>IF(Calc!$Y$142&gt;'Calc'!$B$8,"",IF('Calc'!$E$15=1,0,MAX(Calc!$AE$141*(1+IF(Calc!$Y$142&lt;='财富模型'!$E$11*12,'财富模型'!$E$10,'财富模型'!$E$12)/12)-IF('Calc'!$E$15=1,0,IF(Calc!$Y$142&lt;='财富模型'!$E$11*12,'Calc'!$W$15,'Calc'!$Y$15)),0)))</x:f>
      </x:c>
      <x:c r="AG142" t="n">
        <x:v>121</x:v>
      </x:c>
      <x:c r="AH142" t="str">
        <x:f>IF(Calc!$AG$142&gt;'Calc'!$B$8,"",MAX(Calc!$AH$141*(1+'财富模型'!$E$6/12)+('Calc'!$B$5-'财富模型'!$E$5-(IF('Calc'!$E$16=1,'财富模型'!$E$9,'财富模型'!$M$8+IF(Calc!$AG$142&lt;='财富模型'!$E$11*12,'Calc'!$W$16,'Calc'!$Y$16)-(IF('Calc'!$E$16=1,0,MIN(Calc!$AI$141*(1+'财富模型'!$E$20/12)+'Calc'!$B$6,IF(Calc!$AG$142&lt;='财富模型'!$E$11*12,'Calc'!$W$16,'Calc'!$Y$16))))))),0))</x:f>
      </x:c>
      <x:c r="AI142" t="str">
        <x:f>IF(Calc!$AG$142&gt;'Calc'!$B$8,"",MAX(Calc!$AI$141*(1+'财富模型'!$E$20/12)+'Calc'!$B$6-(IF('Calc'!$E$16=1,0,MIN(Calc!$AI$141*(1+'财富模型'!$E$20/12)+'Calc'!$B$6,IF(Calc!$AG$142&lt;='财富模型'!$E$11*12,'Calc'!$W$16,'Calc'!$Y$16)))),0))</x:f>
      </x:c>
      <x:c r="AJ142" t="str">
        <x:f>IF(Calc!$AG$142&gt;'Calc'!$B$8,"",IF('Calc'!$E$16=1,'财富模型'!$E$9,'财富模型'!$M$8+IF(Calc!$AG$142&lt;='财富模型'!$E$11*12,'Calc'!$W$16,'Calc'!$Y$16)-(IF('Calc'!$E$16=1,0,MIN(Calc!$AI$141*(1+'财富模型'!$E$20/12)+'Calc'!$B$6,IF(Calc!$AG$142&lt;='财富模型'!$E$11*12,'Calc'!$W$16,'Calc'!$Y$16))))))</x:f>
      </x:c>
      <x:c r="AK142" t="str">
        <x:f>IF(Calc!$AG$142&gt;'Calc'!$B$8,"",IF('Calc'!$E$16=1,0,MIN(Calc!$AI$141*(1+'财富模型'!$E$20/12)+'Calc'!$B$6,IF(Calc!$AG$142&lt;='财富模型'!$E$11*12,'Calc'!$W$16,'Calc'!$Y$16))))</x:f>
      </x:c>
      <x:c r="AL142" t="str">
        <x:f>IF(Calc!$AG$142&gt;'Calc'!$B$8,"",'Calc'!$B$5-'财富模型'!$E$5-(IF('Calc'!$E$16=1,'财富模型'!$E$9,'财富模型'!$M$8+IF(Calc!$AG$142&lt;='财富模型'!$E$11*12,'Calc'!$W$16,'Calc'!$Y$16)-(IF('Calc'!$E$16=1,0,MIN(Calc!$AI$141*(1+'财富模型'!$E$20/12)+'Calc'!$B$6,IF(Calc!$AG$142&lt;='财富模型'!$E$11*12,'Calc'!$W$16,'Calc'!$Y$16)))))))</x:f>
      </x:c>
      <x:c r="AM142" t="str">
        <x:f>IF(Calc!$AG$142&gt;'Calc'!$B$8,"",IF('Calc'!$E$16=1,0,MAX(Calc!$AM$141*(1+IF(Calc!$AG$142&lt;='财富模型'!$E$11*12,'财富模型'!$E$10,'财富模型'!$E$12)/12)-IF('Calc'!$E$16=1,0,IF(Calc!$AG$142&lt;='财富模型'!$E$11*12,'Calc'!$W$16,'Calc'!$Y$16)),0)))</x:f>
      </x:c>
      <x:c r="AO142" t="n">
        <x:v>121</x:v>
      </x:c>
      <x:c r="AP142" t="str">
        <x:f>IF(Calc!$AO$142&gt;'Calc'!$B$8,"",MAX(Calc!$AP$141*(1+'财富模型'!$E$6/12)+('Calc'!$B$5-'财富模型'!$E$5-(IF('Calc'!$E$17=1,'财富模型'!$E$9,'财富模型'!$M$9+IF(Calc!$AO$142&lt;='财富模型'!$E$11*12,'Calc'!$W$17,'Calc'!$Y$17)-(IF('Calc'!$E$17=1,0,MIN(Calc!$AQ$141*(1+'财富模型'!$E$20/12)+'Calc'!$B$6,IF(Calc!$AO$142&lt;='财富模型'!$E$11*12,'Calc'!$W$17,'Calc'!$Y$17))))))),0))</x:f>
      </x:c>
      <x:c r="AQ142" t="str">
        <x:f>IF(Calc!$AO$142&gt;'Calc'!$B$8,"",MAX(Calc!$AQ$141*(1+'财富模型'!$E$20/12)+'Calc'!$B$6-(IF('Calc'!$E$17=1,0,MIN(Calc!$AQ$141*(1+'财富模型'!$E$20/12)+'Calc'!$B$6,IF(Calc!$AO$142&lt;='财富模型'!$E$11*12,'Calc'!$W$17,'Calc'!$Y$17)))),0))</x:f>
      </x:c>
      <x:c r="AR142" t="str">
        <x:f>IF(Calc!$AO$142&gt;'Calc'!$B$8,"",IF('Calc'!$E$17=1,'财富模型'!$E$9,'财富模型'!$M$9+IF(Calc!$AO$142&lt;='财富模型'!$E$11*12,'Calc'!$W$17,'Calc'!$Y$17)-(IF('Calc'!$E$17=1,0,MIN(Calc!$AQ$141*(1+'财富模型'!$E$20/12)+'Calc'!$B$6,IF(Calc!$AO$142&lt;='财富模型'!$E$11*12,'Calc'!$W$17,'Calc'!$Y$17))))))</x:f>
      </x:c>
      <x:c r="AS142" t="str">
        <x:f>IF(Calc!$AO$142&gt;'Calc'!$B$8,"",IF('Calc'!$E$17=1,0,MIN(Calc!$AQ$141*(1+'财富模型'!$E$20/12)+'Calc'!$B$6,IF(Calc!$AO$142&lt;='财富模型'!$E$11*12,'Calc'!$W$17,'Calc'!$Y$17))))</x:f>
      </x:c>
      <x:c r="AT142" t="str">
        <x:f>IF(Calc!$AO$142&gt;'Calc'!$B$8,"",'Calc'!$B$5-'财富模型'!$E$5-(IF('Calc'!$E$17=1,'财富模型'!$E$9,'财富模型'!$M$9+IF(Calc!$AO$142&lt;='财富模型'!$E$11*12,'Calc'!$W$17,'Calc'!$Y$17)-(IF('Calc'!$E$17=1,0,MIN(Calc!$AQ$141*(1+'财富模型'!$E$20/12)+'Calc'!$B$6,IF(Calc!$AO$142&lt;='财富模型'!$E$11*12,'Calc'!$W$17,'Calc'!$Y$17)))))))</x:f>
      </x:c>
      <x:c r="AU142" t="str">
        <x:f>IF(Calc!$AO$142&gt;'Calc'!$B$8,"",IF('Calc'!$E$17=1,0,MAX(Calc!$AU$141*(1+IF(Calc!$AO$142&lt;='财富模型'!$E$11*12,'财富模型'!$E$10,'财富模型'!$E$12)/12)-IF('Calc'!$E$17=1,0,IF(Calc!$AO$142&lt;='财富模型'!$E$11*12,'Calc'!$W$17,'Calc'!$Y$17)),0)))</x:f>
      </x:c>
    </x:row>
    <x:row r="143">
      <x:c r="A143" t="n">
        <x:v>122</x:v>
      </x:c>
      <x:c r="B143" t="str">
        <x:f>IF(Calc!$A$143&gt;'Calc'!$B$8,"",MAX(Calc!$B$142*(1+'财富模型'!$E$6/12)+('Calc'!$B$5-'财富模型'!$E$5-(IF('Calc'!$E$12=1,'财富模型'!$E$9,'财富模型'!$M$4+IF(Calc!$A$143&lt;='财富模型'!$E$11*12,'Calc'!$W$12,'Calc'!$Y$12)-(IF('Calc'!$E$12=1,0,MIN(Calc!$C$142*(1+'财富模型'!$E$20/12)+'Calc'!$B$6,IF(Calc!$A$143&lt;='财富模型'!$E$11*12,'Calc'!$W$12,'Calc'!$Y$12))))))),0))</x:f>
      </x:c>
      <x:c r="C143" t="str">
        <x:f>IF(Calc!$A$143&gt;'Calc'!$B$8,"",MAX(Calc!$C$142*(1+'财富模型'!$E$20/12)+'Calc'!$B$6-(IF('Calc'!$E$12=1,0,MIN(Calc!$C$142*(1+'财富模型'!$E$20/12)+'Calc'!$B$6,IF(Calc!$A$143&lt;='财富模型'!$E$11*12,'Calc'!$W$12,'Calc'!$Y$12)))),0))</x:f>
      </x:c>
      <x:c r="D143" t="str">
        <x:f>IF(Calc!$A$143&gt;'Calc'!$B$8,"",IF('Calc'!$E$12=1,'财富模型'!$E$9,'财富模型'!$M$4+IF(Calc!$A$143&lt;='财富模型'!$E$11*12,'Calc'!$W$12,'Calc'!$Y$12)-(IF('Calc'!$E$12=1,0,MIN(Calc!$C$142*(1+'财富模型'!$E$20/12)+'Calc'!$B$6,IF(Calc!$A$143&lt;='财富模型'!$E$11*12,'Calc'!$W$12,'Calc'!$Y$12))))))</x:f>
      </x:c>
      <x:c r="E143" t="str">
        <x:f>IF(Calc!$A$143&gt;'Calc'!$B$8,"",IF('Calc'!$E$12=1,0,MIN(Calc!$C$142*(1+'财富模型'!$E$20/12)+'Calc'!$B$6,IF(Calc!$A$143&lt;='财富模型'!$E$11*12,'Calc'!$W$12,'Calc'!$Y$12))))</x:f>
      </x:c>
      <x:c r="F143" t="str">
        <x:f>IF(Calc!$A$143&gt;'Calc'!$B$8,"",'Calc'!$B$5-'财富模型'!$E$5-(IF('Calc'!$E$12=1,'财富模型'!$E$9,'财富模型'!$M$4+IF(Calc!$A$143&lt;='财富模型'!$E$11*12,'Calc'!$W$12,'Calc'!$Y$12)-(IF('Calc'!$E$12=1,0,MIN(Calc!$C$142*(1+'财富模型'!$E$20/12)+'Calc'!$B$6,IF(Calc!$A$143&lt;='财富模型'!$E$11*12,'Calc'!$W$12,'Calc'!$Y$12)))))))</x:f>
      </x:c>
      <x:c r="G143" t="str">
        <x:f>IF(Calc!$A$143&gt;'Calc'!$B$8,"",IF('Calc'!$E$12=1,0,MAX(Calc!$G$142*(1+IF(Calc!$A$143&lt;='财富模型'!$E$11*12,'财富模型'!$E$10,'财富模型'!$E$12)/12)-IF('Calc'!$E$12=1,0,IF(Calc!$A$143&lt;='财富模型'!$E$11*12,'Calc'!$W$12,'Calc'!$Y$12)),0)))</x:f>
      </x:c>
      <x:c r="I143" t="n">
        <x:v>122</x:v>
      </x:c>
      <x:c r="J143" t="str">
        <x:f>IF(Calc!$I$143&gt;'Calc'!$B$8,"",MAX(Calc!$J$142*(1+'财富模型'!$E$6/12)+('Calc'!$B$5-'财富模型'!$E$5-(IF('Calc'!$E$13=1,'财富模型'!$E$9,'财富模型'!$M$5+IF(Calc!$I$143&lt;='财富模型'!$E$11*12,'Calc'!$W$13,'Calc'!$Y$13)-(IF('Calc'!$E$13=1,0,MIN(Calc!$K$142*(1+'财富模型'!$E$20/12)+'Calc'!$B$6,IF(Calc!$I$143&lt;='财富模型'!$E$11*12,'Calc'!$W$13,'Calc'!$Y$13))))))),0))</x:f>
      </x:c>
      <x:c r="K143" t="str">
        <x:f>IF(Calc!$I$143&gt;'Calc'!$B$8,"",MAX(Calc!$K$142*(1+'财富模型'!$E$20/12)+'Calc'!$B$6-(IF('Calc'!$E$13=1,0,MIN(Calc!$K$142*(1+'财富模型'!$E$20/12)+'Calc'!$B$6,IF(Calc!$I$143&lt;='财富模型'!$E$11*12,'Calc'!$W$13,'Calc'!$Y$13)))),0))</x:f>
      </x:c>
      <x:c r="L143" t="str">
        <x:f>IF(Calc!$I$143&gt;'Calc'!$B$8,"",IF('Calc'!$E$13=1,'财富模型'!$E$9,'财富模型'!$M$5+IF(Calc!$I$143&lt;='财富模型'!$E$11*12,'Calc'!$W$13,'Calc'!$Y$13)-(IF('Calc'!$E$13=1,0,MIN(Calc!$K$142*(1+'财富模型'!$E$20/12)+'Calc'!$B$6,IF(Calc!$I$143&lt;='财富模型'!$E$11*12,'Calc'!$W$13,'Calc'!$Y$13))))))</x:f>
      </x:c>
      <x:c r="M143" t="str">
        <x:f>IF(Calc!$I$143&gt;'Calc'!$B$8,"",IF('Calc'!$E$13=1,0,MIN(Calc!$K$142*(1+'财富模型'!$E$20/12)+'Calc'!$B$6,IF(Calc!$I$143&lt;='财富模型'!$E$11*12,'Calc'!$W$13,'Calc'!$Y$13))))</x:f>
      </x:c>
      <x:c r="N143" t="str">
        <x:f>IF(Calc!$I$143&gt;'Calc'!$B$8,"",'Calc'!$B$5-'财富模型'!$E$5-(IF('Calc'!$E$13=1,'财富模型'!$E$9,'财富模型'!$M$5+IF(Calc!$I$143&lt;='财富模型'!$E$11*12,'Calc'!$W$13,'Calc'!$Y$13)-(IF('Calc'!$E$13=1,0,MIN(Calc!$K$142*(1+'财富模型'!$E$20/12)+'Calc'!$B$6,IF(Calc!$I$143&lt;='财富模型'!$E$11*12,'Calc'!$W$13,'Calc'!$Y$13)))))))</x:f>
      </x:c>
      <x:c r="O143" t="str">
        <x:f>IF(Calc!$I$143&gt;'Calc'!$B$8,"",IF('Calc'!$E$13=1,0,MAX(Calc!$O$142*(1+IF(Calc!$I$143&lt;='财富模型'!$E$11*12,'财富模型'!$E$10,'财富模型'!$E$12)/12)-IF('Calc'!$E$13=1,0,IF(Calc!$I$143&lt;='财富模型'!$E$11*12,'Calc'!$W$13,'Calc'!$Y$13)),0)))</x:f>
      </x:c>
      <x:c r="Q143" t="n">
        <x:v>122</x:v>
      </x:c>
      <x:c r="R143" t="str">
        <x:f>IF(Calc!$Q$143&gt;'Calc'!$B$8,"",MAX(Calc!$R$142*(1+'财富模型'!$E$6/12)+('Calc'!$B$5-'财富模型'!$E$5-(IF('Calc'!$E$14=1,'财富模型'!$E$9,'财富模型'!$M$6+IF(Calc!$Q$143&lt;='财富模型'!$E$11*12,'Calc'!$W$14,'Calc'!$Y$14)-(IF('Calc'!$E$14=1,0,MIN(Calc!$S$142*(1+'财富模型'!$E$20/12)+'Calc'!$B$6,IF(Calc!$Q$143&lt;='财富模型'!$E$11*12,'Calc'!$W$14,'Calc'!$Y$14))))))),0))</x:f>
      </x:c>
      <x:c r="S143" t="str">
        <x:f>IF(Calc!$Q$143&gt;'Calc'!$B$8,"",MAX(Calc!$S$142*(1+'财富模型'!$E$20/12)+'Calc'!$B$6-(IF('Calc'!$E$14=1,0,MIN(Calc!$S$142*(1+'财富模型'!$E$20/12)+'Calc'!$B$6,IF(Calc!$Q$143&lt;='财富模型'!$E$11*12,'Calc'!$W$14,'Calc'!$Y$14)))),0))</x:f>
      </x:c>
      <x:c r="T143" t="str">
        <x:f>IF(Calc!$Q$143&gt;'Calc'!$B$8,"",IF('Calc'!$E$14=1,'财富模型'!$E$9,'财富模型'!$M$6+IF(Calc!$Q$143&lt;='财富模型'!$E$11*12,'Calc'!$W$14,'Calc'!$Y$14)-(IF('Calc'!$E$14=1,0,MIN(Calc!$S$142*(1+'财富模型'!$E$20/12)+'Calc'!$B$6,IF(Calc!$Q$143&lt;='财富模型'!$E$11*12,'Calc'!$W$14,'Calc'!$Y$14))))))</x:f>
      </x:c>
      <x:c r="U143" t="str">
        <x:f>IF(Calc!$Q$143&gt;'Calc'!$B$8,"",IF('Calc'!$E$14=1,0,MIN(Calc!$S$142*(1+'财富模型'!$E$20/12)+'Calc'!$B$6,IF(Calc!$Q$143&lt;='财富模型'!$E$11*12,'Calc'!$W$14,'Calc'!$Y$14))))</x:f>
      </x:c>
      <x:c r="V143" t="str">
        <x:f>IF(Calc!$Q$143&gt;'Calc'!$B$8,"",'Calc'!$B$5-'财富模型'!$E$5-(IF('Calc'!$E$14=1,'财富模型'!$E$9,'财富模型'!$M$6+IF(Calc!$Q$143&lt;='财富模型'!$E$11*12,'Calc'!$W$14,'Calc'!$Y$14)-(IF('Calc'!$E$14=1,0,MIN(Calc!$S$142*(1+'财富模型'!$E$20/12)+'Calc'!$B$6,IF(Calc!$Q$143&lt;='财富模型'!$E$11*12,'Calc'!$W$14,'Calc'!$Y$14)))))))</x:f>
      </x:c>
      <x:c r="W143" t="str">
        <x:f>IF(Calc!$Q$143&gt;'Calc'!$B$8,"",IF('Calc'!$E$14=1,0,MAX(Calc!$W$142*(1+IF(Calc!$Q$143&lt;='财富模型'!$E$11*12,'财富模型'!$E$10,'财富模型'!$E$12)/12)-IF('Calc'!$E$14=1,0,IF(Calc!$Q$143&lt;='财富模型'!$E$11*12,'Calc'!$W$14,'Calc'!$Y$14)),0)))</x:f>
      </x:c>
      <x:c r="Y143" t="n">
        <x:v>122</x:v>
      </x:c>
      <x:c r="Z143" t="str">
        <x:f>IF(Calc!$Y$143&gt;'Calc'!$B$8,"",MAX(Calc!$Z$142*(1+'财富模型'!$E$6/12)+('Calc'!$B$5-'财富模型'!$E$5-(IF('Calc'!$E$15=1,'财富模型'!$E$9,'财富模型'!$M$7+IF(Calc!$Y$143&lt;='财富模型'!$E$11*12,'Calc'!$W$15,'Calc'!$Y$15)-(IF('Calc'!$E$15=1,0,MIN(Calc!$AA$142*(1+'财富模型'!$E$20/12)+'Calc'!$B$6,IF(Calc!$Y$143&lt;='财富模型'!$E$11*12,'Calc'!$W$15,'Calc'!$Y$15))))))),0))</x:f>
      </x:c>
      <x:c r="AA143" t="str">
        <x:f>IF(Calc!$Y$143&gt;'Calc'!$B$8,"",MAX(Calc!$AA$142*(1+'财富模型'!$E$20/12)+'Calc'!$B$6-(IF('Calc'!$E$15=1,0,MIN(Calc!$AA$142*(1+'财富模型'!$E$20/12)+'Calc'!$B$6,IF(Calc!$Y$143&lt;='财富模型'!$E$11*12,'Calc'!$W$15,'Calc'!$Y$15)))),0))</x:f>
      </x:c>
      <x:c r="AB143" t="str">
        <x:f>IF(Calc!$Y$143&gt;'Calc'!$B$8,"",IF('Calc'!$E$15=1,'财富模型'!$E$9,'财富模型'!$M$7+IF(Calc!$Y$143&lt;='财富模型'!$E$11*12,'Calc'!$W$15,'Calc'!$Y$15)-(IF('Calc'!$E$15=1,0,MIN(Calc!$AA$142*(1+'财富模型'!$E$20/12)+'Calc'!$B$6,IF(Calc!$Y$143&lt;='财富模型'!$E$11*12,'Calc'!$W$15,'Calc'!$Y$15))))))</x:f>
      </x:c>
      <x:c r="AC143" t="str">
        <x:f>IF(Calc!$Y$143&gt;'Calc'!$B$8,"",IF('Calc'!$E$15=1,0,MIN(Calc!$AA$142*(1+'财富模型'!$E$20/12)+'Calc'!$B$6,IF(Calc!$Y$143&lt;='财富模型'!$E$11*12,'Calc'!$W$15,'Calc'!$Y$15))))</x:f>
      </x:c>
      <x:c r="AD143" t="str">
        <x:f>IF(Calc!$Y$143&gt;'Calc'!$B$8,"",'Calc'!$B$5-'财富模型'!$E$5-(IF('Calc'!$E$15=1,'财富模型'!$E$9,'财富模型'!$M$7+IF(Calc!$Y$143&lt;='财富模型'!$E$11*12,'Calc'!$W$15,'Calc'!$Y$15)-(IF('Calc'!$E$15=1,0,MIN(Calc!$AA$142*(1+'财富模型'!$E$20/12)+'Calc'!$B$6,IF(Calc!$Y$143&lt;='财富模型'!$E$11*12,'Calc'!$W$15,'Calc'!$Y$15)))))))</x:f>
      </x:c>
      <x:c r="AE143" t="str">
        <x:f>IF(Calc!$Y$143&gt;'Calc'!$B$8,"",IF('Calc'!$E$15=1,0,MAX(Calc!$AE$142*(1+IF(Calc!$Y$143&lt;='财富模型'!$E$11*12,'财富模型'!$E$10,'财富模型'!$E$12)/12)-IF('Calc'!$E$15=1,0,IF(Calc!$Y$143&lt;='财富模型'!$E$11*12,'Calc'!$W$15,'Calc'!$Y$15)),0)))</x:f>
      </x:c>
      <x:c r="AG143" t="n">
        <x:v>122</x:v>
      </x:c>
      <x:c r="AH143" t="str">
        <x:f>IF(Calc!$AG$143&gt;'Calc'!$B$8,"",MAX(Calc!$AH$142*(1+'财富模型'!$E$6/12)+('Calc'!$B$5-'财富模型'!$E$5-(IF('Calc'!$E$16=1,'财富模型'!$E$9,'财富模型'!$M$8+IF(Calc!$AG$143&lt;='财富模型'!$E$11*12,'Calc'!$W$16,'Calc'!$Y$16)-(IF('Calc'!$E$16=1,0,MIN(Calc!$AI$142*(1+'财富模型'!$E$20/12)+'Calc'!$B$6,IF(Calc!$AG$143&lt;='财富模型'!$E$11*12,'Calc'!$W$16,'Calc'!$Y$16))))))),0))</x:f>
      </x:c>
      <x:c r="AI143" t="str">
        <x:f>IF(Calc!$AG$143&gt;'Calc'!$B$8,"",MAX(Calc!$AI$142*(1+'财富模型'!$E$20/12)+'Calc'!$B$6-(IF('Calc'!$E$16=1,0,MIN(Calc!$AI$142*(1+'财富模型'!$E$20/12)+'Calc'!$B$6,IF(Calc!$AG$143&lt;='财富模型'!$E$11*12,'Calc'!$W$16,'Calc'!$Y$16)))),0))</x:f>
      </x:c>
      <x:c r="AJ143" t="str">
        <x:f>IF(Calc!$AG$143&gt;'Calc'!$B$8,"",IF('Calc'!$E$16=1,'财富模型'!$E$9,'财富模型'!$M$8+IF(Calc!$AG$143&lt;='财富模型'!$E$11*12,'Calc'!$W$16,'Calc'!$Y$16)-(IF('Calc'!$E$16=1,0,MIN(Calc!$AI$142*(1+'财富模型'!$E$20/12)+'Calc'!$B$6,IF(Calc!$AG$143&lt;='财富模型'!$E$11*12,'Calc'!$W$16,'Calc'!$Y$16))))))</x:f>
      </x:c>
      <x:c r="AK143" t="str">
        <x:f>IF(Calc!$AG$143&gt;'Calc'!$B$8,"",IF('Calc'!$E$16=1,0,MIN(Calc!$AI$142*(1+'财富模型'!$E$20/12)+'Calc'!$B$6,IF(Calc!$AG$143&lt;='财富模型'!$E$11*12,'Calc'!$W$16,'Calc'!$Y$16))))</x:f>
      </x:c>
      <x:c r="AL143" t="str">
        <x:f>IF(Calc!$AG$143&gt;'Calc'!$B$8,"",'Calc'!$B$5-'财富模型'!$E$5-(IF('Calc'!$E$16=1,'财富模型'!$E$9,'财富模型'!$M$8+IF(Calc!$AG$143&lt;='财富模型'!$E$11*12,'Calc'!$W$16,'Calc'!$Y$16)-(IF('Calc'!$E$16=1,0,MIN(Calc!$AI$142*(1+'财富模型'!$E$20/12)+'Calc'!$B$6,IF(Calc!$AG$143&lt;='财富模型'!$E$11*12,'Calc'!$W$16,'Calc'!$Y$16)))))))</x:f>
      </x:c>
      <x:c r="AM143" t="str">
        <x:f>IF(Calc!$AG$143&gt;'Calc'!$B$8,"",IF('Calc'!$E$16=1,0,MAX(Calc!$AM$142*(1+IF(Calc!$AG$143&lt;='财富模型'!$E$11*12,'财富模型'!$E$10,'财富模型'!$E$12)/12)-IF('Calc'!$E$16=1,0,IF(Calc!$AG$143&lt;='财富模型'!$E$11*12,'Calc'!$W$16,'Calc'!$Y$16)),0)))</x:f>
      </x:c>
      <x:c r="AO143" t="n">
        <x:v>122</x:v>
      </x:c>
      <x:c r="AP143" t="str">
        <x:f>IF(Calc!$AO$143&gt;'Calc'!$B$8,"",MAX(Calc!$AP$142*(1+'财富模型'!$E$6/12)+('Calc'!$B$5-'财富模型'!$E$5-(IF('Calc'!$E$17=1,'财富模型'!$E$9,'财富模型'!$M$9+IF(Calc!$AO$143&lt;='财富模型'!$E$11*12,'Calc'!$W$17,'Calc'!$Y$17)-(IF('Calc'!$E$17=1,0,MIN(Calc!$AQ$142*(1+'财富模型'!$E$20/12)+'Calc'!$B$6,IF(Calc!$AO$143&lt;='财富模型'!$E$11*12,'Calc'!$W$17,'Calc'!$Y$17))))))),0))</x:f>
      </x:c>
      <x:c r="AQ143" t="str">
        <x:f>IF(Calc!$AO$143&gt;'Calc'!$B$8,"",MAX(Calc!$AQ$142*(1+'财富模型'!$E$20/12)+'Calc'!$B$6-(IF('Calc'!$E$17=1,0,MIN(Calc!$AQ$142*(1+'财富模型'!$E$20/12)+'Calc'!$B$6,IF(Calc!$AO$143&lt;='财富模型'!$E$11*12,'Calc'!$W$17,'Calc'!$Y$17)))),0))</x:f>
      </x:c>
      <x:c r="AR143" t="str">
        <x:f>IF(Calc!$AO$143&gt;'Calc'!$B$8,"",IF('Calc'!$E$17=1,'财富模型'!$E$9,'财富模型'!$M$9+IF(Calc!$AO$143&lt;='财富模型'!$E$11*12,'Calc'!$W$17,'Calc'!$Y$17)-(IF('Calc'!$E$17=1,0,MIN(Calc!$AQ$142*(1+'财富模型'!$E$20/12)+'Calc'!$B$6,IF(Calc!$AO$143&lt;='财富模型'!$E$11*12,'Calc'!$W$17,'Calc'!$Y$17))))))</x:f>
      </x:c>
      <x:c r="AS143" t="str">
        <x:f>IF(Calc!$AO$143&gt;'Calc'!$B$8,"",IF('Calc'!$E$17=1,0,MIN(Calc!$AQ$142*(1+'财富模型'!$E$20/12)+'Calc'!$B$6,IF(Calc!$AO$143&lt;='财富模型'!$E$11*12,'Calc'!$W$17,'Calc'!$Y$17))))</x:f>
      </x:c>
      <x:c r="AT143" t="str">
        <x:f>IF(Calc!$AO$143&gt;'Calc'!$B$8,"",'Calc'!$B$5-'财富模型'!$E$5-(IF('Calc'!$E$17=1,'财富模型'!$E$9,'财富模型'!$M$9+IF(Calc!$AO$143&lt;='财富模型'!$E$11*12,'Calc'!$W$17,'Calc'!$Y$17)-(IF('Calc'!$E$17=1,0,MIN(Calc!$AQ$142*(1+'财富模型'!$E$20/12)+'Calc'!$B$6,IF(Calc!$AO$143&lt;='财富模型'!$E$11*12,'Calc'!$W$17,'Calc'!$Y$17)))))))</x:f>
      </x:c>
      <x:c r="AU143" t="str">
        <x:f>IF(Calc!$AO$143&gt;'Calc'!$B$8,"",IF('Calc'!$E$17=1,0,MAX(Calc!$AU$142*(1+IF(Calc!$AO$143&lt;='财富模型'!$E$11*12,'财富模型'!$E$10,'财富模型'!$E$12)/12)-IF('Calc'!$E$17=1,0,IF(Calc!$AO$143&lt;='财富模型'!$E$11*12,'Calc'!$W$17,'Calc'!$Y$17)),0)))</x:f>
      </x:c>
    </x:row>
    <x:row r="144">
      <x:c r="A144" t="n">
        <x:v>123</x:v>
      </x:c>
      <x:c r="B144" t="str">
        <x:f>IF(Calc!$A$144&gt;'Calc'!$B$8,"",MAX(Calc!$B$143*(1+'财富模型'!$E$6/12)+('Calc'!$B$5-'财富模型'!$E$5-(IF('Calc'!$E$12=1,'财富模型'!$E$9,'财富模型'!$M$4+IF(Calc!$A$144&lt;='财富模型'!$E$11*12,'Calc'!$W$12,'Calc'!$Y$12)-(IF('Calc'!$E$12=1,0,MIN(Calc!$C$143*(1+'财富模型'!$E$20/12)+'Calc'!$B$6,IF(Calc!$A$144&lt;='财富模型'!$E$11*12,'Calc'!$W$12,'Calc'!$Y$12))))))),0))</x:f>
      </x:c>
      <x:c r="C144" t="str">
        <x:f>IF(Calc!$A$144&gt;'Calc'!$B$8,"",MAX(Calc!$C$143*(1+'财富模型'!$E$20/12)+'Calc'!$B$6-(IF('Calc'!$E$12=1,0,MIN(Calc!$C$143*(1+'财富模型'!$E$20/12)+'Calc'!$B$6,IF(Calc!$A$144&lt;='财富模型'!$E$11*12,'Calc'!$W$12,'Calc'!$Y$12)))),0))</x:f>
      </x:c>
      <x:c r="D144" t="str">
        <x:f>IF(Calc!$A$144&gt;'Calc'!$B$8,"",IF('Calc'!$E$12=1,'财富模型'!$E$9,'财富模型'!$M$4+IF(Calc!$A$144&lt;='财富模型'!$E$11*12,'Calc'!$W$12,'Calc'!$Y$12)-(IF('Calc'!$E$12=1,0,MIN(Calc!$C$143*(1+'财富模型'!$E$20/12)+'Calc'!$B$6,IF(Calc!$A$144&lt;='财富模型'!$E$11*12,'Calc'!$W$12,'Calc'!$Y$12))))))</x:f>
      </x:c>
      <x:c r="E144" t="str">
        <x:f>IF(Calc!$A$144&gt;'Calc'!$B$8,"",IF('Calc'!$E$12=1,0,MIN(Calc!$C$143*(1+'财富模型'!$E$20/12)+'Calc'!$B$6,IF(Calc!$A$144&lt;='财富模型'!$E$11*12,'Calc'!$W$12,'Calc'!$Y$12))))</x:f>
      </x:c>
      <x:c r="F144" t="str">
        <x:f>IF(Calc!$A$144&gt;'Calc'!$B$8,"",'Calc'!$B$5-'财富模型'!$E$5-(IF('Calc'!$E$12=1,'财富模型'!$E$9,'财富模型'!$M$4+IF(Calc!$A$144&lt;='财富模型'!$E$11*12,'Calc'!$W$12,'Calc'!$Y$12)-(IF('Calc'!$E$12=1,0,MIN(Calc!$C$143*(1+'财富模型'!$E$20/12)+'Calc'!$B$6,IF(Calc!$A$144&lt;='财富模型'!$E$11*12,'Calc'!$W$12,'Calc'!$Y$12)))))))</x:f>
      </x:c>
      <x:c r="G144" t="str">
        <x:f>IF(Calc!$A$144&gt;'Calc'!$B$8,"",IF('Calc'!$E$12=1,0,MAX(Calc!$G$143*(1+IF(Calc!$A$144&lt;='财富模型'!$E$11*12,'财富模型'!$E$10,'财富模型'!$E$12)/12)-IF('Calc'!$E$12=1,0,IF(Calc!$A$144&lt;='财富模型'!$E$11*12,'Calc'!$W$12,'Calc'!$Y$12)),0)))</x:f>
      </x:c>
      <x:c r="I144" t="n">
        <x:v>123</x:v>
      </x:c>
      <x:c r="J144" t="str">
        <x:f>IF(Calc!$I$144&gt;'Calc'!$B$8,"",MAX(Calc!$J$143*(1+'财富模型'!$E$6/12)+('Calc'!$B$5-'财富模型'!$E$5-(IF('Calc'!$E$13=1,'财富模型'!$E$9,'财富模型'!$M$5+IF(Calc!$I$144&lt;='财富模型'!$E$11*12,'Calc'!$W$13,'Calc'!$Y$13)-(IF('Calc'!$E$13=1,0,MIN(Calc!$K$143*(1+'财富模型'!$E$20/12)+'Calc'!$B$6,IF(Calc!$I$144&lt;='财富模型'!$E$11*12,'Calc'!$W$13,'Calc'!$Y$13))))))),0))</x:f>
      </x:c>
      <x:c r="K144" t="str">
        <x:f>IF(Calc!$I$144&gt;'Calc'!$B$8,"",MAX(Calc!$K$143*(1+'财富模型'!$E$20/12)+'Calc'!$B$6-(IF('Calc'!$E$13=1,0,MIN(Calc!$K$143*(1+'财富模型'!$E$20/12)+'Calc'!$B$6,IF(Calc!$I$144&lt;='财富模型'!$E$11*12,'Calc'!$W$13,'Calc'!$Y$13)))),0))</x:f>
      </x:c>
      <x:c r="L144" t="str">
        <x:f>IF(Calc!$I$144&gt;'Calc'!$B$8,"",IF('Calc'!$E$13=1,'财富模型'!$E$9,'财富模型'!$M$5+IF(Calc!$I$144&lt;='财富模型'!$E$11*12,'Calc'!$W$13,'Calc'!$Y$13)-(IF('Calc'!$E$13=1,0,MIN(Calc!$K$143*(1+'财富模型'!$E$20/12)+'Calc'!$B$6,IF(Calc!$I$144&lt;='财富模型'!$E$11*12,'Calc'!$W$13,'Calc'!$Y$13))))))</x:f>
      </x:c>
      <x:c r="M144" t="str">
        <x:f>IF(Calc!$I$144&gt;'Calc'!$B$8,"",IF('Calc'!$E$13=1,0,MIN(Calc!$K$143*(1+'财富模型'!$E$20/12)+'Calc'!$B$6,IF(Calc!$I$144&lt;='财富模型'!$E$11*12,'Calc'!$W$13,'Calc'!$Y$13))))</x:f>
      </x:c>
      <x:c r="N144" t="str">
        <x:f>IF(Calc!$I$144&gt;'Calc'!$B$8,"",'Calc'!$B$5-'财富模型'!$E$5-(IF('Calc'!$E$13=1,'财富模型'!$E$9,'财富模型'!$M$5+IF(Calc!$I$144&lt;='财富模型'!$E$11*12,'Calc'!$W$13,'Calc'!$Y$13)-(IF('Calc'!$E$13=1,0,MIN(Calc!$K$143*(1+'财富模型'!$E$20/12)+'Calc'!$B$6,IF(Calc!$I$144&lt;='财富模型'!$E$11*12,'Calc'!$W$13,'Calc'!$Y$13)))))))</x:f>
      </x:c>
      <x:c r="O144" t="str">
        <x:f>IF(Calc!$I$144&gt;'Calc'!$B$8,"",IF('Calc'!$E$13=1,0,MAX(Calc!$O$143*(1+IF(Calc!$I$144&lt;='财富模型'!$E$11*12,'财富模型'!$E$10,'财富模型'!$E$12)/12)-IF('Calc'!$E$13=1,0,IF(Calc!$I$144&lt;='财富模型'!$E$11*12,'Calc'!$W$13,'Calc'!$Y$13)),0)))</x:f>
      </x:c>
      <x:c r="Q144" t="n">
        <x:v>123</x:v>
      </x:c>
      <x:c r="R144" t="str">
        <x:f>IF(Calc!$Q$144&gt;'Calc'!$B$8,"",MAX(Calc!$R$143*(1+'财富模型'!$E$6/12)+('Calc'!$B$5-'财富模型'!$E$5-(IF('Calc'!$E$14=1,'财富模型'!$E$9,'财富模型'!$M$6+IF(Calc!$Q$144&lt;='财富模型'!$E$11*12,'Calc'!$W$14,'Calc'!$Y$14)-(IF('Calc'!$E$14=1,0,MIN(Calc!$S$143*(1+'财富模型'!$E$20/12)+'Calc'!$B$6,IF(Calc!$Q$144&lt;='财富模型'!$E$11*12,'Calc'!$W$14,'Calc'!$Y$14))))))),0))</x:f>
      </x:c>
      <x:c r="S144" t="str">
        <x:f>IF(Calc!$Q$144&gt;'Calc'!$B$8,"",MAX(Calc!$S$143*(1+'财富模型'!$E$20/12)+'Calc'!$B$6-(IF('Calc'!$E$14=1,0,MIN(Calc!$S$143*(1+'财富模型'!$E$20/12)+'Calc'!$B$6,IF(Calc!$Q$144&lt;='财富模型'!$E$11*12,'Calc'!$W$14,'Calc'!$Y$14)))),0))</x:f>
      </x:c>
      <x:c r="T144" t="str">
        <x:f>IF(Calc!$Q$144&gt;'Calc'!$B$8,"",IF('Calc'!$E$14=1,'财富模型'!$E$9,'财富模型'!$M$6+IF(Calc!$Q$144&lt;='财富模型'!$E$11*12,'Calc'!$W$14,'Calc'!$Y$14)-(IF('Calc'!$E$14=1,0,MIN(Calc!$S$143*(1+'财富模型'!$E$20/12)+'Calc'!$B$6,IF(Calc!$Q$144&lt;='财富模型'!$E$11*12,'Calc'!$W$14,'Calc'!$Y$14))))))</x:f>
      </x:c>
      <x:c r="U144" t="str">
        <x:f>IF(Calc!$Q$144&gt;'Calc'!$B$8,"",IF('Calc'!$E$14=1,0,MIN(Calc!$S$143*(1+'财富模型'!$E$20/12)+'Calc'!$B$6,IF(Calc!$Q$144&lt;='财富模型'!$E$11*12,'Calc'!$W$14,'Calc'!$Y$14))))</x:f>
      </x:c>
      <x:c r="V144" t="str">
        <x:f>IF(Calc!$Q$144&gt;'Calc'!$B$8,"",'Calc'!$B$5-'财富模型'!$E$5-(IF('Calc'!$E$14=1,'财富模型'!$E$9,'财富模型'!$M$6+IF(Calc!$Q$144&lt;='财富模型'!$E$11*12,'Calc'!$W$14,'Calc'!$Y$14)-(IF('Calc'!$E$14=1,0,MIN(Calc!$S$143*(1+'财富模型'!$E$20/12)+'Calc'!$B$6,IF(Calc!$Q$144&lt;='财富模型'!$E$11*12,'Calc'!$W$14,'Calc'!$Y$14)))))))</x:f>
      </x:c>
      <x:c r="W144" t="str">
        <x:f>IF(Calc!$Q$144&gt;'Calc'!$B$8,"",IF('Calc'!$E$14=1,0,MAX(Calc!$W$143*(1+IF(Calc!$Q$144&lt;='财富模型'!$E$11*12,'财富模型'!$E$10,'财富模型'!$E$12)/12)-IF('Calc'!$E$14=1,0,IF(Calc!$Q$144&lt;='财富模型'!$E$11*12,'Calc'!$W$14,'Calc'!$Y$14)),0)))</x:f>
      </x:c>
      <x:c r="Y144" t="n">
        <x:v>123</x:v>
      </x:c>
      <x:c r="Z144" t="str">
        <x:f>IF(Calc!$Y$144&gt;'Calc'!$B$8,"",MAX(Calc!$Z$143*(1+'财富模型'!$E$6/12)+('Calc'!$B$5-'财富模型'!$E$5-(IF('Calc'!$E$15=1,'财富模型'!$E$9,'财富模型'!$M$7+IF(Calc!$Y$144&lt;='财富模型'!$E$11*12,'Calc'!$W$15,'Calc'!$Y$15)-(IF('Calc'!$E$15=1,0,MIN(Calc!$AA$143*(1+'财富模型'!$E$20/12)+'Calc'!$B$6,IF(Calc!$Y$144&lt;='财富模型'!$E$11*12,'Calc'!$W$15,'Calc'!$Y$15))))))),0))</x:f>
      </x:c>
      <x:c r="AA144" t="str">
        <x:f>IF(Calc!$Y$144&gt;'Calc'!$B$8,"",MAX(Calc!$AA$143*(1+'财富模型'!$E$20/12)+'Calc'!$B$6-(IF('Calc'!$E$15=1,0,MIN(Calc!$AA$143*(1+'财富模型'!$E$20/12)+'Calc'!$B$6,IF(Calc!$Y$144&lt;='财富模型'!$E$11*12,'Calc'!$W$15,'Calc'!$Y$15)))),0))</x:f>
      </x:c>
      <x:c r="AB144" t="str">
        <x:f>IF(Calc!$Y$144&gt;'Calc'!$B$8,"",IF('Calc'!$E$15=1,'财富模型'!$E$9,'财富模型'!$M$7+IF(Calc!$Y$144&lt;='财富模型'!$E$11*12,'Calc'!$W$15,'Calc'!$Y$15)-(IF('Calc'!$E$15=1,0,MIN(Calc!$AA$143*(1+'财富模型'!$E$20/12)+'Calc'!$B$6,IF(Calc!$Y$144&lt;='财富模型'!$E$11*12,'Calc'!$W$15,'Calc'!$Y$15))))))</x:f>
      </x:c>
      <x:c r="AC144" t="str">
        <x:f>IF(Calc!$Y$144&gt;'Calc'!$B$8,"",IF('Calc'!$E$15=1,0,MIN(Calc!$AA$143*(1+'财富模型'!$E$20/12)+'Calc'!$B$6,IF(Calc!$Y$144&lt;='财富模型'!$E$11*12,'Calc'!$W$15,'Calc'!$Y$15))))</x:f>
      </x:c>
      <x:c r="AD144" t="str">
        <x:f>IF(Calc!$Y$144&gt;'Calc'!$B$8,"",'Calc'!$B$5-'财富模型'!$E$5-(IF('Calc'!$E$15=1,'财富模型'!$E$9,'财富模型'!$M$7+IF(Calc!$Y$144&lt;='财富模型'!$E$11*12,'Calc'!$W$15,'Calc'!$Y$15)-(IF('Calc'!$E$15=1,0,MIN(Calc!$AA$143*(1+'财富模型'!$E$20/12)+'Calc'!$B$6,IF(Calc!$Y$144&lt;='财富模型'!$E$11*12,'Calc'!$W$15,'Calc'!$Y$15)))))))</x:f>
      </x:c>
      <x:c r="AE144" t="str">
        <x:f>IF(Calc!$Y$144&gt;'Calc'!$B$8,"",IF('Calc'!$E$15=1,0,MAX(Calc!$AE$143*(1+IF(Calc!$Y$144&lt;='财富模型'!$E$11*12,'财富模型'!$E$10,'财富模型'!$E$12)/12)-IF('Calc'!$E$15=1,0,IF(Calc!$Y$144&lt;='财富模型'!$E$11*12,'Calc'!$W$15,'Calc'!$Y$15)),0)))</x:f>
      </x:c>
      <x:c r="AG144" t="n">
        <x:v>123</x:v>
      </x:c>
      <x:c r="AH144" t="str">
        <x:f>IF(Calc!$AG$144&gt;'Calc'!$B$8,"",MAX(Calc!$AH$143*(1+'财富模型'!$E$6/12)+('Calc'!$B$5-'财富模型'!$E$5-(IF('Calc'!$E$16=1,'财富模型'!$E$9,'财富模型'!$M$8+IF(Calc!$AG$144&lt;='财富模型'!$E$11*12,'Calc'!$W$16,'Calc'!$Y$16)-(IF('Calc'!$E$16=1,0,MIN(Calc!$AI$143*(1+'财富模型'!$E$20/12)+'Calc'!$B$6,IF(Calc!$AG$144&lt;='财富模型'!$E$11*12,'Calc'!$W$16,'Calc'!$Y$16))))))),0))</x:f>
      </x:c>
      <x:c r="AI144" t="str">
        <x:f>IF(Calc!$AG$144&gt;'Calc'!$B$8,"",MAX(Calc!$AI$143*(1+'财富模型'!$E$20/12)+'Calc'!$B$6-(IF('Calc'!$E$16=1,0,MIN(Calc!$AI$143*(1+'财富模型'!$E$20/12)+'Calc'!$B$6,IF(Calc!$AG$144&lt;='财富模型'!$E$11*12,'Calc'!$W$16,'Calc'!$Y$16)))),0))</x:f>
      </x:c>
      <x:c r="AJ144" t="str">
        <x:f>IF(Calc!$AG$144&gt;'Calc'!$B$8,"",IF('Calc'!$E$16=1,'财富模型'!$E$9,'财富模型'!$M$8+IF(Calc!$AG$144&lt;='财富模型'!$E$11*12,'Calc'!$W$16,'Calc'!$Y$16)-(IF('Calc'!$E$16=1,0,MIN(Calc!$AI$143*(1+'财富模型'!$E$20/12)+'Calc'!$B$6,IF(Calc!$AG$144&lt;='财富模型'!$E$11*12,'Calc'!$W$16,'Calc'!$Y$16))))))</x:f>
      </x:c>
      <x:c r="AK144" t="str">
        <x:f>IF(Calc!$AG$144&gt;'Calc'!$B$8,"",IF('Calc'!$E$16=1,0,MIN(Calc!$AI$143*(1+'财富模型'!$E$20/12)+'Calc'!$B$6,IF(Calc!$AG$144&lt;='财富模型'!$E$11*12,'Calc'!$W$16,'Calc'!$Y$16))))</x:f>
      </x:c>
      <x:c r="AL144" t="str">
        <x:f>IF(Calc!$AG$144&gt;'Calc'!$B$8,"",'Calc'!$B$5-'财富模型'!$E$5-(IF('Calc'!$E$16=1,'财富模型'!$E$9,'财富模型'!$M$8+IF(Calc!$AG$144&lt;='财富模型'!$E$11*12,'Calc'!$W$16,'Calc'!$Y$16)-(IF('Calc'!$E$16=1,0,MIN(Calc!$AI$143*(1+'财富模型'!$E$20/12)+'Calc'!$B$6,IF(Calc!$AG$144&lt;='财富模型'!$E$11*12,'Calc'!$W$16,'Calc'!$Y$16)))))))</x:f>
      </x:c>
      <x:c r="AM144" t="str">
        <x:f>IF(Calc!$AG$144&gt;'Calc'!$B$8,"",IF('Calc'!$E$16=1,0,MAX(Calc!$AM$143*(1+IF(Calc!$AG$144&lt;='财富模型'!$E$11*12,'财富模型'!$E$10,'财富模型'!$E$12)/12)-IF('Calc'!$E$16=1,0,IF(Calc!$AG$144&lt;='财富模型'!$E$11*12,'Calc'!$W$16,'Calc'!$Y$16)),0)))</x:f>
      </x:c>
      <x:c r="AO144" t="n">
        <x:v>123</x:v>
      </x:c>
      <x:c r="AP144" t="str">
        <x:f>IF(Calc!$AO$144&gt;'Calc'!$B$8,"",MAX(Calc!$AP$143*(1+'财富模型'!$E$6/12)+('Calc'!$B$5-'财富模型'!$E$5-(IF('Calc'!$E$17=1,'财富模型'!$E$9,'财富模型'!$M$9+IF(Calc!$AO$144&lt;='财富模型'!$E$11*12,'Calc'!$W$17,'Calc'!$Y$17)-(IF('Calc'!$E$17=1,0,MIN(Calc!$AQ$143*(1+'财富模型'!$E$20/12)+'Calc'!$B$6,IF(Calc!$AO$144&lt;='财富模型'!$E$11*12,'Calc'!$W$17,'Calc'!$Y$17))))))),0))</x:f>
      </x:c>
      <x:c r="AQ144" t="str">
        <x:f>IF(Calc!$AO$144&gt;'Calc'!$B$8,"",MAX(Calc!$AQ$143*(1+'财富模型'!$E$20/12)+'Calc'!$B$6-(IF('Calc'!$E$17=1,0,MIN(Calc!$AQ$143*(1+'财富模型'!$E$20/12)+'Calc'!$B$6,IF(Calc!$AO$144&lt;='财富模型'!$E$11*12,'Calc'!$W$17,'Calc'!$Y$17)))),0))</x:f>
      </x:c>
      <x:c r="AR144" t="str">
        <x:f>IF(Calc!$AO$144&gt;'Calc'!$B$8,"",IF('Calc'!$E$17=1,'财富模型'!$E$9,'财富模型'!$M$9+IF(Calc!$AO$144&lt;='财富模型'!$E$11*12,'Calc'!$W$17,'Calc'!$Y$17)-(IF('Calc'!$E$17=1,0,MIN(Calc!$AQ$143*(1+'财富模型'!$E$20/12)+'Calc'!$B$6,IF(Calc!$AO$144&lt;='财富模型'!$E$11*12,'Calc'!$W$17,'Calc'!$Y$17))))))</x:f>
      </x:c>
      <x:c r="AS144" t="str">
        <x:f>IF(Calc!$AO$144&gt;'Calc'!$B$8,"",IF('Calc'!$E$17=1,0,MIN(Calc!$AQ$143*(1+'财富模型'!$E$20/12)+'Calc'!$B$6,IF(Calc!$AO$144&lt;='财富模型'!$E$11*12,'Calc'!$W$17,'Calc'!$Y$17))))</x:f>
      </x:c>
      <x:c r="AT144" t="str">
        <x:f>IF(Calc!$AO$144&gt;'Calc'!$B$8,"",'Calc'!$B$5-'财富模型'!$E$5-(IF('Calc'!$E$17=1,'财富模型'!$E$9,'财富模型'!$M$9+IF(Calc!$AO$144&lt;='财富模型'!$E$11*12,'Calc'!$W$17,'Calc'!$Y$17)-(IF('Calc'!$E$17=1,0,MIN(Calc!$AQ$143*(1+'财富模型'!$E$20/12)+'Calc'!$B$6,IF(Calc!$AO$144&lt;='财富模型'!$E$11*12,'Calc'!$W$17,'Calc'!$Y$17)))))))</x:f>
      </x:c>
      <x:c r="AU144" t="str">
        <x:f>IF(Calc!$AO$144&gt;'Calc'!$B$8,"",IF('Calc'!$E$17=1,0,MAX(Calc!$AU$143*(1+IF(Calc!$AO$144&lt;='财富模型'!$E$11*12,'财富模型'!$E$10,'财富模型'!$E$12)/12)-IF('Calc'!$E$17=1,0,IF(Calc!$AO$144&lt;='财富模型'!$E$11*12,'Calc'!$W$17,'Calc'!$Y$17)),0)))</x:f>
      </x:c>
    </x:row>
    <x:row r="145">
      <x:c r="A145" t="n">
        <x:v>124</x:v>
      </x:c>
      <x:c r="B145" t="str">
        <x:f>IF(Calc!$A$145&gt;'Calc'!$B$8,"",MAX(Calc!$B$144*(1+'财富模型'!$E$6/12)+('Calc'!$B$5-'财富模型'!$E$5-(IF('Calc'!$E$12=1,'财富模型'!$E$9,'财富模型'!$M$4+IF(Calc!$A$145&lt;='财富模型'!$E$11*12,'Calc'!$W$12,'Calc'!$Y$12)-(IF('Calc'!$E$12=1,0,MIN(Calc!$C$144*(1+'财富模型'!$E$20/12)+'Calc'!$B$6,IF(Calc!$A$145&lt;='财富模型'!$E$11*12,'Calc'!$W$12,'Calc'!$Y$12))))))),0))</x:f>
      </x:c>
      <x:c r="C145" t="str">
        <x:f>IF(Calc!$A$145&gt;'Calc'!$B$8,"",MAX(Calc!$C$144*(1+'财富模型'!$E$20/12)+'Calc'!$B$6-(IF('Calc'!$E$12=1,0,MIN(Calc!$C$144*(1+'财富模型'!$E$20/12)+'Calc'!$B$6,IF(Calc!$A$145&lt;='财富模型'!$E$11*12,'Calc'!$W$12,'Calc'!$Y$12)))),0))</x:f>
      </x:c>
      <x:c r="D145" t="str">
        <x:f>IF(Calc!$A$145&gt;'Calc'!$B$8,"",IF('Calc'!$E$12=1,'财富模型'!$E$9,'财富模型'!$M$4+IF(Calc!$A$145&lt;='财富模型'!$E$11*12,'Calc'!$W$12,'Calc'!$Y$12)-(IF('Calc'!$E$12=1,0,MIN(Calc!$C$144*(1+'财富模型'!$E$20/12)+'Calc'!$B$6,IF(Calc!$A$145&lt;='财富模型'!$E$11*12,'Calc'!$W$12,'Calc'!$Y$12))))))</x:f>
      </x:c>
      <x:c r="E145" t="str">
        <x:f>IF(Calc!$A$145&gt;'Calc'!$B$8,"",IF('Calc'!$E$12=1,0,MIN(Calc!$C$144*(1+'财富模型'!$E$20/12)+'Calc'!$B$6,IF(Calc!$A$145&lt;='财富模型'!$E$11*12,'Calc'!$W$12,'Calc'!$Y$12))))</x:f>
      </x:c>
      <x:c r="F145" t="str">
        <x:f>IF(Calc!$A$145&gt;'Calc'!$B$8,"",'Calc'!$B$5-'财富模型'!$E$5-(IF('Calc'!$E$12=1,'财富模型'!$E$9,'财富模型'!$M$4+IF(Calc!$A$145&lt;='财富模型'!$E$11*12,'Calc'!$W$12,'Calc'!$Y$12)-(IF('Calc'!$E$12=1,0,MIN(Calc!$C$144*(1+'财富模型'!$E$20/12)+'Calc'!$B$6,IF(Calc!$A$145&lt;='财富模型'!$E$11*12,'Calc'!$W$12,'Calc'!$Y$12)))))))</x:f>
      </x:c>
      <x:c r="G145" t="str">
        <x:f>IF(Calc!$A$145&gt;'Calc'!$B$8,"",IF('Calc'!$E$12=1,0,MAX(Calc!$G$144*(1+IF(Calc!$A$145&lt;='财富模型'!$E$11*12,'财富模型'!$E$10,'财富模型'!$E$12)/12)-IF('Calc'!$E$12=1,0,IF(Calc!$A$145&lt;='财富模型'!$E$11*12,'Calc'!$W$12,'Calc'!$Y$12)),0)))</x:f>
      </x:c>
      <x:c r="I145" t="n">
        <x:v>124</x:v>
      </x:c>
      <x:c r="J145" t="str">
        <x:f>IF(Calc!$I$145&gt;'Calc'!$B$8,"",MAX(Calc!$J$144*(1+'财富模型'!$E$6/12)+('Calc'!$B$5-'财富模型'!$E$5-(IF('Calc'!$E$13=1,'财富模型'!$E$9,'财富模型'!$M$5+IF(Calc!$I$145&lt;='财富模型'!$E$11*12,'Calc'!$W$13,'Calc'!$Y$13)-(IF('Calc'!$E$13=1,0,MIN(Calc!$K$144*(1+'财富模型'!$E$20/12)+'Calc'!$B$6,IF(Calc!$I$145&lt;='财富模型'!$E$11*12,'Calc'!$W$13,'Calc'!$Y$13))))))),0))</x:f>
      </x:c>
      <x:c r="K145" t="str">
        <x:f>IF(Calc!$I$145&gt;'Calc'!$B$8,"",MAX(Calc!$K$144*(1+'财富模型'!$E$20/12)+'Calc'!$B$6-(IF('Calc'!$E$13=1,0,MIN(Calc!$K$144*(1+'财富模型'!$E$20/12)+'Calc'!$B$6,IF(Calc!$I$145&lt;='财富模型'!$E$11*12,'Calc'!$W$13,'Calc'!$Y$13)))),0))</x:f>
      </x:c>
      <x:c r="L145" t="str">
        <x:f>IF(Calc!$I$145&gt;'Calc'!$B$8,"",IF('Calc'!$E$13=1,'财富模型'!$E$9,'财富模型'!$M$5+IF(Calc!$I$145&lt;='财富模型'!$E$11*12,'Calc'!$W$13,'Calc'!$Y$13)-(IF('Calc'!$E$13=1,0,MIN(Calc!$K$144*(1+'财富模型'!$E$20/12)+'Calc'!$B$6,IF(Calc!$I$145&lt;='财富模型'!$E$11*12,'Calc'!$W$13,'Calc'!$Y$13))))))</x:f>
      </x:c>
      <x:c r="M145" t="str">
        <x:f>IF(Calc!$I$145&gt;'Calc'!$B$8,"",IF('Calc'!$E$13=1,0,MIN(Calc!$K$144*(1+'财富模型'!$E$20/12)+'Calc'!$B$6,IF(Calc!$I$145&lt;='财富模型'!$E$11*12,'Calc'!$W$13,'Calc'!$Y$13))))</x:f>
      </x:c>
      <x:c r="N145" t="str">
        <x:f>IF(Calc!$I$145&gt;'Calc'!$B$8,"",'Calc'!$B$5-'财富模型'!$E$5-(IF('Calc'!$E$13=1,'财富模型'!$E$9,'财富模型'!$M$5+IF(Calc!$I$145&lt;='财富模型'!$E$11*12,'Calc'!$W$13,'Calc'!$Y$13)-(IF('Calc'!$E$13=1,0,MIN(Calc!$K$144*(1+'财富模型'!$E$20/12)+'Calc'!$B$6,IF(Calc!$I$145&lt;='财富模型'!$E$11*12,'Calc'!$W$13,'Calc'!$Y$13)))))))</x:f>
      </x:c>
      <x:c r="O145" t="str">
        <x:f>IF(Calc!$I$145&gt;'Calc'!$B$8,"",IF('Calc'!$E$13=1,0,MAX(Calc!$O$144*(1+IF(Calc!$I$145&lt;='财富模型'!$E$11*12,'财富模型'!$E$10,'财富模型'!$E$12)/12)-IF('Calc'!$E$13=1,0,IF(Calc!$I$145&lt;='财富模型'!$E$11*12,'Calc'!$W$13,'Calc'!$Y$13)),0)))</x:f>
      </x:c>
      <x:c r="Q145" t="n">
        <x:v>124</x:v>
      </x:c>
      <x:c r="R145" t="str">
        <x:f>IF(Calc!$Q$145&gt;'Calc'!$B$8,"",MAX(Calc!$R$144*(1+'财富模型'!$E$6/12)+('Calc'!$B$5-'财富模型'!$E$5-(IF('Calc'!$E$14=1,'财富模型'!$E$9,'财富模型'!$M$6+IF(Calc!$Q$145&lt;='财富模型'!$E$11*12,'Calc'!$W$14,'Calc'!$Y$14)-(IF('Calc'!$E$14=1,0,MIN(Calc!$S$144*(1+'财富模型'!$E$20/12)+'Calc'!$B$6,IF(Calc!$Q$145&lt;='财富模型'!$E$11*12,'Calc'!$W$14,'Calc'!$Y$14))))))),0))</x:f>
      </x:c>
      <x:c r="S145" t="str">
        <x:f>IF(Calc!$Q$145&gt;'Calc'!$B$8,"",MAX(Calc!$S$144*(1+'财富模型'!$E$20/12)+'Calc'!$B$6-(IF('Calc'!$E$14=1,0,MIN(Calc!$S$144*(1+'财富模型'!$E$20/12)+'Calc'!$B$6,IF(Calc!$Q$145&lt;='财富模型'!$E$11*12,'Calc'!$W$14,'Calc'!$Y$14)))),0))</x:f>
      </x:c>
      <x:c r="T145" t="str">
        <x:f>IF(Calc!$Q$145&gt;'Calc'!$B$8,"",IF('Calc'!$E$14=1,'财富模型'!$E$9,'财富模型'!$M$6+IF(Calc!$Q$145&lt;='财富模型'!$E$11*12,'Calc'!$W$14,'Calc'!$Y$14)-(IF('Calc'!$E$14=1,0,MIN(Calc!$S$144*(1+'财富模型'!$E$20/12)+'Calc'!$B$6,IF(Calc!$Q$145&lt;='财富模型'!$E$11*12,'Calc'!$W$14,'Calc'!$Y$14))))))</x:f>
      </x:c>
      <x:c r="U145" t="str">
        <x:f>IF(Calc!$Q$145&gt;'Calc'!$B$8,"",IF('Calc'!$E$14=1,0,MIN(Calc!$S$144*(1+'财富模型'!$E$20/12)+'Calc'!$B$6,IF(Calc!$Q$145&lt;='财富模型'!$E$11*12,'Calc'!$W$14,'Calc'!$Y$14))))</x:f>
      </x:c>
      <x:c r="V145" t="str">
        <x:f>IF(Calc!$Q$145&gt;'Calc'!$B$8,"",'Calc'!$B$5-'财富模型'!$E$5-(IF('Calc'!$E$14=1,'财富模型'!$E$9,'财富模型'!$M$6+IF(Calc!$Q$145&lt;='财富模型'!$E$11*12,'Calc'!$W$14,'Calc'!$Y$14)-(IF('Calc'!$E$14=1,0,MIN(Calc!$S$144*(1+'财富模型'!$E$20/12)+'Calc'!$B$6,IF(Calc!$Q$145&lt;='财富模型'!$E$11*12,'Calc'!$W$14,'Calc'!$Y$14)))))))</x:f>
      </x:c>
      <x:c r="W145" t="str">
        <x:f>IF(Calc!$Q$145&gt;'Calc'!$B$8,"",IF('Calc'!$E$14=1,0,MAX(Calc!$W$144*(1+IF(Calc!$Q$145&lt;='财富模型'!$E$11*12,'财富模型'!$E$10,'财富模型'!$E$12)/12)-IF('Calc'!$E$14=1,0,IF(Calc!$Q$145&lt;='财富模型'!$E$11*12,'Calc'!$W$14,'Calc'!$Y$14)),0)))</x:f>
      </x:c>
      <x:c r="Y145" t="n">
        <x:v>124</x:v>
      </x:c>
      <x:c r="Z145" t="str">
        <x:f>IF(Calc!$Y$145&gt;'Calc'!$B$8,"",MAX(Calc!$Z$144*(1+'财富模型'!$E$6/12)+('Calc'!$B$5-'财富模型'!$E$5-(IF('Calc'!$E$15=1,'财富模型'!$E$9,'财富模型'!$M$7+IF(Calc!$Y$145&lt;='财富模型'!$E$11*12,'Calc'!$W$15,'Calc'!$Y$15)-(IF('Calc'!$E$15=1,0,MIN(Calc!$AA$144*(1+'财富模型'!$E$20/12)+'Calc'!$B$6,IF(Calc!$Y$145&lt;='财富模型'!$E$11*12,'Calc'!$W$15,'Calc'!$Y$15))))))),0))</x:f>
      </x:c>
      <x:c r="AA145" t="str">
        <x:f>IF(Calc!$Y$145&gt;'Calc'!$B$8,"",MAX(Calc!$AA$144*(1+'财富模型'!$E$20/12)+'Calc'!$B$6-(IF('Calc'!$E$15=1,0,MIN(Calc!$AA$144*(1+'财富模型'!$E$20/12)+'Calc'!$B$6,IF(Calc!$Y$145&lt;='财富模型'!$E$11*12,'Calc'!$W$15,'Calc'!$Y$15)))),0))</x:f>
      </x:c>
      <x:c r="AB145" t="str">
        <x:f>IF(Calc!$Y$145&gt;'Calc'!$B$8,"",IF('Calc'!$E$15=1,'财富模型'!$E$9,'财富模型'!$M$7+IF(Calc!$Y$145&lt;='财富模型'!$E$11*12,'Calc'!$W$15,'Calc'!$Y$15)-(IF('Calc'!$E$15=1,0,MIN(Calc!$AA$144*(1+'财富模型'!$E$20/12)+'Calc'!$B$6,IF(Calc!$Y$145&lt;='财富模型'!$E$11*12,'Calc'!$W$15,'Calc'!$Y$15))))))</x:f>
      </x:c>
      <x:c r="AC145" t="str">
        <x:f>IF(Calc!$Y$145&gt;'Calc'!$B$8,"",IF('Calc'!$E$15=1,0,MIN(Calc!$AA$144*(1+'财富模型'!$E$20/12)+'Calc'!$B$6,IF(Calc!$Y$145&lt;='财富模型'!$E$11*12,'Calc'!$W$15,'Calc'!$Y$15))))</x:f>
      </x:c>
      <x:c r="AD145" t="str">
        <x:f>IF(Calc!$Y$145&gt;'Calc'!$B$8,"",'Calc'!$B$5-'财富模型'!$E$5-(IF('Calc'!$E$15=1,'财富模型'!$E$9,'财富模型'!$M$7+IF(Calc!$Y$145&lt;='财富模型'!$E$11*12,'Calc'!$W$15,'Calc'!$Y$15)-(IF('Calc'!$E$15=1,0,MIN(Calc!$AA$144*(1+'财富模型'!$E$20/12)+'Calc'!$B$6,IF(Calc!$Y$145&lt;='财富模型'!$E$11*12,'Calc'!$W$15,'Calc'!$Y$15)))))))</x:f>
      </x:c>
      <x:c r="AE145" t="str">
        <x:f>IF(Calc!$Y$145&gt;'Calc'!$B$8,"",IF('Calc'!$E$15=1,0,MAX(Calc!$AE$144*(1+IF(Calc!$Y$145&lt;='财富模型'!$E$11*12,'财富模型'!$E$10,'财富模型'!$E$12)/12)-IF('Calc'!$E$15=1,0,IF(Calc!$Y$145&lt;='财富模型'!$E$11*12,'Calc'!$W$15,'Calc'!$Y$15)),0)))</x:f>
      </x:c>
      <x:c r="AG145" t="n">
        <x:v>124</x:v>
      </x:c>
      <x:c r="AH145" t="str">
        <x:f>IF(Calc!$AG$145&gt;'Calc'!$B$8,"",MAX(Calc!$AH$144*(1+'财富模型'!$E$6/12)+('Calc'!$B$5-'财富模型'!$E$5-(IF('Calc'!$E$16=1,'财富模型'!$E$9,'财富模型'!$M$8+IF(Calc!$AG$145&lt;='财富模型'!$E$11*12,'Calc'!$W$16,'Calc'!$Y$16)-(IF('Calc'!$E$16=1,0,MIN(Calc!$AI$144*(1+'财富模型'!$E$20/12)+'Calc'!$B$6,IF(Calc!$AG$145&lt;='财富模型'!$E$11*12,'Calc'!$W$16,'Calc'!$Y$16))))))),0))</x:f>
      </x:c>
      <x:c r="AI145" t="str">
        <x:f>IF(Calc!$AG$145&gt;'Calc'!$B$8,"",MAX(Calc!$AI$144*(1+'财富模型'!$E$20/12)+'Calc'!$B$6-(IF('Calc'!$E$16=1,0,MIN(Calc!$AI$144*(1+'财富模型'!$E$20/12)+'Calc'!$B$6,IF(Calc!$AG$145&lt;='财富模型'!$E$11*12,'Calc'!$W$16,'Calc'!$Y$16)))),0))</x:f>
      </x:c>
      <x:c r="AJ145" t="str">
        <x:f>IF(Calc!$AG$145&gt;'Calc'!$B$8,"",IF('Calc'!$E$16=1,'财富模型'!$E$9,'财富模型'!$M$8+IF(Calc!$AG$145&lt;='财富模型'!$E$11*12,'Calc'!$W$16,'Calc'!$Y$16)-(IF('Calc'!$E$16=1,0,MIN(Calc!$AI$144*(1+'财富模型'!$E$20/12)+'Calc'!$B$6,IF(Calc!$AG$145&lt;='财富模型'!$E$11*12,'Calc'!$W$16,'Calc'!$Y$16))))))</x:f>
      </x:c>
      <x:c r="AK145" t="str">
        <x:f>IF(Calc!$AG$145&gt;'Calc'!$B$8,"",IF('Calc'!$E$16=1,0,MIN(Calc!$AI$144*(1+'财富模型'!$E$20/12)+'Calc'!$B$6,IF(Calc!$AG$145&lt;='财富模型'!$E$11*12,'Calc'!$W$16,'Calc'!$Y$16))))</x:f>
      </x:c>
      <x:c r="AL145" t="str">
        <x:f>IF(Calc!$AG$145&gt;'Calc'!$B$8,"",'Calc'!$B$5-'财富模型'!$E$5-(IF('Calc'!$E$16=1,'财富模型'!$E$9,'财富模型'!$M$8+IF(Calc!$AG$145&lt;='财富模型'!$E$11*12,'Calc'!$W$16,'Calc'!$Y$16)-(IF('Calc'!$E$16=1,0,MIN(Calc!$AI$144*(1+'财富模型'!$E$20/12)+'Calc'!$B$6,IF(Calc!$AG$145&lt;='财富模型'!$E$11*12,'Calc'!$W$16,'Calc'!$Y$16)))))))</x:f>
      </x:c>
      <x:c r="AM145" t="str">
        <x:f>IF(Calc!$AG$145&gt;'Calc'!$B$8,"",IF('Calc'!$E$16=1,0,MAX(Calc!$AM$144*(1+IF(Calc!$AG$145&lt;='财富模型'!$E$11*12,'财富模型'!$E$10,'财富模型'!$E$12)/12)-IF('Calc'!$E$16=1,0,IF(Calc!$AG$145&lt;='财富模型'!$E$11*12,'Calc'!$W$16,'Calc'!$Y$16)),0)))</x:f>
      </x:c>
      <x:c r="AO145" t="n">
        <x:v>124</x:v>
      </x:c>
      <x:c r="AP145" t="str">
        <x:f>IF(Calc!$AO$145&gt;'Calc'!$B$8,"",MAX(Calc!$AP$144*(1+'财富模型'!$E$6/12)+('Calc'!$B$5-'财富模型'!$E$5-(IF('Calc'!$E$17=1,'财富模型'!$E$9,'财富模型'!$M$9+IF(Calc!$AO$145&lt;='财富模型'!$E$11*12,'Calc'!$W$17,'Calc'!$Y$17)-(IF('Calc'!$E$17=1,0,MIN(Calc!$AQ$144*(1+'财富模型'!$E$20/12)+'Calc'!$B$6,IF(Calc!$AO$145&lt;='财富模型'!$E$11*12,'Calc'!$W$17,'Calc'!$Y$17))))))),0))</x:f>
      </x:c>
      <x:c r="AQ145" t="str">
        <x:f>IF(Calc!$AO$145&gt;'Calc'!$B$8,"",MAX(Calc!$AQ$144*(1+'财富模型'!$E$20/12)+'Calc'!$B$6-(IF('Calc'!$E$17=1,0,MIN(Calc!$AQ$144*(1+'财富模型'!$E$20/12)+'Calc'!$B$6,IF(Calc!$AO$145&lt;='财富模型'!$E$11*12,'Calc'!$W$17,'Calc'!$Y$17)))),0))</x:f>
      </x:c>
      <x:c r="AR145" t="str">
        <x:f>IF(Calc!$AO$145&gt;'Calc'!$B$8,"",IF('Calc'!$E$17=1,'财富模型'!$E$9,'财富模型'!$M$9+IF(Calc!$AO$145&lt;='财富模型'!$E$11*12,'Calc'!$W$17,'Calc'!$Y$17)-(IF('Calc'!$E$17=1,0,MIN(Calc!$AQ$144*(1+'财富模型'!$E$20/12)+'Calc'!$B$6,IF(Calc!$AO$145&lt;='财富模型'!$E$11*12,'Calc'!$W$17,'Calc'!$Y$17))))))</x:f>
      </x:c>
      <x:c r="AS145" t="str">
        <x:f>IF(Calc!$AO$145&gt;'Calc'!$B$8,"",IF('Calc'!$E$17=1,0,MIN(Calc!$AQ$144*(1+'财富模型'!$E$20/12)+'Calc'!$B$6,IF(Calc!$AO$145&lt;='财富模型'!$E$11*12,'Calc'!$W$17,'Calc'!$Y$17))))</x:f>
      </x:c>
      <x:c r="AT145" t="str">
        <x:f>IF(Calc!$AO$145&gt;'Calc'!$B$8,"",'Calc'!$B$5-'财富模型'!$E$5-(IF('Calc'!$E$17=1,'财富模型'!$E$9,'财富模型'!$M$9+IF(Calc!$AO$145&lt;='财富模型'!$E$11*12,'Calc'!$W$17,'Calc'!$Y$17)-(IF('Calc'!$E$17=1,0,MIN(Calc!$AQ$144*(1+'财富模型'!$E$20/12)+'Calc'!$B$6,IF(Calc!$AO$145&lt;='财富模型'!$E$11*12,'Calc'!$W$17,'Calc'!$Y$17)))))))</x:f>
      </x:c>
      <x:c r="AU145" t="str">
        <x:f>IF(Calc!$AO$145&gt;'Calc'!$B$8,"",IF('Calc'!$E$17=1,0,MAX(Calc!$AU$144*(1+IF(Calc!$AO$145&lt;='财富模型'!$E$11*12,'财富模型'!$E$10,'财富模型'!$E$12)/12)-IF('Calc'!$E$17=1,0,IF(Calc!$AO$145&lt;='财富模型'!$E$11*12,'Calc'!$W$17,'Calc'!$Y$17)),0)))</x:f>
      </x:c>
    </x:row>
    <x:row r="146">
      <x:c r="A146" t="n">
        <x:v>125</x:v>
      </x:c>
      <x:c r="B146" t="str">
        <x:f>IF(Calc!$A$146&gt;'Calc'!$B$8,"",MAX(Calc!$B$145*(1+'财富模型'!$E$6/12)+('Calc'!$B$5-'财富模型'!$E$5-(IF('Calc'!$E$12=1,'财富模型'!$E$9,'财富模型'!$M$4+IF(Calc!$A$146&lt;='财富模型'!$E$11*12,'Calc'!$W$12,'Calc'!$Y$12)-(IF('Calc'!$E$12=1,0,MIN(Calc!$C$145*(1+'财富模型'!$E$20/12)+'Calc'!$B$6,IF(Calc!$A$146&lt;='财富模型'!$E$11*12,'Calc'!$W$12,'Calc'!$Y$12))))))),0))</x:f>
      </x:c>
      <x:c r="C146" t="str">
        <x:f>IF(Calc!$A$146&gt;'Calc'!$B$8,"",MAX(Calc!$C$145*(1+'财富模型'!$E$20/12)+'Calc'!$B$6-(IF('Calc'!$E$12=1,0,MIN(Calc!$C$145*(1+'财富模型'!$E$20/12)+'Calc'!$B$6,IF(Calc!$A$146&lt;='财富模型'!$E$11*12,'Calc'!$W$12,'Calc'!$Y$12)))),0))</x:f>
      </x:c>
      <x:c r="D146" t="str">
        <x:f>IF(Calc!$A$146&gt;'Calc'!$B$8,"",IF('Calc'!$E$12=1,'财富模型'!$E$9,'财富模型'!$M$4+IF(Calc!$A$146&lt;='财富模型'!$E$11*12,'Calc'!$W$12,'Calc'!$Y$12)-(IF('Calc'!$E$12=1,0,MIN(Calc!$C$145*(1+'财富模型'!$E$20/12)+'Calc'!$B$6,IF(Calc!$A$146&lt;='财富模型'!$E$11*12,'Calc'!$W$12,'Calc'!$Y$12))))))</x:f>
      </x:c>
      <x:c r="E146" t="str">
        <x:f>IF(Calc!$A$146&gt;'Calc'!$B$8,"",IF('Calc'!$E$12=1,0,MIN(Calc!$C$145*(1+'财富模型'!$E$20/12)+'Calc'!$B$6,IF(Calc!$A$146&lt;='财富模型'!$E$11*12,'Calc'!$W$12,'Calc'!$Y$12))))</x:f>
      </x:c>
      <x:c r="F146" t="str">
        <x:f>IF(Calc!$A$146&gt;'Calc'!$B$8,"",'Calc'!$B$5-'财富模型'!$E$5-(IF('Calc'!$E$12=1,'财富模型'!$E$9,'财富模型'!$M$4+IF(Calc!$A$146&lt;='财富模型'!$E$11*12,'Calc'!$W$12,'Calc'!$Y$12)-(IF('Calc'!$E$12=1,0,MIN(Calc!$C$145*(1+'财富模型'!$E$20/12)+'Calc'!$B$6,IF(Calc!$A$146&lt;='财富模型'!$E$11*12,'Calc'!$W$12,'Calc'!$Y$12)))))))</x:f>
      </x:c>
      <x:c r="G146" t="str">
        <x:f>IF(Calc!$A$146&gt;'Calc'!$B$8,"",IF('Calc'!$E$12=1,0,MAX(Calc!$G$145*(1+IF(Calc!$A$146&lt;='财富模型'!$E$11*12,'财富模型'!$E$10,'财富模型'!$E$12)/12)-IF('Calc'!$E$12=1,0,IF(Calc!$A$146&lt;='财富模型'!$E$11*12,'Calc'!$W$12,'Calc'!$Y$12)),0)))</x:f>
      </x:c>
      <x:c r="I146" t="n">
        <x:v>125</x:v>
      </x:c>
      <x:c r="J146" t="str">
        <x:f>IF(Calc!$I$146&gt;'Calc'!$B$8,"",MAX(Calc!$J$145*(1+'财富模型'!$E$6/12)+('Calc'!$B$5-'财富模型'!$E$5-(IF('Calc'!$E$13=1,'财富模型'!$E$9,'财富模型'!$M$5+IF(Calc!$I$146&lt;='财富模型'!$E$11*12,'Calc'!$W$13,'Calc'!$Y$13)-(IF('Calc'!$E$13=1,0,MIN(Calc!$K$145*(1+'财富模型'!$E$20/12)+'Calc'!$B$6,IF(Calc!$I$146&lt;='财富模型'!$E$11*12,'Calc'!$W$13,'Calc'!$Y$13))))))),0))</x:f>
      </x:c>
      <x:c r="K146" t="str">
        <x:f>IF(Calc!$I$146&gt;'Calc'!$B$8,"",MAX(Calc!$K$145*(1+'财富模型'!$E$20/12)+'Calc'!$B$6-(IF('Calc'!$E$13=1,0,MIN(Calc!$K$145*(1+'财富模型'!$E$20/12)+'Calc'!$B$6,IF(Calc!$I$146&lt;='财富模型'!$E$11*12,'Calc'!$W$13,'Calc'!$Y$13)))),0))</x:f>
      </x:c>
      <x:c r="L146" t="str">
        <x:f>IF(Calc!$I$146&gt;'Calc'!$B$8,"",IF('Calc'!$E$13=1,'财富模型'!$E$9,'财富模型'!$M$5+IF(Calc!$I$146&lt;='财富模型'!$E$11*12,'Calc'!$W$13,'Calc'!$Y$13)-(IF('Calc'!$E$13=1,0,MIN(Calc!$K$145*(1+'财富模型'!$E$20/12)+'Calc'!$B$6,IF(Calc!$I$146&lt;='财富模型'!$E$11*12,'Calc'!$W$13,'Calc'!$Y$13))))))</x:f>
      </x:c>
      <x:c r="M146" t="str">
        <x:f>IF(Calc!$I$146&gt;'Calc'!$B$8,"",IF('Calc'!$E$13=1,0,MIN(Calc!$K$145*(1+'财富模型'!$E$20/12)+'Calc'!$B$6,IF(Calc!$I$146&lt;='财富模型'!$E$11*12,'Calc'!$W$13,'Calc'!$Y$13))))</x:f>
      </x:c>
      <x:c r="N146" t="str">
        <x:f>IF(Calc!$I$146&gt;'Calc'!$B$8,"",'Calc'!$B$5-'财富模型'!$E$5-(IF('Calc'!$E$13=1,'财富模型'!$E$9,'财富模型'!$M$5+IF(Calc!$I$146&lt;='财富模型'!$E$11*12,'Calc'!$W$13,'Calc'!$Y$13)-(IF('Calc'!$E$13=1,0,MIN(Calc!$K$145*(1+'财富模型'!$E$20/12)+'Calc'!$B$6,IF(Calc!$I$146&lt;='财富模型'!$E$11*12,'Calc'!$W$13,'Calc'!$Y$13)))))))</x:f>
      </x:c>
      <x:c r="O146" t="str">
        <x:f>IF(Calc!$I$146&gt;'Calc'!$B$8,"",IF('Calc'!$E$13=1,0,MAX(Calc!$O$145*(1+IF(Calc!$I$146&lt;='财富模型'!$E$11*12,'财富模型'!$E$10,'财富模型'!$E$12)/12)-IF('Calc'!$E$13=1,0,IF(Calc!$I$146&lt;='财富模型'!$E$11*12,'Calc'!$W$13,'Calc'!$Y$13)),0)))</x:f>
      </x:c>
      <x:c r="Q146" t="n">
        <x:v>125</x:v>
      </x:c>
      <x:c r="R146" t="str">
        <x:f>IF(Calc!$Q$146&gt;'Calc'!$B$8,"",MAX(Calc!$R$145*(1+'财富模型'!$E$6/12)+('Calc'!$B$5-'财富模型'!$E$5-(IF('Calc'!$E$14=1,'财富模型'!$E$9,'财富模型'!$M$6+IF(Calc!$Q$146&lt;='财富模型'!$E$11*12,'Calc'!$W$14,'Calc'!$Y$14)-(IF('Calc'!$E$14=1,0,MIN(Calc!$S$145*(1+'财富模型'!$E$20/12)+'Calc'!$B$6,IF(Calc!$Q$146&lt;='财富模型'!$E$11*12,'Calc'!$W$14,'Calc'!$Y$14))))))),0))</x:f>
      </x:c>
      <x:c r="S146" t="str">
        <x:f>IF(Calc!$Q$146&gt;'Calc'!$B$8,"",MAX(Calc!$S$145*(1+'财富模型'!$E$20/12)+'Calc'!$B$6-(IF('Calc'!$E$14=1,0,MIN(Calc!$S$145*(1+'财富模型'!$E$20/12)+'Calc'!$B$6,IF(Calc!$Q$146&lt;='财富模型'!$E$11*12,'Calc'!$W$14,'Calc'!$Y$14)))),0))</x:f>
      </x:c>
      <x:c r="T146" t="str">
        <x:f>IF(Calc!$Q$146&gt;'Calc'!$B$8,"",IF('Calc'!$E$14=1,'财富模型'!$E$9,'财富模型'!$M$6+IF(Calc!$Q$146&lt;='财富模型'!$E$11*12,'Calc'!$W$14,'Calc'!$Y$14)-(IF('Calc'!$E$14=1,0,MIN(Calc!$S$145*(1+'财富模型'!$E$20/12)+'Calc'!$B$6,IF(Calc!$Q$146&lt;='财富模型'!$E$11*12,'Calc'!$W$14,'Calc'!$Y$14))))))</x:f>
      </x:c>
      <x:c r="U146" t="str">
        <x:f>IF(Calc!$Q$146&gt;'Calc'!$B$8,"",IF('Calc'!$E$14=1,0,MIN(Calc!$S$145*(1+'财富模型'!$E$20/12)+'Calc'!$B$6,IF(Calc!$Q$146&lt;='财富模型'!$E$11*12,'Calc'!$W$14,'Calc'!$Y$14))))</x:f>
      </x:c>
      <x:c r="V146" t="str">
        <x:f>IF(Calc!$Q$146&gt;'Calc'!$B$8,"",'Calc'!$B$5-'财富模型'!$E$5-(IF('Calc'!$E$14=1,'财富模型'!$E$9,'财富模型'!$M$6+IF(Calc!$Q$146&lt;='财富模型'!$E$11*12,'Calc'!$W$14,'Calc'!$Y$14)-(IF('Calc'!$E$14=1,0,MIN(Calc!$S$145*(1+'财富模型'!$E$20/12)+'Calc'!$B$6,IF(Calc!$Q$146&lt;='财富模型'!$E$11*12,'Calc'!$W$14,'Calc'!$Y$14)))))))</x:f>
      </x:c>
      <x:c r="W146" t="str">
        <x:f>IF(Calc!$Q$146&gt;'Calc'!$B$8,"",IF('Calc'!$E$14=1,0,MAX(Calc!$W$145*(1+IF(Calc!$Q$146&lt;='财富模型'!$E$11*12,'财富模型'!$E$10,'财富模型'!$E$12)/12)-IF('Calc'!$E$14=1,0,IF(Calc!$Q$146&lt;='财富模型'!$E$11*12,'Calc'!$W$14,'Calc'!$Y$14)),0)))</x:f>
      </x:c>
      <x:c r="Y146" t="n">
        <x:v>125</x:v>
      </x:c>
      <x:c r="Z146" t="str">
        <x:f>IF(Calc!$Y$146&gt;'Calc'!$B$8,"",MAX(Calc!$Z$145*(1+'财富模型'!$E$6/12)+('Calc'!$B$5-'财富模型'!$E$5-(IF('Calc'!$E$15=1,'财富模型'!$E$9,'财富模型'!$M$7+IF(Calc!$Y$146&lt;='财富模型'!$E$11*12,'Calc'!$W$15,'Calc'!$Y$15)-(IF('Calc'!$E$15=1,0,MIN(Calc!$AA$145*(1+'财富模型'!$E$20/12)+'Calc'!$B$6,IF(Calc!$Y$146&lt;='财富模型'!$E$11*12,'Calc'!$W$15,'Calc'!$Y$15))))))),0))</x:f>
      </x:c>
      <x:c r="AA146" t="str">
        <x:f>IF(Calc!$Y$146&gt;'Calc'!$B$8,"",MAX(Calc!$AA$145*(1+'财富模型'!$E$20/12)+'Calc'!$B$6-(IF('Calc'!$E$15=1,0,MIN(Calc!$AA$145*(1+'财富模型'!$E$20/12)+'Calc'!$B$6,IF(Calc!$Y$146&lt;='财富模型'!$E$11*12,'Calc'!$W$15,'Calc'!$Y$15)))),0))</x:f>
      </x:c>
      <x:c r="AB146" t="str">
        <x:f>IF(Calc!$Y$146&gt;'Calc'!$B$8,"",IF('Calc'!$E$15=1,'财富模型'!$E$9,'财富模型'!$M$7+IF(Calc!$Y$146&lt;='财富模型'!$E$11*12,'Calc'!$W$15,'Calc'!$Y$15)-(IF('Calc'!$E$15=1,0,MIN(Calc!$AA$145*(1+'财富模型'!$E$20/12)+'Calc'!$B$6,IF(Calc!$Y$146&lt;='财富模型'!$E$11*12,'Calc'!$W$15,'Calc'!$Y$15))))))</x:f>
      </x:c>
      <x:c r="AC146" t="str">
        <x:f>IF(Calc!$Y$146&gt;'Calc'!$B$8,"",IF('Calc'!$E$15=1,0,MIN(Calc!$AA$145*(1+'财富模型'!$E$20/12)+'Calc'!$B$6,IF(Calc!$Y$146&lt;='财富模型'!$E$11*12,'Calc'!$W$15,'Calc'!$Y$15))))</x:f>
      </x:c>
      <x:c r="AD146" t="str">
        <x:f>IF(Calc!$Y$146&gt;'Calc'!$B$8,"",'Calc'!$B$5-'财富模型'!$E$5-(IF('Calc'!$E$15=1,'财富模型'!$E$9,'财富模型'!$M$7+IF(Calc!$Y$146&lt;='财富模型'!$E$11*12,'Calc'!$W$15,'Calc'!$Y$15)-(IF('Calc'!$E$15=1,0,MIN(Calc!$AA$145*(1+'财富模型'!$E$20/12)+'Calc'!$B$6,IF(Calc!$Y$146&lt;='财富模型'!$E$11*12,'Calc'!$W$15,'Calc'!$Y$15)))))))</x:f>
      </x:c>
      <x:c r="AE146" t="str">
        <x:f>IF(Calc!$Y$146&gt;'Calc'!$B$8,"",IF('Calc'!$E$15=1,0,MAX(Calc!$AE$145*(1+IF(Calc!$Y$146&lt;='财富模型'!$E$11*12,'财富模型'!$E$10,'财富模型'!$E$12)/12)-IF('Calc'!$E$15=1,0,IF(Calc!$Y$146&lt;='财富模型'!$E$11*12,'Calc'!$W$15,'Calc'!$Y$15)),0)))</x:f>
      </x:c>
      <x:c r="AG146" t="n">
        <x:v>125</x:v>
      </x:c>
      <x:c r="AH146" t="str">
        <x:f>IF(Calc!$AG$146&gt;'Calc'!$B$8,"",MAX(Calc!$AH$145*(1+'财富模型'!$E$6/12)+('Calc'!$B$5-'财富模型'!$E$5-(IF('Calc'!$E$16=1,'财富模型'!$E$9,'财富模型'!$M$8+IF(Calc!$AG$146&lt;='财富模型'!$E$11*12,'Calc'!$W$16,'Calc'!$Y$16)-(IF('Calc'!$E$16=1,0,MIN(Calc!$AI$145*(1+'财富模型'!$E$20/12)+'Calc'!$B$6,IF(Calc!$AG$146&lt;='财富模型'!$E$11*12,'Calc'!$W$16,'Calc'!$Y$16))))))),0))</x:f>
      </x:c>
      <x:c r="AI146" t="str">
        <x:f>IF(Calc!$AG$146&gt;'Calc'!$B$8,"",MAX(Calc!$AI$145*(1+'财富模型'!$E$20/12)+'Calc'!$B$6-(IF('Calc'!$E$16=1,0,MIN(Calc!$AI$145*(1+'财富模型'!$E$20/12)+'Calc'!$B$6,IF(Calc!$AG$146&lt;='财富模型'!$E$11*12,'Calc'!$W$16,'Calc'!$Y$16)))),0))</x:f>
      </x:c>
      <x:c r="AJ146" t="str">
        <x:f>IF(Calc!$AG$146&gt;'Calc'!$B$8,"",IF('Calc'!$E$16=1,'财富模型'!$E$9,'财富模型'!$M$8+IF(Calc!$AG$146&lt;='财富模型'!$E$11*12,'Calc'!$W$16,'Calc'!$Y$16)-(IF('Calc'!$E$16=1,0,MIN(Calc!$AI$145*(1+'财富模型'!$E$20/12)+'Calc'!$B$6,IF(Calc!$AG$146&lt;='财富模型'!$E$11*12,'Calc'!$W$16,'Calc'!$Y$16))))))</x:f>
      </x:c>
      <x:c r="AK146" t="str">
        <x:f>IF(Calc!$AG$146&gt;'Calc'!$B$8,"",IF('Calc'!$E$16=1,0,MIN(Calc!$AI$145*(1+'财富模型'!$E$20/12)+'Calc'!$B$6,IF(Calc!$AG$146&lt;='财富模型'!$E$11*12,'Calc'!$W$16,'Calc'!$Y$16))))</x:f>
      </x:c>
      <x:c r="AL146" t="str">
        <x:f>IF(Calc!$AG$146&gt;'Calc'!$B$8,"",'Calc'!$B$5-'财富模型'!$E$5-(IF('Calc'!$E$16=1,'财富模型'!$E$9,'财富模型'!$M$8+IF(Calc!$AG$146&lt;='财富模型'!$E$11*12,'Calc'!$W$16,'Calc'!$Y$16)-(IF('Calc'!$E$16=1,0,MIN(Calc!$AI$145*(1+'财富模型'!$E$20/12)+'Calc'!$B$6,IF(Calc!$AG$146&lt;='财富模型'!$E$11*12,'Calc'!$W$16,'Calc'!$Y$16)))))))</x:f>
      </x:c>
      <x:c r="AM146" t="str">
        <x:f>IF(Calc!$AG$146&gt;'Calc'!$B$8,"",IF('Calc'!$E$16=1,0,MAX(Calc!$AM$145*(1+IF(Calc!$AG$146&lt;='财富模型'!$E$11*12,'财富模型'!$E$10,'财富模型'!$E$12)/12)-IF('Calc'!$E$16=1,0,IF(Calc!$AG$146&lt;='财富模型'!$E$11*12,'Calc'!$W$16,'Calc'!$Y$16)),0)))</x:f>
      </x:c>
      <x:c r="AO146" t="n">
        <x:v>125</x:v>
      </x:c>
      <x:c r="AP146" t="str">
        <x:f>IF(Calc!$AO$146&gt;'Calc'!$B$8,"",MAX(Calc!$AP$145*(1+'财富模型'!$E$6/12)+('Calc'!$B$5-'财富模型'!$E$5-(IF('Calc'!$E$17=1,'财富模型'!$E$9,'财富模型'!$M$9+IF(Calc!$AO$146&lt;='财富模型'!$E$11*12,'Calc'!$W$17,'Calc'!$Y$17)-(IF('Calc'!$E$17=1,0,MIN(Calc!$AQ$145*(1+'财富模型'!$E$20/12)+'Calc'!$B$6,IF(Calc!$AO$146&lt;='财富模型'!$E$11*12,'Calc'!$W$17,'Calc'!$Y$17))))))),0))</x:f>
      </x:c>
      <x:c r="AQ146" t="str">
        <x:f>IF(Calc!$AO$146&gt;'Calc'!$B$8,"",MAX(Calc!$AQ$145*(1+'财富模型'!$E$20/12)+'Calc'!$B$6-(IF('Calc'!$E$17=1,0,MIN(Calc!$AQ$145*(1+'财富模型'!$E$20/12)+'Calc'!$B$6,IF(Calc!$AO$146&lt;='财富模型'!$E$11*12,'Calc'!$W$17,'Calc'!$Y$17)))),0))</x:f>
      </x:c>
      <x:c r="AR146" t="str">
        <x:f>IF(Calc!$AO$146&gt;'Calc'!$B$8,"",IF('Calc'!$E$17=1,'财富模型'!$E$9,'财富模型'!$M$9+IF(Calc!$AO$146&lt;='财富模型'!$E$11*12,'Calc'!$W$17,'Calc'!$Y$17)-(IF('Calc'!$E$17=1,0,MIN(Calc!$AQ$145*(1+'财富模型'!$E$20/12)+'Calc'!$B$6,IF(Calc!$AO$146&lt;='财富模型'!$E$11*12,'Calc'!$W$17,'Calc'!$Y$17))))))</x:f>
      </x:c>
      <x:c r="AS146" t="str">
        <x:f>IF(Calc!$AO$146&gt;'Calc'!$B$8,"",IF('Calc'!$E$17=1,0,MIN(Calc!$AQ$145*(1+'财富模型'!$E$20/12)+'Calc'!$B$6,IF(Calc!$AO$146&lt;='财富模型'!$E$11*12,'Calc'!$W$17,'Calc'!$Y$17))))</x:f>
      </x:c>
      <x:c r="AT146" t="str">
        <x:f>IF(Calc!$AO$146&gt;'Calc'!$B$8,"",'Calc'!$B$5-'财富模型'!$E$5-(IF('Calc'!$E$17=1,'财富模型'!$E$9,'财富模型'!$M$9+IF(Calc!$AO$146&lt;='财富模型'!$E$11*12,'Calc'!$W$17,'Calc'!$Y$17)-(IF('Calc'!$E$17=1,0,MIN(Calc!$AQ$145*(1+'财富模型'!$E$20/12)+'Calc'!$B$6,IF(Calc!$AO$146&lt;='财富模型'!$E$11*12,'Calc'!$W$17,'Calc'!$Y$17)))))))</x:f>
      </x:c>
      <x:c r="AU146" t="str">
        <x:f>IF(Calc!$AO$146&gt;'Calc'!$B$8,"",IF('Calc'!$E$17=1,0,MAX(Calc!$AU$145*(1+IF(Calc!$AO$146&lt;='财富模型'!$E$11*12,'财富模型'!$E$10,'财富模型'!$E$12)/12)-IF('Calc'!$E$17=1,0,IF(Calc!$AO$146&lt;='财富模型'!$E$11*12,'Calc'!$W$17,'Calc'!$Y$17)),0)))</x:f>
      </x:c>
    </x:row>
    <x:row r="147">
      <x:c r="A147" t="n">
        <x:v>126</x:v>
      </x:c>
      <x:c r="B147" t="str">
        <x:f>IF(Calc!$A$147&gt;'Calc'!$B$8,"",MAX(Calc!$B$146*(1+'财富模型'!$E$6/12)+('Calc'!$B$5-'财富模型'!$E$5-(IF('Calc'!$E$12=1,'财富模型'!$E$9,'财富模型'!$M$4+IF(Calc!$A$147&lt;='财富模型'!$E$11*12,'Calc'!$W$12,'Calc'!$Y$12)-(IF('Calc'!$E$12=1,0,MIN(Calc!$C$146*(1+'财富模型'!$E$20/12)+'Calc'!$B$6,IF(Calc!$A$147&lt;='财富模型'!$E$11*12,'Calc'!$W$12,'Calc'!$Y$12))))))),0))</x:f>
      </x:c>
      <x:c r="C147" t="str">
        <x:f>IF(Calc!$A$147&gt;'Calc'!$B$8,"",MAX(Calc!$C$146*(1+'财富模型'!$E$20/12)+'Calc'!$B$6-(IF('Calc'!$E$12=1,0,MIN(Calc!$C$146*(1+'财富模型'!$E$20/12)+'Calc'!$B$6,IF(Calc!$A$147&lt;='财富模型'!$E$11*12,'Calc'!$W$12,'Calc'!$Y$12)))),0))</x:f>
      </x:c>
      <x:c r="D147" t="str">
        <x:f>IF(Calc!$A$147&gt;'Calc'!$B$8,"",IF('Calc'!$E$12=1,'财富模型'!$E$9,'财富模型'!$M$4+IF(Calc!$A$147&lt;='财富模型'!$E$11*12,'Calc'!$W$12,'Calc'!$Y$12)-(IF('Calc'!$E$12=1,0,MIN(Calc!$C$146*(1+'财富模型'!$E$20/12)+'Calc'!$B$6,IF(Calc!$A$147&lt;='财富模型'!$E$11*12,'Calc'!$W$12,'Calc'!$Y$12))))))</x:f>
      </x:c>
      <x:c r="E147" t="str">
        <x:f>IF(Calc!$A$147&gt;'Calc'!$B$8,"",IF('Calc'!$E$12=1,0,MIN(Calc!$C$146*(1+'财富模型'!$E$20/12)+'Calc'!$B$6,IF(Calc!$A$147&lt;='财富模型'!$E$11*12,'Calc'!$W$12,'Calc'!$Y$12))))</x:f>
      </x:c>
      <x:c r="F147" t="str">
        <x:f>IF(Calc!$A$147&gt;'Calc'!$B$8,"",'Calc'!$B$5-'财富模型'!$E$5-(IF('Calc'!$E$12=1,'财富模型'!$E$9,'财富模型'!$M$4+IF(Calc!$A$147&lt;='财富模型'!$E$11*12,'Calc'!$W$12,'Calc'!$Y$12)-(IF('Calc'!$E$12=1,0,MIN(Calc!$C$146*(1+'财富模型'!$E$20/12)+'Calc'!$B$6,IF(Calc!$A$147&lt;='财富模型'!$E$11*12,'Calc'!$W$12,'Calc'!$Y$12)))))))</x:f>
      </x:c>
      <x:c r="G147" t="str">
        <x:f>IF(Calc!$A$147&gt;'Calc'!$B$8,"",IF('Calc'!$E$12=1,0,MAX(Calc!$G$146*(1+IF(Calc!$A$147&lt;='财富模型'!$E$11*12,'财富模型'!$E$10,'财富模型'!$E$12)/12)-IF('Calc'!$E$12=1,0,IF(Calc!$A$147&lt;='财富模型'!$E$11*12,'Calc'!$W$12,'Calc'!$Y$12)),0)))</x:f>
      </x:c>
      <x:c r="I147" t="n">
        <x:v>126</x:v>
      </x:c>
      <x:c r="J147" t="str">
        <x:f>IF(Calc!$I$147&gt;'Calc'!$B$8,"",MAX(Calc!$J$146*(1+'财富模型'!$E$6/12)+('Calc'!$B$5-'财富模型'!$E$5-(IF('Calc'!$E$13=1,'财富模型'!$E$9,'财富模型'!$M$5+IF(Calc!$I$147&lt;='财富模型'!$E$11*12,'Calc'!$W$13,'Calc'!$Y$13)-(IF('Calc'!$E$13=1,0,MIN(Calc!$K$146*(1+'财富模型'!$E$20/12)+'Calc'!$B$6,IF(Calc!$I$147&lt;='财富模型'!$E$11*12,'Calc'!$W$13,'Calc'!$Y$13))))))),0))</x:f>
      </x:c>
      <x:c r="K147" t="str">
        <x:f>IF(Calc!$I$147&gt;'Calc'!$B$8,"",MAX(Calc!$K$146*(1+'财富模型'!$E$20/12)+'Calc'!$B$6-(IF('Calc'!$E$13=1,0,MIN(Calc!$K$146*(1+'财富模型'!$E$20/12)+'Calc'!$B$6,IF(Calc!$I$147&lt;='财富模型'!$E$11*12,'Calc'!$W$13,'Calc'!$Y$13)))),0))</x:f>
      </x:c>
      <x:c r="L147" t="str">
        <x:f>IF(Calc!$I$147&gt;'Calc'!$B$8,"",IF('Calc'!$E$13=1,'财富模型'!$E$9,'财富模型'!$M$5+IF(Calc!$I$147&lt;='财富模型'!$E$11*12,'Calc'!$W$13,'Calc'!$Y$13)-(IF('Calc'!$E$13=1,0,MIN(Calc!$K$146*(1+'财富模型'!$E$20/12)+'Calc'!$B$6,IF(Calc!$I$147&lt;='财富模型'!$E$11*12,'Calc'!$W$13,'Calc'!$Y$13))))))</x:f>
      </x:c>
      <x:c r="M147" t="str">
        <x:f>IF(Calc!$I$147&gt;'Calc'!$B$8,"",IF('Calc'!$E$13=1,0,MIN(Calc!$K$146*(1+'财富模型'!$E$20/12)+'Calc'!$B$6,IF(Calc!$I$147&lt;='财富模型'!$E$11*12,'Calc'!$W$13,'Calc'!$Y$13))))</x:f>
      </x:c>
      <x:c r="N147" t="str">
        <x:f>IF(Calc!$I$147&gt;'Calc'!$B$8,"",'Calc'!$B$5-'财富模型'!$E$5-(IF('Calc'!$E$13=1,'财富模型'!$E$9,'财富模型'!$M$5+IF(Calc!$I$147&lt;='财富模型'!$E$11*12,'Calc'!$W$13,'Calc'!$Y$13)-(IF('Calc'!$E$13=1,0,MIN(Calc!$K$146*(1+'财富模型'!$E$20/12)+'Calc'!$B$6,IF(Calc!$I$147&lt;='财富模型'!$E$11*12,'Calc'!$W$13,'Calc'!$Y$13)))))))</x:f>
      </x:c>
      <x:c r="O147" t="str">
        <x:f>IF(Calc!$I$147&gt;'Calc'!$B$8,"",IF('Calc'!$E$13=1,0,MAX(Calc!$O$146*(1+IF(Calc!$I$147&lt;='财富模型'!$E$11*12,'财富模型'!$E$10,'财富模型'!$E$12)/12)-IF('Calc'!$E$13=1,0,IF(Calc!$I$147&lt;='财富模型'!$E$11*12,'Calc'!$W$13,'Calc'!$Y$13)),0)))</x:f>
      </x:c>
      <x:c r="Q147" t="n">
        <x:v>126</x:v>
      </x:c>
      <x:c r="R147" t="str">
        <x:f>IF(Calc!$Q$147&gt;'Calc'!$B$8,"",MAX(Calc!$R$146*(1+'财富模型'!$E$6/12)+('Calc'!$B$5-'财富模型'!$E$5-(IF('Calc'!$E$14=1,'财富模型'!$E$9,'财富模型'!$M$6+IF(Calc!$Q$147&lt;='财富模型'!$E$11*12,'Calc'!$W$14,'Calc'!$Y$14)-(IF('Calc'!$E$14=1,0,MIN(Calc!$S$146*(1+'财富模型'!$E$20/12)+'Calc'!$B$6,IF(Calc!$Q$147&lt;='财富模型'!$E$11*12,'Calc'!$W$14,'Calc'!$Y$14))))))),0))</x:f>
      </x:c>
      <x:c r="S147" t="str">
        <x:f>IF(Calc!$Q$147&gt;'Calc'!$B$8,"",MAX(Calc!$S$146*(1+'财富模型'!$E$20/12)+'Calc'!$B$6-(IF('Calc'!$E$14=1,0,MIN(Calc!$S$146*(1+'财富模型'!$E$20/12)+'Calc'!$B$6,IF(Calc!$Q$147&lt;='财富模型'!$E$11*12,'Calc'!$W$14,'Calc'!$Y$14)))),0))</x:f>
      </x:c>
      <x:c r="T147" t="str">
        <x:f>IF(Calc!$Q$147&gt;'Calc'!$B$8,"",IF('Calc'!$E$14=1,'财富模型'!$E$9,'财富模型'!$M$6+IF(Calc!$Q$147&lt;='财富模型'!$E$11*12,'Calc'!$W$14,'Calc'!$Y$14)-(IF('Calc'!$E$14=1,0,MIN(Calc!$S$146*(1+'财富模型'!$E$20/12)+'Calc'!$B$6,IF(Calc!$Q$147&lt;='财富模型'!$E$11*12,'Calc'!$W$14,'Calc'!$Y$14))))))</x:f>
      </x:c>
      <x:c r="U147" t="str">
        <x:f>IF(Calc!$Q$147&gt;'Calc'!$B$8,"",IF('Calc'!$E$14=1,0,MIN(Calc!$S$146*(1+'财富模型'!$E$20/12)+'Calc'!$B$6,IF(Calc!$Q$147&lt;='财富模型'!$E$11*12,'Calc'!$W$14,'Calc'!$Y$14))))</x:f>
      </x:c>
      <x:c r="V147" t="str">
        <x:f>IF(Calc!$Q$147&gt;'Calc'!$B$8,"",'Calc'!$B$5-'财富模型'!$E$5-(IF('Calc'!$E$14=1,'财富模型'!$E$9,'财富模型'!$M$6+IF(Calc!$Q$147&lt;='财富模型'!$E$11*12,'Calc'!$W$14,'Calc'!$Y$14)-(IF('Calc'!$E$14=1,0,MIN(Calc!$S$146*(1+'财富模型'!$E$20/12)+'Calc'!$B$6,IF(Calc!$Q$147&lt;='财富模型'!$E$11*12,'Calc'!$W$14,'Calc'!$Y$14)))))))</x:f>
      </x:c>
      <x:c r="W147" t="str">
        <x:f>IF(Calc!$Q$147&gt;'Calc'!$B$8,"",IF('Calc'!$E$14=1,0,MAX(Calc!$W$146*(1+IF(Calc!$Q$147&lt;='财富模型'!$E$11*12,'财富模型'!$E$10,'财富模型'!$E$12)/12)-IF('Calc'!$E$14=1,0,IF(Calc!$Q$147&lt;='财富模型'!$E$11*12,'Calc'!$W$14,'Calc'!$Y$14)),0)))</x:f>
      </x:c>
      <x:c r="Y147" t="n">
        <x:v>126</x:v>
      </x:c>
      <x:c r="Z147" t="str">
        <x:f>IF(Calc!$Y$147&gt;'Calc'!$B$8,"",MAX(Calc!$Z$146*(1+'财富模型'!$E$6/12)+('Calc'!$B$5-'财富模型'!$E$5-(IF('Calc'!$E$15=1,'财富模型'!$E$9,'财富模型'!$M$7+IF(Calc!$Y$147&lt;='财富模型'!$E$11*12,'Calc'!$W$15,'Calc'!$Y$15)-(IF('Calc'!$E$15=1,0,MIN(Calc!$AA$146*(1+'财富模型'!$E$20/12)+'Calc'!$B$6,IF(Calc!$Y$147&lt;='财富模型'!$E$11*12,'Calc'!$W$15,'Calc'!$Y$15))))))),0))</x:f>
      </x:c>
      <x:c r="AA147" t="str">
        <x:f>IF(Calc!$Y$147&gt;'Calc'!$B$8,"",MAX(Calc!$AA$146*(1+'财富模型'!$E$20/12)+'Calc'!$B$6-(IF('Calc'!$E$15=1,0,MIN(Calc!$AA$146*(1+'财富模型'!$E$20/12)+'Calc'!$B$6,IF(Calc!$Y$147&lt;='财富模型'!$E$11*12,'Calc'!$W$15,'Calc'!$Y$15)))),0))</x:f>
      </x:c>
      <x:c r="AB147" t="str">
        <x:f>IF(Calc!$Y$147&gt;'Calc'!$B$8,"",IF('Calc'!$E$15=1,'财富模型'!$E$9,'财富模型'!$M$7+IF(Calc!$Y$147&lt;='财富模型'!$E$11*12,'Calc'!$W$15,'Calc'!$Y$15)-(IF('Calc'!$E$15=1,0,MIN(Calc!$AA$146*(1+'财富模型'!$E$20/12)+'Calc'!$B$6,IF(Calc!$Y$147&lt;='财富模型'!$E$11*12,'Calc'!$W$15,'Calc'!$Y$15))))))</x:f>
      </x:c>
      <x:c r="AC147" t="str">
        <x:f>IF(Calc!$Y$147&gt;'Calc'!$B$8,"",IF('Calc'!$E$15=1,0,MIN(Calc!$AA$146*(1+'财富模型'!$E$20/12)+'Calc'!$B$6,IF(Calc!$Y$147&lt;='财富模型'!$E$11*12,'Calc'!$W$15,'Calc'!$Y$15))))</x:f>
      </x:c>
      <x:c r="AD147" t="str">
        <x:f>IF(Calc!$Y$147&gt;'Calc'!$B$8,"",'Calc'!$B$5-'财富模型'!$E$5-(IF('Calc'!$E$15=1,'财富模型'!$E$9,'财富模型'!$M$7+IF(Calc!$Y$147&lt;='财富模型'!$E$11*12,'Calc'!$W$15,'Calc'!$Y$15)-(IF('Calc'!$E$15=1,0,MIN(Calc!$AA$146*(1+'财富模型'!$E$20/12)+'Calc'!$B$6,IF(Calc!$Y$147&lt;='财富模型'!$E$11*12,'Calc'!$W$15,'Calc'!$Y$15)))))))</x:f>
      </x:c>
      <x:c r="AE147" t="str">
        <x:f>IF(Calc!$Y$147&gt;'Calc'!$B$8,"",IF('Calc'!$E$15=1,0,MAX(Calc!$AE$146*(1+IF(Calc!$Y$147&lt;='财富模型'!$E$11*12,'财富模型'!$E$10,'财富模型'!$E$12)/12)-IF('Calc'!$E$15=1,0,IF(Calc!$Y$147&lt;='财富模型'!$E$11*12,'Calc'!$W$15,'Calc'!$Y$15)),0)))</x:f>
      </x:c>
      <x:c r="AG147" t="n">
        <x:v>126</x:v>
      </x:c>
      <x:c r="AH147" t="str">
        <x:f>IF(Calc!$AG$147&gt;'Calc'!$B$8,"",MAX(Calc!$AH$146*(1+'财富模型'!$E$6/12)+('Calc'!$B$5-'财富模型'!$E$5-(IF('Calc'!$E$16=1,'财富模型'!$E$9,'财富模型'!$M$8+IF(Calc!$AG$147&lt;='财富模型'!$E$11*12,'Calc'!$W$16,'Calc'!$Y$16)-(IF('Calc'!$E$16=1,0,MIN(Calc!$AI$146*(1+'财富模型'!$E$20/12)+'Calc'!$B$6,IF(Calc!$AG$147&lt;='财富模型'!$E$11*12,'Calc'!$W$16,'Calc'!$Y$16))))))),0))</x:f>
      </x:c>
      <x:c r="AI147" t="str">
        <x:f>IF(Calc!$AG$147&gt;'Calc'!$B$8,"",MAX(Calc!$AI$146*(1+'财富模型'!$E$20/12)+'Calc'!$B$6-(IF('Calc'!$E$16=1,0,MIN(Calc!$AI$146*(1+'财富模型'!$E$20/12)+'Calc'!$B$6,IF(Calc!$AG$147&lt;='财富模型'!$E$11*12,'Calc'!$W$16,'Calc'!$Y$16)))),0))</x:f>
      </x:c>
      <x:c r="AJ147" t="str">
        <x:f>IF(Calc!$AG$147&gt;'Calc'!$B$8,"",IF('Calc'!$E$16=1,'财富模型'!$E$9,'财富模型'!$M$8+IF(Calc!$AG$147&lt;='财富模型'!$E$11*12,'Calc'!$W$16,'Calc'!$Y$16)-(IF('Calc'!$E$16=1,0,MIN(Calc!$AI$146*(1+'财富模型'!$E$20/12)+'Calc'!$B$6,IF(Calc!$AG$147&lt;='财富模型'!$E$11*12,'Calc'!$W$16,'Calc'!$Y$16))))))</x:f>
      </x:c>
      <x:c r="AK147" t="str">
        <x:f>IF(Calc!$AG$147&gt;'Calc'!$B$8,"",IF('Calc'!$E$16=1,0,MIN(Calc!$AI$146*(1+'财富模型'!$E$20/12)+'Calc'!$B$6,IF(Calc!$AG$147&lt;='财富模型'!$E$11*12,'Calc'!$W$16,'Calc'!$Y$16))))</x:f>
      </x:c>
      <x:c r="AL147" t="str">
        <x:f>IF(Calc!$AG$147&gt;'Calc'!$B$8,"",'Calc'!$B$5-'财富模型'!$E$5-(IF('Calc'!$E$16=1,'财富模型'!$E$9,'财富模型'!$M$8+IF(Calc!$AG$147&lt;='财富模型'!$E$11*12,'Calc'!$W$16,'Calc'!$Y$16)-(IF('Calc'!$E$16=1,0,MIN(Calc!$AI$146*(1+'财富模型'!$E$20/12)+'Calc'!$B$6,IF(Calc!$AG$147&lt;='财富模型'!$E$11*12,'Calc'!$W$16,'Calc'!$Y$16)))))))</x:f>
      </x:c>
      <x:c r="AM147" t="str">
        <x:f>IF(Calc!$AG$147&gt;'Calc'!$B$8,"",IF('Calc'!$E$16=1,0,MAX(Calc!$AM$146*(1+IF(Calc!$AG$147&lt;='财富模型'!$E$11*12,'财富模型'!$E$10,'财富模型'!$E$12)/12)-IF('Calc'!$E$16=1,0,IF(Calc!$AG$147&lt;='财富模型'!$E$11*12,'Calc'!$W$16,'Calc'!$Y$16)),0)))</x:f>
      </x:c>
      <x:c r="AO147" t="n">
        <x:v>126</x:v>
      </x:c>
      <x:c r="AP147" t="str">
        <x:f>IF(Calc!$AO$147&gt;'Calc'!$B$8,"",MAX(Calc!$AP$146*(1+'财富模型'!$E$6/12)+('Calc'!$B$5-'财富模型'!$E$5-(IF('Calc'!$E$17=1,'财富模型'!$E$9,'财富模型'!$M$9+IF(Calc!$AO$147&lt;='财富模型'!$E$11*12,'Calc'!$W$17,'Calc'!$Y$17)-(IF('Calc'!$E$17=1,0,MIN(Calc!$AQ$146*(1+'财富模型'!$E$20/12)+'Calc'!$B$6,IF(Calc!$AO$147&lt;='财富模型'!$E$11*12,'Calc'!$W$17,'Calc'!$Y$17))))))),0))</x:f>
      </x:c>
      <x:c r="AQ147" t="str">
        <x:f>IF(Calc!$AO$147&gt;'Calc'!$B$8,"",MAX(Calc!$AQ$146*(1+'财富模型'!$E$20/12)+'Calc'!$B$6-(IF('Calc'!$E$17=1,0,MIN(Calc!$AQ$146*(1+'财富模型'!$E$20/12)+'Calc'!$B$6,IF(Calc!$AO$147&lt;='财富模型'!$E$11*12,'Calc'!$W$17,'Calc'!$Y$17)))),0))</x:f>
      </x:c>
      <x:c r="AR147" t="str">
        <x:f>IF(Calc!$AO$147&gt;'Calc'!$B$8,"",IF('Calc'!$E$17=1,'财富模型'!$E$9,'财富模型'!$M$9+IF(Calc!$AO$147&lt;='财富模型'!$E$11*12,'Calc'!$W$17,'Calc'!$Y$17)-(IF('Calc'!$E$17=1,0,MIN(Calc!$AQ$146*(1+'财富模型'!$E$20/12)+'Calc'!$B$6,IF(Calc!$AO$147&lt;='财富模型'!$E$11*12,'Calc'!$W$17,'Calc'!$Y$17))))))</x:f>
      </x:c>
      <x:c r="AS147" t="str">
        <x:f>IF(Calc!$AO$147&gt;'Calc'!$B$8,"",IF('Calc'!$E$17=1,0,MIN(Calc!$AQ$146*(1+'财富模型'!$E$20/12)+'Calc'!$B$6,IF(Calc!$AO$147&lt;='财富模型'!$E$11*12,'Calc'!$W$17,'Calc'!$Y$17))))</x:f>
      </x:c>
      <x:c r="AT147" t="str">
        <x:f>IF(Calc!$AO$147&gt;'Calc'!$B$8,"",'Calc'!$B$5-'财富模型'!$E$5-(IF('Calc'!$E$17=1,'财富模型'!$E$9,'财富模型'!$M$9+IF(Calc!$AO$147&lt;='财富模型'!$E$11*12,'Calc'!$W$17,'Calc'!$Y$17)-(IF('Calc'!$E$17=1,0,MIN(Calc!$AQ$146*(1+'财富模型'!$E$20/12)+'Calc'!$B$6,IF(Calc!$AO$147&lt;='财富模型'!$E$11*12,'Calc'!$W$17,'Calc'!$Y$17)))))))</x:f>
      </x:c>
      <x:c r="AU147" t="str">
        <x:f>IF(Calc!$AO$147&gt;'Calc'!$B$8,"",IF('Calc'!$E$17=1,0,MAX(Calc!$AU$146*(1+IF(Calc!$AO$147&lt;='财富模型'!$E$11*12,'财富模型'!$E$10,'财富模型'!$E$12)/12)-IF('Calc'!$E$17=1,0,IF(Calc!$AO$147&lt;='财富模型'!$E$11*12,'Calc'!$W$17,'Calc'!$Y$17)),0)))</x:f>
      </x:c>
    </x:row>
    <x:row r="148">
      <x:c r="A148" t="n">
        <x:v>127</x:v>
      </x:c>
      <x:c r="B148" t="str">
        <x:f>IF(Calc!$A$148&gt;'Calc'!$B$8,"",MAX(Calc!$B$147*(1+'财富模型'!$E$6/12)+('Calc'!$B$5-'财富模型'!$E$5-(IF('Calc'!$E$12=1,'财富模型'!$E$9,'财富模型'!$M$4+IF(Calc!$A$148&lt;='财富模型'!$E$11*12,'Calc'!$W$12,'Calc'!$Y$12)-(IF('Calc'!$E$12=1,0,MIN(Calc!$C$147*(1+'财富模型'!$E$20/12)+'Calc'!$B$6,IF(Calc!$A$148&lt;='财富模型'!$E$11*12,'Calc'!$W$12,'Calc'!$Y$12))))))),0))</x:f>
      </x:c>
      <x:c r="C148" t="str">
        <x:f>IF(Calc!$A$148&gt;'Calc'!$B$8,"",MAX(Calc!$C$147*(1+'财富模型'!$E$20/12)+'Calc'!$B$6-(IF('Calc'!$E$12=1,0,MIN(Calc!$C$147*(1+'财富模型'!$E$20/12)+'Calc'!$B$6,IF(Calc!$A$148&lt;='财富模型'!$E$11*12,'Calc'!$W$12,'Calc'!$Y$12)))),0))</x:f>
      </x:c>
      <x:c r="D148" t="str">
        <x:f>IF(Calc!$A$148&gt;'Calc'!$B$8,"",IF('Calc'!$E$12=1,'财富模型'!$E$9,'财富模型'!$M$4+IF(Calc!$A$148&lt;='财富模型'!$E$11*12,'Calc'!$W$12,'Calc'!$Y$12)-(IF('Calc'!$E$12=1,0,MIN(Calc!$C$147*(1+'财富模型'!$E$20/12)+'Calc'!$B$6,IF(Calc!$A$148&lt;='财富模型'!$E$11*12,'Calc'!$W$12,'Calc'!$Y$12))))))</x:f>
      </x:c>
      <x:c r="E148" t="str">
        <x:f>IF(Calc!$A$148&gt;'Calc'!$B$8,"",IF('Calc'!$E$12=1,0,MIN(Calc!$C$147*(1+'财富模型'!$E$20/12)+'Calc'!$B$6,IF(Calc!$A$148&lt;='财富模型'!$E$11*12,'Calc'!$W$12,'Calc'!$Y$12))))</x:f>
      </x:c>
      <x:c r="F148" t="str">
        <x:f>IF(Calc!$A$148&gt;'Calc'!$B$8,"",'Calc'!$B$5-'财富模型'!$E$5-(IF('Calc'!$E$12=1,'财富模型'!$E$9,'财富模型'!$M$4+IF(Calc!$A$148&lt;='财富模型'!$E$11*12,'Calc'!$W$12,'Calc'!$Y$12)-(IF('Calc'!$E$12=1,0,MIN(Calc!$C$147*(1+'财富模型'!$E$20/12)+'Calc'!$B$6,IF(Calc!$A$148&lt;='财富模型'!$E$11*12,'Calc'!$W$12,'Calc'!$Y$12)))))))</x:f>
      </x:c>
      <x:c r="G148" t="str">
        <x:f>IF(Calc!$A$148&gt;'Calc'!$B$8,"",IF('Calc'!$E$12=1,0,MAX(Calc!$G$147*(1+IF(Calc!$A$148&lt;='财富模型'!$E$11*12,'财富模型'!$E$10,'财富模型'!$E$12)/12)-IF('Calc'!$E$12=1,0,IF(Calc!$A$148&lt;='财富模型'!$E$11*12,'Calc'!$W$12,'Calc'!$Y$12)),0)))</x:f>
      </x:c>
      <x:c r="I148" t="n">
        <x:v>127</x:v>
      </x:c>
      <x:c r="J148" t="str">
        <x:f>IF(Calc!$I$148&gt;'Calc'!$B$8,"",MAX(Calc!$J$147*(1+'财富模型'!$E$6/12)+('Calc'!$B$5-'财富模型'!$E$5-(IF('Calc'!$E$13=1,'财富模型'!$E$9,'财富模型'!$M$5+IF(Calc!$I$148&lt;='财富模型'!$E$11*12,'Calc'!$W$13,'Calc'!$Y$13)-(IF('Calc'!$E$13=1,0,MIN(Calc!$K$147*(1+'财富模型'!$E$20/12)+'Calc'!$B$6,IF(Calc!$I$148&lt;='财富模型'!$E$11*12,'Calc'!$W$13,'Calc'!$Y$13))))))),0))</x:f>
      </x:c>
      <x:c r="K148" t="str">
        <x:f>IF(Calc!$I$148&gt;'Calc'!$B$8,"",MAX(Calc!$K$147*(1+'财富模型'!$E$20/12)+'Calc'!$B$6-(IF('Calc'!$E$13=1,0,MIN(Calc!$K$147*(1+'财富模型'!$E$20/12)+'Calc'!$B$6,IF(Calc!$I$148&lt;='财富模型'!$E$11*12,'Calc'!$W$13,'Calc'!$Y$13)))),0))</x:f>
      </x:c>
      <x:c r="L148" t="str">
        <x:f>IF(Calc!$I$148&gt;'Calc'!$B$8,"",IF('Calc'!$E$13=1,'财富模型'!$E$9,'财富模型'!$M$5+IF(Calc!$I$148&lt;='财富模型'!$E$11*12,'Calc'!$W$13,'Calc'!$Y$13)-(IF('Calc'!$E$13=1,0,MIN(Calc!$K$147*(1+'财富模型'!$E$20/12)+'Calc'!$B$6,IF(Calc!$I$148&lt;='财富模型'!$E$11*12,'Calc'!$W$13,'Calc'!$Y$13))))))</x:f>
      </x:c>
      <x:c r="M148" t="str">
        <x:f>IF(Calc!$I$148&gt;'Calc'!$B$8,"",IF('Calc'!$E$13=1,0,MIN(Calc!$K$147*(1+'财富模型'!$E$20/12)+'Calc'!$B$6,IF(Calc!$I$148&lt;='财富模型'!$E$11*12,'Calc'!$W$13,'Calc'!$Y$13))))</x:f>
      </x:c>
      <x:c r="N148" t="str">
        <x:f>IF(Calc!$I$148&gt;'Calc'!$B$8,"",'Calc'!$B$5-'财富模型'!$E$5-(IF('Calc'!$E$13=1,'财富模型'!$E$9,'财富模型'!$M$5+IF(Calc!$I$148&lt;='财富模型'!$E$11*12,'Calc'!$W$13,'Calc'!$Y$13)-(IF('Calc'!$E$13=1,0,MIN(Calc!$K$147*(1+'财富模型'!$E$20/12)+'Calc'!$B$6,IF(Calc!$I$148&lt;='财富模型'!$E$11*12,'Calc'!$W$13,'Calc'!$Y$13)))))))</x:f>
      </x:c>
      <x:c r="O148" t="str">
        <x:f>IF(Calc!$I$148&gt;'Calc'!$B$8,"",IF('Calc'!$E$13=1,0,MAX(Calc!$O$147*(1+IF(Calc!$I$148&lt;='财富模型'!$E$11*12,'财富模型'!$E$10,'财富模型'!$E$12)/12)-IF('Calc'!$E$13=1,0,IF(Calc!$I$148&lt;='财富模型'!$E$11*12,'Calc'!$W$13,'Calc'!$Y$13)),0)))</x:f>
      </x:c>
      <x:c r="Q148" t="n">
        <x:v>127</x:v>
      </x:c>
      <x:c r="R148" t="str">
        <x:f>IF(Calc!$Q$148&gt;'Calc'!$B$8,"",MAX(Calc!$R$147*(1+'财富模型'!$E$6/12)+('Calc'!$B$5-'财富模型'!$E$5-(IF('Calc'!$E$14=1,'财富模型'!$E$9,'财富模型'!$M$6+IF(Calc!$Q$148&lt;='财富模型'!$E$11*12,'Calc'!$W$14,'Calc'!$Y$14)-(IF('Calc'!$E$14=1,0,MIN(Calc!$S$147*(1+'财富模型'!$E$20/12)+'Calc'!$B$6,IF(Calc!$Q$148&lt;='财富模型'!$E$11*12,'Calc'!$W$14,'Calc'!$Y$14))))))),0))</x:f>
      </x:c>
      <x:c r="S148" t="str">
        <x:f>IF(Calc!$Q$148&gt;'Calc'!$B$8,"",MAX(Calc!$S$147*(1+'财富模型'!$E$20/12)+'Calc'!$B$6-(IF('Calc'!$E$14=1,0,MIN(Calc!$S$147*(1+'财富模型'!$E$20/12)+'Calc'!$B$6,IF(Calc!$Q$148&lt;='财富模型'!$E$11*12,'Calc'!$W$14,'Calc'!$Y$14)))),0))</x:f>
      </x:c>
      <x:c r="T148" t="str">
        <x:f>IF(Calc!$Q$148&gt;'Calc'!$B$8,"",IF('Calc'!$E$14=1,'财富模型'!$E$9,'财富模型'!$M$6+IF(Calc!$Q$148&lt;='财富模型'!$E$11*12,'Calc'!$W$14,'Calc'!$Y$14)-(IF('Calc'!$E$14=1,0,MIN(Calc!$S$147*(1+'财富模型'!$E$20/12)+'Calc'!$B$6,IF(Calc!$Q$148&lt;='财富模型'!$E$11*12,'Calc'!$W$14,'Calc'!$Y$14))))))</x:f>
      </x:c>
      <x:c r="U148" t="str">
        <x:f>IF(Calc!$Q$148&gt;'Calc'!$B$8,"",IF('Calc'!$E$14=1,0,MIN(Calc!$S$147*(1+'财富模型'!$E$20/12)+'Calc'!$B$6,IF(Calc!$Q$148&lt;='财富模型'!$E$11*12,'Calc'!$W$14,'Calc'!$Y$14))))</x:f>
      </x:c>
      <x:c r="V148" t="str">
        <x:f>IF(Calc!$Q$148&gt;'Calc'!$B$8,"",'Calc'!$B$5-'财富模型'!$E$5-(IF('Calc'!$E$14=1,'财富模型'!$E$9,'财富模型'!$M$6+IF(Calc!$Q$148&lt;='财富模型'!$E$11*12,'Calc'!$W$14,'Calc'!$Y$14)-(IF('Calc'!$E$14=1,0,MIN(Calc!$S$147*(1+'财富模型'!$E$20/12)+'Calc'!$B$6,IF(Calc!$Q$148&lt;='财富模型'!$E$11*12,'Calc'!$W$14,'Calc'!$Y$14)))))))</x:f>
      </x:c>
      <x:c r="W148" t="str">
        <x:f>IF(Calc!$Q$148&gt;'Calc'!$B$8,"",IF('Calc'!$E$14=1,0,MAX(Calc!$W$147*(1+IF(Calc!$Q$148&lt;='财富模型'!$E$11*12,'财富模型'!$E$10,'财富模型'!$E$12)/12)-IF('Calc'!$E$14=1,0,IF(Calc!$Q$148&lt;='财富模型'!$E$11*12,'Calc'!$W$14,'Calc'!$Y$14)),0)))</x:f>
      </x:c>
      <x:c r="Y148" t="n">
        <x:v>127</x:v>
      </x:c>
      <x:c r="Z148" t="str">
        <x:f>IF(Calc!$Y$148&gt;'Calc'!$B$8,"",MAX(Calc!$Z$147*(1+'财富模型'!$E$6/12)+('Calc'!$B$5-'财富模型'!$E$5-(IF('Calc'!$E$15=1,'财富模型'!$E$9,'财富模型'!$M$7+IF(Calc!$Y$148&lt;='财富模型'!$E$11*12,'Calc'!$W$15,'Calc'!$Y$15)-(IF('Calc'!$E$15=1,0,MIN(Calc!$AA$147*(1+'财富模型'!$E$20/12)+'Calc'!$B$6,IF(Calc!$Y$148&lt;='财富模型'!$E$11*12,'Calc'!$W$15,'Calc'!$Y$15))))))),0))</x:f>
      </x:c>
      <x:c r="AA148" t="str">
        <x:f>IF(Calc!$Y$148&gt;'Calc'!$B$8,"",MAX(Calc!$AA$147*(1+'财富模型'!$E$20/12)+'Calc'!$B$6-(IF('Calc'!$E$15=1,0,MIN(Calc!$AA$147*(1+'财富模型'!$E$20/12)+'Calc'!$B$6,IF(Calc!$Y$148&lt;='财富模型'!$E$11*12,'Calc'!$W$15,'Calc'!$Y$15)))),0))</x:f>
      </x:c>
      <x:c r="AB148" t="str">
        <x:f>IF(Calc!$Y$148&gt;'Calc'!$B$8,"",IF('Calc'!$E$15=1,'财富模型'!$E$9,'财富模型'!$M$7+IF(Calc!$Y$148&lt;='财富模型'!$E$11*12,'Calc'!$W$15,'Calc'!$Y$15)-(IF('Calc'!$E$15=1,0,MIN(Calc!$AA$147*(1+'财富模型'!$E$20/12)+'Calc'!$B$6,IF(Calc!$Y$148&lt;='财富模型'!$E$11*12,'Calc'!$W$15,'Calc'!$Y$15))))))</x:f>
      </x:c>
      <x:c r="AC148" t="str">
        <x:f>IF(Calc!$Y$148&gt;'Calc'!$B$8,"",IF('Calc'!$E$15=1,0,MIN(Calc!$AA$147*(1+'财富模型'!$E$20/12)+'Calc'!$B$6,IF(Calc!$Y$148&lt;='财富模型'!$E$11*12,'Calc'!$W$15,'Calc'!$Y$15))))</x:f>
      </x:c>
      <x:c r="AD148" t="str">
        <x:f>IF(Calc!$Y$148&gt;'Calc'!$B$8,"",'Calc'!$B$5-'财富模型'!$E$5-(IF('Calc'!$E$15=1,'财富模型'!$E$9,'财富模型'!$M$7+IF(Calc!$Y$148&lt;='财富模型'!$E$11*12,'Calc'!$W$15,'Calc'!$Y$15)-(IF('Calc'!$E$15=1,0,MIN(Calc!$AA$147*(1+'财富模型'!$E$20/12)+'Calc'!$B$6,IF(Calc!$Y$148&lt;='财富模型'!$E$11*12,'Calc'!$W$15,'Calc'!$Y$15)))))))</x:f>
      </x:c>
      <x:c r="AE148" t="str">
        <x:f>IF(Calc!$Y$148&gt;'Calc'!$B$8,"",IF('Calc'!$E$15=1,0,MAX(Calc!$AE$147*(1+IF(Calc!$Y$148&lt;='财富模型'!$E$11*12,'财富模型'!$E$10,'财富模型'!$E$12)/12)-IF('Calc'!$E$15=1,0,IF(Calc!$Y$148&lt;='财富模型'!$E$11*12,'Calc'!$W$15,'Calc'!$Y$15)),0)))</x:f>
      </x:c>
      <x:c r="AG148" t="n">
        <x:v>127</x:v>
      </x:c>
      <x:c r="AH148" t="str">
        <x:f>IF(Calc!$AG$148&gt;'Calc'!$B$8,"",MAX(Calc!$AH$147*(1+'财富模型'!$E$6/12)+('Calc'!$B$5-'财富模型'!$E$5-(IF('Calc'!$E$16=1,'财富模型'!$E$9,'财富模型'!$M$8+IF(Calc!$AG$148&lt;='财富模型'!$E$11*12,'Calc'!$W$16,'Calc'!$Y$16)-(IF('Calc'!$E$16=1,0,MIN(Calc!$AI$147*(1+'财富模型'!$E$20/12)+'Calc'!$B$6,IF(Calc!$AG$148&lt;='财富模型'!$E$11*12,'Calc'!$W$16,'Calc'!$Y$16))))))),0))</x:f>
      </x:c>
      <x:c r="AI148" t="str">
        <x:f>IF(Calc!$AG$148&gt;'Calc'!$B$8,"",MAX(Calc!$AI$147*(1+'财富模型'!$E$20/12)+'Calc'!$B$6-(IF('Calc'!$E$16=1,0,MIN(Calc!$AI$147*(1+'财富模型'!$E$20/12)+'Calc'!$B$6,IF(Calc!$AG$148&lt;='财富模型'!$E$11*12,'Calc'!$W$16,'Calc'!$Y$16)))),0))</x:f>
      </x:c>
      <x:c r="AJ148" t="str">
        <x:f>IF(Calc!$AG$148&gt;'Calc'!$B$8,"",IF('Calc'!$E$16=1,'财富模型'!$E$9,'财富模型'!$M$8+IF(Calc!$AG$148&lt;='财富模型'!$E$11*12,'Calc'!$W$16,'Calc'!$Y$16)-(IF('Calc'!$E$16=1,0,MIN(Calc!$AI$147*(1+'财富模型'!$E$20/12)+'Calc'!$B$6,IF(Calc!$AG$148&lt;='财富模型'!$E$11*12,'Calc'!$W$16,'Calc'!$Y$16))))))</x:f>
      </x:c>
      <x:c r="AK148" t="str">
        <x:f>IF(Calc!$AG$148&gt;'Calc'!$B$8,"",IF('Calc'!$E$16=1,0,MIN(Calc!$AI$147*(1+'财富模型'!$E$20/12)+'Calc'!$B$6,IF(Calc!$AG$148&lt;='财富模型'!$E$11*12,'Calc'!$W$16,'Calc'!$Y$16))))</x:f>
      </x:c>
      <x:c r="AL148" t="str">
        <x:f>IF(Calc!$AG$148&gt;'Calc'!$B$8,"",'Calc'!$B$5-'财富模型'!$E$5-(IF('Calc'!$E$16=1,'财富模型'!$E$9,'财富模型'!$M$8+IF(Calc!$AG$148&lt;='财富模型'!$E$11*12,'Calc'!$W$16,'Calc'!$Y$16)-(IF('Calc'!$E$16=1,0,MIN(Calc!$AI$147*(1+'财富模型'!$E$20/12)+'Calc'!$B$6,IF(Calc!$AG$148&lt;='财富模型'!$E$11*12,'Calc'!$W$16,'Calc'!$Y$16)))))))</x:f>
      </x:c>
      <x:c r="AM148" t="str">
        <x:f>IF(Calc!$AG$148&gt;'Calc'!$B$8,"",IF('Calc'!$E$16=1,0,MAX(Calc!$AM$147*(1+IF(Calc!$AG$148&lt;='财富模型'!$E$11*12,'财富模型'!$E$10,'财富模型'!$E$12)/12)-IF('Calc'!$E$16=1,0,IF(Calc!$AG$148&lt;='财富模型'!$E$11*12,'Calc'!$W$16,'Calc'!$Y$16)),0)))</x:f>
      </x:c>
      <x:c r="AO148" t="n">
        <x:v>127</x:v>
      </x:c>
      <x:c r="AP148" t="str">
        <x:f>IF(Calc!$AO$148&gt;'Calc'!$B$8,"",MAX(Calc!$AP$147*(1+'财富模型'!$E$6/12)+('Calc'!$B$5-'财富模型'!$E$5-(IF('Calc'!$E$17=1,'财富模型'!$E$9,'财富模型'!$M$9+IF(Calc!$AO$148&lt;='财富模型'!$E$11*12,'Calc'!$W$17,'Calc'!$Y$17)-(IF('Calc'!$E$17=1,0,MIN(Calc!$AQ$147*(1+'财富模型'!$E$20/12)+'Calc'!$B$6,IF(Calc!$AO$148&lt;='财富模型'!$E$11*12,'Calc'!$W$17,'Calc'!$Y$17))))))),0))</x:f>
      </x:c>
      <x:c r="AQ148" t="str">
        <x:f>IF(Calc!$AO$148&gt;'Calc'!$B$8,"",MAX(Calc!$AQ$147*(1+'财富模型'!$E$20/12)+'Calc'!$B$6-(IF('Calc'!$E$17=1,0,MIN(Calc!$AQ$147*(1+'财富模型'!$E$20/12)+'Calc'!$B$6,IF(Calc!$AO$148&lt;='财富模型'!$E$11*12,'Calc'!$W$17,'Calc'!$Y$17)))),0))</x:f>
      </x:c>
      <x:c r="AR148" t="str">
        <x:f>IF(Calc!$AO$148&gt;'Calc'!$B$8,"",IF('Calc'!$E$17=1,'财富模型'!$E$9,'财富模型'!$M$9+IF(Calc!$AO$148&lt;='财富模型'!$E$11*12,'Calc'!$W$17,'Calc'!$Y$17)-(IF('Calc'!$E$17=1,0,MIN(Calc!$AQ$147*(1+'财富模型'!$E$20/12)+'Calc'!$B$6,IF(Calc!$AO$148&lt;='财富模型'!$E$11*12,'Calc'!$W$17,'Calc'!$Y$17))))))</x:f>
      </x:c>
      <x:c r="AS148" t="str">
        <x:f>IF(Calc!$AO$148&gt;'Calc'!$B$8,"",IF('Calc'!$E$17=1,0,MIN(Calc!$AQ$147*(1+'财富模型'!$E$20/12)+'Calc'!$B$6,IF(Calc!$AO$148&lt;='财富模型'!$E$11*12,'Calc'!$W$17,'Calc'!$Y$17))))</x:f>
      </x:c>
      <x:c r="AT148" t="str">
        <x:f>IF(Calc!$AO$148&gt;'Calc'!$B$8,"",'Calc'!$B$5-'财富模型'!$E$5-(IF('Calc'!$E$17=1,'财富模型'!$E$9,'财富模型'!$M$9+IF(Calc!$AO$148&lt;='财富模型'!$E$11*12,'Calc'!$W$17,'Calc'!$Y$17)-(IF('Calc'!$E$17=1,0,MIN(Calc!$AQ$147*(1+'财富模型'!$E$20/12)+'Calc'!$B$6,IF(Calc!$AO$148&lt;='财富模型'!$E$11*12,'Calc'!$W$17,'Calc'!$Y$17)))))))</x:f>
      </x:c>
      <x:c r="AU148" t="str">
        <x:f>IF(Calc!$AO$148&gt;'Calc'!$B$8,"",IF('Calc'!$E$17=1,0,MAX(Calc!$AU$147*(1+IF(Calc!$AO$148&lt;='财富模型'!$E$11*12,'财富模型'!$E$10,'财富模型'!$E$12)/12)-IF('Calc'!$E$17=1,0,IF(Calc!$AO$148&lt;='财富模型'!$E$11*12,'Calc'!$W$17,'Calc'!$Y$17)),0)))</x:f>
      </x:c>
    </x:row>
    <x:row r="149">
      <x:c r="A149" t="n">
        <x:v>128</x:v>
      </x:c>
      <x:c r="B149" t="str">
        <x:f>IF(Calc!$A$149&gt;'Calc'!$B$8,"",MAX(Calc!$B$148*(1+'财富模型'!$E$6/12)+('Calc'!$B$5-'财富模型'!$E$5-(IF('Calc'!$E$12=1,'财富模型'!$E$9,'财富模型'!$M$4+IF(Calc!$A$149&lt;='财富模型'!$E$11*12,'Calc'!$W$12,'Calc'!$Y$12)-(IF('Calc'!$E$12=1,0,MIN(Calc!$C$148*(1+'财富模型'!$E$20/12)+'Calc'!$B$6,IF(Calc!$A$149&lt;='财富模型'!$E$11*12,'Calc'!$W$12,'Calc'!$Y$12))))))),0))</x:f>
      </x:c>
      <x:c r="C149" t="str">
        <x:f>IF(Calc!$A$149&gt;'Calc'!$B$8,"",MAX(Calc!$C$148*(1+'财富模型'!$E$20/12)+'Calc'!$B$6-(IF('Calc'!$E$12=1,0,MIN(Calc!$C$148*(1+'财富模型'!$E$20/12)+'Calc'!$B$6,IF(Calc!$A$149&lt;='财富模型'!$E$11*12,'Calc'!$W$12,'Calc'!$Y$12)))),0))</x:f>
      </x:c>
      <x:c r="D149" t="str">
        <x:f>IF(Calc!$A$149&gt;'Calc'!$B$8,"",IF('Calc'!$E$12=1,'财富模型'!$E$9,'财富模型'!$M$4+IF(Calc!$A$149&lt;='财富模型'!$E$11*12,'Calc'!$W$12,'Calc'!$Y$12)-(IF('Calc'!$E$12=1,0,MIN(Calc!$C$148*(1+'财富模型'!$E$20/12)+'Calc'!$B$6,IF(Calc!$A$149&lt;='财富模型'!$E$11*12,'Calc'!$W$12,'Calc'!$Y$12))))))</x:f>
      </x:c>
      <x:c r="E149" t="str">
        <x:f>IF(Calc!$A$149&gt;'Calc'!$B$8,"",IF('Calc'!$E$12=1,0,MIN(Calc!$C$148*(1+'财富模型'!$E$20/12)+'Calc'!$B$6,IF(Calc!$A$149&lt;='财富模型'!$E$11*12,'Calc'!$W$12,'Calc'!$Y$12))))</x:f>
      </x:c>
      <x:c r="F149" t="str">
        <x:f>IF(Calc!$A$149&gt;'Calc'!$B$8,"",'Calc'!$B$5-'财富模型'!$E$5-(IF('Calc'!$E$12=1,'财富模型'!$E$9,'财富模型'!$M$4+IF(Calc!$A$149&lt;='财富模型'!$E$11*12,'Calc'!$W$12,'Calc'!$Y$12)-(IF('Calc'!$E$12=1,0,MIN(Calc!$C$148*(1+'财富模型'!$E$20/12)+'Calc'!$B$6,IF(Calc!$A$149&lt;='财富模型'!$E$11*12,'Calc'!$W$12,'Calc'!$Y$12)))))))</x:f>
      </x:c>
      <x:c r="G149" t="str">
        <x:f>IF(Calc!$A$149&gt;'Calc'!$B$8,"",IF('Calc'!$E$12=1,0,MAX(Calc!$G$148*(1+IF(Calc!$A$149&lt;='财富模型'!$E$11*12,'财富模型'!$E$10,'财富模型'!$E$12)/12)-IF('Calc'!$E$12=1,0,IF(Calc!$A$149&lt;='财富模型'!$E$11*12,'Calc'!$W$12,'Calc'!$Y$12)),0)))</x:f>
      </x:c>
      <x:c r="I149" t="n">
        <x:v>128</x:v>
      </x:c>
      <x:c r="J149" t="str">
        <x:f>IF(Calc!$I$149&gt;'Calc'!$B$8,"",MAX(Calc!$J$148*(1+'财富模型'!$E$6/12)+('Calc'!$B$5-'财富模型'!$E$5-(IF('Calc'!$E$13=1,'财富模型'!$E$9,'财富模型'!$M$5+IF(Calc!$I$149&lt;='财富模型'!$E$11*12,'Calc'!$W$13,'Calc'!$Y$13)-(IF('Calc'!$E$13=1,0,MIN(Calc!$K$148*(1+'财富模型'!$E$20/12)+'Calc'!$B$6,IF(Calc!$I$149&lt;='财富模型'!$E$11*12,'Calc'!$W$13,'Calc'!$Y$13))))))),0))</x:f>
      </x:c>
      <x:c r="K149" t="str">
        <x:f>IF(Calc!$I$149&gt;'Calc'!$B$8,"",MAX(Calc!$K$148*(1+'财富模型'!$E$20/12)+'Calc'!$B$6-(IF('Calc'!$E$13=1,0,MIN(Calc!$K$148*(1+'财富模型'!$E$20/12)+'Calc'!$B$6,IF(Calc!$I$149&lt;='财富模型'!$E$11*12,'Calc'!$W$13,'Calc'!$Y$13)))),0))</x:f>
      </x:c>
      <x:c r="L149" t="str">
        <x:f>IF(Calc!$I$149&gt;'Calc'!$B$8,"",IF('Calc'!$E$13=1,'财富模型'!$E$9,'财富模型'!$M$5+IF(Calc!$I$149&lt;='财富模型'!$E$11*12,'Calc'!$W$13,'Calc'!$Y$13)-(IF('Calc'!$E$13=1,0,MIN(Calc!$K$148*(1+'财富模型'!$E$20/12)+'Calc'!$B$6,IF(Calc!$I$149&lt;='财富模型'!$E$11*12,'Calc'!$W$13,'Calc'!$Y$13))))))</x:f>
      </x:c>
      <x:c r="M149" t="str">
        <x:f>IF(Calc!$I$149&gt;'Calc'!$B$8,"",IF('Calc'!$E$13=1,0,MIN(Calc!$K$148*(1+'财富模型'!$E$20/12)+'Calc'!$B$6,IF(Calc!$I$149&lt;='财富模型'!$E$11*12,'Calc'!$W$13,'Calc'!$Y$13))))</x:f>
      </x:c>
      <x:c r="N149" t="str">
        <x:f>IF(Calc!$I$149&gt;'Calc'!$B$8,"",'Calc'!$B$5-'财富模型'!$E$5-(IF('Calc'!$E$13=1,'财富模型'!$E$9,'财富模型'!$M$5+IF(Calc!$I$149&lt;='财富模型'!$E$11*12,'Calc'!$W$13,'Calc'!$Y$13)-(IF('Calc'!$E$13=1,0,MIN(Calc!$K$148*(1+'财富模型'!$E$20/12)+'Calc'!$B$6,IF(Calc!$I$149&lt;='财富模型'!$E$11*12,'Calc'!$W$13,'Calc'!$Y$13)))))))</x:f>
      </x:c>
      <x:c r="O149" t="str">
        <x:f>IF(Calc!$I$149&gt;'Calc'!$B$8,"",IF('Calc'!$E$13=1,0,MAX(Calc!$O$148*(1+IF(Calc!$I$149&lt;='财富模型'!$E$11*12,'财富模型'!$E$10,'财富模型'!$E$12)/12)-IF('Calc'!$E$13=1,0,IF(Calc!$I$149&lt;='财富模型'!$E$11*12,'Calc'!$W$13,'Calc'!$Y$13)),0)))</x:f>
      </x:c>
      <x:c r="Q149" t="n">
        <x:v>128</x:v>
      </x:c>
      <x:c r="R149" t="str">
        <x:f>IF(Calc!$Q$149&gt;'Calc'!$B$8,"",MAX(Calc!$R$148*(1+'财富模型'!$E$6/12)+('Calc'!$B$5-'财富模型'!$E$5-(IF('Calc'!$E$14=1,'财富模型'!$E$9,'财富模型'!$M$6+IF(Calc!$Q$149&lt;='财富模型'!$E$11*12,'Calc'!$W$14,'Calc'!$Y$14)-(IF('Calc'!$E$14=1,0,MIN(Calc!$S$148*(1+'财富模型'!$E$20/12)+'Calc'!$B$6,IF(Calc!$Q$149&lt;='财富模型'!$E$11*12,'Calc'!$W$14,'Calc'!$Y$14))))))),0))</x:f>
      </x:c>
      <x:c r="S149" t="str">
        <x:f>IF(Calc!$Q$149&gt;'Calc'!$B$8,"",MAX(Calc!$S$148*(1+'财富模型'!$E$20/12)+'Calc'!$B$6-(IF('Calc'!$E$14=1,0,MIN(Calc!$S$148*(1+'财富模型'!$E$20/12)+'Calc'!$B$6,IF(Calc!$Q$149&lt;='财富模型'!$E$11*12,'Calc'!$W$14,'Calc'!$Y$14)))),0))</x:f>
      </x:c>
      <x:c r="T149" t="str">
        <x:f>IF(Calc!$Q$149&gt;'Calc'!$B$8,"",IF('Calc'!$E$14=1,'财富模型'!$E$9,'财富模型'!$M$6+IF(Calc!$Q$149&lt;='财富模型'!$E$11*12,'Calc'!$W$14,'Calc'!$Y$14)-(IF('Calc'!$E$14=1,0,MIN(Calc!$S$148*(1+'财富模型'!$E$20/12)+'Calc'!$B$6,IF(Calc!$Q$149&lt;='财富模型'!$E$11*12,'Calc'!$W$14,'Calc'!$Y$14))))))</x:f>
      </x:c>
      <x:c r="U149" t="str">
        <x:f>IF(Calc!$Q$149&gt;'Calc'!$B$8,"",IF('Calc'!$E$14=1,0,MIN(Calc!$S$148*(1+'财富模型'!$E$20/12)+'Calc'!$B$6,IF(Calc!$Q$149&lt;='财富模型'!$E$11*12,'Calc'!$W$14,'Calc'!$Y$14))))</x:f>
      </x:c>
      <x:c r="V149" t="str">
        <x:f>IF(Calc!$Q$149&gt;'Calc'!$B$8,"",'Calc'!$B$5-'财富模型'!$E$5-(IF('Calc'!$E$14=1,'财富模型'!$E$9,'财富模型'!$M$6+IF(Calc!$Q$149&lt;='财富模型'!$E$11*12,'Calc'!$W$14,'Calc'!$Y$14)-(IF('Calc'!$E$14=1,0,MIN(Calc!$S$148*(1+'财富模型'!$E$20/12)+'Calc'!$B$6,IF(Calc!$Q$149&lt;='财富模型'!$E$11*12,'Calc'!$W$14,'Calc'!$Y$14)))))))</x:f>
      </x:c>
      <x:c r="W149" t="str">
        <x:f>IF(Calc!$Q$149&gt;'Calc'!$B$8,"",IF('Calc'!$E$14=1,0,MAX(Calc!$W$148*(1+IF(Calc!$Q$149&lt;='财富模型'!$E$11*12,'财富模型'!$E$10,'财富模型'!$E$12)/12)-IF('Calc'!$E$14=1,0,IF(Calc!$Q$149&lt;='财富模型'!$E$11*12,'Calc'!$W$14,'Calc'!$Y$14)),0)))</x:f>
      </x:c>
      <x:c r="Y149" t="n">
        <x:v>128</x:v>
      </x:c>
      <x:c r="Z149" t="str">
        <x:f>IF(Calc!$Y$149&gt;'Calc'!$B$8,"",MAX(Calc!$Z$148*(1+'财富模型'!$E$6/12)+('Calc'!$B$5-'财富模型'!$E$5-(IF('Calc'!$E$15=1,'财富模型'!$E$9,'财富模型'!$M$7+IF(Calc!$Y$149&lt;='财富模型'!$E$11*12,'Calc'!$W$15,'Calc'!$Y$15)-(IF('Calc'!$E$15=1,0,MIN(Calc!$AA$148*(1+'财富模型'!$E$20/12)+'Calc'!$B$6,IF(Calc!$Y$149&lt;='财富模型'!$E$11*12,'Calc'!$W$15,'Calc'!$Y$15))))))),0))</x:f>
      </x:c>
      <x:c r="AA149" t="str">
        <x:f>IF(Calc!$Y$149&gt;'Calc'!$B$8,"",MAX(Calc!$AA$148*(1+'财富模型'!$E$20/12)+'Calc'!$B$6-(IF('Calc'!$E$15=1,0,MIN(Calc!$AA$148*(1+'财富模型'!$E$20/12)+'Calc'!$B$6,IF(Calc!$Y$149&lt;='财富模型'!$E$11*12,'Calc'!$W$15,'Calc'!$Y$15)))),0))</x:f>
      </x:c>
      <x:c r="AB149" t="str">
        <x:f>IF(Calc!$Y$149&gt;'Calc'!$B$8,"",IF('Calc'!$E$15=1,'财富模型'!$E$9,'财富模型'!$M$7+IF(Calc!$Y$149&lt;='财富模型'!$E$11*12,'Calc'!$W$15,'Calc'!$Y$15)-(IF('Calc'!$E$15=1,0,MIN(Calc!$AA$148*(1+'财富模型'!$E$20/12)+'Calc'!$B$6,IF(Calc!$Y$149&lt;='财富模型'!$E$11*12,'Calc'!$W$15,'Calc'!$Y$15))))))</x:f>
      </x:c>
      <x:c r="AC149" t="str">
        <x:f>IF(Calc!$Y$149&gt;'Calc'!$B$8,"",IF('Calc'!$E$15=1,0,MIN(Calc!$AA$148*(1+'财富模型'!$E$20/12)+'Calc'!$B$6,IF(Calc!$Y$149&lt;='财富模型'!$E$11*12,'Calc'!$W$15,'Calc'!$Y$15))))</x:f>
      </x:c>
      <x:c r="AD149" t="str">
        <x:f>IF(Calc!$Y$149&gt;'Calc'!$B$8,"",'Calc'!$B$5-'财富模型'!$E$5-(IF('Calc'!$E$15=1,'财富模型'!$E$9,'财富模型'!$M$7+IF(Calc!$Y$149&lt;='财富模型'!$E$11*12,'Calc'!$W$15,'Calc'!$Y$15)-(IF('Calc'!$E$15=1,0,MIN(Calc!$AA$148*(1+'财富模型'!$E$20/12)+'Calc'!$B$6,IF(Calc!$Y$149&lt;='财富模型'!$E$11*12,'Calc'!$W$15,'Calc'!$Y$15)))))))</x:f>
      </x:c>
      <x:c r="AE149" t="str">
        <x:f>IF(Calc!$Y$149&gt;'Calc'!$B$8,"",IF('Calc'!$E$15=1,0,MAX(Calc!$AE$148*(1+IF(Calc!$Y$149&lt;='财富模型'!$E$11*12,'财富模型'!$E$10,'财富模型'!$E$12)/12)-IF('Calc'!$E$15=1,0,IF(Calc!$Y$149&lt;='财富模型'!$E$11*12,'Calc'!$W$15,'Calc'!$Y$15)),0)))</x:f>
      </x:c>
      <x:c r="AG149" t="n">
        <x:v>128</x:v>
      </x:c>
      <x:c r="AH149" t="str">
        <x:f>IF(Calc!$AG$149&gt;'Calc'!$B$8,"",MAX(Calc!$AH$148*(1+'财富模型'!$E$6/12)+('Calc'!$B$5-'财富模型'!$E$5-(IF('Calc'!$E$16=1,'财富模型'!$E$9,'财富模型'!$M$8+IF(Calc!$AG$149&lt;='财富模型'!$E$11*12,'Calc'!$W$16,'Calc'!$Y$16)-(IF('Calc'!$E$16=1,0,MIN(Calc!$AI$148*(1+'财富模型'!$E$20/12)+'Calc'!$B$6,IF(Calc!$AG$149&lt;='财富模型'!$E$11*12,'Calc'!$W$16,'Calc'!$Y$16))))))),0))</x:f>
      </x:c>
      <x:c r="AI149" t="str">
        <x:f>IF(Calc!$AG$149&gt;'Calc'!$B$8,"",MAX(Calc!$AI$148*(1+'财富模型'!$E$20/12)+'Calc'!$B$6-(IF('Calc'!$E$16=1,0,MIN(Calc!$AI$148*(1+'财富模型'!$E$20/12)+'Calc'!$B$6,IF(Calc!$AG$149&lt;='财富模型'!$E$11*12,'Calc'!$W$16,'Calc'!$Y$16)))),0))</x:f>
      </x:c>
      <x:c r="AJ149" t="str">
        <x:f>IF(Calc!$AG$149&gt;'Calc'!$B$8,"",IF('Calc'!$E$16=1,'财富模型'!$E$9,'财富模型'!$M$8+IF(Calc!$AG$149&lt;='财富模型'!$E$11*12,'Calc'!$W$16,'Calc'!$Y$16)-(IF('Calc'!$E$16=1,0,MIN(Calc!$AI$148*(1+'财富模型'!$E$20/12)+'Calc'!$B$6,IF(Calc!$AG$149&lt;='财富模型'!$E$11*12,'Calc'!$W$16,'Calc'!$Y$16))))))</x:f>
      </x:c>
      <x:c r="AK149" t="str">
        <x:f>IF(Calc!$AG$149&gt;'Calc'!$B$8,"",IF('Calc'!$E$16=1,0,MIN(Calc!$AI$148*(1+'财富模型'!$E$20/12)+'Calc'!$B$6,IF(Calc!$AG$149&lt;='财富模型'!$E$11*12,'Calc'!$W$16,'Calc'!$Y$16))))</x:f>
      </x:c>
      <x:c r="AL149" t="str">
        <x:f>IF(Calc!$AG$149&gt;'Calc'!$B$8,"",'Calc'!$B$5-'财富模型'!$E$5-(IF('Calc'!$E$16=1,'财富模型'!$E$9,'财富模型'!$M$8+IF(Calc!$AG$149&lt;='财富模型'!$E$11*12,'Calc'!$W$16,'Calc'!$Y$16)-(IF('Calc'!$E$16=1,0,MIN(Calc!$AI$148*(1+'财富模型'!$E$20/12)+'Calc'!$B$6,IF(Calc!$AG$149&lt;='财富模型'!$E$11*12,'Calc'!$W$16,'Calc'!$Y$16)))))))</x:f>
      </x:c>
      <x:c r="AM149" t="str">
        <x:f>IF(Calc!$AG$149&gt;'Calc'!$B$8,"",IF('Calc'!$E$16=1,0,MAX(Calc!$AM$148*(1+IF(Calc!$AG$149&lt;='财富模型'!$E$11*12,'财富模型'!$E$10,'财富模型'!$E$12)/12)-IF('Calc'!$E$16=1,0,IF(Calc!$AG$149&lt;='财富模型'!$E$11*12,'Calc'!$W$16,'Calc'!$Y$16)),0)))</x:f>
      </x:c>
      <x:c r="AO149" t="n">
        <x:v>128</x:v>
      </x:c>
      <x:c r="AP149" t="str">
        <x:f>IF(Calc!$AO$149&gt;'Calc'!$B$8,"",MAX(Calc!$AP$148*(1+'财富模型'!$E$6/12)+('Calc'!$B$5-'财富模型'!$E$5-(IF('Calc'!$E$17=1,'财富模型'!$E$9,'财富模型'!$M$9+IF(Calc!$AO$149&lt;='财富模型'!$E$11*12,'Calc'!$W$17,'Calc'!$Y$17)-(IF('Calc'!$E$17=1,0,MIN(Calc!$AQ$148*(1+'财富模型'!$E$20/12)+'Calc'!$B$6,IF(Calc!$AO$149&lt;='财富模型'!$E$11*12,'Calc'!$W$17,'Calc'!$Y$17))))))),0))</x:f>
      </x:c>
      <x:c r="AQ149" t="str">
        <x:f>IF(Calc!$AO$149&gt;'Calc'!$B$8,"",MAX(Calc!$AQ$148*(1+'财富模型'!$E$20/12)+'Calc'!$B$6-(IF('Calc'!$E$17=1,0,MIN(Calc!$AQ$148*(1+'财富模型'!$E$20/12)+'Calc'!$B$6,IF(Calc!$AO$149&lt;='财富模型'!$E$11*12,'Calc'!$W$17,'Calc'!$Y$17)))),0))</x:f>
      </x:c>
      <x:c r="AR149" t="str">
        <x:f>IF(Calc!$AO$149&gt;'Calc'!$B$8,"",IF('Calc'!$E$17=1,'财富模型'!$E$9,'财富模型'!$M$9+IF(Calc!$AO$149&lt;='财富模型'!$E$11*12,'Calc'!$W$17,'Calc'!$Y$17)-(IF('Calc'!$E$17=1,0,MIN(Calc!$AQ$148*(1+'财富模型'!$E$20/12)+'Calc'!$B$6,IF(Calc!$AO$149&lt;='财富模型'!$E$11*12,'Calc'!$W$17,'Calc'!$Y$17))))))</x:f>
      </x:c>
      <x:c r="AS149" t="str">
        <x:f>IF(Calc!$AO$149&gt;'Calc'!$B$8,"",IF('Calc'!$E$17=1,0,MIN(Calc!$AQ$148*(1+'财富模型'!$E$20/12)+'Calc'!$B$6,IF(Calc!$AO$149&lt;='财富模型'!$E$11*12,'Calc'!$W$17,'Calc'!$Y$17))))</x:f>
      </x:c>
      <x:c r="AT149" t="str">
        <x:f>IF(Calc!$AO$149&gt;'Calc'!$B$8,"",'Calc'!$B$5-'财富模型'!$E$5-(IF('Calc'!$E$17=1,'财富模型'!$E$9,'财富模型'!$M$9+IF(Calc!$AO$149&lt;='财富模型'!$E$11*12,'Calc'!$W$17,'Calc'!$Y$17)-(IF('Calc'!$E$17=1,0,MIN(Calc!$AQ$148*(1+'财富模型'!$E$20/12)+'Calc'!$B$6,IF(Calc!$AO$149&lt;='财富模型'!$E$11*12,'Calc'!$W$17,'Calc'!$Y$17)))))))</x:f>
      </x:c>
      <x:c r="AU149" t="str">
        <x:f>IF(Calc!$AO$149&gt;'Calc'!$B$8,"",IF('Calc'!$E$17=1,0,MAX(Calc!$AU$148*(1+IF(Calc!$AO$149&lt;='财富模型'!$E$11*12,'财富模型'!$E$10,'财富模型'!$E$12)/12)-IF('Calc'!$E$17=1,0,IF(Calc!$AO$149&lt;='财富模型'!$E$11*12,'Calc'!$W$17,'Calc'!$Y$17)),0)))</x:f>
      </x:c>
    </x:row>
    <x:row r="150">
      <x:c r="A150" t="n">
        <x:v>129</x:v>
      </x:c>
      <x:c r="B150" t="str">
        <x:f>IF(Calc!$A$150&gt;'Calc'!$B$8,"",MAX(Calc!$B$149*(1+'财富模型'!$E$6/12)+('Calc'!$B$5-'财富模型'!$E$5-(IF('Calc'!$E$12=1,'财富模型'!$E$9,'财富模型'!$M$4+IF(Calc!$A$150&lt;='财富模型'!$E$11*12,'Calc'!$W$12,'Calc'!$Y$12)-(IF('Calc'!$E$12=1,0,MIN(Calc!$C$149*(1+'财富模型'!$E$20/12)+'Calc'!$B$6,IF(Calc!$A$150&lt;='财富模型'!$E$11*12,'Calc'!$W$12,'Calc'!$Y$12))))))),0))</x:f>
      </x:c>
      <x:c r="C150" t="str">
        <x:f>IF(Calc!$A$150&gt;'Calc'!$B$8,"",MAX(Calc!$C$149*(1+'财富模型'!$E$20/12)+'Calc'!$B$6-(IF('Calc'!$E$12=1,0,MIN(Calc!$C$149*(1+'财富模型'!$E$20/12)+'Calc'!$B$6,IF(Calc!$A$150&lt;='财富模型'!$E$11*12,'Calc'!$W$12,'Calc'!$Y$12)))),0))</x:f>
      </x:c>
      <x:c r="D150" t="str">
        <x:f>IF(Calc!$A$150&gt;'Calc'!$B$8,"",IF('Calc'!$E$12=1,'财富模型'!$E$9,'财富模型'!$M$4+IF(Calc!$A$150&lt;='财富模型'!$E$11*12,'Calc'!$W$12,'Calc'!$Y$12)-(IF('Calc'!$E$12=1,0,MIN(Calc!$C$149*(1+'财富模型'!$E$20/12)+'Calc'!$B$6,IF(Calc!$A$150&lt;='财富模型'!$E$11*12,'Calc'!$W$12,'Calc'!$Y$12))))))</x:f>
      </x:c>
      <x:c r="E150" t="str">
        <x:f>IF(Calc!$A$150&gt;'Calc'!$B$8,"",IF('Calc'!$E$12=1,0,MIN(Calc!$C$149*(1+'财富模型'!$E$20/12)+'Calc'!$B$6,IF(Calc!$A$150&lt;='财富模型'!$E$11*12,'Calc'!$W$12,'Calc'!$Y$12))))</x:f>
      </x:c>
      <x:c r="F150" t="str">
        <x:f>IF(Calc!$A$150&gt;'Calc'!$B$8,"",'Calc'!$B$5-'财富模型'!$E$5-(IF('Calc'!$E$12=1,'财富模型'!$E$9,'财富模型'!$M$4+IF(Calc!$A$150&lt;='财富模型'!$E$11*12,'Calc'!$W$12,'Calc'!$Y$12)-(IF('Calc'!$E$12=1,0,MIN(Calc!$C$149*(1+'财富模型'!$E$20/12)+'Calc'!$B$6,IF(Calc!$A$150&lt;='财富模型'!$E$11*12,'Calc'!$W$12,'Calc'!$Y$12)))))))</x:f>
      </x:c>
      <x:c r="G150" t="str">
        <x:f>IF(Calc!$A$150&gt;'Calc'!$B$8,"",IF('Calc'!$E$12=1,0,MAX(Calc!$G$149*(1+IF(Calc!$A$150&lt;='财富模型'!$E$11*12,'财富模型'!$E$10,'财富模型'!$E$12)/12)-IF('Calc'!$E$12=1,0,IF(Calc!$A$150&lt;='财富模型'!$E$11*12,'Calc'!$W$12,'Calc'!$Y$12)),0)))</x:f>
      </x:c>
      <x:c r="I150" t="n">
        <x:v>129</x:v>
      </x:c>
      <x:c r="J150" t="str">
        <x:f>IF(Calc!$I$150&gt;'Calc'!$B$8,"",MAX(Calc!$J$149*(1+'财富模型'!$E$6/12)+('Calc'!$B$5-'财富模型'!$E$5-(IF('Calc'!$E$13=1,'财富模型'!$E$9,'财富模型'!$M$5+IF(Calc!$I$150&lt;='财富模型'!$E$11*12,'Calc'!$W$13,'Calc'!$Y$13)-(IF('Calc'!$E$13=1,0,MIN(Calc!$K$149*(1+'财富模型'!$E$20/12)+'Calc'!$B$6,IF(Calc!$I$150&lt;='财富模型'!$E$11*12,'Calc'!$W$13,'Calc'!$Y$13))))))),0))</x:f>
      </x:c>
      <x:c r="K150" t="str">
        <x:f>IF(Calc!$I$150&gt;'Calc'!$B$8,"",MAX(Calc!$K$149*(1+'财富模型'!$E$20/12)+'Calc'!$B$6-(IF('Calc'!$E$13=1,0,MIN(Calc!$K$149*(1+'财富模型'!$E$20/12)+'Calc'!$B$6,IF(Calc!$I$150&lt;='财富模型'!$E$11*12,'Calc'!$W$13,'Calc'!$Y$13)))),0))</x:f>
      </x:c>
      <x:c r="L150" t="str">
        <x:f>IF(Calc!$I$150&gt;'Calc'!$B$8,"",IF('Calc'!$E$13=1,'财富模型'!$E$9,'财富模型'!$M$5+IF(Calc!$I$150&lt;='财富模型'!$E$11*12,'Calc'!$W$13,'Calc'!$Y$13)-(IF('Calc'!$E$13=1,0,MIN(Calc!$K$149*(1+'财富模型'!$E$20/12)+'Calc'!$B$6,IF(Calc!$I$150&lt;='财富模型'!$E$11*12,'Calc'!$W$13,'Calc'!$Y$13))))))</x:f>
      </x:c>
      <x:c r="M150" t="str">
        <x:f>IF(Calc!$I$150&gt;'Calc'!$B$8,"",IF('Calc'!$E$13=1,0,MIN(Calc!$K$149*(1+'财富模型'!$E$20/12)+'Calc'!$B$6,IF(Calc!$I$150&lt;='财富模型'!$E$11*12,'Calc'!$W$13,'Calc'!$Y$13))))</x:f>
      </x:c>
      <x:c r="N150" t="str">
        <x:f>IF(Calc!$I$150&gt;'Calc'!$B$8,"",'Calc'!$B$5-'财富模型'!$E$5-(IF('Calc'!$E$13=1,'财富模型'!$E$9,'财富模型'!$M$5+IF(Calc!$I$150&lt;='财富模型'!$E$11*12,'Calc'!$W$13,'Calc'!$Y$13)-(IF('Calc'!$E$13=1,0,MIN(Calc!$K$149*(1+'财富模型'!$E$20/12)+'Calc'!$B$6,IF(Calc!$I$150&lt;='财富模型'!$E$11*12,'Calc'!$W$13,'Calc'!$Y$13)))))))</x:f>
      </x:c>
      <x:c r="O150" t="str">
        <x:f>IF(Calc!$I$150&gt;'Calc'!$B$8,"",IF('Calc'!$E$13=1,0,MAX(Calc!$O$149*(1+IF(Calc!$I$150&lt;='财富模型'!$E$11*12,'财富模型'!$E$10,'财富模型'!$E$12)/12)-IF('Calc'!$E$13=1,0,IF(Calc!$I$150&lt;='财富模型'!$E$11*12,'Calc'!$W$13,'Calc'!$Y$13)),0)))</x:f>
      </x:c>
      <x:c r="Q150" t="n">
        <x:v>129</x:v>
      </x:c>
      <x:c r="R150" t="str">
        <x:f>IF(Calc!$Q$150&gt;'Calc'!$B$8,"",MAX(Calc!$R$149*(1+'财富模型'!$E$6/12)+('Calc'!$B$5-'财富模型'!$E$5-(IF('Calc'!$E$14=1,'财富模型'!$E$9,'财富模型'!$M$6+IF(Calc!$Q$150&lt;='财富模型'!$E$11*12,'Calc'!$W$14,'Calc'!$Y$14)-(IF('Calc'!$E$14=1,0,MIN(Calc!$S$149*(1+'财富模型'!$E$20/12)+'Calc'!$B$6,IF(Calc!$Q$150&lt;='财富模型'!$E$11*12,'Calc'!$W$14,'Calc'!$Y$14))))))),0))</x:f>
      </x:c>
      <x:c r="S150" t="str">
        <x:f>IF(Calc!$Q$150&gt;'Calc'!$B$8,"",MAX(Calc!$S$149*(1+'财富模型'!$E$20/12)+'Calc'!$B$6-(IF('Calc'!$E$14=1,0,MIN(Calc!$S$149*(1+'财富模型'!$E$20/12)+'Calc'!$B$6,IF(Calc!$Q$150&lt;='财富模型'!$E$11*12,'Calc'!$W$14,'Calc'!$Y$14)))),0))</x:f>
      </x:c>
      <x:c r="T150" t="str">
        <x:f>IF(Calc!$Q$150&gt;'Calc'!$B$8,"",IF('Calc'!$E$14=1,'财富模型'!$E$9,'财富模型'!$M$6+IF(Calc!$Q$150&lt;='财富模型'!$E$11*12,'Calc'!$W$14,'Calc'!$Y$14)-(IF('Calc'!$E$14=1,0,MIN(Calc!$S$149*(1+'财富模型'!$E$20/12)+'Calc'!$B$6,IF(Calc!$Q$150&lt;='财富模型'!$E$11*12,'Calc'!$W$14,'Calc'!$Y$14))))))</x:f>
      </x:c>
      <x:c r="U150" t="str">
        <x:f>IF(Calc!$Q$150&gt;'Calc'!$B$8,"",IF('Calc'!$E$14=1,0,MIN(Calc!$S$149*(1+'财富模型'!$E$20/12)+'Calc'!$B$6,IF(Calc!$Q$150&lt;='财富模型'!$E$11*12,'Calc'!$W$14,'Calc'!$Y$14))))</x:f>
      </x:c>
      <x:c r="V150" t="str">
        <x:f>IF(Calc!$Q$150&gt;'Calc'!$B$8,"",'Calc'!$B$5-'财富模型'!$E$5-(IF('Calc'!$E$14=1,'财富模型'!$E$9,'财富模型'!$M$6+IF(Calc!$Q$150&lt;='财富模型'!$E$11*12,'Calc'!$W$14,'Calc'!$Y$14)-(IF('Calc'!$E$14=1,0,MIN(Calc!$S$149*(1+'财富模型'!$E$20/12)+'Calc'!$B$6,IF(Calc!$Q$150&lt;='财富模型'!$E$11*12,'Calc'!$W$14,'Calc'!$Y$14)))))))</x:f>
      </x:c>
      <x:c r="W150" t="str">
        <x:f>IF(Calc!$Q$150&gt;'Calc'!$B$8,"",IF('Calc'!$E$14=1,0,MAX(Calc!$W$149*(1+IF(Calc!$Q$150&lt;='财富模型'!$E$11*12,'财富模型'!$E$10,'财富模型'!$E$12)/12)-IF('Calc'!$E$14=1,0,IF(Calc!$Q$150&lt;='财富模型'!$E$11*12,'Calc'!$W$14,'Calc'!$Y$14)),0)))</x:f>
      </x:c>
      <x:c r="Y150" t="n">
        <x:v>129</x:v>
      </x:c>
      <x:c r="Z150" t="str">
        <x:f>IF(Calc!$Y$150&gt;'Calc'!$B$8,"",MAX(Calc!$Z$149*(1+'财富模型'!$E$6/12)+('Calc'!$B$5-'财富模型'!$E$5-(IF('Calc'!$E$15=1,'财富模型'!$E$9,'财富模型'!$M$7+IF(Calc!$Y$150&lt;='财富模型'!$E$11*12,'Calc'!$W$15,'Calc'!$Y$15)-(IF('Calc'!$E$15=1,0,MIN(Calc!$AA$149*(1+'财富模型'!$E$20/12)+'Calc'!$B$6,IF(Calc!$Y$150&lt;='财富模型'!$E$11*12,'Calc'!$W$15,'Calc'!$Y$15))))))),0))</x:f>
      </x:c>
      <x:c r="AA150" t="str">
        <x:f>IF(Calc!$Y$150&gt;'Calc'!$B$8,"",MAX(Calc!$AA$149*(1+'财富模型'!$E$20/12)+'Calc'!$B$6-(IF('Calc'!$E$15=1,0,MIN(Calc!$AA$149*(1+'财富模型'!$E$20/12)+'Calc'!$B$6,IF(Calc!$Y$150&lt;='财富模型'!$E$11*12,'Calc'!$W$15,'Calc'!$Y$15)))),0))</x:f>
      </x:c>
      <x:c r="AB150" t="str">
        <x:f>IF(Calc!$Y$150&gt;'Calc'!$B$8,"",IF('Calc'!$E$15=1,'财富模型'!$E$9,'财富模型'!$M$7+IF(Calc!$Y$150&lt;='财富模型'!$E$11*12,'Calc'!$W$15,'Calc'!$Y$15)-(IF('Calc'!$E$15=1,0,MIN(Calc!$AA$149*(1+'财富模型'!$E$20/12)+'Calc'!$B$6,IF(Calc!$Y$150&lt;='财富模型'!$E$11*12,'Calc'!$W$15,'Calc'!$Y$15))))))</x:f>
      </x:c>
      <x:c r="AC150" t="str">
        <x:f>IF(Calc!$Y$150&gt;'Calc'!$B$8,"",IF('Calc'!$E$15=1,0,MIN(Calc!$AA$149*(1+'财富模型'!$E$20/12)+'Calc'!$B$6,IF(Calc!$Y$150&lt;='财富模型'!$E$11*12,'Calc'!$W$15,'Calc'!$Y$15))))</x:f>
      </x:c>
      <x:c r="AD150" t="str">
        <x:f>IF(Calc!$Y$150&gt;'Calc'!$B$8,"",'Calc'!$B$5-'财富模型'!$E$5-(IF('Calc'!$E$15=1,'财富模型'!$E$9,'财富模型'!$M$7+IF(Calc!$Y$150&lt;='财富模型'!$E$11*12,'Calc'!$W$15,'Calc'!$Y$15)-(IF('Calc'!$E$15=1,0,MIN(Calc!$AA$149*(1+'财富模型'!$E$20/12)+'Calc'!$B$6,IF(Calc!$Y$150&lt;='财富模型'!$E$11*12,'Calc'!$W$15,'Calc'!$Y$15)))))))</x:f>
      </x:c>
      <x:c r="AE150" t="str">
        <x:f>IF(Calc!$Y$150&gt;'Calc'!$B$8,"",IF('Calc'!$E$15=1,0,MAX(Calc!$AE$149*(1+IF(Calc!$Y$150&lt;='财富模型'!$E$11*12,'财富模型'!$E$10,'财富模型'!$E$12)/12)-IF('Calc'!$E$15=1,0,IF(Calc!$Y$150&lt;='财富模型'!$E$11*12,'Calc'!$W$15,'Calc'!$Y$15)),0)))</x:f>
      </x:c>
      <x:c r="AG150" t="n">
        <x:v>129</x:v>
      </x:c>
      <x:c r="AH150" t="str">
        <x:f>IF(Calc!$AG$150&gt;'Calc'!$B$8,"",MAX(Calc!$AH$149*(1+'财富模型'!$E$6/12)+('Calc'!$B$5-'财富模型'!$E$5-(IF('Calc'!$E$16=1,'财富模型'!$E$9,'财富模型'!$M$8+IF(Calc!$AG$150&lt;='财富模型'!$E$11*12,'Calc'!$W$16,'Calc'!$Y$16)-(IF('Calc'!$E$16=1,0,MIN(Calc!$AI$149*(1+'财富模型'!$E$20/12)+'Calc'!$B$6,IF(Calc!$AG$150&lt;='财富模型'!$E$11*12,'Calc'!$W$16,'Calc'!$Y$16))))))),0))</x:f>
      </x:c>
      <x:c r="AI150" t="str">
        <x:f>IF(Calc!$AG$150&gt;'Calc'!$B$8,"",MAX(Calc!$AI$149*(1+'财富模型'!$E$20/12)+'Calc'!$B$6-(IF('Calc'!$E$16=1,0,MIN(Calc!$AI$149*(1+'财富模型'!$E$20/12)+'Calc'!$B$6,IF(Calc!$AG$150&lt;='财富模型'!$E$11*12,'Calc'!$W$16,'Calc'!$Y$16)))),0))</x:f>
      </x:c>
      <x:c r="AJ150" t="str">
        <x:f>IF(Calc!$AG$150&gt;'Calc'!$B$8,"",IF('Calc'!$E$16=1,'财富模型'!$E$9,'财富模型'!$M$8+IF(Calc!$AG$150&lt;='财富模型'!$E$11*12,'Calc'!$W$16,'Calc'!$Y$16)-(IF('Calc'!$E$16=1,0,MIN(Calc!$AI$149*(1+'财富模型'!$E$20/12)+'Calc'!$B$6,IF(Calc!$AG$150&lt;='财富模型'!$E$11*12,'Calc'!$W$16,'Calc'!$Y$16))))))</x:f>
      </x:c>
      <x:c r="AK150" t="str">
        <x:f>IF(Calc!$AG$150&gt;'Calc'!$B$8,"",IF('Calc'!$E$16=1,0,MIN(Calc!$AI$149*(1+'财富模型'!$E$20/12)+'Calc'!$B$6,IF(Calc!$AG$150&lt;='财富模型'!$E$11*12,'Calc'!$W$16,'Calc'!$Y$16))))</x:f>
      </x:c>
      <x:c r="AL150" t="str">
        <x:f>IF(Calc!$AG$150&gt;'Calc'!$B$8,"",'Calc'!$B$5-'财富模型'!$E$5-(IF('Calc'!$E$16=1,'财富模型'!$E$9,'财富模型'!$M$8+IF(Calc!$AG$150&lt;='财富模型'!$E$11*12,'Calc'!$W$16,'Calc'!$Y$16)-(IF('Calc'!$E$16=1,0,MIN(Calc!$AI$149*(1+'财富模型'!$E$20/12)+'Calc'!$B$6,IF(Calc!$AG$150&lt;='财富模型'!$E$11*12,'Calc'!$W$16,'Calc'!$Y$16)))))))</x:f>
      </x:c>
      <x:c r="AM150" t="str">
        <x:f>IF(Calc!$AG$150&gt;'Calc'!$B$8,"",IF('Calc'!$E$16=1,0,MAX(Calc!$AM$149*(1+IF(Calc!$AG$150&lt;='财富模型'!$E$11*12,'财富模型'!$E$10,'财富模型'!$E$12)/12)-IF('Calc'!$E$16=1,0,IF(Calc!$AG$150&lt;='财富模型'!$E$11*12,'Calc'!$W$16,'Calc'!$Y$16)),0)))</x:f>
      </x:c>
      <x:c r="AO150" t="n">
        <x:v>129</x:v>
      </x:c>
      <x:c r="AP150" t="str">
        <x:f>IF(Calc!$AO$150&gt;'Calc'!$B$8,"",MAX(Calc!$AP$149*(1+'财富模型'!$E$6/12)+('Calc'!$B$5-'财富模型'!$E$5-(IF('Calc'!$E$17=1,'财富模型'!$E$9,'财富模型'!$M$9+IF(Calc!$AO$150&lt;='财富模型'!$E$11*12,'Calc'!$W$17,'Calc'!$Y$17)-(IF('Calc'!$E$17=1,0,MIN(Calc!$AQ$149*(1+'财富模型'!$E$20/12)+'Calc'!$B$6,IF(Calc!$AO$150&lt;='财富模型'!$E$11*12,'Calc'!$W$17,'Calc'!$Y$17))))))),0))</x:f>
      </x:c>
      <x:c r="AQ150" t="str">
        <x:f>IF(Calc!$AO$150&gt;'Calc'!$B$8,"",MAX(Calc!$AQ$149*(1+'财富模型'!$E$20/12)+'Calc'!$B$6-(IF('Calc'!$E$17=1,0,MIN(Calc!$AQ$149*(1+'财富模型'!$E$20/12)+'Calc'!$B$6,IF(Calc!$AO$150&lt;='财富模型'!$E$11*12,'Calc'!$W$17,'Calc'!$Y$17)))),0))</x:f>
      </x:c>
      <x:c r="AR150" t="str">
        <x:f>IF(Calc!$AO$150&gt;'Calc'!$B$8,"",IF('Calc'!$E$17=1,'财富模型'!$E$9,'财富模型'!$M$9+IF(Calc!$AO$150&lt;='财富模型'!$E$11*12,'Calc'!$W$17,'Calc'!$Y$17)-(IF('Calc'!$E$17=1,0,MIN(Calc!$AQ$149*(1+'财富模型'!$E$20/12)+'Calc'!$B$6,IF(Calc!$AO$150&lt;='财富模型'!$E$11*12,'Calc'!$W$17,'Calc'!$Y$17))))))</x:f>
      </x:c>
      <x:c r="AS150" t="str">
        <x:f>IF(Calc!$AO$150&gt;'Calc'!$B$8,"",IF('Calc'!$E$17=1,0,MIN(Calc!$AQ$149*(1+'财富模型'!$E$20/12)+'Calc'!$B$6,IF(Calc!$AO$150&lt;='财富模型'!$E$11*12,'Calc'!$W$17,'Calc'!$Y$17))))</x:f>
      </x:c>
      <x:c r="AT150" t="str">
        <x:f>IF(Calc!$AO$150&gt;'Calc'!$B$8,"",'Calc'!$B$5-'财富模型'!$E$5-(IF('Calc'!$E$17=1,'财富模型'!$E$9,'财富模型'!$M$9+IF(Calc!$AO$150&lt;='财富模型'!$E$11*12,'Calc'!$W$17,'Calc'!$Y$17)-(IF('Calc'!$E$17=1,0,MIN(Calc!$AQ$149*(1+'财富模型'!$E$20/12)+'Calc'!$B$6,IF(Calc!$AO$150&lt;='财富模型'!$E$11*12,'Calc'!$W$17,'Calc'!$Y$17)))))))</x:f>
      </x:c>
      <x:c r="AU150" t="str">
        <x:f>IF(Calc!$AO$150&gt;'Calc'!$B$8,"",IF('Calc'!$E$17=1,0,MAX(Calc!$AU$149*(1+IF(Calc!$AO$150&lt;='财富模型'!$E$11*12,'财富模型'!$E$10,'财富模型'!$E$12)/12)-IF('Calc'!$E$17=1,0,IF(Calc!$AO$150&lt;='财富模型'!$E$11*12,'Calc'!$W$17,'Calc'!$Y$17)),0)))</x:f>
      </x:c>
    </x:row>
    <x:row r="151">
      <x:c r="A151" t="n">
        <x:v>130</x:v>
      </x:c>
      <x:c r="B151" t="str">
        <x:f>IF(Calc!$A$151&gt;'Calc'!$B$8,"",MAX(Calc!$B$150*(1+'财富模型'!$E$6/12)+('Calc'!$B$5-'财富模型'!$E$5-(IF('Calc'!$E$12=1,'财富模型'!$E$9,'财富模型'!$M$4+IF(Calc!$A$151&lt;='财富模型'!$E$11*12,'Calc'!$W$12,'Calc'!$Y$12)-(IF('Calc'!$E$12=1,0,MIN(Calc!$C$150*(1+'财富模型'!$E$20/12)+'Calc'!$B$6,IF(Calc!$A$151&lt;='财富模型'!$E$11*12,'Calc'!$W$12,'Calc'!$Y$12))))))),0))</x:f>
      </x:c>
      <x:c r="C151" t="str">
        <x:f>IF(Calc!$A$151&gt;'Calc'!$B$8,"",MAX(Calc!$C$150*(1+'财富模型'!$E$20/12)+'Calc'!$B$6-(IF('Calc'!$E$12=1,0,MIN(Calc!$C$150*(1+'财富模型'!$E$20/12)+'Calc'!$B$6,IF(Calc!$A$151&lt;='财富模型'!$E$11*12,'Calc'!$W$12,'Calc'!$Y$12)))),0))</x:f>
      </x:c>
      <x:c r="D151" t="str">
        <x:f>IF(Calc!$A$151&gt;'Calc'!$B$8,"",IF('Calc'!$E$12=1,'财富模型'!$E$9,'财富模型'!$M$4+IF(Calc!$A$151&lt;='财富模型'!$E$11*12,'Calc'!$W$12,'Calc'!$Y$12)-(IF('Calc'!$E$12=1,0,MIN(Calc!$C$150*(1+'财富模型'!$E$20/12)+'Calc'!$B$6,IF(Calc!$A$151&lt;='财富模型'!$E$11*12,'Calc'!$W$12,'Calc'!$Y$12))))))</x:f>
      </x:c>
      <x:c r="E151" t="str">
        <x:f>IF(Calc!$A$151&gt;'Calc'!$B$8,"",IF('Calc'!$E$12=1,0,MIN(Calc!$C$150*(1+'财富模型'!$E$20/12)+'Calc'!$B$6,IF(Calc!$A$151&lt;='财富模型'!$E$11*12,'Calc'!$W$12,'Calc'!$Y$12))))</x:f>
      </x:c>
      <x:c r="F151" t="str">
        <x:f>IF(Calc!$A$151&gt;'Calc'!$B$8,"",'Calc'!$B$5-'财富模型'!$E$5-(IF('Calc'!$E$12=1,'财富模型'!$E$9,'财富模型'!$M$4+IF(Calc!$A$151&lt;='财富模型'!$E$11*12,'Calc'!$W$12,'Calc'!$Y$12)-(IF('Calc'!$E$12=1,0,MIN(Calc!$C$150*(1+'财富模型'!$E$20/12)+'Calc'!$B$6,IF(Calc!$A$151&lt;='财富模型'!$E$11*12,'Calc'!$W$12,'Calc'!$Y$12)))))))</x:f>
      </x:c>
      <x:c r="G151" t="str">
        <x:f>IF(Calc!$A$151&gt;'Calc'!$B$8,"",IF('Calc'!$E$12=1,0,MAX(Calc!$G$150*(1+IF(Calc!$A$151&lt;='财富模型'!$E$11*12,'财富模型'!$E$10,'财富模型'!$E$12)/12)-IF('Calc'!$E$12=1,0,IF(Calc!$A$151&lt;='财富模型'!$E$11*12,'Calc'!$W$12,'Calc'!$Y$12)),0)))</x:f>
      </x:c>
      <x:c r="I151" t="n">
        <x:v>130</x:v>
      </x:c>
      <x:c r="J151" t="str">
        <x:f>IF(Calc!$I$151&gt;'Calc'!$B$8,"",MAX(Calc!$J$150*(1+'财富模型'!$E$6/12)+('Calc'!$B$5-'财富模型'!$E$5-(IF('Calc'!$E$13=1,'财富模型'!$E$9,'财富模型'!$M$5+IF(Calc!$I$151&lt;='财富模型'!$E$11*12,'Calc'!$W$13,'Calc'!$Y$13)-(IF('Calc'!$E$13=1,0,MIN(Calc!$K$150*(1+'财富模型'!$E$20/12)+'Calc'!$B$6,IF(Calc!$I$151&lt;='财富模型'!$E$11*12,'Calc'!$W$13,'Calc'!$Y$13))))))),0))</x:f>
      </x:c>
      <x:c r="K151" t="str">
        <x:f>IF(Calc!$I$151&gt;'Calc'!$B$8,"",MAX(Calc!$K$150*(1+'财富模型'!$E$20/12)+'Calc'!$B$6-(IF('Calc'!$E$13=1,0,MIN(Calc!$K$150*(1+'财富模型'!$E$20/12)+'Calc'!$B$6,IF(Calc!$I$151&lt;='财富模型'!$E$11*12,'Calc'!$W$13,'Calc'!$Y$13)))),0))</x:f>
      </x:c>
      <x:c r="L151" t="str">
        <x:f>IF(Calc!$I$151&gt;'Calc'!$B$8,"",IF('Calc'!$E$13=1,'财富模型'!$E$9,'财富模型'!$M$5+IF(Calc!$I$151&lt;='财富模型'!$E$11*12,'Calc'!$W$13,'Calc'!$Y$13)-(IF('Calc'!$E$13=1,0,MIN(Calc!$K$150*(1+'财富模型'!$E$20/12)+'Calc'!$B$6,IF(Calc!$I$151&lt;='财富模型'!$E$11*12,'Calc'!$W$13,'Calc'!$Y$13))))))</x:f>
      </x:c>
      <x:c r="M151" t="str">
        <x:f>IF(Calc!$I$151&gt;'Calc'!$B$8,"",IF('Calc'!$E$13=1,0,MIN(Calc!$K$150*(1+'财富模型'!$E$20/12)+'Calc'!$B$6,IF(Calc!$I$151&lt;='财富模型'!$E$11*12,'Calc'!$W$13,'Calc'!$Y$13))))</x:f>
      </x:c>
      <x:c r="N151" t="str">
        <x:f>IF(Calc!$I$151&gt;'Calc'!$B$8,"",'Calc'!$B$5-'财富模型'!$E$5-(IF('Calc'!$E$13=1,'财富模型'!$E$9,'财富模型'!$M$5+IF(Calc!$I$151&lt;='财富模型'!$E$11*12,'Calc'!$W$13,'Calc'!$Y$13)-(IF('Calc'!$E$13=1,0,MIN(Calc!$K$150*(1+'财富模型'!$E$20/12)+'Calc'!$B$6,IF(Calc!$I$151&lt;='财富模型'!$E$11*12,'Calc'!$W$13,'Calc'!$Y$13)))))))</x:f>
      </x:c>
      <x:c r="O151" t="str">
        <x:f>IF(Calc!$I$151&gt;'Calc'!$B$8,"",IF('Calc'!$E$13=1,0,MAX(Calc!$O$150*(1+IF(Calc!$I$151&lt;='财富模型'!$E$11*12,'财富模型'!$E$10,'财富模型'!$E$12)/12)-IF('Calc'!$E$13=1,0,IF(Calc!$I$151&lt;='财富模型'!$E$11*12,'Calc'!$W$13,'Calc'!$Y$13)),0)))</x:f>
      </x:c>
      <x:c r="Q151" t="n">
        <x:v>130</x:v>
      </x:c>
      <x:c r="R151" t="str">
        <x:f>IF(Calc!$Q$151&gt;'Calc'!$B$8,"",MAX(Calc!$R$150*(1+'财富模型'!$E$6/12)+('Calc'!$B$5-'财富模型'!$E$5-(IF('Calc'!$E$14=1,'财富模型'!$E$9,'财富模型'!$M$6+IF(Calc!$Q$151&lt;='财富模型'!$E$11*12,'Calc'!$W$14,'Calc'!$Y$14)-(IF('Calc'!$E$14=1,0,MIN(Calc!$S$150*(1+'财富模型'!$E$20/12)+'Calc'!$B$6,IF(Calc!$Q$151&lt;='财富模型'!$E$11*12,'Calc'!$W$14,'Calc'!$Y$14))))))),0))</x:f>
      </x:c>
      <x:c r="S151" t="str">
        <x:f>IF(Calc!$Q$151&gt;'Calc'!$B$8,"",MAX(Calc!$S$150*(1+'财富模型'!$E$20/12)+'Calc'!$B$6-(IF('Calc'!$E$14=1,0,MIN(Calc!$S$150*(1+'财富模型'!$E$20/12)+'Calc'!$B$6,IF(Calc!$Q$151&lt;='财富模型'!$E$11*12,'Calc'!$W$14,'Calc'!$Y$14)))),0))</x:f>
      </x:c>
      <x:c r="T151" t="str">
        <x:f>IF(Calc!$Q$151&gt;'Calc'!$B$8,"",IF('Calc'!$E$14=1,'财富模型'!$E$9,'财富模型'!$M$6+IF(Calc!$Q$151&lt;='财富模型'!$E$11*12,'Calc'!$W$14,'Calc'!$Y$14)-(IF('Calc'!$E$14=1,0,MIN(Calc!$S$150*(1+'财富模型'!$E$20/12)+'Calc'!$B$6,IF(Calc!$Q$151&lt;='财富模型'!$E$11*12,'Calc'!$W$14,'Calc'!$Y$14))))))</x:f>
      </x:c>
      <x:c r="U151" t="str">
        <x:f>IF(Calc!$Q$151&gt;'Calc'!$B$8,"",IF('Calc'!$E$14=1,0,MIN(Calc!$S$150*(1+'财富模型'!$E$20/12)+'Calc'!$B$6,IF(Calc!$Q$151&lt;='财富模型'!$E$11*12,'Calc'!$W$14,'Calc'!$Y$14))))</x:f>
      </x:c>
      <x:c r="V151" t="str">
        <x:f>IF(Calc!$Q$151&gt;'Calc'!$B$8,"",'Calc'!$B$5-'财富模型'!$E$5-(IF('Calc'!$E$14=1,'财富模型'!$E$9,'财富模型'!$M$6+IF(Calc!$Q$151&lt;='财富模型'!$E$11*12,'Calc'!$W$14,'Calc'!$Y$14)-(IF('Calc'!$E$14=1,0,MIN(Calc!$S$150*(1+'财富模型'!$E$20/12)+'Calc'!$B$6,IF(Calc!$Q$151&lt;='财富模型'!$E$11*12,'Calc'!$W$14,'Calc'!$Y$14)))))))</x:f>
      </x:c>
      <x:c r="W151" t="str">
        <x:f>IF(Calc!$Q$151&gt;'Calc'!$B$8,"",IF('Calc'!$E$14=1,0,MAX(Calc!$W$150*(1+IF(Calc!$Q$151&lt;='财富模型'!$E$11*12,'财富模型'!$E$10,'财富模型'!$E$12)/12)-IF('Calc'!$E$14=1,0,IF(Calc!$Q$151&lt;='财富模型'!$E$11*12,'Calc'!$W$14,'Calc'!$Y$14)),0)))</x:f>
      </x:c>
      <x:c r="Y151" t="n">
        <x:v>130</x:v>
      </x:c>
      <x:c r="Z151" t="str">
        <x:f>IF(Calc!$Y$151&gt;'Calc'!$B$8,"",MAX(Calc!$Z$150*(1+'财富模型'!$E$6/12)+('Calc'!$B$5-'财富模型'!$E$5-(IF('Calc'!$E$15=1,'财富模型'!$E$9,'财富模型'!$M$7+IF(Calc!$Y$151&lt;='财富模型'!$E$11*12,'Calc'!$W$15,'Calc'!$Y$15)-(IF('Calc'!$E$15=1,0,MIN(Calc!$AA$150*(1+'财富模型'!$E$20/12)+'Calc'!$B$6,IF(Calc!$Y$151&lt;='财富模型'!$E$11*12,'Calc'!$W$15,'Calc'!$Y$15))))))),0))</x:f>
      </x:c>
      <x:c r="AA151" t="str">
        <x:f>IF(Calc!$Y$151&gt;'Calc'!$B$8,"",MAX(Calc!$AA$150*(1+'财富模型'!$E$20/12)+'Calc'!$B$6-(IF('Calc'!$E$15=1,0,MIN(Calc!$AA$150*(1+'财富模型'!$E$20/12)+'Calc'!$B$6,IF(Calc!$Y$151&lt;='财富模型'!$E$11*12,'Calc'!$W$15,'Calc'!$Y$15)))),0))</x:f>
      </x:c>
      <x:c r="AB151" t="str">
        <x:f>IF(Calc!$Y$151&gt;'Calc'!$B$8,"",IF('Calc'!$E$15=1,'财富模型'!$E$9,'财富模型'!$M$7+IF(Calc!$Y$151&lt;='财富模型'!$E$11*12,'Calc'!$W$15,'Calc'!$Y$15)-(IF('Calc'!$E$15=1,0,MIN(Calc!$AA$150*(1+'财富模型'!$E$20/12)+'Calc'!$B$6,IF(Calc!$Y$151&lt;='财富模型'!$E$11*12,'Calc'!$W$15,'Calc'!$Y$15))))))</x:f>
      </x:c>
      <x:c r="AC151" t="str">
        <x:f>IF(Calc!$Y$151&gt;'Calc'!$B$8,"",IF('Calc'!$E$15=1,0,MIN(Calc!$AA$150*(1+'财富模型'!$E$20/12)+'Calc'!$B$6,IF(Calc!$Y$151&lt;='财富模型'!$E$11*12,'Calc'!$W$15,'Calc'!$Y$15))))</x:f>
      </x:c>
      <x:c r="AD151" t="str">
        <x:f>IF(Calc!$Y$151&gt;'Calc'!$B$8,"",'Calc'!$B$5-'财富模型'!$E$5-(IF('Calc'!$E$15=1,'财富模型'!$E$9,'财富模型'!$M$7+IF(Calc!$Y$151&lt;='财富模型'!$E$11*12,'Calc'!$W$15,'Calc'!$Y$15)-(IF('Calc'!$E$15=1,0,MIN(Calc!$AA$150*(1+'财富模型'!$E$20/12)+'Calc'!$B$6,IF(Calc!$Y$151&lt;='财富模型'!$E$11*12,'Calc'!$W$15,'Calc'!$Y$15)))))))</x:f>
      </x:c>
      <x:c r="AE151" t="str">
        <x:f>IF(Calc!$Y$151&gt;'Calc'!$B$8,"",IF('Calc'!$E$15=1,0,MAX(Calc!$AE$150*(1+IF(Calc!$Y$151&lt;='财富模型'!$E$11*12,'财富模型'!$E$10,'财富模型'!$E$12)/12)-IF('Calc'!$E$15=1,0,IF(Calc!$Y$151&lt;='财富模型'!$E$11*12,'Calc'!$W$15,'Calc'!$Y$15)),0)))</x:f>
      </x:c>
      <x:c r="AG151" t="n">
        <x:v>130</x:v>
      </x:c>
      <x:c r="AH151" t="str">
        <x:f>IF(Calc!$AG$151&gt;'Calc'!$B$8,"",MAX(Calc!$AH$150*(1+'财富模型'!$E$6/12)+('Calc'!$B$5-'财富模型'!$E$5-(IF('Calc'!$E$16=1,'财富模型'!$E$9,'财富模型'!$M$8+IF(Calc!$AG$151&lt;='财富模型'!$E$11*12,'Calc'!$W$16,'Calc'!$Y$16)-(IF('Calc'!$E$16=1,0,MIN(Calc!$AI$150*(1+'财富模型'!$E$20/12)+'Calc'!$B$6,IF(Calc!$AG$151&lt;='财富模型'!$E$11*12,'Calc'!$W$16,'Calc'!$Y$16))))))),0))</x:f>
      </x:c>
      <x:c r="AI151" t="str">
        <x:f>IF(Calc!$AG$151&gt;'Calc'!$B$8,"",MAX(Calc!$AI$150*(1+'财富模型'!$E$20/12)+'Calc'!$B$6-(IF('Calc'!$E$16=1,0,MIN(Calc!$AI$150*(1+'财富模型'!$E$20/12)+'Calc'!$B$6,IF(Calc!$AG$151&lt;='财富模型'!$E$11*12,'Calc'!$W$16,'Calc'!$Y$16)))),0))</x:f>
      </x:c>
      <x:c r="AJ151" t="str">
        <x:f>IF(Calc!$AG$151&gt;'Calc'!$B$8,"",IF('Calc'!$E$16=1,'财富模型'!$E$9,'财富模型'!$M$8+IF(Calc!$AG$151&lt;='财富模型'!$E$11*12,'Calc'!$W$16,'Calc'!$Y$16)-(IF('Calc'!$E$16=1,0,MIN(Calc!$AI$150*(1+'财富模型'!$E$20/12)+'Calc'!$B$6,IF(Calc!$AG$151&lt;='财富模型'!$E$11*12,'Calc'!$W$16,'Calc'!$Y$16))))))</x:f>
      </x:c>
      <x:c r="AK151" t="str">
        <x:f>IF(Calc!$AG$151&gt;'Calc'!$B$8,"",IF('Calc'!$E$16=1,0,MIN(Calc!$AI$150*(1+'财富模型'!$E$20/12)+'Calc'!$B$6,IF(Calc!$AG$151&lt;='财富模型'!$E$11*12,'Calc'!$W$16,'Calc'!$Y$16))))</x:f>
      </x:c>
      <x:c r="AL151" t="str">
        <x:f>IF(Calc!$AG$151&gt;'Calc'!$B$8,"",'Calc'!$B$5-'财富模型'!$E$5-(IF('Calc'!$E$16=1,'财富模型'!$E$9,'财富模型'!$M$8+IF(Calc!$AG$151&lt;='财富模型'!$E$11*12,'Calc'!$W$16,'Calc'!$Y$16)-(IF('Calc'!$E$16=1,0,MIN(Calc!$AI$150*(1+'财富模型'!$E$20/12)+'Calc'!$B$6,IF(Calc!$AG$151&lt;='财富模型'!$E$11*12,'Calc'!$W$16,'Calc'!$Y$16)))))))</x:f>
      </x:c>
      <x:c r="AM151" t="str">
        <x:f>IF(Calc!$AG$151&gt;'Calc'!$B$8,"",IF('Calc'!$E$16=1,0,MAX(Calc!$AM$150*(1+IF(Calc!$AG$151&lt;='财富模型'!$E$11*12,'财富模型'!$E$10,'财富模型'!$E$12)/12)-IF('Calc'!$E$16=1,0,IF(Calc!$AG$151&lt;='财富模型'!$E$11*12,'Calc'!$W$16,'Calc'!$Y$16)),0)))</x:f>
      </x:c>
      <x:c r="AO151" t="n">
        <x:v>130</x:v>
      </x:c>
      <x:c r="AP151" t="str">
        <x:f>IF(Calc!$AO$151&gt;'Calc'!$B$8,"",MAX(Calc!$AP$150*(1+'财富模型'!$E$6/12)+('Calc'!$B$5-'财富模型'!$E$5-(IF('Calc'!$E$17=1,'财富模型'!$E$9,'财富模型'!$M$9+IF(Calc!$AO$151&lt;='财富模型'!$E$11*12,'Calc'!$W$17,'Calc'!$Y$17)-(IF('Calc'!$E$17=1,0,MIN(Calc!$AQ$150*(1+'财富模型'!$E$20/12)+'Calc'!$B$6,IF(Calc!$AO$151&lt;='财富模型'!$E$11*12,'Calc'!$W$17,'Calc'!$Y$17))))))),0))</x:f>
      </x:c>
      <x:c r="AQ151" t="str">
        <x:f>IF(Calc!$AO$151&gt;'Calc'!$B$8,"",MAX(Calc!$AQ$150*(1+'财富模型'!$E$20/12)+'Calc'!$B$6-(IF('Calc'!$E$17=1,0,MIN(Calc!$AQ$150*(1+'财富模型'!$E$20/12)+'Calc'!$B$6,IF(Calc!$AO$151&lt;='财富模型'!$E$11*12,'Calc'!$W$17,'Calc'!$Y$17)))),0))</x:f>
      </x:c>
      <x:c r="AR151" t="str">
        <x:f>IF(Calc!$AO$151&gt;'Calc'!$B$8,"",IF('Calc'!$E$17=1,'财富模型'!$E$9,'财富模型'!$M$9+IF(Calc!$AO$151&lt;='财富模型'!$E$11*12,'Calc'!$W$17,'Calc'!$Y$17)-(IF('Calc'!$E$17=1,0,MIN(Calc!$AQ$150*(1+'财富模型'!$E$20/12)+'Calc'!$B$6,IF(Calc!$AO$151&lt;='财富模型'!$E$11*12,'Calc'!$W$17,'Calc'!$Y$17))))))</x:f>
      </x:c>
      <x:c r="AS151" t="str">
        <x:f>IF(Calc!$AO$151&gt;'Calc'!$B$8,"",IF('Calc'!$E$17=1,0,MIN(Calc!$AQ$150*(1+'财富模型'!$E$20/12)+'Calc'!$B$6,IF(Calc!$AO$151&lt;='财富模型'!$E$11*12,'Calc'!$W$17,'Calc'!$Y$17))))</x:f>
      </x:c>
      <x:c r="AT151" t="str">
        <x:f>IF(Calc!$AO$151&gt;'Calc'!$B$8,"",'Calc'!$B$5-'财富模型'!$E$5-(IF('Calc'!$E$17=1,'财富模型'!$E$9,'财富模型'!$M$9+IF(Calc!$AO$151&lt;='财富模型'!$E$11*12,'Calc'!$W$17,'Calc'!$Y$17)-(IF('Calc'!$E$17=1,0,MIN(Calc!$AQ$150*(1+'财富模型'!$E$20/12)+'Calc'!$B$6,IF(Calc!$AO$151&lt;='财富模型'!$E$11*12,'Calc'!$W$17,'Calc'!$Y$17)))))))</x:f>
      </x:c>
      <x:c r="AU151" t="str">
        <x:f>IF(Calc!$AO$151&gt;'Calc'!$B$8,"",IF('Calc'!$E$17=1,0,MAX(Calc!$AU$150*(1+IF(Calc!$AO$151&lt;='财富模型'!$E$11*12,'财富模型'!$E$10,'财富模型'!$E$12)/12)-IF('Calc'!$E$17=1,0,IF(Calc!$AO$151&lt;='财富模型'!$E$11*12,'Calc'!$W$17,'Calc'!$Y$17)),0)))</x:f>
      </x:c>
    </x:row>
    <x:row r="152">
      <x:c r="A152" t="n">
        <x:v>131</x:v>
      </x:c>
      <x:c r="B152" t="str">
        <x:f>IF(Calc!$A$152&gt;'Calc'!$B$8,"",MAX(Calc!$B$151*(1+'财富模型'!$E$6/12)+('Calc'!$B$5-'财富模型'!$E$5-(IF('Calc'!$E$12=1,'财富模型'!$E$9,'财富模型'!$M$4+IF(Calc!$A$152&lt;='财富模型'!$E$11*12,'Calc'!$W$12,'Calc'!$Y$12)-(IF('Calc'!$E$12=1,0,MIN(Calc!$C$151*(1+'财富模型'!$E$20/12)+'Calc'!$B$6,IF(Calc!$A$152&lt;='财富模型'!$E$11*12,'Calc'!$W$12,'Calc'!$Y$12))))))),0))</x:f>
      </x:c>
      <x:c r="C152" t="str">
        <x:f>IF(Calc!$A$152&gt;'Calc'!$B$8,"",MAX(Calc!$C$151*(1+'财富模型'!$E$20/12)+'Calc'!$B$6-(IF('Calc'!$E$12=1,0,MIN(Calc!$C$151*(1+'财富模型'!$E$20/12)+'Calc'!$B$6,IF(Calc!$A$152&lt;='财富模型'!$E$11*12,'Calc'!$W$12,'Calc'!$Y$12)))),0))</x:f>
      </x:c>
      <x:c r="D152" t="str">
        <x:f>IF(Calc!$A$152&gt;'Calc'!$B$8,"",IF('Calc'!$E$12=1,'财富模型'!$E$9,'财富模型'!$M$4+IF(Calc!$A$152&lt;='财富模型'!$E$11*12,'Calc'!$W$12,'Calc'!$Y$12)-(IF('Calc'!$E$12=1,0,MIN(Calc!$C$151*(1+'财富模型'!$E$20/12)+'Calc'!$B$6,IF(Calc!$A$152&lt;='财富模型'!$E$11*12,'Calc'!$W$12,'Calc'!$Y$12))))))</x:f>
      </x:c>
      <x:c r="E152" t="str">
        <x:f>IF(Calc!$A$152&gt;'Calc'!$B$8,"",IF('Calc'!$E$12=1,0,MIN(Calc!$C$151*(1+'财富模型'!$E$20/12)+'Calc'!$B$6,IF(Calc!$A$152&lt;='财富模型'!$E$11*12,'Calc'!$W$12,'Calc'!$Y$12))))</x:f>
      </x:c>
      <x:c r="F152" t="str">
        <x:f>IF(Calc!$A$152&gt;'Calc'!$B$8,"",'Calc'!$B$5-'财富模型'!$E$5-(IF('Calc'!$E$12=1,'财富模型'!$E$9,'财富模型'!$M$4+IF(Calc!$A$152&lt;='财富模型'!$E$11*12,'Calc'!$W$12,'Calc'!$Y$12)-(IF('Calc'!$E$12=1,0,MIN(Calc!$C$151*(1+'财富模型'!$E$20/12)+'Calc'!$B$6,IF(Calc!$A$152&lt;='财富模型'!$E$11*12,'Calc'!$W$12,'Calc'!$Y$12)))))))</x:f>
      </x:c>
      <x:c r="G152" t="str">
        <x:f>IF(Calc!$A$152&gt;'Calc'!$B$8,"",IF('Calc'!$E$12=1,0,MAX(Calc!$G$151*(1+IF(Calc!$A$152&lt;='财富模型'!$E$11*12,'财富模型'!$E$10,'财富模型'!$E$12)/12)-IF('Calc'!$E$12=1,0,IF(Calc!$A$152&lt;='财富模型'!$E$11*12,'Calc'!$W$12,'Calc'!$Y$12)),0)))</x:f>
      </x:c>
      <x:c r="I152" t="n">
        <x:v>131</x:v>
      </x:c>
      <x:c r="J152" t="str">
        <x:f>IF(Calc!$I$152&gt;'Calc'!$B$8,"",MAX(Calc!$J$151*(1+'财富模型'!$E$6/12)+('Calc'!$B$5-'财富模型'!$E$5-(IF('Calc'!$E$13=1,'财富模型'!$E$9,'财富模型'!$M$5+IF(Calc!$I$152&lt;='财富模型'!$E$11*12,'Calc'!$W$13,'Calc'!$Y$13)-(IF('Calc'!$E$13=1,0,MIN(Calc!$K$151*(1+'财富模型'!$E$20/12)+'Calc'!$B$6,IF(Calc!$I$152&lt;='财富模型'!$E$11*12,'Calc'!$W$13,'Calc'!$Y$13))))))),0))</x:f>
      </x:c>
      <x:c r="K152" t="str">
        <x:f>IF(Calc!$I$152&gt;'Calc'!$B$8,"",MAX(Calc!$K$151*(1+'财富模型'!$E$20/12)+'Calc'!$B$6-(IF('Calc'!$E$13=1,0,MIN(Calc!$K$151*(1+'财富模型'!$E$20/12)+'Calc'!$B$6,IF(Calc!$I$152&lt;='财富模型'!$E$11*12,'Calc'!$W$13,'Calc'!$Y$13)))),0))</x:f>
      </x:c>
      <x:c r="L152" t="str">
        <x:f>IF(Calc!$I$152&gt;'Calc'!$B$8,"",IF('Calc'!$E$13=1,'财富模型'!$E$9,'财富模型'!$M$5+IF(Calc!$I$152&lt;='财富模型'!$E$11*12,'Calc'!$W$13,'Calc'!$Y$13)-(IF('Calc'!$E$13=1,0,MIN(Calc!$K$151*(1+'财富模型'!$E$20/12)+'Calc'!$B$6,IF(Calc!$I$152&lt;='财富模型'!$E$11*12,'Calc'!$W$13,'Calc'!$Y$13))))))</x:f>
      </x:c>
      <x:c r="M152" t="str">
        <x:f>IF(Calc!$I$152&gt;'Calc'!$B$8,"",IF('Calc'!$E$13=1,0,MIN(Calc!$K$151*(1+'财富模型'!$E$20/12)+'Calc'!$B$6,IF(Calc!$I$152&lt;='财富模型'!$E$11*12,'Calc'!$W$13,'Calc'!$Y$13))))</x:f>
      </x:c>
      <x:c r="N152" t="str">
        <x:f>IF(Calc!$I$152&gt;'Calc'!$B$8,"",'Calc'!$B$5-'财富模型'!$E$5-(IF('Calc'!$E$13=1,'财富模型'!$E$9,'财富模型'!$M$5+IF(Calc!$I$152&lt;='财富模型'!$E$11*12,'Calc'!$W$13,'Calc'!$Y$13)-(IF('Calc'!$E$13=1,0,MIN(Calc!$K$151*(1+'财富模型'!$E$20/12)+'Calc'!$B$6,IF(Calc!$I$152&lt;='财富模型'!$E$11*12,'Calc'!$W$13,'Calc'!$Y$13)))))))</x:f>
      </x:c>
      <x:c r="O152" t="str">
        <x:f>IF(Calc!$I$152&gt;'Calc'!$B$8,"",IF('Calc'!$E$13=1,0,MAX(Calc!$O$151*(1+IF(Calc!$I$152&lt;='财富模型'!$E$11*12,'财富模型'!$E$10,'财富模型'!$E$12)/12)-IF('Calc'!$E$13=1,0,IF(Calc!$I$152&lt;='财富模型'!$E$11*12,'Calc'!$W$13,'Calc'!$Y$13)),0)))</x:f>
      </x:c>
      <x:c r="Q152" t="n">
        <x:v>131</x:v>
      </x:c>
      <x:c r="R152" t="str">
        <x:f>IF(Calc!$Q$152&gt;'Calc'!$B$8,"",MAX(Calc!$R$151*(1+'财富模型'!$E$6/12)+('Calc'!$B$5-'财富模型'!$E$5-(IF('Calc'!$E$14=1,'财富模型'!$E$9,'财富模型'!$M$6+IF(Calc!$Q$152&lt;='财富模型'!$E$11*12,'Calc'!$W$14,'Calc'!$Y$14)-(IF('Calc'!$E$14=1,0,MIN(Calc!$S$151*(1+'财富模型'!$E$20/12)+'Calc'!$B$6,IF(Calc!$Q$152&lt;='财富模型'!$E$11*12,'Calc'!$W$14,'Calc'!$Y$14))))))),0))</x:f>
      </x:c>
      <x:c r="S152" t="str">
        <x:f>IF(Calc!$Q$152&gt;'Calc'!$B$8,"",MAX(Calc!$S$151*(1+'财富模型'!$E$20/12)+'Calc'!$B$6-(IF('Calc'!$E$14=1,0,MIN(Calc!$S$151*(1+'财富模型'!$E$20/12)+'Calc'!$B$6,IF(Calc!$Q$152&lt;='财富模型'!$E$11*12,'Calc'!$W$14,'Calc'!$Y$14)))),0))</x:f>
      </x:c>
      <x:c r="T152" t="str">
        <x:f>IF(Calc!$Q$152&gt;'Calc'!$B$8,"",IF('Calc'!$E$14=1,'财富模型'!$E$9,'财富模型'!$M$6+IF(Calc!$Q$152&lt;='财富模型'!$E$11*12,'Calc'!$W$14,'Calc'!$Y$14)-(IF('Calc'!$E$14=1,0,MIN(Calc!$S$151*(1+'财富模型'!$E$20/12)+'Calc'!$B$6,IF(Calc!$Q$152&lt;='财富模型'!$E$11*12,'Calc'!$W$14,'Calc'!$Y$14))))))</x:f>
      </x:c>
      <x:c r="U152" t="str">
        <x:f>IF(Calc!$Q$152&gt;'Calc'!$B$8,"",IF('Calc'!$E$14=1,0,MIN(Calc!$S$151*(1+'财富模型'!$E$20/12)+'Calc'!$B$6,IF(Calc!$Q$152&lt;='财富模型'!$E$11*12,'Calc'!$W$14,'Calc'!$Y$14))))</x:f>
      </x:c>
      <x:c r="V152" t="str">
        <x:f>IF(Calc!$Q$152&gt;'Calc'!$B$8,"",'Calc'!$B$5-'财富模型'!$E$5-(IF('Calc'!$E$14=1,'财富模型'!$E$9,'财富模型'!$M$6+IF(Calc!$Q$152&lt;='财富模型'!$E$11*12,'Calc'!$W$14,'Calc'!$Y$14)-(IF('Calc'!$E$14=1,0,MIN(Calc!$S$151*(1+'财富模型'!$E$20/12)+'Calc'!$B$6,IF(Calc!$Q$152&lt;='财富模型'!$E$11*12,'Calc'!$W$14,'Calc'!$Y$14)))))))</x:f>
      </x:c>
      <x:c r="W152" t="str">
        <x:f>IF(Calc!$Q$152&gt;'Calc'!$B$8,"",IF('Calc'!$E$14=1,0,MAX(Calc!$W$151*(1+IF(Calc!$Q$152&lt;='财富模型'!$E$11*12,'财富模型'!$E$10,'财富模型'!$E$12)/12)-IF('Calc'!$E$14=1,0,IF(Calc!$Q$152&lt;='财富模型'!$E$11*12,'Calc'!$W$14,'Calc'!$Y$14)),0)))</x:f>
      </x:c>
      <x:c r="Y152" t="n">
        <x:v>131</x:v>
      </x:c>
      <x:c r="Z152" t="str">
        <x:f>IF(Calc!$Y$152&gt;'Calc'!$B$8,"",MAX(Calc!$Z$151*(1+'财富模型'!$E$6/12)+('Calc'!$B$5-'财富模型'!$E$5-(IF('Calc'!$E$15=1,'财富模型'!$E$9,'财富模型'!$M$7+IF(Calc!$Y$152&lt;='财富模型'!$E$11*12,'Calc'!$W$15,'Calc'!$Y$15)-(IF('Calc'!$E$15=1,0,MIN(Calc!$AA$151*(1+'财富模型'!$E$20/12)+'Calc'!$B$6,IF(Calc!$Y$152&lt;='财富模型'!$E$11*12,'Calc'!$W$15,'Calc'!$Y$15))))))),0))</x:f>
      </x:c>
      <x:c r="AA152" t="str">
        <x:f>IF(Calc!$Y$152&gt;'Calc'!$B$8,"",MAX(Calc!$AA$151*(1+'财富模型'!$E$20/12)+'Calc'!$B$6-(IF('Calc'!$E$15=1,0,MIN(Calc!$AA$151*(1+'财富模型'!$E$20/12)+'Calc'!$B$6,IF(Calc!$Y$152&lt;='财富模型'!$E$11*12,'Calc'!$W$15,'Calc'!$Y$15)))),0))</x:f>
      </x:c>
      <x:c r="AB152" t="str">
        <x:f>IF(Calc!$Y$152&gt;'Calc'!$B$8,"",IF('Calc'!$E$15=1,'财富模型'!$E$9,'财富模型'!$M$7+IF(Calc!$Y$152&lt;='财富模型'!$E$11*12,'Calc'!$W$15,'Calc'!$Y$15)-(IF('Calc'!$E$15=1,0,MIN(Calc!$AA$151*(1+'财富模型'!$E$20/12)+'Calc'!$B$6,IF(Calc!$Y$152&lt;='财富模型'!$E$11*12,'Calc'!$W$15,'Calc'!$Y$15))))))</x:f>
      </x:c>
      <x:c r="AC152" t="str">
        <x:f>IF(Calc!$Y$152&gt;'Calc'!$B$8,"",IF('Calc'!$E$15=1,0,MIN(Calc!$AA$151*(1+'财富模型'!$E$20/12)+'Calc'!$B$6,IF(Calc!$Y$152&lt;='财富模型'!$E$11*12,'Calc'!$W$15,'Calc'!$Y$15))))</x:f>
      </x:c>
      <x:c r="AD152" t="str">
        <x:f>IF(Calc!$Y$152&gt;'Calc'!$B$8,"",'Calc'!$B$5-'财富模型'!$E$5-(IF('Calc'!$E$15=1,'财富模型'!$E$9,'财富模型'!$M$7+IF(Calc!$Y$152&lt;='财富模型'!$E$11*12,'Calc'!$W$15,'Calc'!$Y$15)-(IF('Calc'!$E$15=1,0,MIN(Calc!$AA$151*(1+'财富模型'!$E$20/12)+'Calc'!$B$6,IF(Calc!$Y$152&lt;='财富模型'!$E$11*12,'Calc'!$W$15,'Calc'!$Y$15)))))))</x:f>
      </x:c>
      <x:c r="AE152" t="str">
        <x:f>IF(Calc!$Y$152&gt;'Calc'!$B$8,"",IF('Calc'!$E$15=1,0,MAX(Calc!$AE$151*(1+IF(Calc!$Y$152&lt;='财富模型'!$E$11*12,'财富模型'!$E$10,'财富模型'!$E$12)/12)-IF('Calc'!$E$15=1,0,IF(Calc!$Y$152&lt;='财富模型'!$E$11*12,'Calc'!$W$15,'Calc'!$Y$15)),0)))</x:f>
      </x:c>
      <x:c r="AG152" t="n">
        <x:v>131</x:v>
      </x:c>
      <x:c r="AH152" t="str">
        <x:f>IF(Calc!$AG$152&gt;'Calc'!$B$8,"",MAX(Calc!$AH$151*(1+'财富模型'!$E$6/12)+('Calc'!$B$5-'财富模型'!$E$5-(IF('Calc'!$E$16=1,'财富模型'!$E$9,'财富模型'!$M$8+IF(Calc!$AG$152&lt;='财富模型'!$E$11*12,'Calc'!$W$16,'Calc'!$Y$16)-(IF('Calc'!$E$16=1,0,MIN(Calc!$AI$151*(1+'财富模型'!$E$20/12)+'Calc'!$B$6,IF(Calc!$AG$152&lt;='财富模型'!$E$11*12,'Calc'!$W$16,'Calc'!$Y$16))))))),0))</x:f>
      </x:c>
      <x:c r="AI152" t="str">
        <x:f>IF(Calc!$AG$152&gt;'Calc'!$B$8,"",MAX(Calc!$AI$151*(1+'财富模型'!$E$20/12)+'Calc'!$B$6-(IF('Calc'!$E$16=1,0,MIN(Calc!$AI$151*(1+'财富模型'!$E$20/12)+'Calc'!$B$6,IF(Calc!$AG$152&lt;='财富模型'!$E$11*12,'Calc'!$W$16,'Calc'!$Y$16)))),0))</x:f>
      </x:c>
      <x:c r="AJ152" t="str">
        <x:f>IF(Calc!$AG$152&gt;'Calc'!$B$8,"",IF('Calc'!$E$16=1,'财富模型'!$E$9,'财富模型'!$M$8+IF(Calc!$AG$152&lt;='财富模型'!$E$11*12,'Calc'!$W$16,'Calc'!$Y$16)-(IF('Calc'!$E$16=1,0,MIN(Calc!$AI$151*(1+'财富模型'!$E$20/12)+'Calc'!$B$6,IF(Calc!$AG$152&lt;='财富模型'!$E$11*12,'Calc'!$W$16,'Calc'!$Y$16))))))</x:f>
      </x:c>
      <x:c r="AK152" t="str">
        <x:f>IF(Calc!$AG$152&gt;'Calc'!$B$8,"",IF('Calc'!$E$16=1,0,MIN(Calc!$AI$151*(1+'财富模型'!$E$20/12)+'Calc'!$B$6,IF(Calc!$AG$152&lt;='财富模型'!$E$11*12,'Calc'!$W$16,'Calc'!$Y$16))))</x:f>
      </x:c>
      <x:c r="AL152" t="str">
        <x:f>IF(Calc!$AG$152&gt;'Calc'!$B$8,"",'Calc'!$B$5-'财富模型'!$E$5-(IF('Calc'!$E$16=1,'财富模型'!$E$9,'财富模型'!$M$8+IF(Calc!$AG$152&lt;='财富模型'!$E$11*12,'Calc'!$W$16,'Calc'!$Y$16)-(IF('Calc'!$E$16=1,0,MIN(Calc!$AI$151*(1+'财富模型'!$E$20/12)+'Calc'!$B$6,IF(Calc!$AG$152&lt;='财富模型'!$E$11*12,'Calc'!$W$16,'Calc'!$Y$16)))))))</x:f>
      </x:c>
      <x:c r="AM152" t="str">
        <x:f>IF(Calc!$AG$152&gt;'Calc'!$B$8,"",IF('Calc'!$E$16=1,0,MAX(Calc!$AM$151*(1+IF(Calc!$AG$152&lt;='财富模型'!$E$11*12,'财富模型'!$E$10,'财富模型'!$E$12)/12)-IF('Calc'!$E$16=1,0,IF(Calc!$AG$152&lt;='财富模型'!$E$11*12,'Calc'!$W$16,'Calc'!$Y$16)),0)))</x:f>
      </x:c>
      <x:c r="AO152" t="n">
        <x:v>131</x:v>
      </x:c>
      <x:c r="AP152" t="str">
        <x:f>IF(Calc!$AO$152&gt;'Calc'!$B$8,"",MAX(Calc!$AP$151*(1+'财富模型'!$E$6/12)+('Calc'!$B$5-'财富模型'!$E$5-(IF('Calc'!$E$17=1,'财富模型'!$E$9,'财富模型'!$M$9+IF(Calc!$AO$152&lt;='财富模型'!$E$11*12,'Calc'!$W$17,'Calc'!$Y$17)-(IF('Calc'!$E$17=1,0,MIN(Calc!$AQ$151*(1+'财富模型'!$E$20/12)+'Calc'!$B$6,IF(Calc!$AO$152&lt;='财富模型'!$E$11*12,'Calc'!$W$17,'Calc'!$Y$17))))))),0))</x:f>
      </x:c>
      <x:c r="AQ152" t="str">
        <x:f>IF(Calc!$AO$152&gt;'Calc'!$B$8,"",MAX(Calc!$AQ$151*(1+'财富模型'!$E$20/12)+'Calc'!$B$6-(IF('Calc'!$E$17=1,0,MIN(Calc!$AQ$151*(1+'财富模型'!$E$20/12)+'Calc'!$B$6,IF(Calc!$AO$152&lt;='财富模型'!$E$11*12,'Calc'!$W$17,'Calc'!$Y$17)))),0))</x:f>
      </x:c>
      <x:c r="AR152" t="str">
        <x:f>IF(Calc!$AO$152&gt;'Calc'!$B$8,"",IF('Calc'!$E$17=1,'财富模型'!$E$9,'财富模型'!$M$9+IF(Calc!$AO$152&lt;='财富模型'!$E$11*12,'Calc'!$W$17,'Calc'!$Y$17)-(IF('Calc'!$E$17=1,0,MIN(Calc!$AQ$151*(1+'财富模型'!$E$20/12)+'Calc'!$B$6,IF(Calc!$AO$152&lt;='财富模型'!$E$11*12,'Calc'!$W$17,'Calc'!$Y$17))))))</x:f>
      </x:c>
      <x:c r="AS152" t="str">
        <x:f>IF(Calc!$AO$152&gt;'Calc'!$B$8,"",IF('Calc'!$E$17=1,0,MIN(Calc!$AQ$151*(1+'财富模型'!$E$20/12)+'Calc'!$B$6,IF(Calc!$AO$152&lt;='财富模型'!$E$11*12,'Calc'!$W$17,'Calc'!$Y$17))))</x:f>
      </x:c>
      <x:c r="AT152" t="str">
        <x:f>IF(Calc!$AO$152&gt;'Calc'!$B$8,"",'Calc'!$B$5-'财富模型'!$E$5-(IF('Calc'!$E$17=1,'财富模型'!$E$9,'财富模型'!$M$9+IF(Calc!$AO$152&lt;='财富模型'!$E$11*12,'Calc'!$W$17,'Calc'!$Y$17)-(IF('Calc'!$E$17=1,0,MIN(Calc!$AQ$151*(1+'财富模型'!$E$20/12)+'Calc'!$B$6,IF(Calc!$AO$152&lt;='财富模型'!$E$11*12,'Calc'!$W$17,'Calc'!$Y$17)))))))</x:f>
      </x:c>
      <x:c r="AU152" t="str">
        <x:f>IF(Calc!$AO$152&gt;'Calc'!$B$8,"",IF('Calc'!$E$17=1,0,MAX(Calc!$AU$151*(1+IF(Calc!$AO$152&lt;='财富模型'!$E$11*12,'财富模型'!$E$10,'财富模型'!$E$12)/12)-IF('Calc'!$E$17=1,0,IF(Calc!$AO$152&lt;='财富模型'!$E$11*12,'Calc'!$W$17,'Calc'!$Y$17)),0)))</x:f>
      </x:c>
    </x:row>
    <x:row r="153">
      <x:c r="A153" t="n">
        <x:v>132</x:v>
      </x:c>
      <x:c r="B153" t="str">
        <x:f>IF(Calc!$A$153&gt;'Calc'!$B$8,"",MAX(Calc!$B$152*(1+'财富模型'!$E$6/12)+('Calc'!$B$5-'财富模型'!$E$5-(IF('Calc'!$E$12=1,'财富模型'!$E$9,'财富模型'!$M$4+IF(Calc!$A$153&lt;='财富模型'!$E$11*12,'Calc'!$W$12,'Calc'!$Y$12)-(IF('Calc'!$E$12=1,0,MIN(Calc!$C$152*(1+'财富模型'!$E$20/12)+'Calc'!$B$6,IF(Calc!$A$153&lt;='财富模型'!$E$11*12,'Calc'!$W$12,'Calc'!$Y$12))))))),0))</x:f>
      </x:c>
      <x:c r="C153" t="str">
        <x:f>IF(Calc!$A$153&gt;'Calc'!$B$8,"",MAX(Calc!$C$152*(1+'财富模型'!$E$20/12)+'Calc'!$B$6-(IF('Calc'!$E$12=1,0,MIN(Calc!$C$152*(1+'财富模型'!$E$20/12)+'Calc'!$B$6,IF(Calc!$A$153&lt;='财富模型'!$E$11*12,'Calc'!$W$12,'Calc'!$Y$12)))),0))</x:f>
      </x:c>
      <x:c r="D153" t="str">
        <x:f>IF(Calc!$A$153&gt;'Calc'!$B$8,"",IF('Calc'!$E$12=1,'财富模型'!$E$9,'财富模型'!$M$4+IF(Calc!$A$153&lt;='财富模型'!$E$11*12,'Calc'!$W$12,'Calc'!$Y$12)-(IF('Calc'!$E$12=1,0,MIN(Calc!$C$152*(1+'财富模型'!$E$20/12)+'Calc'!$B$6,IF(Calc!$A$153&lt;='财富模型'!$E$11*12,'Calc'!$W$12,'Calc'!$Y$12))))))</x:f>
      </x:c>
      <x:c r="E153" t="str">
        <x:f>IF(Calc!$A$153&gt;'Calc'!$B$8,"",IF('Calc'!$E$12=1,0,MIN(Calc!$C$152*(1+'财富模型'!$E$20/12)+'Calc'!$B$6,IF(Calc!$A$153&lt;='财富模型'!$E$11*12,'Calc'!$W$12,'Calc'!$Y$12))))</x:f>
      </x:c>
      <x:c r="F153" t="str">
        <x:f>IF(Calc!$A$153&gt;'Calc'!$B$8,"",'Calc'!$B$5-'财富模型'!$E$5-(IF('Calc'!$E$12=1,'财富模型'!$E$9,'财富模型'!$M$4+IF(Calc!$A$153&lt;='财富模型'!$E$11*12,'Calc'!$W$12,'Calc'!$Y$12)-(IF('Calc'!$E$12=1,0,MIN(Calc!$C$152*(1+'财富模型'!$E$20/12)+'Calc'!$B$6,IF(Calc!$A$153&lt;='财富模型'!$E$11*12,'Calc'!$W$12,'Calc'!$Y$12)))))))</x:f>
      </x:c>
      <x:c r="G153" t="str">
        <x:f>IF(Calc!$A$153&gt;'Calc'!$B$8,"",IF('Calc'!$E$12=1,0,MAX(Calc!$G$152*(1+IF(Calc!$A$153&lt;='财富模型'!$E$11*12,'财富模型'!$E$10,'财富模型'!$E$12)/12)-IF('Calc'!$E$12=1,0,IF(Calc!$A$153&lt;='财富模型'!$E$11*12,'Calc'!$W$12,'Calc'!$Y$12)),0)))</x:f>
      </x:c>
      <x:c r="I153" t="n">
        <x:v>132</x:v>
      </x:c>
      <x:c r="J153" t="str">
        <x:f>IF(Calc!$I$153&gt;'Calc'!$B$8,"",MAX(Calc!$J$152*(1+'财富模型'!$E$6/12)+('Calc'!$B$5-'财富模型'!$E$5-(IF('Calc'!$E$13=1,'财富模型'!$E$9,'财富模型'!$M$5+IF(Calc!$I$153&lt;='财富模型'!$E$11*12,'Calc'!$W$13,'Calc'!$Y$13)-(IF('Calc'!$E$13=1,0,MIN(Calc!$K$152*(1+'财富模型'!$E$20/12)+'Calc'!$B$6,IF(Calc!$I$153&lt;='财富模型'!$E$11*12,'Calc'!$W$13,'Calc'!$Y$13))))))),0))</x:f>
      </x:c>
      <x:c r="K153" t="str">
        <x:f>IF(Calc!$I$153&gt;'Calc'!$B$8,"",MAX(Calc!$K$152*(1+'财富模型'!$E$20/12)+'Calc'!$B$6-(IF('Calc'!$E$13=1,0,MIN(Calc!$K$152*(1+'财富模型'!$E$20/12)+'Calc'!$B$6,IF(Calc!$I$153&lt;='财富模型'!$E$11*12,'Calc'!$W$13,'Calc'!$Y$13)))),0))</x:f>
      </x:c>
      <x:c r="L153" t="str">
        <x:f>IF(Calc!$I$153&gt;'Calc'!$B$8,"",IF('Calc'!$E$13=1,'财富模型'!$E$9,'财富模型'!$M$5+IF(Calc!$I$153&lt;='财富模型'!$E$11*12,'Calc'!$W$13,'Calc'!$Y$13)-(IF('Calc'!$E$13=1,0,MIN(Calc!$K$152*(1+'财富模型'!$E$20/12)+'Calc'!$B$6,IF(Calc!$I$153&lt;='财富模型'!$E$11*12,'Calc'!$W$13,'Calc'!$Y$13))))))</x:f>
      </x:c>
      <x:c r="M153" t="str">
        <x:f>IF(Calc!$I$153&gt;'Calc'!$B$8,"",IF('Calc'!$E$13=1,0,MIN(Calc!$K$152*(1+'财富模型'!$E$20/12)+'Calc'!$B$6,IF(Calc!$I$153&lt;='财富模型'!$E$11*12,'Calc'!$W$13,'Calc'!$Y$13))))</x:f>
      </x:c>
      <x:c r="N153" t="str">
        <x:f>IF(Calc!$I$153&gt;'Calc'!$B$8,"",'Calc'!$B$5-'财富模型'!$E$5-(IF('Calc'!$E$13=1,'财富模型'!$E$9,'财富模型'!$M$5+IF(Calc!$I$153&lt;='财富模型'!$E$11*12,'Calc'!$W$13,'Calc'!$Y$13)-(IF('Calc'!$E$13=1,0,MIN(Calc!$K$152*(1+'财富模型'!$E$20/12)+'Calc'!$B$6,IF(Calc!$I$153&lt;='财富模型'!$E$11*12,'Calc'!$W$13,'Calc'!$Y$13)))))))</x:f>
      </x:c>
      <x:c r="O153" t="str">
        <x:f>IF(Calc!$I$153&gt;'Calc'!$B$8,"",IF('Calc'!$E$13=1,0,MAX(Calc!$O$152*(1+IF(Calc!$I$153&lt;='财富模型'!$E$11*12,'财富模型'!$E$10,'财富模型'!$E$12)/12)-IF('Calc'!$E$13=1,0,IF(Calc!$I$153&lt;='财富模型'!$E$11*12,'Calc'!$W$13,'Calc'!$Y$13)),0)))</x:f>
      </x:c>
      <x:c r="Q153" t="n">
        <x:v>132</x:v>
      </x:c>
      <x:c r="R153" t="str">
        <x:f>IF(Calc!$Q$153&gt;'Calc'!$B$8,"",MAX(Calc!$R$152*(1+'财富模型'!$E$6/12)+('Calc'!$B$5-'财富模型'!$E$5-(IF('Calc'!$E$14=1,'财富模型'!$E$9,'财富模型'!$M$6+IF(Calc!$Q$153&lt;='财富模型'!$E$11*12,'Calc'!$W$14,'Calc'!$Y$14)-(IF('Calc'!$E$14=1,0,MIN(Calc!$S$152*(1+'财富模型'!$E$20/12)+'Calc'!$B$6,IF(Calc!$Q$153&lt;='财富模型'!$E$11*12,'Calc'!$W$14,'Calc'!$Y$14))))))),0))</x:f>
      </x:c>
      <x:c r="S153" t="str">
        <x:f>IF(Calc!$Q$153&gt;'Calc'!$B$8,"",MAX(Calc!$S$152*(1+'财富模型'!$E$20/12)+'Calc'!$B$6-(IF('Calc'!$E$14=1,0,MIN(Calc!$S$152*(1+'财富模型'!$E$20/12)+'Calc'!$B$6,IF(Calc!$Q$153&lt;='财富模型'!$E$11*12,'Calc'!$W$14,'Calc'!$Y$14)))),0))</x:f>
      </x:c>
      <x:c r="T153" t="str">
        <x:f>IF(Calc!$Q$153&gt;'Calc'!$B$8,"",IF('Calc'!$E$14=1,'财富模型'!$E$9,'财富模型'!$M$6+IF(Calc!$Q$153&lt;='财富模型'!$E$11*12,'Calc'!$W$14,'Calc'!$Y$14)-(IF('Calc'!$E$14=1,0,MIN(Calc!$S$152*(1+'财富模型'!$E$20/12)+'Calc'!$B$6,IF(Calc!$Q$153&lt;='财富模型'!$E$11*12,'Calc'!$W$14,'Calc'!$Y$14))))))</x:f>
      </x:c>
      <x:c r="U153" t="str">
        <x:f>IF(Calc!$Q$153&gt;'Calc'!$B$8,"",IF('Calc'!$E$14=1,0,MIN(Calc!$S$152*(1+'财富模型'!$E$20/12)+'Calc'!$B$6,IF(Calc!$Q$153&lt;='财富模型'!$E$11*12,'Calc'!$W$14,'Calc'!$Y$14))))</x:f>
      </x:c>
      <x:c r="V153" t="str">
        <x:f>IF(Calc!$Q$153&gt;'Calc'!$B$8,"",'Calc'!$B$5-'财富模型'!$E$5-(IF('Calc'!$E$14=1,'财富模型'!$E$9,'财富模型'!$M$6+IF(Calc!$Q$153&lt;='财富模型'!$E$11*12,'Calc'!$W$14,'Calc'!$Y$14)-(IF('Calc'!$E$14=1,0,MIN(Calc!$S$152*(1+'财富模型'!$E$20/12)+'Calc'!$B$6,IF(Calc!$Q$153&lt;='财富模型'!$E$11*12,'Calc'!$W$14,'Calc'!$Y$14)))))))</x:f>
      </x:c>
      <x:c r="W153" t="str">
        <x:f>IF(Calc!$Q$153&gt;'Calc'!$B$8,"",IF('Calc'!$E$14=1,0,MAX(Calc!$W$152*(1+IF(Calc!$Q$153&lt;='财富模型'!$E$11*12,'财富模型'!$E$10,'财富模型'!$E$12)/12)-IF('Calc'!$E$14=1,0,IF(Calc!$Q$153&lt;='财富模型'!$E$11*12,'Calc'!$W$14,'Calc'!$Y$14)),0)))</x:f>
      </x:c>
      <x:c r="Y153" t="n">
        <x:v>132</x:v>
      </x:c>
      <x:c r="Z153" t="str">
        <x:f>IF(Calc!$Y$153&gt;'Calc'!$B$8,"",MAX(Calc!$Z$152*(1+'财富模型'!$E$6/12)+('Calc'!$B$5-'财富模型'!$E$5-(IF('Calc'!$E$15=1,'财富模型'!$E$9,'财富模型'!$M$7+IF(Calc!$Y$153&lt;='财富模型'!$E$11*12,'Calc'!$W$15,'Calc'!$Y$15)-(IF('Calc'!$E$15=1,0,MIN(Calc!$AA$152*(1+'财富模型'!$E$20/12)+'Calc'!$B$6,IF(Calc!$Y$153&lt;='财富模型'!$E$11*12,'Calc'!$W$15,'Calc'!$Y$15))))))),0))</x:f>
      </x:c>
      <x:c r="AA153" t="str">
        <x:f>IF(Calc!$Y$153&gt;'Calc'!$B$8,"",MAX(Calc!$AA$152*(1+'财富模型'!$E$20/12)+'Calc'!$B$6-(IF('Calc'!$E$15=1,0,MIN(Calc!$AA$152*(1+'财富模型'!$E$20/12)+'Calc'!$B$6,IF(Calc!$Y$153&lt;='财富模型'!$E$11*12,'Calc'!$W$15,'Calc'!$Y$15)))),0))</x:f>
      </x:c>
      <x:c r="AB153" t="str">
        <x:f>IF(Calc!$Y$153&gt;'Calc'!$B$8,"",IF('Calc'!$E$15=1,'财富模型'!$E$9,'财富模型'!$M$7+IF(Calc!$Y$153&lt;='财富模型'!$E$11*12,'Calc'!$W$15,'Calc'!$Y$15)-(IF('Calc'!$E$15=1,0,MIN(Calc!$AA$152*(1+'财富模型'!$E$20/12)+'Calc'!$B$6,IF(Calc!$Y$153&lt;='财富模型'!$E$11*12,'Calc'!$W$15,'Calc'!$Y$15))))))</x:f>
      </x:c>
      <x:c r="AC153" t="str">
        <x:f>IF(Calc!$Y$153&gt;'Calc'!$B$8,"",IF('Calc'!$E$15=1,0,MIN(Calc!$AA$152*(1+'财富模型'!$E$20/12)+'Calc'!$B$6,IF(Calc!$Y$153&lt;='财富模型'!$E$11*12,'Calc'!$W$15,'Calc'!$Y$15))))</x:f>
      </x:c>
      <x:c r="AD153" t="str">
        <x:f>IF(Calc!$Y$153&gt;'Calc'!$B$8,"",'Calc'!$B$5-'财富模型'!$E$5-(IF('Calc'!$E$15=1,'财富模型'!$E$9,'财富模型'!$M$7+IF(Calc!$Y$153&lt;='财富模型'!$E$11*12,'Calc'!$W$15,'Calc'!$Y$15)-(IF('Calc'!$E$15=1,0,MIN(Calc!$AA$152*(1+'财富模型'!$E$20/12)+'Calc'!$B$6,IF(Calc!$Y$153&lt;='财富模型'!$E$11*12,'Calc'!$W$15,'Calc'!$Y$15)))))))</x:f>
      </x:c>
      <x:c r="AE153" t="str">
        <x:f>IF(Calc!$Y$153&gt;'Calc'!$B$8,"",IF('Calc'!$E$15=1,0,MAX(Calc!$AE$152*(1+IF(Calc!$Y$153&lt;='财富模型'!$E$11*12,'财富模型'!$E$10,'财富模型'!$E$12)/12)-IF('Calc'!$E$15=1,0,IF(Calc!$Y$153&lt;='财富模型'!$E$11*12,'Calc'!$W$15,'Calc'!$Y$15)),0)))</x:f>
      </x:c>
      <x:c r="AG153" t="n">
        <x:v>132</x:v>
      </x:c>
      <x:c r="AH153" t="str">
        <x:f>IF(Calc!$AG$153&gt;'Calc'!$B$8,"",MAX(Calc!$AH$152*(1+'财富模型'!$E$6/12)+('Calc'!$B$5-'财富模型'!$E$5-(IF('Calc'!$E$16=1,'财富模型'!$E$9,'财富模型'!$M$8+IF(Calc!$AG$153&lt;='财富模型'!$E$11*12,'Calc'!$W$16,'Calc'!$Y$16)-(IF('Calc'!$E$16=1,0,MIN(Calc!$AI$152*(1+'财富模型'!$E$20/12)+'Calc'!$B$6,IF(Calc!$AG$153&lt;='财富模型'!$E$11*12,'Calc'!$W$16,'Calc'!$Y$16))))))),0))</x:f>
      </x:c>
      <x:c r="AI153" t="str">
        <x:f>IF(Calc!$AG$153&gt;'Calc'!$B$8,"",MAX(Calc!$AI$152*(1+'财富模型'!$E$20/12)+'Calc'!$B$6-(IF('Calc'!$E$16=1,0,MIN(Calc!$AI$152*(1+'财富模型'!$E$20/12)+'Calc'!$B$6,IF(Calc!$AG$153&lt;='财富模型'!$E$11*12,'Calc'!$W$16,'Calc'!$Y$16)))),0))</x:f>
      </x:c>
      <x:c r="AJ153" t="str">
        <x:f>IF(Calc!$AG$153&gt;'Calc'!$B$8,"",IF('Calc'!$E$16=1,'财富模型'!$E$9,'财富模型'!$M$8+IF(Calc!$AG$153&lt;='财富模型'!$E$11*12,'Calc'!$W$16,'Calc'!$Y$16)-(IF('Calc'!$E$16=1,0,MIN(Calc!$AI$152*(1+'财富模型'!$E$20/12)+'Calc'!$B$6,IF(Calc!$AG$153&lt;='财富模型'!$E$11*12,'Calc'!$W$16,'Calc'!$Y$16))))))</x:f>
      </x:c>
      <x:c r="AK153" t="str">
        <x:f>IF(Calc!$AG$153&gt;'Calc'!$B$8,"",IF('Calc'!$E$16=1,0,MIN(Calc!$AI$152*(1+'财富模型'!$E$20/12)+'Calc'!$B$6,IF(Calc!$AG$153&lt;='财富模型'!$E$11*12,'Calc'!$W$16,'Calc'!$Y$16))))</x:f>
      </x:c>
      <x:c r="AL153" t="str">
        <x:f>IF(Calc!$AG$153&gt;'Calc'!$B$8,"",'Calc'!$B$5-'财富模型'!$E$5-(IF('Calc'!$E$16=1,'财富模型'!$E$9,'财富模型'!$M$8+IF(Calc!$AG$153&lt;='财富模型'!$E$11*12,'Calc'!$W$16,'Calc'!$Y$16)-(IF('Calc'!$E$16=1,0,MIN(Calc!$AI$152*(1+'财富模型'!$E$20/12)+'Calc'!$B$6,IF(Calc!$AG$153&lt;='财富模型'!$E$11*12,'Calc'!$W$16,'Calc'!$Y$16)))))))</x:f>
      </x:c>
      <x:c r="AM153" t="str">
        <x:f>IF(Calc!$AG$153&gt;'Calc'!$B$8,"",IF('Calc'!$E$16=1,0,MAX(Calc!$AM$152*(1+IF(Calc!$AG$153&lt;='财富模型'!$E$11*12,'财富模型'!$E$10,'财富模型'!$E$12)/12)-IF('Calc'!$E$16=1,0,IF(Calc!$AG$153&lt;='财富模型'!$E$11*12,'Calc'!$W$16,'Calc'!$Y$16)),0)))</x:f>
      </x:c>
      <x:c r="AO153" t="n">
        <x:v>132</x:v>
      </x:c>
      <x:c r="AP153" t="str">
        <x:f>IF(Calc!$AO$153&gt;'Calc'!$B$8,"",MAX(Calc!$AP$152*(1+'财富模型'!$E$6/12)+('Calc'!$B$5-'财富模型'!$E$5-(IF('Calc'!$E$17=1,'财富模型'!$E$9,'财富模型'!$M$9+IF(Calc!$AO$153&lt;='财富模型'!$E$11*12,'Calc'!$W$17,'Calc'!$Y$17)-(IF('Calc'!$E$17=1,0,MIN(Calc!$AQ$152*(1+'财富模型'!$E$20/12)+'Calc'!$B$6,IF(Calc!$AO$153&lt;='财富模型'!$E$11*12,'Calc'!$W$17,'Calc'!$Y$17))))))),0))</x:f>
      </x:c>
      <x:c r="AQ153" t="str">
        <x:f>IF(Calc!$AO$153&gt;'Calc'!$B$8,"",MAX(Calc!$AQ$152*(1+'财富模型'!$E$20/12)+'Calc'!$B$6-(IF('Calc'!$E$17=1,0,MIN(Calc!$AQ$152*(1+'财富模型'!$E$20/12)+'Calc'!$B$6,IF(Calc!$AO$153&lt;='财富模型'!$E$11*12,'Calc'!$W$17,'Calc'!$Y$17)))),0))</x:f>
      </x:c>
      <x:c r="AR153" t="str">
        <x:f>IF(Calc!$AO$153&gt;'Calc'!$B$8,"",IF('Calc'!$E$17=1,'财富模型'!$E$9,'财富模型'!$M$9+IF(Calc!$AO$153&lt;='财富模型'!$E$11*12,'Calc'!$W$17,'Calc'!$Y$17)-(IF('Calc'!$E$17=1,0,MIN(Calc!$AQ$152*(1+'财富模型'!$E$20/12)+'Calc'!$B$6,IF(Calc!$AO$153&lt;='财富模型'!$E$11*12,'Calc'!$W$17,'Calc'!$Y$17))))))</x:f>
      </x:c>
      <x:c r="AS153" t="str">
        <x:f>IF(Calc!$AO$153&gt;'Calc'!$B$8,"",IF('Calc'!$E$17=1,0,MIN(Calc!$AQ$152*(1+'财富模型'!$E$20/12)+'Calc'!$B$6,IF(Calc!$AO$153&lt;='财富模型'!$E$11*12,'Calc'!$W$17,'Calc'!$Y$17))))</x:f>
      </x:c>
      <x:c r="AT153" t="str">
        <x:f>IF(Calc!$AO$153&gt;'Calc'!$B$8,"",'Calc'!$B$5-'财富模型'!$E$5-(IF('Calc'!$E$17=1,'财富模型'!$E$9,'财富模型'!$M$9+IF(Calc!$AO$153&lt;='财富模型'!$E$11*12,'Calc'!$W$17,'Calc'!$Y$17)-(IF('Calc'!$E$17=1,0,MIN(Calc!$AQ$152*(1+'财富模型'!$E$20/12)+'Calc'!$B$6,IF(Calc!$AO$153&lt;='财富模型'!$E$11*12,'Calc'!$W$17,'Calc'!$Y$17)))))))</x:f>
      </x:c>
      <x:c r="AU153" t="str">
        <x:f>IF(Calc!$AO$153&gt;'Calc'!$B$8,"",IF('Calc'!$E$17=1,0,MAX(Calc!$AU$152*(1+IF(Calc!$AO$153&lt;='财富模型'!$E$11*12,'财富模型'!$E$10,'财富模型'!$E$12)/12)-IF('Calc'!$E$17=1,0,IF(Calc!$AO$153&lt;='财富模型'!$E$11*12,'Calc'!$W$17,'Calc'!$Y$17)),0)))</x:f>
      </x:c>
    </x:row>
    <x:row r="154">
      <x:c r="A154" t="n">
        <x:v>133</x:v>
      </x:c>
      <x:c r="B154" t="str">
        <x:f>IF(Calc!$A$154&gt;'Calc'!$B$8,"",MAX(Calc!$B$153*(1+'财富模型'!$E$6/12)+('Calc'!$B$5-'财富模型'!$E$5-(IF('Calc'!$E$12=1,'财富模型'!$E$9,'财富模型'!$M$4+IF(Calc!$A$154&lt;='财富模型'!$E$11*12,'Calc'!$W$12,'Calc'!$Y$12)-(IF('Calc'!$E$12=1,0,MIN(Calc!$C$153*(1+'财富模型'!$E$20/12)+'Calc'!$B$6,IF(Calc!$A$154&lt;='财富模型'!$E$11*12,'Calc'!$W$12,'Calc'!$Y$12))))))),0))</x:f>
      </x:c>
      <x:c r="C154" t="str">
        <x:f>IF(Calc!$A$154&gt;'Calc'!$B$8,"",MAX(Calc!$C$153*(1+'财富模型'!$E$20/12)+'Calc'!$B$6-(IF('Calc'!$E$12=1,0,MIN(Calc!$C$153*(1+'财富模型'!$E$20/12)+'Calc'!$B$6,IF(Calc!$A$154&lt;='财富模型'!$E$11*12,'Calc'!$W$12,'Calc'!$Y$12)))),0))</x:f>
      </x:c>
      <x:c r="D154" t="str">
        <x:f>IF(Calc!$A$154&gt;'Calc'!$B$8,"",IF('Calc'!$E$12=1,'财富模型'!$E$9,'财富模型'!$M$4+IF(Calc!$A$154&lt;='财富模型'!$E$11*12,'Calc'!$W$12,'Calc'!$Y$12)-(IF('Calc'!$E$12=1,0,MIN(Calc!$C$153*(1+'财富模型'!$E$20/12)+'Calc'!$B$6,IF(Calc!$A$154&lt;='财富模型'!$E$11*12,'Calc'!$W$12,'Calc'!$Y$12))))))</x:f>
      </x:c>
      <x:c r="E154" t="str">
        <x:f>IF(Calc!$A$154&gt;'Calc'!$B$8,"",IF('Calc'!$E$12=1,0,MIN(Calc!$C$153*(1+'财富模型'!$E$20/12)+'Calc'!$B$6,IF(Calc!$A$154&lt;='财富模型'!$E$11*12,'Calc'!$W$12,'Calc'!$Y$12))))</x:f>
      </x:c>
      <x:c r="F154" t="str">
        <x:f>IF(Calc!$A$154&gt;'Calc'!$B$8,"",'Calc'!$B$5-'财富模型'!$E$5-(IF('Calc'!$E$12=1,'财富模型'!$E$9,'财富模型'!$M$4+IF(Calc!$A$154&lt;='财富模型'!$E$11*12,'Calc'!$W$12,'Calc'!$Y$12)-(IF('Calc'!$E$12=1,0,MIN(Calc!$C$153*(1+'财富模型'!$E$20/12)+'Calc'!$B$6,IF(Calc!$A$154&lt;='财富模型'!$E$11*12,'Calc'!$W$12,'Calc'!$Y$12)))))))</x:f>
      </x:c>
      <x:c r="G154" t="str">
        <x:f>IF(Calc!$A$154&gt;'Calc'!$B$8,"",IF('Calc'!$E$12=1,0,MAX(Calc!$G$153*(1+IF(Calc!$A$154&lt;='财富模型'!$E$11*12,'财富模型'!$E$10,'财富模型'!$E$12)/12)-IF('Calc'!$E$12=1,0,IF(Calc!$A$154&lt;='财富模型'!$E$11*12,'Calc'!$W$12,'Calc'!$Y$12)),0)))</x:f>
      </x:c>
      <x:c r="I154" t="n">
        <x:v>133</x:v>
      </x:c>
      <x:c r="J154" t="str">
        <x:f>IF(Calc!$I$154&gt;'Calc'!$B$8,"",MAX(Calc!$J$153*(1+'财富模型'!$E$6/12)+('Calc'!$B$5-'财富模型'!$E$5-(IF('Calc'!$E$13=1,'财富模型'!$E$9,'财富模型'!$M$5+IF(Calc!$I$154&lt;='财富模型'!$E$11*12,'Calc'!$W$13,'Calc'!$Y$13)-(IF('Calc'!$E$13=1,0,MIN(Calc!$K$153*(1+'财富模型'!$E$20/12)+'Calc'!$B$6,IF(Calc!$I$154&lt;='财富模型'!$E$11*12,'Calc'!$W$13,'Calc'!$Y$13))))))),0))</x:f>
      </x:c>
      <x:c r="K154" t="str">
        <x:f>IF(Calc!$I$154&gt;'Calc'!$B$8,"",MAX(Calc!$K$153*(1+'财富模型'!$E$20/12)+'Calc'!$B$6-(IF('Calc'!$E$13=1,0,MIN(Calc!$K$153*(1+'财富模型'!$E$20/12)+'Calc'!$B$6,IF(Calc!$I$154&lt;='财富模型'!$E$11*12,'Calc'!$W$13,'Calc'!$Y$13)))),0))</x:f>
      </x:c>
      <x:c r="L154" t="str">
        <x:f>IF(Calc!$I$154&gt;'Calc'!$B$8,"",IF('Calc'!$E$13=1,'财富模型'!$E$9,'财富模型'!$M$5+IF(Calc!$I$154&lt;='财富模型'!$E$11*12,'Calc'!$W$13,'Calc'!$Y$13)-(IF('Calc'!$E$13=1,0,MIN(Calc!$K$153*(1+'财富模型'!$E$20/12)+'Calc'!$B$6,IF(Calc!$I$154&lt;='财富模型'!$E$11*12,'Calc'!$W$13,'Calc'!$Y$13))))))</x:f>
      </x:c>
      <x:c r="M154" t="str">
        <x:f>IF(Calc!$I$154&gt;'Calc'!$B$8,"",IF('Calc'!$E$13=1,0,MIN(Calc!$K$153*(1+'财富模型'!$E$20/12)+'Calc'!$B$6,IF(Calc!$I$154&lt;='财富模型'!$E$11*12,'Calc'!$W$13,'Calc'!$Y$13))))</x:f>
      </x:c>
      <x:c r="N154" t="str">
        <x:f>IF(Calc!$I$154&gt;'Calc'!$B$8,"",'Calc'!$B$5-'财富模型'!$E$5-(IF('Calc'!$E$13=1,'财富模型'!$E$9,'财富模型'!$M$5+IF(Calc!$I$154&lt;='财富模型'!$E$11*12,'Calc'!$W$13,'Calc'!$Y$13)-(IF('Calc'!$E$13=1,0,MIN(Calc!$K$153*(1+'财富模型'!$E$20/12)+'Calc'!$B$6,IF(Calc!$I$154&lt;='财富模型'!$E$11*12,'Calc'!$W$13,'Calc'!$Y$13)))))))</x:f>
      </x:c>
      <x:c r="O154" t="str">
        <x:f>IF(Calc!$I$154&gt;'Calc'!$B$8,"",IF('Calc'!$E$13=1,0,MAX(Calc!$O$153*(1+IF(Calc!$I$154&lt;='财富模型'!$E$11*12,'财富模型'!$E$10,'财富模型'!$E$12)/12)-IF('Calc'!$E$13=1,0,IF(Calc!$I$154&lt;='财富模型'!$E$11*12,'Calc'!$W$13,'Calc'!$Y$13)),0)))</x:f>
      </x:c>
      <x:c r="Q154" t="n">
        <x:v>133</x:v>
      </x:c>
      <x:c r="R154" t="str">
        <x:f>IF(Calc!$Q$154&gt;'Calc'!$B$8,"",MAX(Calc!$R$153*(1+'财富模型'!$E$6/12)+('Calc'!$B$5-'财富模型'!$E$5-(IF('Calc'!$E$14=1,'财富模型'!$E$9,'财富模型'!$M$6+IF(Calc!$Q$154&lt;='财富模型'!$E$11*12,'Calc'!$W$14,'Calc'!$Y$14)-(IF('Calc'!$E$14=1,0,MIN(Calc!$S$153*(1+'财富模型'!$E$20/12)+'Calc'!$B$6,IF(Calc!$Q$154&lt;='财富模型'!$E$11*12,'Calc'!$W$14,'Calc'!$Y$14))))))),0))</x:f>
      </x:c>
      <x:c r="S154" t="str">
        <x:f>IF(Calc!$Q$154&gt;'Calc'!$B$8,"",MAX(Calc!$S$153*(1+'财富模型'!$E$20/12)+'Calc'!$B$6-(IF('Calc'!$E$14=1,0,MIN(Calc!$S$153*(1+'财富模型'!$E$20/12)+'Calc'!$B$6,IF(Calc!$Q$154&lt;='财富模型'!$E$11*12,'Calc'!$W$14,'Calc'!$Y$14)))),0))</x:f>
      </x:c>
      <x:c r="T154" t="str">
        <x:f>IF(Calc!$Q$154&gt;'Calc'!$B$8,"",IF('Calc'!$E$14=1,'财富模型'!$E$9,'财富模型'!$M$6+IF(Calc!$Q$154&lt;='财富模型'!$E$11*12,'Calc'!$W$14,'Calc'!$Y$14)-(IF('Calc'!$E$14=1,0,MIN(Calc!$S$153*(1+'财富模型'!$E$20/12)+'Calc'!$B$6,IF(Calc!$Q$154&lt;='财富模型'!$E$11*12,'Calc'!$W$14,'Calc'!$Y$14))))))</x:f>
      </x:c>
      <x:c r="U154" t="str">
        <x:f>IF(Calc!$Q$154&gt;'Calc'!$B$8,"",IF('Calc'!$E$14=1,0,MIN(Calc!$S$153*(1+'财富模型'!$E$20/12)+'Calc'!$B$6,IF(Calc!$Q$154&lt;='财富模型'!$E$11*12,'Calc'!$W$14,'Calc'!$Y$14))))</x:f>
      </x:c>
      <x:c r="V154" t="str">
        <x:f>IF(Calc!$Q$154&gt;'Calc'!$B$8,"",'Calc'!$B$5-'财富模型'!$E$5-(IF('Calc'!$E$14=1,'财富模型'!$E$9,'财富模型'!$M$6+IF(Calc!$Q$154&lt;='财富模型'!$E$11*12,'Calc'!$W$14,'Calc'!$Y$14)-(IF('Calc'!$E$14=1,0,MIN(Calc!$S$153*(1+'财富模型'!$E$20/12)+'Calc'!$B$6,IF(Calc!$Q$154&lt;='财富模型'!$E$11*12,'Calc'!$W$14,'Calc'!$Y$14)))))))</x:f>
      </x:c>
      <x:c r="W154" t="str">
        <x:f>IF(Calc!$Q$154&gt;'Calc'!$B$8,"",IF('Calc'!$E$14=1,0,MAX(Calc!$W$153*(1+IF(Calc!$Q$154&lt;='财富模型'!$E$11*12,'财富模型'!$E$10,'财富模型'!$E$12)/12)-IF('Calc'!$E$14=1,0,IF(Calc!$Q$154&lt;='财富模型'!$E$11*12,'Calc'!$W$14,'Calc'!$Y$14)),0)))</x:f>
      </x:c>
      <x:c r="Y154" t="n">
        <x:v>133</x:v>
      </x:c>
      <x:c r="Z154" t="str">
        <x:f>IF(Calc!$Y$154&gt;'Calc'!$B$8,"",MAX(Calc!$Z$153*(1+'财富模型'!$E$6/12)+('Calc'!$B$5-'财富模型'!$E$5-(IF('Calc'!$E$15=1,'财富模型'!$E$9,'财富模型'!$M$7+IF(Calc!$Y$154&lt;='财富模型'!$E$11*12,'Calc'!$W$15,'Calc'!$Y$15)-(IF('Calc'!$E$15=1,0,MIN(Calc!$AA$153*(1+'财富模型'!$E$20/12)+'Calc'!$B$6,IF(Calc!$Y$154&lt;='财富模型'!$E$11*12,'Calc'!$W$15,'Calc'!$Y$15))))))),0))</x:f>
      </x:c>
      <x:c r="AA154" t="str">
        <x:f>IF(Calc!$Y$154&gt;'Calc'!$B$8,"",MAX(Calc!$AA$153*(1+'财富模型'!$E$20/12)+'Calc'!$B$6-(IF('Calc'!$E$15=1,0,MIN(Calc!$AA$153*(1+'财富模型'!$E$20/12)+'Calc'!$B$6,IF(Calc!$Y$154&lt;='财富模型'!$E$11*12,'Calc'!$W$15,'Calc'!$Y$15)))),0))</x:f>
      </x:c>
      <x:c r="AB154" t="str">
        <x:f>IF(Calc!$Y$154&gt;'Calc'!$B$8,"",IF('Calc'!$E$15=1,'财富模型'!$E$9,'财富模型'!$M$7+IF(Calc!$Y$154&lt;='财富模型'!$E$11*12,'Calc'!$W$15,'Calc'!$Y$15)-(IF('Calc'!$E$15=1,0,MIN(Calc!$AA$153*(1+'财富模型'!$E$20/12)+'Calc'!$B$6,IF(Calc!$Y$154&lt;='财富模型'!$E$11*12,'Calc'!$W$15,'Calc'!$Y$15))))))</x:f>
      </x:c>
      <x:c r="AC154" t="str">
        <x:f>IF(Calc!$Y$154&gt;'Calc'!$B$8,"",IF('Calc'!$E$15=1,0,MIN(Calc!$AA$153*(1+'财富模型'!$E$20/12)+'Calc'!$B$6,IF(Calc!$Y$154&lt;='财富模型'!$E$11*12,'Calc'!$W$15,'Calc'!$Y$15))))</x:f>
      </x:c>
      <x:c r="AD154" t="str">
        <x:f>IF(Calc!$Y$154&gt;'Calc'!$B$8,"",'Calc'!$B$5-'财富模型'!$E$5-(IF('Calc'!$E$15=1,'财富模型'!$E$9,'财富模型'!$M$7+IF(Calc!$Y$154&lt;='财富模型'!$E$11*12,'Calc'!$W$15,'Calc'!$Y$15)-(IF('Calc'!$E$15=1,0,MIN(Calc!$AA$153*(1+'财富模型'!$E$20/12)+'Calc'!$B$6,IF(Calc!$Y$154&lt;='财富模型'!$E$11*12,'Calc'!$W$15,'Calc'!$Y$15)))))))</x:f>
      </x:c>
      <x:c r="AE154" t="str">
        <x:f>IF(Calc!$Y$154&gt;'Calc'!$B$8,"",IF('Calc'!$E$15=1,0,MAX(Calc!$AE$153*(1+IF(Calc!$Y$154&lt;='财富模型'!$E$11*12,'财富模型'!$E$10,'财富模型'!$E$12)/12)-IF('Calc'!$E$15=1,0,IF(Calc!$Y$154&lt;='财富模型'!$E$11*12,'Calc'!$W$15,'Calc'!$Y$15)),0)))</x:f>
      </x:c>
      <x:c r="AG154" t="n">
        <x:v>133</x:v>
      </x:c>
      <x:c r="AH154" t="str">
        <x:f>IF(Calc!$AG$154&gt;'Calc'!$B$8,"",MAX(Calc!$AH$153*(1+'财富模型'!$E$6/12)+('Calc'!$B$5-'财富模型'!$E$5-(IF('Calc'!$E$16=1,'财富模型'!$E$9,'财富模型'!$M$8+IF(Calc!$AG$154&lt;='财富模型'!$E$11*12,'Calc'!$W$16,'Calc'!$Y$16)-(IF('Calc'!$E$16=1,0,MIN(Calc!$AI$153*(1+'财富模型'!$E$20/12)+'Calc'!$B$6,IF(Calc!$AG$154&lt;='财富模型'!$E$11*12,'Calc'!$W$16,'Calc'!$Y$16))))))),0))</x:f>
      </x:c>
      <x:c r="AI154" t="str">
        <x:f>IF(Calc!$AG$154&gt;'Calc'!$B$8,"",MAX(Calc!$AI$153*(1+'财富模型'!$E$20/12)+'Calc'!$B$6-(IF('Calc'!$E$16=1,0,MIN(Calc!$AI$153*(1+'财富模型'!$E$20/12)+'Calc'!$B$6,IF(Calc!$AG$154&lt;='财富模型'!$E$11*12,'Calc'!$W$16,'Calc'!$Y$16)))),0))</x:f>
      </x:c>
      <x:c r="AJ154" t="str">
        <x:f>IF(Calc!$AG$154&gt;'Calc'!$B$8,"",IF('Calc'!$E$16=1,'财富模型'!$E$9,'财富模型'!$M$8+IF(Calc!$AG$154&lt;='财富模型'!$E$11*12,'Calc'!$W$16,'Calc'!$Y$16)-(IF('Calc'!$E$16=1,0,MIN(Calc!$AI$153*(1+'财富模型'!$E$20/12)+'Calc'!$B$6,IF(Calc!$AG$154&lt;='财富模型'!$E$11*12,'Calc'!$W$16,'Calc'!$Y$16))))))</x:f>
      </x:c>
      <x:c r="AK154" t="str">
        <x:f>IF(Calc!$AG$154&gt;'Calc'!$B$8,"",IF('Calc'!$E$16=1,0,MIN(Calc!$AI$153*(1+'财富模型'!$E$20/12)+'Calc'!$B$6,IF(Calc!$AG$154&lt;='财富模型'!$E$11*12,'Calc'!$W$16,'Calc'!$Y$16))))</x:f>
      </x:c>
      <x:c r="AL154" t="str">
        <x:f>IF(Calc!$AG$154&gt;'Calc'!$B$8,"",'Calc'!$B$5-'财富模型'!$E$5-(IF('Calc'!$E$16=1,'财富模型'!$E$9,'财富模型'!$M$8+IF(Calc!$AG$154&lt;='财富模型'!$E$11*12,'Calc'!$W$16,'Calc'!$Y$16)-(IF('Calc'!$E$16=1,0,MIN(Calc!$AI$153*(1+'财富模型'!$E$20/12)+'Calc'!$B$6,IF(Calc!$AG$154&lt;='财富模型'!$E$11*12,'Calc'!$W$16,'Calc'!$Y$16)))))))</x:f>
      </x:c>
      <x:c r="AM154" t="str">
        <x:f>IF(Calc!$AG$154&gt;'Calc'!$B$8,"",IF('Calc'!$E$16=1,0,MAX(Calc!$AM$153*(1+IF(Calc!$AG$154&lt;='财富模型'!$E$11*12,'财富模型'!$E$10,'财富模型'!$E$12)/12)-IF('Calc'!$E$16=1,0,IF(Calc!$AG$154&lt;='财富模型'!$E$11*12,'Calc'!$W$16,'Calc'!$Y$16)),0)))</x:f>
      </x:c>
      <x:c r="AO154" t="n">
        <x:v>133</x:v>
      </x:c>
      <x:c r="AP154" t="str">
        <x:f>IF(Calc!$AO$154&gt;'Calc'!$B$8,"",MAX(Calc!$AP$153*(1+'财富模型'!$E$6/12)+('Calc'!$B$5-'财富模型'!$E$5-(IF('Calc'!$E$17=1,'财富模型'!$E$9,'财富模型'!$M$9+IF(Calc!$AO$154&lt;='财富模型'!$E$11*12,'Calc'!$W$17,'Calc'!$Y$17)-(IF('Calc'!$E$17=1,0,MIN(Calc!$AQ$153*(1+'财富模型'!$E$20/12)+'Calc'!$B$6,IF(Calc!$AO$154&lt;='财富模型'!$E$11*12,'Calc'!$W$17,'Calc'!$Y$17))))))),0))</x:f>
      </x:c>
      <x:c r="AQ154" t="str">
        <x:f>IF(Calc!$AO$154&gt;'Calc'!$B$8,"",MAX(Calc!$AQ$153*(1+'财富模型'!$E$20/12)+'Calc'!$B$6-(IF('Calc'!$E$17=1,0,MIN(Calc!$AQ$153*(1+'财富模型'!$E$20/12)+'Calc'!$B$6,IF(Calc!$AO$154&lt;='财富模型'!$E$11*12,'Calc'!$W$17,'Calc'!$Y$17)))),0))</x:f>
      </x:c>
      <x:c r="AR154" t="str">
        <x:f>IF(Calc!$AO$154&gt;'Calc'!$B$8,"",IF('Calc'!$E$17=1,'财富模型'!$E$9,'财富模型'!$M$9+IF(Calc!$AO$154&lt;='财富模型'!$E$11*12,'Calc'!$W$17,'Calc'!$Y$17)-(IF('Calc'!$E$17=1,0,MIN(Calc!$AQ$153*(1+'财富模型'!$E$20/12)+'Calc'!$B$6,IF(Calc!$AO$154&lt;='财富模型'!$E$11*12,'Calc'!$W$17,'Calc'!$Y$17))))))</x:f>
      </x:c>
      <x:c r="AS154" t="str">
        <x:f>IF(Calc!$AO$154&gt;'Calc'!$B$8,"",IF('Calc'!$E$17=1,0,MIN(Calc!$AQ$153*(1+'财富模型'!$E$20/12)+'Calc'!$B$6,IF(Calc!$AO$154&lt;='财富模型'!$E$11*12,'Calc'!$W$17,'Calc'!$Y$17))))</x:f>
      </x:c>
      <x:c r="AT154" t="str">
        <x:f>IF(Calc!$AO$154&gt;'Calc'!$B$8,"",'Calc'!$B$5-'财富模型'!$E$5-(IF('Calc'!$E$17=1,'财富模型'!$E$9,'财富模型'!$M$9+IF(Calc!$AO$154&lt;='财富模型'!$E$11*12,'Calc'!$W$17,'Calc'!$Y$17)-(IF('Calc'!$E$17=1,0,MIN(Calc!$AQ$153*(1+'财富模型'!$E$20/12)+'Calc'!$B$6,IF(Calc!$AO$154&lt;='财富模型'!$E$11*12,'Calc'!$W$17,'Calc'!$Y$17)))))))</x:f>
      </x:c>
      <x:c r="AU154" t="str">
        <x:f>IF(Calc!$AO$154&gt;'Calc'!$B$8,"",IF('Calc'!$E$17=1,0,MAX(Calc!$AU$153*(1+IF(Calc!$AO$154&lt;='财富模型'!$E$11*12,'财富模型'!$E$10,'财富模型'!$E$12)/12)-IF('Calc'!$E$17=1,0,IF(Calc!$AO$154&lt;='财富模型'!$E$11*12,'Calc'!$W$17,'Calc'!$Y$17)),0)))</x:f>
      </x:c>
    </x:row>
    <x:row r="155">
      <x:c r="A155" t="n">
        <x:v>134</x:v>
      </x:c>
      <x:c r="B155" t="str">
        <x:f>IF(Calc!$A$155&gt;'Calc'!$B$8,"",MAX(Calc!$B$154*(1+'财富模型'!$E$6/12)+('Calc'!$B$5-'财富模型'!$E$5-(IF('Calc'!$E$12=1,'财富模型'!$E$9,'财富模型'!$M$4+IF(Calc!$A$155&lt;='财富模型'!$E$11*12,'Calc'!$W$12,'Calc'!$Y$12)-(IF('Calc'!$E$12=1,0,MIN(Calc!$C$154*(1+'财富模型'!$E$20/12)+'Calc'!$B$6,IF(Calc!$A$155&lt;='财富模型'!$E$11*12,'Calc'!$W$12,'Calc'!$Y$12))))))),0))</x:f>
      </x:c>
      <x:c r="C155" t="str">
        <x:f>IF(Calc!$A$155&gt;'Calc'!$B$8,"",MAX(Calc!$C$154*(1+'财富模型'!$E$20/12)+'Calc'!$B$6-(IF('Calc'!$E$12=1,0,MIN(Calc!$C$154*(1+'财富模型'!$E$20/12)+'Calc'!$B$6,IF(Calc!$A$155&lt;='财富模型'!$E$11*12,'Calc'!$W$12,'Calc'!$Y$12)))),0))</x:f>
      </x:c>
      <x:c r="D155" t="str">
        <x:f>IF(Calc!$A$155&gt;'Calc'!$B$8,"",IF('Calc'!$E$12=1,'财富模型'!$E$9,'财富模型'!$M$4+IF(Calc!$A$155&lt;='财富模型'!$E$11*12,'Calc'!$W$12,'Calc'!$Y$12)-(IF('Calc'!$E$12=1,0,MIN(Calc!$C$154*(1+'财富模型'!$E$20/12)+'Calc'!$B$6,IF(Calc!$A$155&lt;='财富模型'!$E$11*12,'Calc'!$W$12,'Calc'!$Y$12))))))</x:f>
      </x:c>
      <x:c r="E155" t="str">
        <x:f>IF(Calc!$A$155&gt;'Calc'!$B$8,"",IF('Calc'!$E$12=1,0,MIN(Calc!$C$154*(1+'财富模型'!$E$20/12)+'Calc'!$B$6,IF(Calc!$A$155&lt;='财富模型'!$E$11*12,'Calc'!$W$12,'Calc'!$Y$12))))</x:f>
      </x:c>
      <x:c r="F155" t="str">
        <x:f>IF(Calc!$A$155&gt;'Calc'!$B$8,"",'Calc'!$B$5-'财富模型'!$E$5-(IF('Calc'!$E$12=1,'财富模型'!$E$9,'财富模型'!$M$4+IF(Calc!$A$155&lt;='财富模型'!$E$11*12,'Calc'!$W$12,'Calc'!$Y$12)-(IF('Calc'!$E$12=1,0,MIN(Calc!$C$154*(1+'财富模型'!$E$20/12)+'Calc'!$B$6,IF(Calc!$A$155&lt;='财富模型'!$E$11*12,'Calc'!$W$12,'Calc'!$Y$12)))))))</x:f>
      </x:c>
      <x:c r="G155" t="str">
        <x:f>IF(Calc!$A$155&gt;'Calc'!$B$8,"",IF('Calc'!$E$12=1,0,MAX(Calc!$G$154*(1+IF(Calc!$A$155&lt;='财富模型'!$E$11*12,'财富模型'!$E$10,'财富模型'!$E$12)/12)-IF('Calc'!$E$12=1,0,IF(Calc!$A$155&lt;='财富模型'!$E$11*12,'Calc'!$W$12,'Calc'!$Y$12)),0)))</x:f>
      </x:c>
      <x:c r="I155" t="n">
        <x:v>134</x:v>
      </x:c>
      <x:c r="J155" t="str">
        <x:f>IF(Calc!$I$155&gt;'Calc'!$B$8,"",MAX(Calc!$J$154*(1+'财富模型'!$E$6/12)+('Calc'!$B$5-'财富模型'!$E$5-(IF('Calc'!$E$13=1,'财富模型'!$E$9,'财富模型'!$M$5+IF(Calc!$I$155&lt;='财富模型'!$E$11*12,'Calc'!$W$13,'Calc'!$Y$13)-(IF('Calc'!$E$13=1,0,MIN(Calc!$K$154*(1+'财富模型'!$E$20/12)+'Calc'!$B$6,IF(Calc!$I$155&lt;='财富模型'!$E$11*12,'Calc'!$W$13,'Calc'!$Y$13))))))),0))</x:f>
      </x:c>
      <x:c r="K155" t="str">
        <x:f>IF(Calc!$I$155&gt;'Calc'!$B$8,"",MAX(Calc!$K$154*(1+'财富模型'!$E$20/12)+'Calc'!$B$6-(IF('Calc'!$E$13=1,0,MIN(Calc!$K$154*(1+'财富模型'!$E$20/12)+'Calc'!$B$6,IF(Calc!$I$155&lt;='财富模型'!$E$11*12,'Calc'!$W$13,'Calc'!$Y$13)))),0))</x:f>
      </x:c>
      <x:c r="L155" t="str">
        <x:f>IF(Calc!$I$155&gt;'Calc'!$B$8,"",IF('Calc'!$E$13=1,'财富模型'!$E$9,'财富模型'!$M$5+IF(Calc!$I$155&lt;='财富模型'!$E$11*12,'Calc'!$W$13,'Calc'!$Y$13)-(IF('Calc'!$E$13=1,0,MIN(Calc!$K$154*(1+'财富模型'!$E$20/12)+'Calc'!$B$6,IF(Calc!$I$155&lt;='财富模型'!$E$11*12,'Calc'!$W$13,'Calc'!$Y$13))))))</x:f>
      </x:c>
      <x:c r="M155" t="str">
        <x:f>IF(Calc!$I$155&gt;'Calc'!$B$8,"",IF('Calc'!$E$13=1,0,MIN(Calc!$K$154*(1+'财富模型'!$E$20/12)+'Calc'!$B$6,IF(Calc!$I$155&lt;='财富模型'!$E$11*12,'Calc'!$W$13,'Calc'!$Y$13))))</x:f>
      </x:c>
      <x:c r="N155" t="str">
        <x:f>IF(Calc!$I$155&gt;'Calc'!$B$8,"",'Calc'!$B$5-'财富模型'!$E$5-(IF('Calc'!$E$13=1,'财富模型'!$E$9,'财富模型'!$M$5+IF(Calc!$I$155&lt;='财富模型'!$E$11*12,'Calc'!$W$13,'Calc'!$Y$13)-(IF('Calc'!$E$13=1,0,MIN(Calc!$K$154*(1+'财富模型'!$E$20/12)+'Calc'!$B$6,IF(Calc!$I$155&lt;='财富模型'!$E$11*12,'Calc'!$W$13,'Calc'!$Y$13)))))))</x:f>
      </x:c>
      <x:c r="O155" t="str">
        <x:f>IF(Calc!$I$155&gt;'Calc'!$B$8,"",IF('Calc'!$E$13=1,0,MAX(Calc!$O$154*(1+IF(Calc!$I$155&lt;='财富模型'!$E$11*12,'财富模型'!$E$10,'财富模型'!$E$12)/12)-IF('Calc'!$E$13=1,0,IF(Calc!$I$155&lt;='财富模型'!$E$11*12,'Calc'!$W$13,'Calc'!$Y$13)),0)))</x:f>
      </x:c>
      <x:c r="Q155" t="n">
        <x:v>134</x:v>
      </x:c>
      <x:c r="R155" t="str">
        <x:f>IF(Calc!$Q$155&gt;'Calc'!$B$8,"",MAX(Calc!$R$154*(1+'财富模型'!$E$6/12)+('Calc'!$B$5-'财富模型'!$E$5-(IF('Calc'!$E$14=1,'财富模型'!$E$9,'财富模型'!$M$6+IF(Calc!$Q$155&lt;='财富模型'!$E$11*12,'Calc'!$W$14,'Calc'!$Y$14)-(IF('Calc'!$E$14=1,0,MIN(Calc!$S$154*(1+'财富模型'!$E$20/12)+'Calc'!$B$6,IF(Calc!$Q$155&lt;='财富模型'!$E$11*12,'Calc'!$W$14,'Calc'!$Y$14))))))),0))</x:f>
      </x:c>
      <x:c r="S155" t="str">
        <x:f>IF(Calc!$Q$155&gt;'Calc'!$B$8,"",MAX(Calc!$S$154*(1+'财富模型'!$E$20/12)+'Calc'!$B$6-(IF('Calc'!$E$14=1,0,MIN(Calc!$S$154*(1+'财富模型'!$E$20/12)+'Calc'!$B$6,IF(Calc!$Q$155&lt;='财富模型'!$E$11*12,'Calc'!$W$14,'Calc'!$Y$14)))),0))</x:f>
      </x:c>
      <x:c r="T155" t="str">
        <x:f>IF(Calc!$Q$155&gt;'Calc'!$B$8,"",IF('Calc'!$E$14=1,'财富模型'!$E$9,'财富模型'!$M$6+IF(Calc!$Q$155&lt;='财富模型'!$E$11*12,'Calc'!$W$14,'Calc'!$Y$14)-(IF('Calc'!$E$14=1,0,MIN(Calc!$S$154*(1+'财富模型'!$E$20/12)+'Calc'!$B$6,IF(Calc!$Q$155&lt;='财富模型'!$E$11*12,'Calc'!$W$14,'Calc'!$Y$14))))))</x:f>
      </x:c>
      <x:c r="U155" t="str">
        <x:f>IF(Calc!$Q$155&gt;'Calc'!$B$8,"",IF('Calc'!$E$14=1,0,MIN(Calc!$S$154*(1+'财富模型'!$E$20/12)+'Calc'!$B$6,IF(Calc!$Q$155&lt;='财富模型'!$E$11*12,'Calc'!$W$14,'Calc'!$Y$14))))</x:f>
      </x:c>
      <x:c r="V155" t="str">
        <x:f>IF(Calc!$Q$155&gt;'Calc'!$B$8,"",'Calc'!$B$5-'财富模型'!$E$5-(IF('Calc'!$E$14=1,'财富模型'!$E$9,'财富模型'!$M$6+IF(Calc!$Q$155&lt;='财富模型'!$E$11*12,'Calc'!$W$14,'Calc'!$Y$14)-(IF('Calc'!$E$14=1,0,MIN(Calc!$S$154*(1+'财富模型'!$E$20/12)+'Calc'!$B$6,IF(Calc!$Q$155&lt;='财富模型'!$E$11*12,'Calc'!$W$14,'Calc'!$Y$14)))))))</x:f>
      </x:c>
      <x:c r="W155" t="str">
        <x:f>IF(Calc!$Q$155&gt;'Calc'!$B$8,"",IF('Calc'!$E$14=1,0,MAX(Calc!$W$154*(1+IF(Calc!$Q$155&lt;='财富模型'!$E$11*12,'财富模型'!$E$10,'财富模型'!$E$12)/12)-IF('Calc'!$E$14=1,0,IF(Calc!$Q$155&lt;='财富模型'!$E$11*12,'Calc'!$W$14,'Calc'!$Y$14)),0)))</x:f>
      </x:c>
      <x:c r="Y155" t="n">
        <x:v>134</x:v>
      </x:c>
      <x:c r="Z155" t="str">
        <x:f>IF(Calc!$Y$155&gt;'Calc'!$B$8,"",MAX(Calc!$Z$154*(1+'财富模型'!$E$6/12)+('Calc'!$B$5-'财富模型'!$E$5-(IF('Calc'!$E$15=1,'财富模型'!$E$9,'财富模型'!$M$7+IF(Calc!$Y$155&lt;='财富模型'!$E$11*12,'Calc'!$W$15,'Calc'!$Y$15)-(IF('Calc'!$E$15=1,0,MIN(Calc!$AA$154*(1+'财富模型'!$E$20/12)+'Calc'!$B$6,IF(Calc!$Y$155&lt;='财富模型'!$E$11*12,'Calc'!$W$15,'Calc'!$Y$15))))))),0))</x:f>
      </x:c>
      <x:c r="AA155" t="str">
        <x:f>IF(Calc!$Y$155&gt;'Calc'!$B$8,"",MAX(Calc!$AA$154*(1+'财富模型'!$E$20/12)+'Calc'!$B$6-(IF('Calc'!$E$15=1,0,MIN(Calc!$AA$154*(1+'财富模型'!$E$20/12)+'Calc'!$B$6,IF(Calc!$Y$155&lt;='财富模型'!$E$11*12,'Calc'!$W$15,'Calc'!$Y$15)))),0))</x:f>
      </x:c>
      <x:c r="AB155" t="str">
        <x:f>IF(Calc!$Y$155&gt;'Calc'!$B$8,"",IF('Calc'!$E$15=1,'财富模型'!$E$9,'财富模型'!$M$7+IF(Calc!$Y$155&lt;='财富模型'!$E$11*12,'Calc'!$W$15,'Calc'!$Y$15)-(IF('Calc'!$E$15=1,0,MIN(Calc!$AA$154*(1+'财富模型'!$E$20/12)+'Calc'!$B$6,IF(Calc!$Y$155&lt;='财富模型'!$E$11*12,'Calc'!$W$15,'Calc'!$Y$15))))))</x:f>
      </x:c>
      <x:c r="AC155" t="str">
        <x:f>IF(Calc!$Y$155&gt;'Calc'!$B$8,"",IF('Calc'!$E$15=1,0,MIN(Calc!$AA$154*(1+'财富模型'!$E$20/12)+'Calc'!$B$6,IF(Calc!$Y$155&lt;='财富模型'!$E$11*12,'Calc'!$W$15,'Calc'!$Y$15))))</x:f>
      </x:c>
      <x:c r="AD155" t="str">
        <x:f>IF(Calc!$Y$155&gt;'Calc'!$B$8,"",'Calc'!$B$5-'财富模型'!$E$5-(IF('Calc'!$E$15=1,'财富模型'!$E$9,'财富模型'!$M$7+IF(Calc!$Y$155&lt;='财富模型'!$E$11*12,'Calc'!$W$15,'Calc'!$Y$15)-(IF('Calc'!$E$15=1,0,MIN(Calc!$AA$154*(1+'财富模型'!$E$20/12)+'Calc'!$B$6,IF(Calc!$Y$155&lt;='财富模型'!$E$11*12,'Calc'!$W$15,'Calc'!$Y$15)))))))</x:f>
      </x:c>
      <x:c r="AE155" t="str">
        <x:f>IF(Calc!$Y$155&gt;'Calc'!$B$8,"",IF('Calc'!$E$15=1,0,MAX(Calc!$AE$154*(1+IF(Calc!$Y$155&lt;='财富模型'!$E$11*12,'财富模型'!$E$10,'财富模型'!$E$12)/12)-IF('Calc'!$E$15=1,0,IF(Calc!$Y$155&lt;='财富模型'!$E$11*12,'Calc'!$W$15,'Calc'!$Y$15)),0)))</x:f>
      </x:c>
      <x:c r="AG155" t="n">
        <x:v>134</x:v>
      </x:c>
      <x:c r="AH155" t="str">
        <x:f>IF(Calc!$AG$155&gt;'Calc'!$B$8,"",MAX(Calc!$AH$154*(1+'财富模型'!$E$6/12)+('Calc'!$B$5-'财富模型'!$E$5-(IF('Calc'!$E$16=1,'财富模型'!$E$9,'财富模型'!$M$8+IF(Calc!$AG$155&lt;='财富模型'!$E$11*12,'Calc'!$W$16,'Calc'!$Y$16)-(IF('Calc'!$E$16=1,0,MIN(Calc!$AI$154*(1+'财富模型'!$E$20/12)+'Calc'!$B$6,IF(Calc!$AG$155&lt;='财富模型'!$E$11*12,'Calc'!$W$16,'Calc'!$Y$16))))))),0))</x:f>
      </x:c>
      <x:c r="AI155" t="str">
        <x:f>IF(Calc!$AG$155&gt;'Calc'!$B$8,"",MAX(Calc!$AI$154*(1+'财富模型'!$E$20/12)+'Calc'!$B$6-(IF('Calc'!$E$16=1,0,MIN(Calc!$AI$154*(1+'财富模型'!$E$20/12)+'Calc'!$B$6,IF(Calc!$AG$155&lt;='财富模型'!$E$11*12,'Calc'!$W$16,'Calc'!$Y$16)))),0))</x:f>
      </x:c>
      <x:c r="AJ155" t="str">
        <x:f>IF(Calc!$AG$155&gt;'Calc'!$B$8,"",IF('Calc'!$E$16=1,'财富模型'!$E$9,'财富模型'!$M$8+IF(Calc!$AG$155&lt;='财富模型'!$E$11*12,'Calc'!$W$16,'Calc'!$Y$16)-(IF('Calc'!$E$16=1,0,MIN(Calc!$AI$154*(1+'财富模型'!$E$20/12)+'Calc'!$B$6,IF(Calc!$AG$155&lt;='财富模型'!$E$11*12,'Calc'!$W$16,'Calc'!$Y$16))))))</x:f>
      </x:c>
      <x:c r="AK155" t="str">
        <x:f>IF(Calc!$AG$155&gt;'Calc'!$B$8,"",IF('Calc'!$E$16=1,0,MIN(Calc!$AI$154*(1+'财富模型'!$E$20/12)+'Calc'!$B$6,IF(Calc!$AG$155&lt;='财富模型'!$E$11*12,'Calc'!$W$16,'Calc'!$Y$16))))</x:f>
      </x:c>
      <x:c r="AL155" t="str">
        <x:f>IF(Calc!$AG$155&gt;'Calc'!$B$8,"",'Calc'!$B$5-'财富模型'!$E$5-(IF('Calc'!$E$16=1,'财富模型'!$E$9,'财富模型'!$M$8+IF(Calc!$AG$155&lt;='财富模型'!$E$11*12,'Calc'!$W$16,'Calc'!$Y$16)-(IF('Calc'!$E$16=1,0,MIN(Calc!$AI$154*(1+'财富模型'!$E$20/12)+'Calc'!$B$6,IF(Calc!$AG$155&lt;='财富模型'!$E$11*12,'Calc'!$W$16,'Calc'!$Y$16)))))))</x:f>
      </x:c>
      <x:c r="AM155" t="str">
        <x:f>IF(Calc!$AG$155&gt;'Calc'!$B$8,"",IF('Calc'!$E$16=1,0,MAX(Calc!$AM$154*(1+IF(Calc!$AG$155&lt;='财富模型'!$E$11*12,'财富模型'!$E$10,'财富模型'!$E$12)/12)-IF('Calc'!$E$16=1,0,IF(Calc!$AG$155&lt;='财富模型'!$E$11*12,'Calc'!$W$16,'Calc'!$Y$16)),0)))</x:f>
      </x:c>
      <x:c r="AO155" t="n">
        <x:v>134</x:v>
      </x:c>
      <x:c r="AP155" t="str">
        <x:f>IF(Calc!$AO$155&gt;'Calc'!$B$8,"",MAX(Calc!$AP$154*(1+'财富模型'!$E$6/12)+('Calc'!$B$5-'财富模型'!$E$5-(IF('Calc'!$E$17=1,'财富模型'!$E$9,'财富模型'!$M$9+IF(Calc!$AO$155&lt;='财富模型'!$E$11*12,'Calc'!$W$17,'Calc'!$Y$17)-(IF('Calc'!$E$17=1,0,MIN(Calc!$AQ$154*(1+'财富模型'!$E$20/12)+'Calc'!$B$6,IF(Calc!$AO$155&lt;='财富模型'!$E$11*12,'Calc'!$W$17,'Calc'!$Y$17))))))),0))</x:f>
      </x:c>
      <x:c r="AQ155" t="str">
        <x:f>IF(Calc!$AO$155&gt;'Calc'!$B$8,"",MAX(Calc!$AQ$154*(1+'财富模型'!$E$20/12)+'Calc'!$B$6-(IF('Calc'!$E$17=1,0,MIN(Calc!$AQ$154*(1+'财富模型'!$E$20/12)+'Calc'!$B$6,IF(Calc!$AO$155&lt;='财富模型'!$E$11*12,'Calc'!$W$17,'Calc'!$Y$17)))),0))</x:f>
      </x:c>
      <x:c r="AR155" t="str">
        <x:f>IF(Calc!$AO$155&gt;'Calc'!$B$8,"",IF('Calc'!$E$17=1,'财富模型'!$E$9,'财富模型'!$M$9+IF(Calc!$AO$155&lt;='财富模型'!$E$11*12,'Calc'!$W$17,'Calc'!$Y$17)-(IF('Calc'!$E$17=1,0,MIN(Calc!$AQ$154*(1+'财富模型'!$E$20/12)+'Calc'!$B$6,IF(Calc!$AO$155&lt;='财富模型'!$E$11*12,'Calc'!$W$17,'Calc'!$Y$17))))))</x:f>
      </x:c>
      <x:c r="AS155" t="str">
        <x:f>IF(Calc!$AO$155&gt;'Calc'!$B$8,"",IF('Calc'!$E$17=1,0,MIN(Calc!$AQ$154*(1+'财富模型'!$E$20/12)+'Calc'!$B$6,IF(Calc!$AO$155&lt;='财富模型'!$E$11*12,'Calc'!$W$17,'Calc'!$Y$17))))</x:f>
      </x:c>
      <x:c r="AT155" t="str">
        <x:f>IF(Calc!$AO$155&gt;'Calc'!$B$8,"",'Calc'!$B$5-'财富模型'!$E$5-(IF('Calc'!$E$17=1,'财富模型'!$E$9,'财富模型'!$M$9+IF(Calc!$AO$155&lt;='财富模型'!$E$11*12,'Calc'!$W$17,'Calc'!$Y$17)-(IF('Calc'!$E$17=1,0,MIN(Calc!$AQ$154*(1+'财富模型'!$E$20/12)+'Calc'!$B$6,IF(Calc!$AO$155&lt;='财富模型'!$E$11*12,'Calc'!$W$17,'Calc'!$Y$17)))))))</x:f>
      </x:c>
      <x:c r="AU155" t="str">
        <x:f>IF(Calc!$AO$155&gt;'Calc'!$B$8,"",IF('Calc'!$E$17=1,0,MAX(Calc!$AU$154*(1+IF(Calc!$AO$155&lt;='财富模型'!$E$11*12,'财富模型'!$E$10,'财富模型'!$E$12)/12)-IF('Calc'!$E$17=1,0,IF(Calc!$AO$155&lt;='财富模型'!$E$11*12,'Calc'!$W$17,'Calc'!$Y$17)),0)))</x:f>
      </x:c>
    </x:row>
    <x:row r="156">
      <x:c r="A156" t="n">
        <x:v>135</x:v>
      </x:c>
      <x:c r="B156" t="str">
        <x:f>IF(Calc!$A$156&gt;'Calc'!$B$8,"",MAX(Calc!$B$155*(1+'财富模型'!$E$6/12)+('Calc'!$B$5-'财富模型'!$E$5-(IF('Calc'!$E$12=1,'财富模型'!$E$9,'财富模型'!$M$4+IF(Calc!$A$156&lt;='财富模型'!$E$11*12,'Calc'!$W$12,'Calc'!$Y$12)-(IF('Calc'!$E$12=1,0,MIN(Calc!$C$155*(1+'财富模型'!$E$20/12)+'Calc'!$B$6,IF(Calc!$A$156&lt;='财富模型'!$E$11*12,'Calc'!$W$12,'Calc'!$Y$12))))))),0))</x:f>
      </x:c>
      <x:c r="C156" t="str">
        <x:f>IF(Calc!$A$156&gt;'Calc'!$B$8,"",MAX(Calc!$C$155*(1+'财富模型'!$E$20/12)+'Calc'!$B$6-(IF('Calc'!$E$12=1,0,MIN(Calc!$C$155*(1+'财富模型'!$E$20/12)+'Calc'!$B$6,IF(Calc!$A$156&lt;='财富模型'!$E$11*12,'Calc'!$W$12,'Calc'!$Y$12)))),0))</x:f>
      </x:c>
      <x:c r="D156" t="str">
        <x:f>IF(Calc!$A$156&gt;'Calc'!$B$8,"",IF('Calc'!$E$12=1,'财富模型'!$E$9,'财富模型'!$M$4+IF(Calc!$A$156&lt;='财富模型'!$E$11*12,'Calc'!$W$12,'Calc'!$Y$12)-(IF('Calc'!$E$12=1,0,MIN(Calc!$C$155*(1+'财富模型'!$E$20/12)+'Calc'!$B$6,IF(Calc!$A$156&lt;='财富模型'!$E$11*12,'Calc'!$W$12,'Calc'!$Y$12))))))</x:f>
      </x:c>
      <x:c r="E156" t="str">
        <x:f>IF(Calc!$A$156&gt;'Calc'!$B$8,"",IF('Calc'!$E$12=1,0,MIN(Calc!$C$155*(1+'财富模型'!$E$20/12)+'Calc'!$B$6,IF(Calc!$A$156&lt;='财富模型'!$E$11*12,'Calc'!$W$12,'Calc'!$Y$12))))</x:f>
      </x:c>
      <x:c r="F156" t="str">
        <x:f>IF(Calc!$A$156&gt;'Calc'!$B$8,"",'Calc'!$B$5-'财富模型'!$E$5-(IF('Calc'!$E$12=1,'财富模型'!$E$9,'财富模型'!$M$4+IF(Calc!$A$156&lt;='财富模型'!$E$11*12,'Calc'!$W$12,'Calc'!$Y$12)-(IF('Calc'!$E$12=1,0,MIN(Calc!$C$155*(1+'财富模型'!$E$20/12)+'Calc'!$B$6,IF(Calc!$A$156&lt;='财富模型'!$E$11*12,'Calc'!$W$12,'Calc'!$Y$12)))))))</x:f>
      </x:c>
      <x:c r="G156" t="str">
        <x:f>IF(Calc!$A$156&gt;'Calc'!$B$8,"",IF('Calc'!$E$12=1,0,MAX(Calc!$G$155*(1+IF(Calc!$A$156&lt;='财富模型'!$E$11*12,'财富模型'!$E$10,'财富模型'!$E$12)/12)-IF('Calc'!$E$12=1,0,IF(Calc!$A$156&lt;='财富模型'!$E$11*12,'Calc'!$W$12,'Calc'!$Y$12)),0)))</x:f>
      </x:c>
      <x:c r="I156" t="n">
        <x:v>135</x:v>
      </x:c>
      <x:c r="J156" t="str">
        <x:f>IF(Calc!$I$156&gt;'Calc'!$B$8,"",MAX(Calc!$J$155*(1+'财富模型'!$E$6/12)+('Calc'!$B$5-'财富模型'!$E$5-(IF('Calc'!$E$13=1,'财富模型'!$E$9,'财富模型'!$M$5+IF(Calc!$I$156&lt;='财富模型'!$E$11*12,'Calc'!$W$13,'Calc'!$Y$13)-(IF('Calc'!$E$13=1,0,MIN(Calc!$K$155*(1+'财富模型'!$E$20/12)+'Calc'!$B$6,IF(Calc!$I$156&lt;='财富模型'!$E$11*12,'Calc'!$W$13,'Calc'!$Y$13))))))),0))</x:f>
      </x:c>
      <x:c r="K156" t="str">
        <x:f>IF(Calc!$I$156&gt;'Calc'!$B$8,"",MAX(Calc!$K$155*(1+'财富模型'!$E$20/12)+'Calc'!$B$6-(IF('Calc'!$E$13=1,0,MIN(Calc!$K$155*(1+'财富模型'!$E$20/12)+'Calc'!$B$6,IF(Calc!$I$156&lt;='财富模型'!$E$11*12,'Calc'!$W$13,'Calc'!$Y$13)))),0))</x:f>
      </x:c>
      <x:c r="L156" t="str">
        <x:f>IF(Calc!$I$156&gt;'Calc'!$B$8,"",IF('Calc'!$E$13=1,'财富模型'!$E$9,'财富模型'!$M$5+IF(Calc!$I$156&lt;='财富模型'!$E$11*12,'Calc'!$W$13,'Calc'!$Y$13)-(IF('Calc'!$E$13=1,0,MIN(Calc!$K$155*(1+'财富模型'!$E$20/12)+'Calc'!$B$6,IF(Calc!$I$156&lt;='财富模型'!$E$11*12,'Calc'!$W$13,'Calc'!$Y$13))))))</x:f>
      </x:c>
      <x:c r="M156" t="str">
        <x:f>IF(Calc!$I$156&gt;'Calc'!$B$8,"",IF('Calc'!$E$13=1,0,MIN(Calc!$K$155*(1+'财富模型'!$E$20/12)+'Calc'!$B$6,IF(Calc!$I$156&lt;='财富模型'!$E$11*12,'Calc'!$W$13,'Calc'!$Y$13))))</x:f>
      </x:c>
      <x:c r="N156" t="str">
        <x:f>IF(Calc!$I$156&gt;'Calc'!$B$8,"",'Calc'!$B$5-'财富模型'!$E$5-(IF('Calc'!$E$13=1,'财富模型'!$E$9,'财富模型'!$M$5+IF(Calc!$I$156&lt;='财富模型'!$E$11*12,'Calc'!$W$13,'Calc'!$Y$13)-(IF('Calc'!$E$13=1,0,MIN(Calc!$K$155*(1+'财富模型'!$E$20/12)+'Calc'!$B$6,IF(Calc!$I$156&lt;='财富模型'!$E$11*12,'Calc'!$W$13,'Calc'!$Y$13)))))))</x:f>
      </x:c>
      <x:c r="O156" t="str">
        <x:f>IF(Calc!$I$156&gt;'Calc'!$B$8,"",IF('Calc'!$E$13=1,0,MAX(Calc!$O$155*(1+IF(Calc!$I$156&lt;='财富模型'!$E$11*12,'财富模型'!$E$10,'财富模型'!$E$12)/12)-IF('Calc'!$E$13=1,0,IF(Calc!$I$156&lt;='财富模型'!$E$11*12,'Calc'!$W$13,'Calc'!$Y$13)),0)))</x:f>
      </x:c>
      <x:c r="Q156" t="n">
        <x:v>135</x:v>
      </x:c>
      <x:c r="R156" t="str">
        <x:f>IF(Calc!$Q$156&gt;'Calc'!$B$8,"",MAX(Calc!$R$155*(1+'财富模型'!$E$6/12)+('Calc'!$B$5-'财富模型'!$E$5-(IF('Calc'!$E$14=1,'财富模型'!$E$9,'财富模型'!$M$6+IF(Calc!$Q$156&lt;='财富模型'!$E$11*12,'Calc'!$W$14,'Calc'!$Y$14)-(IF('Calc'!$E$14=1,0,MIN(Calc!$S$155*(1+'财富模型'!$E$20/12)+'Calc'!$B$6,IF(Calc!$Q$156&lt;='财富模型'!$E$11*12,'Calc'!$W$14,'Calc'!$Y$14))))))),0))</x:f>
      </x:c>
      <x:c r="S156" t="str">
        <x:f>IF(Calc!$Q$156&gt;'Calc'!$B$8,"",MAX(Calc!$S$155*(1+'财富模型'!$E$20/12)+'Calc'!$B$6-(IF('Calc'!$E$14=1,0,MIN(Calc!$S$155*(1+'财富模型'!$E$20/12)+'Calc'!$B$6,IF(Calc!$Q$156&lt;='财富模型'!$E$11*12,'Calc'!$W$14,'Calc'!$Y$14)))),0))</x:f>
      </x:c>
      <x:c r="T156" t="str">
        <x:f>IF(Calc!$Q$156&gt;'Calc'!$B$8,"",IF('Calc'!$E$14=1,'财富模型'!$E$9,'财富模型'!$M$6+IF(Calc!$Q$156&lt;='财富模型'!$E$11*12,'Calc'!$W$14,'Calc'!$Y$14)-(IF('Calc'!$E$14=1,0,MIN(Calc!$S$155*(1+'财富模型'!$E$20/12)+'Calc'!$B$6,IF(Calc!$Q$156&lt;='财富模型'!$E$11*12,'Calc'!$W$14,'Calc'!$Y$14))))))</x:f>
      </x:c>
      <x:c r="U156" t="str">
        <x:f>IF(Calc!$Q$156&gt;'Calc'!$B$8,"",IF('Calc'!$E$14=1,0,MIN(Calc!$S$155*(1+'财富模型'!$E$20/12)+'Calc'!$B$6,IF(Calc!$Q$156&lt;='财富模型'!$E$11*12,'Calc'!$W$14,'Calc'!$Y$14))))</x:f>
      </x:c>
      <x:c r="V156" t="str">
        <x:f>IF(Calc!$Q$156&gt;'Calc'!$B$8,"",'Calc'!$B$5-'财富模型'!$E$5-(IF('Calc'!$E$14=1,'财富模型'!$E$9,'财富模型'!$M$6+IF(Calc!$Q$156&lt;='财富模型'!$E$11*12,'Calc'!$W$14,'Calc'!$Y$14)-(IF('Calc'!$E$14=1,0,MIN(Calc!$S$155*(1+'财富模型'!$E$20/12)+'Calc'!$B$6,IF(Calc!$Q$156&lt;='财富模型'!$E$11*12,'Calc'!$W$14,'Calc'!$Y$14)))))))</x:f>
      </x:c>
      <x:c r="W156" t="str">
        <x:f>IF(Calc!$Q$156&gt;'Calc'!$B$8,"",IF('Calc'!$E$14=1,0,MAX(Calc!$W$155*(1+IF(Calc!$Q$156&lt;='财富模型'!$E$11*12,'财富模型'!$E$10,'财富模型'!$E$12)/12)-IF('Calc'!$E$14=1,0,IF(Calc!$Q$156&lt;='财富模型'!$E$11*12,'Calc'!$W$14,'Calc'!$Y$14)),0)))</x:f>
      </x:c>
      <x:c r="Y156" t="n">
        <x:v>135</x:v>
      </x:c>
      <x:c r="Z156" t="str">
        <x:f>IF(Calc!$Y$156&gt;'Calc'!$B$8,"",MAX(Calc!$Z$155*(1+'财富模型'!$E$6/12)+('Calc'!$B$5-'财富模型'!$E$5-(IF('Calc'!$E$15=1,'财富模型'!$E$9,'财富模型'!$M$7+IF(Calc!$Y$156&lt;='财富模型'!$E$11*12,'Calc'!$W$15,'Calc'!$Y$15)-(IF('Calc'!$E$15=1,0,MIN(Calc!$AA$155*(1+'财富模型'!$E$20/12)+'Calc'!$B$6,IF(Calc!$Y$156&lt;='财富模型'!$E$11*12,'Calc'!$W$15,'Calc'!$Y$15))))))),0))</x:f>
      </x:c>
      <x:c r="AA156" t="str">
        <x:f>IF(Calc!$Y$156&gt;'Calc'!$B$8,"",MAX(Calc!$AA$155*(1+'财富模型'!$E$20/12)+'Calc'!$B$6-(IF('Calc'!$E$15=1,0,MIN(Calc!$AA$155*(1+'财富模型'!$E$20/12)+'Calc'!$B$6,IF(Calc!$Y$156&lt;='财富模型'!$E$11*12,'Calc'!$W$15,'Calc'!$Y$15)))),0))</x:f>
      </x:c>
      <x:c r="AB156" t="str">
        <x:f>IF(Calc!$Y$156&gt;'Calc'!$B$8,"",IF('Calc'!$E$15=1,'财富模型'!$E$9,'财富模型'!$M$7+IF(Calc!$Y$156&lt;='财富模型'!$E$11*12,'Calc'!$W$15,'Calc'!$Y$15)-(IF('Calc'!$E$15=1,0,MIN(Calc!$AA$155*(1+'财富模型'!$E$20/12)+'Calc'!$B$6,IF(Calc!$Y$156&lt;='财富模型'!$E$11*12,'Calc'!$W$15,'Calc'!$Y$15))))))</x:f>
      </x:c>
      <x:c r="AC156" t="str">
        <x:f>IF(Calc!$Y$156&gt;'Calc'!$B$8,"",IF('Calc'!$E$15=1,0,MIN(Calc!$AA$155*(1+'财富模型'!$E$20/12)+'Calc'!$B$6,IF(Calc!$Y$156&lt;='财富模型'!$E$11*12,'Calc'!$W$15,'Calc'!$Y$15))))</x:f>
      </x:c>
      <x:c r="AD156" t="str">
        <x:f>IF(Calc!$Y$156&gt;'Calc'!$B$8,"",'Calc'!$B$5-'财富模型'!$E$5-(IF('Calc'!$E$15=1,'财富模型'!$E$9,'财富模型'!$M$7+IF(Calc!$Y$156&lt;='财富模型'!$E$11*12,'Calc'!$W$15,'Calc'!$Y$15)-(IF('Calc'!$E$15=1,0,MIN(Calc!$AA$155*(1+'财富模型'!$E$20/12)+'Calc'!$B$6,IF(Calc!$Y$156&lt;='财富模型'!$E$11*12,'Calc'!$W$15,'Calc'!$Y$15)))))))</x:f>
      </x:c>
      <x:c r="AE156" t="str">
        <x:f>IF(Calc!$Y$156&gt;'Calc'!$B$8,"",IF('Calc'!$E$15=1,0,MAX(Calc!$AE$155*(1+IF(Calc!$Y$156&lt;='财富模型'!$E$11*12,'财富模型'!$E$10,'财富模型'!$E$12)/12)-IF('Calc'!$E$15=1,0,IF(Calc!$Y$156&lt;='财富模型'!$E$11*12,'Calc'!$W$15,'Calc'!$Y$15)),0)))</x:f>
      </x:c>
      <x:c r="AG156" t="n">
        <x:v>135</x:v>
      </x:c>
      <x:c r="AH156" t="str">
        <x:f>IF(Calc!$AG$156&gt;'Calc'!$B$8,"",MAX(Calc!$AH$155*(1+'财富模型'!$E$6/12)+('Calc'!$B$5-'财富模型'!$E$5-(IF('Calc'!$E$16=1,'财富模型'!$E$9,'财富模型'!$M$8+IF(Calc!$AG$156&lt;='财富模型'!$E$11*12,'Calc'!$W$16,'Calc'!$Y$16)-(IF('Calc'!$E$16=1,0,MIN(Calc!$AI$155*(1+'财富模型'!$E$20/12)+'Calc'!$B$6,IF(Calc!$AG$156&lt;='财富模型'!$E$11*12,'Calc'!$W$16,'Calc'!$Y$16))))))),0))</x:f>
      </x:c>
      <x:c r="AI156" t="str">
        <x:f>IF(Calc!$AG$156&gt;'Calc'!$B$8,"",MAX(Calc!$AI$155*(1+'财富模型'!$E$20/12)+'Calc'!$B$6-(IF('Calc'!$E$16=1,0,MIN(Calc!$AI$155*(1+'财富模型'!$E$20/12)+'Calc'!$B$6,IF(Calc!$AG$156&lt;='财富模型'!$E$11*12,'Calc'!$W$16,'Calc'!$Y$16)))),0))</x:f>
      </x:c>
      <x:c r="AJ156" t="str">
        <x:f>IF(Calc!$AG$156&gt;'Calc'!$B$8,"",IF('Calc'!$E$16=1,'财富模型'!$E$9,'财富模型'!$M$8+IF(Calc!$AG$156&lt;='财富模型'!$E$11*12,'Calc'!$W$16,'Calc'!$Y$16)-(IF('Calc'!$E$16=1,0,MIN(Calc!$AI$155*(1+'财富模型'!$E$20/12)+'Calc'!$B$6,IF(Calc!$AG$156&lt;='财富模型'!$E$11*12,'Calc'!$W$16,'Calc'!$Y$16))))))</x:f>
      </x:c>
      <x:c r="AK156" t="str">
        <x:f>IF(Calc!$AG$156&gt;'Calc'!$B$8,"",IF('Calc'!$E$16=1,0,MIN(Calc!$AI$155*(1+'财富模型'!$E$20/12)+'Calc'!$B$6,IF(Calc!$AG$156&lt;='财富模型'!$E$11*12,'Calc'!$W$16,'Calc'!$Y$16))))</x:f>
      </x:c>
      <x:c r="AL156" t="str">
        <x:f>IF(Calc!$AG$156&gt;'Calc'!$B$8,"",'Calc'!$B$5-'财富模型'!$E$5-(IF('Calc'!$E$16=1,'财富模型'!$E$9,'财富模型'!$M$8+IF(Calc!$AG$156&lt;='财富模型'!$E$11*12,'Calc'!$W$16,'Calc'!$Y$16)-(IF('Calc'!$E$16=1,0,MIN(Calc!$AI$155*(1+'财富模型'!$E$20/12)+'Calc'!$B$6,IF(Calc!$AG$156&lt;='财富模型'!$E$11*12,'Calc'!$W$16,'Calc'!$Y$16)))))))</x:f>
      </x:c>
      <x:c r="AM156" t="str">
        <x:f>IF(Calc!$AG$156&gt;'Calc'!$B$8,"",IF('Calc'!$E$16=1,0,MAX(Calc!$AM$155*(1+IF(Calc!$AG$156&lt;='财富模型'!$E$11*12,'财富模型'!$E$10,'财富模型'!$E$12)/12)-IF('Calc'!$E$16=1,0,IF(Calc!$AG$156&lt;='财富模型'!$E$11*12,'Calc'!$W$16,'Calc'!$Y$16)),0)))</x:f>
      </x:c>
      <x:c r="AO156" t="n">
        <x:v>135</x:v>
      </x:c>
      <x:c r="AP156" t="str">
        <x:f>IF(Calc!$AO$156&gt;'Calc'!$B$8,"",MAX(Calc!$AP$155*(1+'财富模型'!$E$6/12)+('Calc'!$B$5-'财富模型'!$E$5-(IF('Calc'!$E$17=1,'财富模型'!$E$9,'财富模型'!$M$9+IF(Calc!$AO$156&lt;='财富模型'!$E$11*12,'Calc'!$W$17,'Calc'!$Y$17)-(IF('Calc'!$E$17=1,0,MIN(Calc!$AQ$155*(1+'财富模型'!$E$20/12)+'Calc'!$B$6,IF(Calc!$AO$156&lt;='财富模型'!$E$11*12,'Calc'!$W$17,'Calc'!$Y$17))))))),0))</x:f>
      </x:c>
      <x:c r="AQ156" t="str">
        <x:f>IF(Calc!$AO$156&gt;'Calc'!$B$8,"",MAX(Calc!$AQ$155*(1+'财富模型'!$E$20/12)+'Calc'!$B$6-(IF('Calc'!$E$17=1,0,MIN(Calc!$AQ$155*(1+'财富模型'!$E$20/12)+'Calc'!$B$6,IF(Calc!$AO$156&lt;='财富模型'!$E$11*12,'Calc'!$W$17,'Calc'!$Y$17)))),0))</x:f>
      </x:c>
      <x:c r="AR156" t="str">
        <x:f>IF(Calc!$AO$156&gt;'Calc'!$B$8,"",IF('Calc'!$E$17=1,'财富模型'!$E$9,'财富模型'!$M$9+IF(Calc!$AO$156&lt;='财富模型'!$E$11*12,'Calc'!$W$17,'Calc'!$Y$17)-(IF('Calc'!$E$17=1,0,MIN(Calc!$AQ$155*(1+'财富模型'!$E$20/12)+'Calc'!$B$6,IF(Calc!$AO$156&lt;='财富模型'!$E$11*12,'Calc'!$W$17,'Calc'!$Y$17))))))</x:f>
      </x:c>
      <x:c r="AS156" t="str">
        <x:f>IF(Calc!$AO$156&gt;'Calc'!$B$8,"",IF('Calc'!$E$17=1,0,MIN(Calc!$AQ$155*(1+'财富模型'!$E$20/12)+'Calc'!$B$6,IF(Calc!$AO$156&lt;='财富模型'!$E$11*12,'Calc'!$W$17,'Calc'!$Y$17))))</x:f>
      </x:c>
      <x:c r="AT156" t="str">
        <x:f>IF(Calc!$AO$156&gt;'Calc'!$B$8,"",'Calc'!$B$5-'财富模型'!$E$5-(IF('Calc'!$E$17=1,'财富模型'!$E$9,'财富模型'!$M$9+IF(Calc!$AO$156&lt;='财富模型'!$E$11*12,'Calc'!$W$17,'Calc'!$Y$17)-(IF('Calc'!$E$17=1,0,MIN(Calc!$AQ$155*(1+'财富模型'!$E$20/12)+'Calc'!$B$6,IF(Calc!$AO$156&lt;='财富模型'!$E$11*12,'Calc'!$W$17,'Calc'!$Y$17)))))))</x:f>
      </x:c>
      <x:c r="AU156" t="str">
        <x:f>IF(Calc!$AO$156&gt;'Calc'!$B$8,"",IF('Calc'!$E$17=1,0,MAX(Calc!$AU$155*(1+IF(Calc!$AO$156&lt;='财富模型'!$E$11*12,'财富模型'!$E$10,'财富模型'!$E$12)/12)-IF('Calc'!$E$17=1,0,IF(Calc!$AO$156&lt;='财富模型'!$E$11*12,'Calc'!$W$17,'Calc'!$Y$17)),0)))</x:f>
      </x:c>
    </x:row>
    <x:row r="157">
      <x:c r="A157" t="n">
        <x:v>136</x:v>
      </x:c>
      <x:c r="B157" t="str">
        <x:f>IF(Calc!$A$157&gt;'Calc'!$B$8,"",MAX(Calc!$B$156*(1+'财富模型'!$E$6/12)+('Calc'!$B$5-'财富模型'!$E$5-(IF('Calc'!$E$12=1,'财富模型'!$E$9,'财富模型'!$M$4+IF(Calc!$A$157&lt;='财富模型'!$E$11*12,'Calc'!$W$12,'Calc'!$Y$12)-(IF('Calc'!$E$12=1,0,MIN(Calc!$C$156*(1+'财富模型'!$E$20/12)+'Calc'!$B$6,IF(Calc!$A$157&lt;='财富模型'!$E$11*12,'Calc'!$W$12,'Calc'!$Y$12))))))),0))</x:f>
      </x:c>
      <x:c r="C157" t="str">
        <x:f>IF(Calc!$A$157&gt;'Calc'!$B$8,"",MAX(Calc!$C$156*(1+'财富模型'!$E$20/12)+'Calc'!$B$6-(IF('Calc'!$E$12=1,0,MIN(Calc!$C$156*(1+'财富模型'!$E$20/12)+'Calc'!$B$6,IF(Calc!$A$157&lt;='财富模型'!$E$11*12,'Calc'!$W$12,'Calc'!$Y$12)))),0))</x:f>
      </x:c>
      <x:c r="D157" t="str">
        <x:f>IF(Calc!$A$157&gt;'Calc'!$B$8,"",IF('Calc'!$E$12=1,'财富模型'!$E$9,'财富模型'!$M$4+IF(Calc!$A$157&lt;='财富模型'!$E$11*12,'Calc'!$W$12,'Calc'!$Y$12)-(IF('Calc'!$E$12=1,0,MIN(Calc!$C$156*(1+'财富模型'!$E$20/12)+'Calc'!$B$6,IF(Calc!$A$157&lt;='财富模型'!$E$11*12,'Calc'!$W$12,'Calc'!$Y$12))))))</x:f>
      </x:c>
      <x:c r="E157" t="str">
        <x:f>IF(Calc!$A$157&gt;'Calc'!$B$8,"",IF('Calc'!$E$12=1,0,MIN(Calc!$C$156*(1+'财富模型'!$E$20/12)+'Calc'!$B$6,IF(Calc!$A$157&lt;='财富模型'!$E$11*12,'Calc'!$W$12,'Calc'!$Y$12))))</x:f>
      </x:c>
      <x:c r="F157" t="str">
        <x:f>IF(Calc!$A$157&gt;'Calc'!$B$8,"",'Calc'!$B$5-'财富模型'!$E$5-(IF('Calc'!$E$12=1,'财富模型'!$E$9,'财富模型'!$M$4+IF(Calc!$A$157&lt;='财富模型'!$E$11*12,'Calc'!$W$12,'Calc'!$Y$12)-(IF('Calc'!$E$12=1,0,MIN(Calc!$C$156*(1+'财富模型'!$E$20/12)+'Calc'!$B$6,IF(Calc!$A$157&lt;='财富模型'!$E$11*12,'Calc'!$W$12,'Calc'!$Y$12)))))))</x:f>
      </x:c>
      <x:c r="G157" t="str">
        <x:f>IF(Calc!$A$157&gt;'Calc'!$B$8,"",IF('Calc'!$E$12=1,0,MAX(Calc!$G$156*(1+IF(Calc!$A$157&lt;='财富模型'!$E$11*12,'财富模型'!$E$10,'财富模型'!$E$12)/12)-IF('Calc'!$E$12=1,0,IF(Calc!$A$157&lt;='财富模型'!$E$11*12,'Calc'!$W$12,'Calc'!$Y$12)),0)))</x:f>
      </x:c>
      <x:c r="I157" t="n">
        <x:v>136</x:v>
      </x:c>
      <x:c r="J157" t="str">
        <x:f>IF(Calc!$I$157&gt;'Calc'!$B$8,"",MAX(Calc!$J$156*(1+'财富模型'!$E$6/12)+('Calc'!$B$5-'财富模型'!$E$5-(IF('Calc'!$E$13=1,'财富模型'!$E$9,'财富模型'!$M$5+IF(Calc!$I$157&lt;='财富模型'!$E$11*12,'Calc'!$W$13,'Calc'!$Y$13)-(IF('Calc'!$E$13=1,0,MIN(Calc!$K$156*(1+'财富模型'!$E$20/12)+'Calc'!$B$6,IF(Calc!$I$157&lt;='财富模型'!$E$11*12,'Calc'!$W$13,'Calc'!$Y$13))))))),0))</x:f>
      </x:c>
      <x:c r="K157" t="str">
        <x:f>IF(Calc!$I$157&gt;'Calc'!$B$8,"",MAX(Calc!$K$156*(1+'财富模型'!$E$20/12)+'Calc'!$B$6-(IF('Calc'!$E$13=1,0,MIN(Calc!$K$156*(1+'财富模型'!$E$20/12)+'Calc'!$B$6,IF(Calc!$I$157&lt;='财富模型'!$E$11*12,'Calc'!$W$13,'Calc'!$Y$13)))),0))</x:f>
      </x:c>
      <x:c r="L157" t="str">
        <x:f>IF(Calc!$I$157&gt;'Calc'!$B$8,"",IF('Calc'!$E$13=1,'财富模型'!$E$9,'财富模型'!$M$5+IF(Calc!$I$157&lt;='财富模型'!$E$11*12,'Calc'!$W$13,'Calc'!$Y$13)-(IF('Calc'!$E$13=1,0,MIN(Calc!$K$156*(1+'财富模型'!$E$20/12)+'Calc'!$B$6,IF(Calc!$I$157&lt;='财富模型'!$E$11*12,'Calc'!$W$13,'Calc'!$Y$13))))))</x:f>
      </x:c>
      <x:c r="M157" t="str">
        <x:f>IF(Calc!$I$157&gt;'Calc'!$B$8,"",IF('Calc'!$E$13=1,0,MIN(Calc!$K$156*(1+'财富模型'!$E$20/12)+'Calc'!$B$6,IF(Calc!$I$157&lt;='财富模型'!$E$11*12,'Calc'!$W$13,'Calc'!$Y$13))))</x:f>
      </x:c>
      <x:c r="N157" t="str">
        <x:f>IF(Calc!$I$157&gt;'Calc'!$B$8,"",'Calc'!$B$5-'财富模型'!$E$5-(IF('Calc'!$E$13=1,'财富模型'!$E$9,'财富模型'!$M$5+IF(Calc!$I$157&lt;='财富模型'!$E$11*12,'Calc'!$W$13,'Calc'!$Y$13)-(IF('Calc'!$E$13=1,0,MIN(Calc!$K$156*(1+'财富模型'!$E$20/12)+'Calc'!$B$6,IF(Calc!$I$157&lt;='财富模型'!$E$11*12,'Calc'!$W$13,'Calc'!$Y$13)))))))</x:f>
      </x:c>
      <x:c r="O157" t="str">
        <x:f>IF(Calc!$I$157&gt;'Calc'!$B$8,"",IF('Calc'!$E$13=1,0,MAX(Calc!$O$156*(1+IF(Calc!$I$157&lt;='财富模型'!$E$11*12,'财富模型'!$E$10,'财富模型'!$E$12)/12)-IF('Calc'!$E$13=1,0,IF(Calc!$I$157&lt;='财富模型'!$E$11*12,'Calc'!$W$13,'Calc'!$Y$13)),0)))</x:f>
      </x:c>
      <x:c r="Q157" t="n">
        <x:v>136</x:v>
      </x:c>
      <x:c r="R157" t="str">
        <x:f>IF(Calc!$Q$157&gt;'Calc'!$B$8,"",MAX(Calc!$R$156*(1+'财富模型'!$E$6/12)+('Calc'!$B$5-'财富模型'!$E$5-(IF('Calc'!$E$14=1,'财富模型'!$E$9,'财富模型'!$M$6+IF(Calc!$Q$157&lt;='财富模型'!$E$11*12,'Calc'!$W$14,'Calc'!$Y$14)-(IF('Calc'!$E$14=1,0,MIN(Calc!$S$156*(1+'财富模型'!$E$20/12)+'Calc'!$B$6,IF(Calc!$Q$157&lt;='财富模型'!$E$11*12,'Calc'!$W$14,'Calc'!$Y$14))))))),0))</x:f>
      </x:c>
      <x:c r="S157" t="str">
        <x:f>IF(Calc!$Q$157&gt;'Calc'!$B$8,"",MAX(Calc!$S$156*(1+'财富模型'!$E$20/12)+'Calc'!$B$6-(IF('Calc'!$E$14=1,0,MIN(Calc!$S$156*(1+'财富模型'!$E$20/12)+'Calc'!$B$6,IF(Calc!$Q$157&lt;='财富模型'!$E$11*12,'Calc'!$W$14,'Calc'!$Y$14)))),0))</x:f>
      </x:c>
      <x:c r="T157" t="str">
        <x:f>IF(Calc!$Q$157&gt;'Calc'!$B$8,"",IF('Calc'!$E$14=1,'财富模型'!$E$9,'财富模型'!$M$6+IF(Calc!$Q$157&lt;='财富模型'!$E$11*12,'Calc'!$W$14,'Calc'!$Y$14)-(IF('Calc'!$E$14=1,0,MIN(Calc!$S$156*(1+'财富模型'!$E$20/12)+'Calc'!$B$6,IF(Calc!$Q$157&lt;='财富模型'!$E$11*12,'Calc'!$W$14,'Calc'!$Y$14))))))</x:f>
      </x:c>
      <x:c r="U157" t="str">
        <x:f>IF(Calc!$Q$157&gt;'Calc'!$B$8,"",IF('Calc'!$E$14=1,0,MIN(Calc!$S$156*(1+'财富模型'!$E$20/12)+'Calc'!$B$6,IF(Calc!$Q$157&lt;='财富模型'!$E$11*12,'Calc'!$W$14,'Calc'!$Y$14))))</x:f>
      </x:c>
      <x:c r="V157" t="str">
        <x:f>IF(Calc!$Q$157&gt;'Calc'!$B$8,"",'Calc'!$B$5-'财富模型'!$E$5-(IF('Calc'!$E$14=1,'财富模型'!$E$9,'财富模型'!$M$6+IF(Calc!$Q$157&lt;='财富模型'!$E$11*12,'Calc'!$W$14,'Calc'!$Y$14)-(IF('Calc'!$E$14=1,0,MIN(Calc!$S$156*(1+'财富模型'!$E$20/12)+'Calc'!$B$6,IF(Calc!$Q$157&lt;='财富模型'!$E$11*12,'Calc'!$W$14,'Calc'!$Y$14)))))))</x:f>
      </x:c>
      <x:c r="W157" t="str">
        <x:f>IF(Calc!$Q$157&gt;'Calc'!$B$8,"",IF('Calc'!$E$14=1,0,MAX(Calc!$W$156*(1+IF(Calc!$Q$157&lt;='财富模型'!$E$11*12,'财富模型'!$E$10,'财富模型'!$E$12)/12)-IF('Calc'!$E$14=1,0,IF(Calc!$Q$157&lt;='财富模型'!$E$11*12,'Calc'!$W$14,'Calc'!$Y$14)),0)))</x:f>
      </x:c>
      <x:c r="Y157" t="n">
        <x:v>136</x:v>
      </x:c>
      <x:c r="Z157" t="str">
        <x:f>IF(Calc!$Y$157&gt;'Calc'!$B$8,"",MAX(Calc!$Z$156*(1+'财富模型'!$E$6/12)+('Calc'!$B$5-'财富模型'!$E$5-(IF('Calc'!$E$15=1,'财富模型'!$E$9,'财富模型'!$M$7+IF(Calc!$Y$157&lt;='财富模型'!$E$11*12,'Calc'!$W$15,'Calc'!$Y$15)-(IF('Calc'!$E$15=1,0,MIN(Calc!$AA$156*(1+'财富模型'!$E$20/12)+'Calc'!$B$6,IF(Calc!$Y$157&lt;='财富模型'!$E$11*12,'Calc'!$W$15,'Calc'!$Y$15))))))),0))</x:f>
      </x:c>
      <x:c r="AA157" t="str">
        <x:f>IF(Calc!$Y$157&gt;'Calc'!$B$8,"",MAX(Calc!$AA$156*(1+'财富模型'!$E$20/12)+'Calc'!$B$6-(IF('Calc'!$E$15=1,0,MIN(Calc!$AA$156*(1+'财富模型'!$E$20/12)+'Calc'!$B$6,IF(Calc!$Y$157&lt;='财富模型'!$E$11*12,'Calc'!$W$15,'Calc'!$Y$15)))),0))</x:f>
      </x:c>
      <x:c r="AB157" t="str">
        <x:f>IF(Calc!$Y$157&gt;'Calc'!$B$8,"",IF('Calc'!$E$15=1,'财富模型'!$E$9,'财富模型'!$M$7+IF(Calc!$Y$157&lt;='财富模型'!$E$11*12,'Calc'!$W$15,'Calc'!$Y$15)-(IF('Calc'!$E$15=1,0,MIN(Calc!$AA$156*(1+'财富模型'!$E$20/12)+'Calc'!$B$6,IF(Calc!$Y$157&lt;='财富模型'!$E$11*12,'Calc'!$W$15,'Calc'!$Y$15))))))</x:f>
      </x:c>
      <x:c r="AC157" t="str">
        <x:f>IF(Calc!$Y$157&gt;'Calc'!$B$8,"",IF('Calc'!$E$15=1,0,MIN(Calc!$AA$156*(1+'财富模型'!$E$20/12)+'Calc'!$B$6,IF(Calc!$Y$157&lt;='财富模型'!$E$11*12,'Calc'!$W$15,'Calc'!$Y$15))))</x:f>
      </x:c>
      <x:c r="AD157" t="str">
        <x:f>IF(Calc!$Y$157&gt;'Calc'!$B$8,"",'Calc'!$B$5-'财富模型'!$E$5-(IF('Calc'!$E$15=1,'财富模型'!$E$9,'财富模型'!$M$7+IF(Calc!$Y$157&lt;='财富模型'!$E$11*12,'Calc'!$W$15,'Calc'!$Y$15)-(IF('Calc'!$E$15=1,0,MIN(Calc!$AA$156*(1+'财富模型'!$E$20/12)+'Calc'!$B$6,IF(Calc!$Y$157&lt;='财富模型'!$E$11*12,'Calc'!$W$15,'Calc'!$Y$15)))))))</x:f>
      </x:c>
      <x:c r="AE157" t="str">
        <x:f>IF(Calc!$Y$157&gt;'Calc'!$B$8,"",IF('Calc'!$E$15=1,0,MAX(Calc!$AE$156*(1+IF(Calc!$Y$157&lt;='财富模型'!$E$11*12,'财富模型'!$E$10,'财富模型'!$E$12)/12)-IF('Calc'!$E$15=1,0,IF(Calc!$Y$157&lt;='财富模型'!$E$11*12,'Calc'!$W$15,'Calc'!$Y$15)),0)))</x:f>
      </x:c>
      <x:c r="AG157" t="n">
        <x:v>136</x:v>
      </x:c>
      <x:c r="AH157" t="str">
        <x:f>IF(Calc!$AG$157&gt;'Calc'!$B$8,"",MAX(Calc!$AH$156*(1+'财富模型'!$E$6/12)+('Calc'!$B$5-'财富模型'!$E$5-(IF('Calc'!$E$16=1,'财富模型'!$E$9,'财富模型'!$M$8+IF(Calc!$AG$157&lt;='财富模型'!$E$11*12,'Calc'!$W$16,'Calc'!$Y$16)-(IF('Calc'!$E$16=1,0,MIN(Calc!$AI$156*(1+'财富模型'!$E$20/12)+'Calc'!$B$6,IF(Calc!$AG$157&lt;='财富模型'!$E$11*12,'Calc'!$W$16,'Calc'!$Y$16))))))),0))</x:f>
      </x:c>
      <x:c r="AI157" t="str">
        <x:f>IF(Calc!$AG$157&gt;'Calc'!$B$8,"",MAX(Calc!$AI$156*(1+'财富模型'!$E$20/12)+'Calc'!$B$6-(IF('Calc'!$E$16=1,0,MIN(Calc!$AI$156*(1+'财富模型'!$E$20/12)+'Calc'!$B$6,IF(Calc!$AG$157&lt;='财富模型'!$E$11*12,'Calc'!$W$16,'Calc'!$Y$16)))),0))</x:f>
      </x:c>
      <x:c r="AJ157" t="str">
        <x:f>IF(Calc!$AG$157&gt;'Calc'!$B$8,"",IF('Calc'!$E$16=1,'财富模型'!$E$9,'财富模型'!$M$8+IF(Calc!$AG$157&lt;='财富模型'!$E$11*12,'Calc'!$W$16,'Calc'!$Y$16)-(IF('Calc'!$E$16=1,0,MIN(Calc!$AI$156*(1+'财富模型'!$E$20/12)+'Calc'!$B$6,IF(Calc!$AG$157&lt;='财富模型'!$E$11*12,'Calc'!$W$16,'Calc'!$Y$16))))))</x:f>
      </x:c>
      <x:c r="AK157" t="str">
        <x:f>IF(Calc!$AG$157&gt;'Calc'!$B$8,"",IF('Calc'!$E$16=1,0,MIN(Calc!$AI$156*(1+'财富模型'!$E$20/12)+'Calc'!$B$6,IF(Calc!$AG$157&lt;='财富模型'!$E$11*12,'Calc'!$W$16,'Calc'!$Y$16))))</x:f>
      </x:c>
      <x:c r="AL157" t="str">
        <x:f>IF(Calc!$AG$157&gt;'Calc'!$B$8,"",'Calc'!$B$5-'财富模型'!$E$5-(IF('Calc'!$E$16=1,'财富模型'!$E$9,'财富模型'!$M$8+IF(Calc!$AG$157&lt;='财富模型'!$E$11*12,'Calc'!$W$16,'Calc'!$Y$16)-(IF('Calc'!$E$16=1,0,MIN(Calc!$AI$156*(1+'财富模型'!$E$20/12)+'Calc'!$B$6,IF(Calc!$AG$157&lt;='财富模型'!$E$11*12,'Calc'!$W$16,'Calc'!$Y$16)))))))</x:f>
      </x:c>
      <x:c r="AM157" t="str">
        <x:f>IF(Calc!$AG$157&gt;'Calc'!$B$8,"",IF('Calc'!$E$16=1,0,MAX(Calc!$AM$156*(1+IF(Calc!$AG$157&lt;='财富模型'!$E$11*12,'财富模型'!$E$10,'财富模型'!$E$12)/12)-IF('Calc'!$E$16=1,0,IF(Calc!$AG$157&lt;='财富模型'!$E$11*12,'Calc'!$W$16,'Calc'!$Y$16)),0)))</x:f>
      </x:c>
      <x:c r="AO157" t="n">
        <x:v>136</x:v>
      </x:c>
      <x:c r="AP157" t="str">
        <x:f>IF(Calc!$AO$157&gt;'Calc'!$B$8,"",MAX(Calc!$AP$156*(1+'财富模型'!$E$6/12)+('Calc'!$B$5-'财富模型'!$E$5-(IF('Calc'!$E$17=1,'财富模型'!$E$9,'财富模型'!$M$9+IF(Calc!$AO$157&lt;='财富模型'!$E$11*12,'Calc'!$W$17,'Calc'!$Y$17)-(IF('Calc'!$E$17=1,0,MIN(Calc!$AQ$156*(1+'财富模型'!$E$20/12)+'Calc'!$B$6,IF(Calc!$AO$157&lt;='财富模型'!$E$11*12,'Calc'!$W$17,'Calc'!$Y$17))))))),0))</x:f>
      </x:c>
      <x:c r="AQ157" t="str">
        <x:f>IF(Calc!$AO$157&gt;'Calc'!$B$8,"",MAX(Calc!$AQ$156*(1+'财富模型'!$E$20/12)+'Calc'!$B$6-(IF('Calc'!$E$17=1,0,MIN(Calc!$AQ$156*(1+'财富模型'!$E$20/12)+'Calc'!$B$6,IF(Calc!$AO$157&lt;='财富模型'!$E$11*12,'Calc'!$W$17,'Calc'!$Y$17)))),0))</x:f>
      </x:c>
      <x:c r="AR157" t="str">
        <x:f>IF(Calc!$AO$157&gt;'Calc'!$B$8,"",IF('Calc'!$E$17=1,'财富模型'!$E$9,'财富模型'!$M$9+IF(Calc!$AO$157&lt;='财富模型'!$E$11*12,'Calc'!$W$17,'Calc'!$Y$17)-(IF('Calc'!$E$17=1,0,MIN(Calc!$AQ$156*(1+'财富模型'!$E$20/12)+'Calc'!$B$6,IF(Calc!$AO$157&lt;='财富模型'!$E$11*12,'Calc'!$W$17,'Calc'!$Y$17))))))</x:f>
      </x:c>
      <x:c r="AS157" t="str">
        <x:f>IF(Calc!$AO$157&gt;'Calc'!$B$8,"",IF('Calc'!$E$17=1,0,MIN(Calc!$AQ$156*(1+'财富模型'!$E$20/12)+'Calc'!$B$6,IF(Calc!$AO$157&lt;='财富模型'!$E$11*12,'Calc'!$W$17,'Calc'!$Y$17))))</x:f>
      </x:c>
      <x:c r="AT157" t="str">
        <x:f>IF(Calc!$AO$157&gt;'Calc'!$B$8,"",'Calc'!$B$5-'财富模型'!$E$5-(IF('Calc'!$E$17=1,'财富模型'!$E$9,'财富模型'!$M$9+IF(Calc!$AO$157&lt;='财富模型'!$E$11*12,'Calc'!$W$17,'Calc'!$Y$17)-(IF('Calc'!$E$17=1,0,MIN(Calc!$AQ$156*(1+'财富模型'!$E$20/12)+'Calc'!$B$6,IF(Calc!$AO$157&lt;='财富模型'!$E$11*12,'Calc'!$W$17,'Calc'!$Y$17)))))))</x:f>
      </x:c>
      <x:c r="AU157" t="str">
        <x:f>IF(Calc!$AO$157&gt;'Calc'!$B$8,"",IF('Calc'!$E$17=1,0,MAX(Calc!$AU$156*(1+IF(Calc!$AO$157&lt;='财富模型'!$E$11*12,'财富模型'!$E$10,'财富模型'!$E$12)/12)-IF('Calc'!$E$17=1,0,IF(Calc!$AO$157&lt;='财富模型'!$E$11*12,'Calc'!$W$17,'Calc'!$Y$17)),0)))</x:f>
      </x:c>
    </x:row>
    <x:row r="158">
      <x:c r="A158" t="n">
        <x:v>137</x:v>
      </x:c>
      <x:c r="B158" t="str">
        <x:f>IF(Calc!$A$158&gt;'Calc'!$B$8,"",MAX(Calc!$B$157*(1+'财富模型'!$E$6/12)+('Calc'!$B$5-'财富模型'!$E$5-(IF('Calc'!$E$12=1,'财富模型'!$E$9,'财富模型'!$M$4+IF(Calc!$A$158&lt;='财富模型'!$E$11*12,'Calc'!$W$12,'Calc'!$Y$12)-(IF('Calc'!$E$12=1,0,MIN(Calc!$C$157*(1+'财富模型'!$E$20/12)+'Calc'!$B$6,IF(Calc!$A$158&lt;='财富模型'!$E$11*12,'Calc'!$W$12,'Calc'!$Y$12))))))),0))</x:f>
      </x:c>
      <x:c r="C158" t="str">
        <x:f>IF(Calc!$A$158&gt;'Calc'!$B$8,"",MAX(Calc!$C$157*(1+'财富模型'!$E$20/12)+'Calc'!$B$6-(IF('Calc'!$E$12=1,0,MIN(Calc!$C$157*(1+'财富模型'!$E$20/12)+'Calc'!$B$6,IF(Calc!$A$158&lt;='财富模型'!$E$11*12,'Calc'!$W$12,'Calc'!$Y$12)))),0))</x:f>
      </x:c>
      <x:c r="D158" t="str">
        <x:f>IF(Calc!$A$158&gt;'Calc'!$B$8,"",IF('Calc'!$E$12=1,'财富模型'!$E$9,'财富模型'!$M$4+IF(Calc!$A$158&lt;='财富模型'!$E$11*12,'Calc'!$W$12,'Calc'!$Y$12)-(IF('Calc'!$E$12=1,0,MIN(Calc!$C$157*(1+'财富模型'!$E$20/12)+'Calc'!$B$6,IF(Calc!$A$158&lt;='财富模型'!$E$11*12,'Calc'!$W$12,'Calc'!$Y$12))))))</x:f>
      </x:c>
      <x:c r="E158" t="str">
        <x:f>IF(Calc!$A$158&gt;'Calc'!$B$8,"",IF('Calc'!$E$12=1,0,MIN(Calc!$C$157*(1+'财富模型'!$E$20/12)+'Calc'!$B$6,IF(Calc!$A$158&lt;='财富模型'!$E$11*12,'Calc'!$W$12,'Calc'!$Y$12))))</x:f>
      </x:c>
      <x:c r="F158" t="str">
        <x:f>IF(Calc!$A$158&gt;'Calc'!$B$8,"",'Calc'!$B$5-'财富模型'!$E$5-(IF('Calc'!$E$12=1,'财富模型'!$E$9,'财富模型'!$M$4+IF(Calc!$A$158&lt;='财富模型'!$E$11*12,'Calc'!$W$12,'Calc'!$Y$12)-(IF('Calc'!$E$12=1,0,MIN(Calc!$C$157*(1+'财富模型'!$E$20/12)+'Calc'!$B$6,IF(Calc!$A$158&lt;='财富模型'!$E$11*12,'Calc'!$W$12,'Calc'!$Y$12)))))))</x:f>
      </x:c>
      <x:c r="G158" t="str">
        <x:f>IF(Calc!$A$158&gt;'Calc'!$B$8,"",IF('Calc'!$E$12=1,0,MAX(Calc!$G$157*(1+IF(Calc!$A$158&lt;='财富模型'!$E$11*12,'财富模型'!$E$10,'财富模型'!$E$12)/12)-IF('Calc'!$E$12=1,0,IF(Calc!$A$158&lt;='财富模型'!$E$11*12,'Calc'!$W$12,'Calc'!$Y$12)),0)))</x:f>
      </x:c>
      <x:c r="I158" t="n">
        <x:v>137</x:v>
      </x:c>
      <x:c r="J158" t="str">
        <x:f>IF(Calc!$I$158&gt;'Calc'!$B$8,"",MAX(Calc!$J$157*(1+'财富模型'!$E$6/12)+('Calc'!$B$5-'财富模型'!$E$5-(IF('Calc'!$E$13=1,'财富模型'!$E$9,'财富模型'!$M$5+IF(Calc!$I$158&lt;='财富模型'!$E$11*12,'Calc'!$W$13,'Calc'!$Y$13)-(IF('Calc'!$E$13=1,0,MIN(Calc!$K$157*(1+'财富模型'!$E$20/12)+'Calc'!$B$6,IF(Calc!$I$158&lt;='财富模型'!$E$11*12,'Calc'!$W$13,'Calc'!$Y$13))))))),0))</x:f>
      </x:c>
      <x:c r="K158" t="str">
        <x:f>IF(Calc!$I$158&gt;'Calc'!$B$8,"",MAX(Calc!$K$157*(1+'财富模型'!$E$20/12)+'Calc'!$B$6-(IF('Calc'!$E$13=1,0,MIN(Calc!$K$157*(1+'财富模型'!$E$20/12)+'Calc'!$B$6,IF(Calc!$I$158&lt;='财富模型'!$E$11*12,'Calc'!$W$13,'Calc'!$Y$13)))),0))</x:f>
      </x:c>
      <x:c r="L158" t="str">
        <x:f>IF(Calc!$I$158&gt;'Calc'!$B$8,"",IF('Calc'!$E$13=1,'财富模型'!$E$9,'财富模型'!$M$5+IF(Calc!$I$158&lt;='财富模型'!$E$11*12,'Calc'!$W$13,'Calc'!$Y$13)-(IF('Calc'!$E$13=1,0,MIN(Calc!$K$157*(1+'财富模型'!$E$20/12)+'Calc'!$B$6,IF(Calc!$I$158&lt;='财富模型'!$E$11*12,'Calc'!$W$13,'Calc'!$Y$13))))))</x:f>
      </x:c>
      <x:c r="M158" t="str">
        <x:f>IF(Calc!$I$158&gt;'Calc'!$B$8,"",IF('Calc'!$E$13=1,0,MIN(Calc!$K$157*(1+'财富模型'!$E$20/12)+'Calc'!$B$6,IF(Calc!$I$158&lt;='财富模型'!$E$11*12,'Calc'!$W$13,'Calc'!$Y$13))))</x:f>
      </x:c>
      <x:c r="N158" t="str">
        <x:f>IF(Calc!$I$158&gt;'Calc'!$B$8,"",'Calc'!$B$5-'财富模型'!$E$5-(IF('Calc'!$E$13=1,'财富模型'!$E$9,'财富模型'!$M$5+IF(Calc!$I$158&lt;='财富模型'!$E$11*12,'Calc'!$W$13,'Calc'!$Y$13)-(IF('Calc'!$E$13=1,0,MIN(Calc!$K$157*(1+'财富模型'!$E$20/12)+'Calc'!$B$6,IF(Calc!$I$158&lt;='财富模型'!$E$11*12,'Calc'!$W$13,'Calc'!$Y$13)))))))</x:f>
      </x:c>
      <x:c r="O158" t="str">
        <x:f>IF(Calc!$I$158&gt;'Calc'!$B$8,"",IF('Calc'!$E$13=1,0,MAX(Calc!$O$157*(1+IF(Calc!$I$158&lt;='财富模型'!$E$11*12,'财富模型'!$E$10,'财富模型'!$E$12)/12)-IF('Calc'!$E$13=1,0,IF(Calc!$I$158&lt;='财富模型'!$E$11*12,'Calc'!$W$13,'Calc'!$Y$13)),0)))</x:f>
      </x:c>
      <x:c r="Q158" t="n">
        <x:v>137</x:v>
      </x:c>
      <x:c r="R158" t="str">
        <x:f>IF(Calc!$Q$158&gt;'Calc'!$B$8,"",MAX(Calc!$R$157*(1+'财富模型'!$E$6/12)+('Calc'!$B$5-'财富模型'!$E$5-(IF('Calc'!$E$14=1,'财富模型'!$E$9,'财富模型'!$M$6+IF(Calc!$Q$158&lt;='财富模型'!$E$11*12,'Calc'!$W$14,'Calc'!$Y$14)-(IF('Calc'!$E$14=1,0,MIN(Calc!$S$157*(1+'财富模型'!$E$20/12)+'Calc'!$B$6,IF(Calc!$Q$158&lt;='财富模型'!$E$11*12,'Calc'!$W$14,'Calc'!$Y$14))))))),0))</x:f>
      </x:c>
      <x:c r="S158" t="str">
        <x:f>IF(Calc!$Q$158&gt;'Calc'!$B$8,"",MAX(Calc!$S$157*(1+'财富模型'!$E$20/12)+'Calc'!$B$6-(IF('Calc'!$E$14=1,0,MIN(Calc!$S$157*(1+'财富模型'!$E$20/12)+'Calc'!$B$6,IF(Calc!$Q$158&lt;='财富模型'!$E$11*12,'Calc'!$W$14,'Calc'!$Y$14)))),0))</x:f>
      </x:c>
      <x:c r="T158" t="str">
        <x:f>IF(Calc!$Q$158&gt;'Calc'!$B$8,"",IF('Calc'!$E$14=1,'财富模型'!$E$9,'财富模型'!$M$6+IF(Calc!$Q$158&lt;='财富模型'!$E$11*12,'Calc'!$W$14,'Calc'!$Y$14)-(IF('Calc'!$E$14=1,0,MIN(Calc!$S$157*(1+'财富模型'!$E$20/12)+'Calc'!$B$6,IF(Calc!$Q$158&lt;='财富模型'!$E$11*12,'Calc'!$W$14,'Calc'!$Y$14))))))</x:f>
      </x:c>
      <x:c r="U158" t="str">
        <x:f>IF(Calc!$Q$158&gt;'Calc'!$B$8,"",IF('Calc'!$E$14=1,0,MIN(Calc!$S$157*(1+'财富模型'!$E$20/12)+'Calc'!$B$6,IF(Calc!$Q$158&lt;='财富模型'!$E$11*12,'Calc'!$W$14,'Calc'!$Y$14))))</x:f>
      </x:c>
      <x:c r="V158" t="str">
        <x:f>IF(Calc!$Q$158&gt;'Calc'!$B$8,"",'Calc'!$B$5-'财富模型'!$E$5-(IF('Calc'!$E$14=1,'财富模型'!$E$9,'财富模型'!$M$6+IF(Calc!$Q$158&lt;='财富模型'!$E$11*12,'Calc'!$W$14,'Calc'!$Y$14)-(IF('Calc'!$E$14=1,0,MIN(Calc!$S$157*(1+'财富模型'!$E$20/12)+'Calc'!$B$6,IF(Calc!$Q$158&lt;='财富模型'!$E$11*12,'Calc'!$W$14,'Calc'!$Y$14)))))))</x:f>
      </x:c>
      <x:c r="W158" t="str">
        <x:f>IF(Calc!$Q$158&gt;'Calc'!$B$8,"",IF('Calc'!$E$14=1,0,MAX(Calc!$W$157*(1+IF(Calc!$Q$158&lt;='财富模型'!$E$11*12,'财富模型'!$E$10,'财富模型'!$E$12)/12)-IF('Calc'!$E$14=1,0,IF(Calc!$Q$158&lt;='财富模型'!$E$11*12,'Calc'!$W$14,'Calc'!$Y$14)),0)))</x:f>
      </x:c>
      <x:c r="Y158" t="n">
        <x:v>137</x:v>
      </x:c>
      <x:c r="Z158" t="str">
        <x:f>IF(Calc!$Y$158&gt;'Calc'!$B$8,"",MAX(Calc!$Z$157*(1+'财富模型'!$E$6/12)+('Calc'!$B$5-'财富模型'!$E$5-(IF('Calc'!$E$15=1,'财富模型'!$E$9,'财富模型'!$M$7+IF(Calc!$Y$158&lt;='财富模型'!$E$11*12,'Calc'!$W$15,'Calc'!$Y$15)-(IF('Calc'!$E$15=1,0,MIN(Calc!$AA$157*(1+'财富模型'!$E$20/12)+'Calc'!$B$6,IF(Calc!$Y$158&lt;='财富模型'!$E$11*12,'Calc'!$W$15,'Calc'!$Y$15))))))),0))</x:f>
      </x:c>
      <x:c r="AA158" t="str">
        <x:f>IF(Calc!$Y$158&gt;'Calc'!$B$8,"",MAX(Calc!$AA$157*(1+'财富模型'!$E$20/12)+'Calc'!$B$6-(IF('Calc'!$E$15=1,0,MIN(Calc!$AA$157*(1+'财富模型'!$E$20/12)+'Calc'!$B$6,IF(Calc!$Y$158&lt;='财富模型'!$E$11*12,'Calc'!$W$15,'Calc'!$Y$15)))),0))</x:f>
      </x:c>
      <x:c r="AB158" t="str">
        <x:f>IF(Calc!$Y$158&gt;'Calc'!$B$8,"",IF('Calc'!$E$15=1,'财富模型'!$E$9,'财富模型'!$M$7+IF(Calc!$Y$158&lt;='财富模型'!$E$11*12,'Calc'!$W$15,'Calc'!$Y$15)-(IF('Calc'!$E$15=1,0,MIN(Calc!$AA$157*(1+'财富模型'!$E$20/12)+'Calc'!$B$6,IF(Calc!$Y$158&lt;='财富模型'!$E$11*12,'Calc'!$W$15,'Calc'!$Y$15))))))</x:f>
      </x:c>
      <x:c r="AC158" t="str">
        <x:f>IF(Calc!$Y$158&gt;'Calc'!$B$8,"",IF('Calc'!$E$15=1,0,MIN(Calc!$AA$157*(1+'财富模型'!$E$20/12)+'Calc'!$B$6,IF(Calc!$Y$158&lt;='财富模型'!$E$11*12,'Calc'!$W$15,'Calc'!$Y$15))))</x:f>
      </x:c>
      <x:c r="AD158" t="str">
        <x:f>IF(Calc!$Y$158&gt;'Calc'!$B$8,"",'Calc'!$B$5-'财富模型'!$E$5-(IF('Calc'!$E$15=1,'财富模型'!$E$9,'财富模型'!$M$7+IF(Calc!$Y$158&lt;='财富模型'!$E$11*12,'Calc'!$W$15,'Calc'!$Y$15)-(IF('Calc'!$E$15=1,0,MIN(Calc!$AA$157*(1+'财富模型'!$E$20/12)+'Calc'!$B$6,IF(Calc!$Y$158&lt;='财富模型'!$E$11*12,'Calc'!$W$15,'Calc'!$Y$15)))))))</x:f>
      </x:c>
      <x:c r="AE158" t="str">
        <x:f>IF(Calc!$Y$158&gt;'Calc'!$B$8,"",IF('Calc'!$E$15=1,0,MAX(Calc!$AE$157*(1+IF(Calc!$Y$158&lt;='财富模型'!$E$11*12,'财富模型'!$E$10,'财富模型'!$E$12)/12)-IF('Calc'!$E$15=1,0,IF(Calc!$Y$158&lt;='财富模型'!$E$11*12,'Calc'!$W$15,'Calc'!$Y$15)),0)))</x:f>
      </x:c>
      <x:c r="AG158" t="n">
        <x:v>137</x:v>
      </x:c>
      <x:c r="AH158" t="str">
        <x:f>IF(Calc!$AG$158&gt;'Calc'!$B$8,"",MAX(Calc!$AH$157*(1+'财富模型'!$E$6/12)+('Calc'!$B$5-'财富模型'!$E$5-(IF('Calc'!$E$16=1,'财富模型'!$E$9,'财富模型'!$M$8+IF(Calc!$AG$158&lt;='财富模型'!$E$11*12,'Calc'!$W$16,'Calc'!$Y$16)-(IF('Calc'!$E$16=1,0,MIN(Calc!$AI$157*(1+'财富模型'!$E$20/12)+'Calc'!$B$6,IF(Calc!$AG$158&lt;='财富模型'!$E$11*12,'Calc'!$W$16,'Calc'!$Y$16))))))),0))</x:f>
      </x:c>
      <x:c r="AI158" t="str">
        <x:f>IF(Calc!$AG$158&gt;'Calc'!$B$8,"",MAX(Calc!$AI$157*(1+'财富模型'!$E$20/12)+'Calc'!$B$6-(IF('Calc'!$E$16=1,0,MIN(Calc!$AI$157*(1+'财富模型'!$E$20/12)+'Calc'!$B$6,IF(Calc!$AG$158&lt;='财富模型'!$E$11*12,'Calc'!$W$16,'Calc'!$Y$16)))),0))</x:f>
      </x:c>
      <x:c r="AJ158" t="str">
        <x:f>IF(Calc!$AG$158&gt;'Calc'!$B$8,"",IF('Calc'!$E$16=1,'财富模型'!$E$9,'财富模型'!$M$8+IF(Calc!$AG$158&lt;='财富模型'!$E$11*12,'Calc'!$W$16,'Calc'!$Y$16)-(IF('Calc'!$E$16=1,0,MIN(Calc!$AI$157*(1+'财富模型'!$E$20/12)+'Calc'!$B$6,IF(Calc!$AG$158&lt;='财富模型'!$E$11*12,'Calc'!$W$16,'Calc'!$Y$16))))))</x:f>
      </x:c>
      <x:c r="AK158" t="str">
        <x:f>IF(Calc!$AG$158&gt;'Calc'!$B$8,"",IF('Calc'!$E$16=1,0,MIN(Calc!$AI$157*(1+'财富模型'!$E$20/12)+'Calc'!$B$6,IF(Calc!$AG$158&lt;='财富模型'!$E$11*12,'Calc'!$W$16,'Calc'!$Y$16))))</x:f>
      </x:c>
      <x:c r="AL158" t="str">
        <x:f>IF(Calc!$AG$158&gt;'Calc'!$B$8,"",'Calc'!$B$5-'财富模型'!$E$5-(IF('Calc'!$E$16=1,'财富模型'!$E$9,'财富模型'!$M$8+IF(Calc!$AG$158&lt;='财富模型'!$E$11*12,'Calc'!$W$16,'Calc'!$Y$16)-(IF('Calc'!$E$16=1,0,MIN(Calc!$AI$157*(1+'财富模型'!$E$20/12)+'Calc'!$B$6,IF(Calc!$AG$158&lt;='财富模型'!$E$11*12,'Calc'!$W$16,'Calc'!$Y$16)))))))</x:f>
      </x:c>
      <x:c r="AM158" t="str">
        <x:f>IF(Calc!$AG$158&gt;'Calc'!$B$8,"",IF('Calc'!$E$16=1,0,MAX(Calc!$AM$157*(1+IF(Calc!$AG$158&lt;='财富模型'!$E$11*12,'财富模型'!$E$10,'财富模型'!$E$12)/12)-IF('Calc'!$E$16=1,0,IF(Calc!$AG$158&lt;='财富模型'!$E$11*12,'Calc'!$W$16,'Calc'!$Y$16)),0)))</x:f>
      </x:c>
      <x:c r="AO158" t="n">
        <x:v>137</x:v>
      </x:c>
      <x:c r="AP158" t="str">
        <x:f>IF(Calc!$AO$158&gt;'Calc'!$B$8,"",MAX(Calc!$AP$157*(1+'财富模型'!$E$6/12)+('Calc'!$B$5-'财富模型'!$E$5-(IF('Calc'!$E$17=1,'财富模型'!$E$9,'财富模型'!$M$9+IF(Calc!$AO$158&lt;='财富模型'!$E$11*12,'Calc'!$W$17,'Calc'!$Y$17)-(IF('Calc'!$E$17=1,0,MIN(Calc!$AQ$157*(1+'财富模型'!$E$20/12)+'Calc'!$B$6,IF(Calc!$AO$158&lt;='财富模型'!$E$11*12,'Calc'!$W$17,'Calc'!$Y$17))))))),0))</x:f>
      </x:c>
      <x:c r="AQ158" t="str">
        <x:f>IF(Calc!$AO$158&gt;'Calc'!$B$8,"",MAX(Calc!$AQ$157*(1+'财富模型'!$E$20/12)+'Calc'!$B$6-(IF('Calc'!$E$17=1,0,MIN(Calc!$AQ$157*(1+'财富模型'!$E$20/12)+'Calc'!$B$6,IF(Calc!$AO$158&lt;='财富模型'!$E$11*12,'Calc'!$W$17,'Calc'!$Y$17)))),0))</x:f>
      </x:c>
      <x:c r="AR158" t="str">
        <x:f>IF(Calc!$AO$158&gt;'Calc'!$B$8,"",IF('Calc'!$E$17=1,'财富模型'!$E$9,'财富模型'!$M$9+IF(Calc!$AO$158&lt;='财富模型'!$E$11*12,'Calc'!$W$17,'Calc'!$Y$17)-(IF('Calc'!$E$17=1,0,MIN(Calc!$AQ$157*(1+'财富模型'!$E$20/12)+'Calc'!$B$6,IF(Calc!$AO$158&lt;='财富模型'!$E$11*12,'Calc'!$W$17,'Calc'!$Y$17))))))</x:f>
      </x:c>
      <x:c r="AS158" t="str">
        <x:f>IF(Calc!$AO$158&gt;'Calc'!$B$8,"",IF('Calc'!$E$17=1,0,MIN(Calc!$AQ$157*(1+'财富模型'!$E$20/12)+'Calc'!$B$6,IF(Calc!$AO$158&lt;='财富模型'!$E$11*12,'Calc'!$W$17,'Calc'!$Y$17))))</x:f>
      </x:c>
      <x:c r="AT158" t="str">
        <x:f>IF(Calc!$AO$158&gt;'Calc'!$B$8,"",'Calc'!$B$5-'财富模型'!$E$5-(IF('Calc'!$E$17=1,'财富模型'!$E$9,'财富模型'!$M$9+IF(Calc!$AO$158&lt;='财富模型'!$E$11*12,'Calc'!$W$17,'Calc'!$Y$17)-(IF('Calc'!$E$17=1,0,MIN(Calc!$AQ$157*(1+'财富模型'!$E$20/12)+'Calc'!$B$6,IF(Calc!$AO$158&lt;='财富模型'!$E$11*12,'Calc'!$W$17,'Calc'!$Y$17)))))))</x:f>
      </x:c>
      <x:c r="AU158" t="str">
        <x:f>IF(Calc!$AO$158&gt;'Calc'!$B$8,"",IF('Calc'!$E$17=1,0,MAX(Calc!$AU$157*(1+IF(Calc!$AO$158&lt;='财富模型'!$E$11*12,'财富模型'!$E$10,'财富模型'!$E$12)/12)-IF('Calc'!$E$17=1,0,IF(Calc!$AO$158&lt;='财富模型'!$E$11*12,'Calc'!$W$17,'Calc'!$Y$17)),0)))</x:f>
      </x:c>
    </x:row>
    <x:row r="159">
      <x:c r="A159" t="n">
        <x:v>138</x:v>
      </x:c>
      <x:c r="B159" t="str">
        <x:f>IF(Calc!$A$159&gt;'Calc'!$B$8,"",MAX(Calc!$B$158*(1+'财富模型'!$E$6/12)+('Calc'!$B$5-'财富模型'!$E$5-(IF('Calc'!$E$12=1,'财富模型'!$E$9,'财富模型'!$M$4+IF(Calc!$A$159&lt;='财富模型'!$E$11*12,'Calc'!$W$12,'Calc'!$Y$12)-(IF('Calc'!$E$12=1,0,MIN(Calc!$C$158*(1+'财富模型'!$E$20/12)+'Calc'!$B$6,IF(Calc!$A$159&lt;='财富模型'!$E$11*12,'Calc'!$W$12,'Calc'!$Y$12))))))),0))</x:f>
      </x:c>
      <x:c r="C159" t="str">
        <x:f>IF(Calc!$A$159&gt;'Calc'!$B$8,"",MAX(Calc!$C$158*(1+'财富模型'!$E$20/12)+'Calc'!$B$6-(IF('Calc'!$E$12=1,0,MIN(Calc!$C$158*(1+'财富模型'!$E$20/12)+'Calc'!$B$6,IF(Calc!$A$159&lt;='财富模型'!$E$11*12,'Calc'!$W$12,'Calc'!$Y$12)))),0))</x:f>
      </x:c>
      <x:c r="D159" t="str">
        <x:f>IF(Calc!$A$159&gt;'Calc'!$B$8,"",IF('Calc'!$E$12=1,'财富模型'!$E$9,'财富模型'!$M$4+IF(Calc!$A$159&lt;='财富模型'!$E$11*12,'Calc'!$W$12,'Calc'!$Y$12)-(IF('Calc'!$E$12=1,0,MIN(Calc!$C$158*(1+'财富模型'!$E$20/12)+'Calc'!$B$6,IF(Calc!$A$159&lt;='财富模型'!$E$11*12,'Calc'!$W$12,'Calc'!$Y$12))))))</x:f>
      </x:c>
      <x:c r="E159" t="str">
        <x:f>IF(Calc!$A$159&gt;'Calc'!$B$8,"",IF('Calc'!$E$12=1,0,MIN(Calc!$C$158*(1+'财富模型'!$E$20/12)+'Calc'!$B$6,IF(Calc!$A$159&lt;='财富模型'!$E$11*12,'Calc'!$W$12,'Calc'!$Y$12))))</x:f>
      </x:c>
      <x:c r="F159" t="str">
        <x:f>IF(Calc!$A$159&gt;'Calc'!$B$8,"",'Calc'!$B$5-'财富模型'!$E$5-(IF('Calc'!$E$12=1,'财富模型'!$E$9,'财富模型'!$M$4+IF(Calc!$A$159&lt;='财富模型'!$E$11*12,'Calc'!$W$12,'Calc'!$Y$12)-(IF('Calc'!$E$12=1,0,MIN(Calc!$C$158*(1+'财富模型'!$E$20/12)+'Calc'!$B$6,IF(Calc!$A$159&lt;='财富模型'!$E$11*12,'Calc'!$W$12,'Calc'!$Y$12)))))))</x:f>
      </x:c>
      <x:c r="G159" t="str">
        <x:f>IF(Calc!$A$159&gt;'Calc'!$B$8,"",IF('Calc'!$E$12=1,0,MAX(Calc!$G$158*(1+IF(Calc!$A$159&lt;='财富模型'!$E$11*12,'财富模型'!$E$10,'财富模型'!$E$12)/12)-IF('Calc'!$E$12=1,0,IF(Calc!$A$159&lt;='财富模型'!$E$11*12,'Calc'!$W$12,'Calc'!$Y$12)),0)))</x:f>
      </x:c>
      <x:c r="I159" t="n">
        <x:v>138</x:v>
      </x:c>
      <x:c r="J159" t="str">
        <x:f>IF(Calc!$I$159&gt;'Calc'!$B$8,"",MAX(Calc!$J$158*(1+'财富模型'!$E$6/12)+('Calc'!$B$5-'财富模型'!$E$5-(IF('Calc'!$E$13=1,'财富模型'!$E$9,'财富模型'!$M$5+IF(Calc!$I$159&lt;='财富模型'!$E$11*12,'Calc'!$W$13,'Calc'!$Y$13)-(IF('Calc'!$E$13=1,0,MIN(Calc!$K$158*(1+'财富模型'!$E$20/12)+'Calc'!$B$6,IF(Calc!$I$159&lt;='财富模型'!$E$11*12,'Calc'!$W$13,'Calc'!$Y$13))))))),0))</x:f>
      </x:c>
      <x:c r="K159" t="str">
        <x:f>IF(Calc!$I$159&gt;'Calc'!$B$8,"",MAX(Calc!$K$158*(1+'财富模型'!$E$20/12)+'Calc'!$B$6-(IF('Calc'!$E$13=1,0,MIN(Calc!$K$158*(1+'财富模型'!$E$20/12)+'Calc'!$B$6,IF(Calc!$I$159&lt;='财富模型'!$E$11*12,'Calc'!$W$13,'Calc'!$Y$13)))),0))</x:f>
      </x:c>
      <x:c r="L159" t="str">
        <x:f>IF(Calc!$I$159&gt;'Calc'!$B$8,"",IF('Calc'!$E$13=1,'财富模型'!$E$9,'财富模型'!$M$5+IF(Calc!$I$159&lt;='财富模型'!$E$11*12,'Calc'!$W$13,'Calc'!$Y$13)-(IF('Calc'!$E$13=1,0,MIN(Calc!$K$158*(1+'财富模型'!$E$20/12)+'Calc'!$B$6,IF(Calc!$I$159&lt;='财富模型'!$E$11*12,'Calc'!$W$13,'Calc'!$Y$13))))))</x:f>
      </x:c>
      <x:c r="M159" t="str">
        <x:f>IF(Calc!$I$159&gt;'Calc'!$B$8,"",IF('Calc'!$E$13=1,0,MIN(Calc!$K$158*(1+'财富模型'!$E$20/12)+'Calc'!$B$6,IF(Calc!$I$159&lt;='财富模型'!$E$11*12,'Calc'!$W$13,'Calc'!$Y$13))))</x:f>
      </x:c>
      <x:c r="N159" t="str">
        <x:f>IF(Calc!$I$159&gt;'Calc'!$B$8,"",'Calc'!$B$5-'财富模型'!$E$5-(IF('Calc'!$E$13=1,'财富模型'!$E$9,'财富模型'!$M$5+IF(Calc!$I$159&lt;='财富模型'!$E$11*12,'Calc'!$W$13,'Calc'!$Y$13)-(IF('Calc'!$E$13=1,0,MIN(Calc!$K$158*(1+'财富模型'!$E$20/12)+'Calc'!$B$6,IF(Calc!$I$159&lt;='财富模型'!$E$11*12,'Calc'!$W$13,'Calc'!$Y$13)))))))</x:f>
      </x:c>
      <x:c r="O159" t="str">
        <x:f>IF(Calc!$I$159&gt;'Calc'!$B$8,"",IF('Calc'!$E$13=1,0,MAX(Calc!$O$158*(1+IF(Calc!$I$159&lt;='财富模型'!$E$11*12,'财富模型'!$E$10,'财富模型'!$E$12)/12)-IF('Calc'!$E$13=1,0,IF(Calc!$I$159&lt;='财富模型'!$E$11*12,'Calc'!$W$13,'Calc'!$Y$13)),0)))</x:f>
      </x:c>
      <x:c r="Q159" t="n">
        <x:v>138</x:v>
      </x:c>
      <x:c r="R159" t="str">
        <x:f>IF(Calc!$Q$159&gt;'Calc'!$B$8,"",MAX(Calc!$R$158*(1+'财富模型'!$E$6/12)+('Calc'!$B$5-'财富模型'!$E$5-(IF('Calc'!$E$14=1,'财富模型'!$E$9,'财富模型'!$M$6+IF(Calc!$Q$159&lt;='财富模型'!$E$11*12,'Calc'!$W$14,'Calc'!$Y$14)-(IF('Calc'!$E$14=1,0,MIN(Calc!$S$158*(1+'财富模型'!$E$20/12)+'Calc'!$B$6,IF(Calc!$Q$159&lt;='财富模型'!$E$11*12,'Calc'!$W$14,'Calc'!$Y$14))))))),0))</x:f>
      </x:c>
      <x:c r="S159" t="str">
        <x:f>IF(Calc!$Q$159&gt;'Calc'!$B$8,"",MAX(Calc!$S$158*(1+'财富模型'!$E$20/12)+'Calc'!$B$6-(IF('Calc'!$E$14=1,0,MIN(Calc!$S$158*(1+'财富模型'!$E$20/12)+'Calc'!$B$6,IF(Calc!$Q$159&lt;='财富模型'!$E$11*12,'Calc'!$W$14,'Calc'!$Y$14)))),0))</x:f>
      </x:c>
      <x:c r="T159" t="str">
        <x:f>IF(Calc!$Q$159&gt;'Calc'!$B$8,"",IF('Calc'!$E$14=1,'财富模型'!$E$9,'财富模型'!$M$6+IF(Calc!$Q$159&lt;='财富模型'!$E$11*12,'Calc'!$W$14,'Calc'!$Y$14)-(IF('Calc'!$E$14=1,0,MIN(Calc!$S$158*(1+'财富模型'!$E$20/12)+'Calc'!$B$6,IF(Calc!$Q$159&lt;='财富模型'!$E$11*12,'Calc'!$W$14,'Calc'!$Y$14))))))</x:f>
      </x:c>
      <x:c r="U159" t="str">
        <x:f>IF(Calc!$Q$159&gt;'Calc'!$B$8,"",IF('Calc'!$E$14=1,0,MIN(Calc!$S$158*(1+'财富模型'!$E$20/12)+'Calc'!$B$6,IF(Calc!$Q$159&lt;='财富模型'!$E$11*12,'Calc'!$W$14,'Calc'!$Y$14))))</x:f>
      </x:c>
      <x:c r="V159" t="str">
        <x:f>IF(Calc!$Q$159&gt;'Calc'!$B$8,"",'Calc'!$B$5-'财富模型'!$E$5-(IF('Calc'!$E$14=1,'财富模型'!$E$9,'财富模型'!$M$6+IF(Calc!$Q$159&lt;='财富模型'!$E$11*12,'Calc'!$W$14,'Calc'!$Y$14)-(IF('Calc'!$E$14=1,0,MIN(Calc!$S$158*(1+'财富模型'!$E$20/12)+'Calc'!$B$6,IF(Calc!$Q$159&lt;='财富模型'!$E$11*12,'Calc'!$W$14,'Calc'!$Y$14)))))))</x:f>
      </x:c>
      <x:c r="W159" t="str">
        <x:f>IF(Calc!$Q$159&gt;'Calc'!$B$8,"",IF('Calc'!$E$14=1,0,MAX(Calc!$W$158*(1+IF(Calc!$Q$159&lt;='财富模型'!$E$11*12,'财富模型'!$E$10,'财富模型'!$E$12)/12)-IF('Calc'!$E$14=1,0,IF(Calc!$Q$159&lt;='财富模型'!$E$11*12,'Calc'!$W$14,'Calc'!$Y$14)),0)))</x:f>
      </x:c>
      <x:c r="Y159" t="n">
        <x:v>138</x:v>
      </x:c>
      <x:c r="Z159" t="str">
        <x:f>IF(Calc!$Y$159&gt;'Calc'!$B$8,"",MAX(Calc!$Z$158*(1+'财富模型'!$E$6/12)+('Calc'!$B$5-'财富模型'!$E$5-(IF('Calc'!$E$15=1,'财富模型'!$E$9,'财富模型'!$M$7+IF(Calc!$Y$159&lt;='财富模型'!$E$11*12,'Calc'!$W$15,'Calc'!$Y$15)-(IF('Calc'!$E$15=1,0,MIN(Calc!$AA$158*(1+'财富模型'!$E$20/12)+'Calc'!$B$6,IF(Calc!$Y$159&lt;='财富模型'!$E$11*12,'Calc'!$W$15,'Calc'!$Y$15))))))),0))</x:f>
      </x:c>
      <x:c r="AA159" t="str">
        <x:f>IF(Calc!$Y$159&gt;'Calc'!$B$8,"",MAX(Calc!$AA$158*(1+'财富模型'!$E$20/12)+'Calc'!$B$6-(IF('Calc'!$E$15=1,0,MIN(Calc!$AA$158*(1+'财富模型'!$E$20/12)+'Calc'!$B$6,IF(Calc!$Y$159&lt;='财富模型'!$E$11*12,'Calc'!$W$15,'Calc'!$Y$15)))),0))</x:f>
      </x:c>
      <x:c r="AB159" t="str">
        <x:f>IF(Calc!$Y$159&gt;'Calc'!$B$8,"",IF('Calc'!$E$15=1,'财富模型'!$E$9,'财富模型'!$M$7+IF(Calc!$Y$159&lt;='财富模型'!$E$11*12,'Calc'!$W$15,'Calc'!$Y$15)-(IF('Calc'!$E$15=1,0,MIN(Calc!$AA$158*(1+'财富模型'!$E$20/12)+'Calc'!$B$6,IF(Calc!$Y$159&lt;='财富模型'!$E$11*12,'Calc'!$W$15,'Calc'!$Y$15))))))</x:f>
      </x:c>
      <x:c r="AC159" t="str">
        <x:f>IF(Calc!$Y$159&gt;'Calc'!$B$8,"",IF('Calc'!$E$15=1,0,MIN(Calc!$AA$158*(1+'财富模型'!$E$20/12)+'Calc'!$B$6,IF(Calc!$Y$159&lt;='财富模型'!$E$11*12,'Calc'!$W$15,'Calc'!$Y$15))))</x:f>
      </x:c>
      <x:c r="AD159" t="str">
        <x:f>IF(Calc!$Y$159&gt;'Calc'!$B$8,"",'Calc'!$B$5-'财富模型'!$E$5-(IF('Calc'!$E$15=1,'财富模型'!$E$9,'财富模型'!$M$7+IF(Calc!$Y$159&lt;='财富模型'!$E$11*12,'Calc'!$W$15,'Calc'!$Y$15)-(IF('Calc'!$E$15=1,0,MIN(Calc!$AA$158*(1+'财富模型'!$E$20/12)+'Calc'!$B$6,IF(Calc!$Y$159&lt;='财富模型'!$E$11*12,'Calc'!$W$15,'Calc'!$Y$15)))))))</x:f>
      </x:c>
      <x:c r="AE159" t="str">
        <x:f>IF(Calc!$Y$159&gt;'Calc'!$B$8,"",IF('Calc'!$E$15=1,0,MAX(Calc!$AE$158*(1+IF(Calc!$Y$159&lt;='财富模型'!$E$11*12,'财富模型'!$E$10,'财富模型'!$E$12)/12)-IF('Calc'!$E$15=1,0,IF(Calc!$Y$159&lt;='财富模型'!$E$11*12,'Calc'!$W$15,'Calc'!$Y$15)),0)))</x:f>
      </x:c>
      <x:c r="AG159" t="n">
        <x:v>138</x:v>
      </x:c>
      <x:c r="AH159" t="str">
        <x:f>IF(Calc!$AG$159&gt;'Calc'!$B$8,"",MAX(Calc!$AH$158*(1+'财富模型'!$E$6/12)+('Calc'!$B$5-'财富模型'!$E$5-(IF('Calc'!$E$16=1,'财富模型'!$E$9,'财富模型'!$M$8+IF(Calc!$AG$159&lt;='财富模型'!$E$11*12,'Calc'!$W$16,'Calc'!$Y$16)-(IF('Calc'!$E$16=1,0,MIN(Calc!$AI$158*(1+'财富模型'!$E$20/12)+'Calc'!$B$6,IF(Calc!$AG$159&lt;='财富模型'!$E$11*12,'Calc'!$W$16,'Calc'!$Y$16))))))),0))</x:f>
      </x:c>
      <x:c r="AI159" t="str">
        <x:f>IF(Calc!$AG$159&gt;'Calc'!$B$8,"",MAX(Calc!$AI$158*(1+'财富模型'!$E$20/12)+'Calc'!$B$6-(IF('Calc'!$E$16=1,0,MIN(Calc!$AI$158*(1+'财富模型'!$E$20/12)+'Calc'!$B$6,IF(Calc!$AG$159&lt;='财富模型'!$E$11*12,'Calc'!$W$16,'Calc'!$Y$16)))),0))</x:f>
      </x:c>
      <x:c r="AJ159" t="str">
        <x:f>IF(Calc!$AG$159&gt;'Calc'!$B$8,"",IF('Calc'!$E$16=1,'财富模型'!$E$9,'财富模型'!$M$8+IF(Calc!$AG$159&lt;='财富模型'!$E$11*12,'Calc'!$W$16,'Calc'!$Y$16)-(IF('Calc'!$E$16=1,0,MIN(Calc!$AI$158*(1+'财富模型'!$E$20/12)+'Calc'!$B$6,IF(Calc!$AG$159&lt;='财富模型'!$E$11*12,'Calc'!$W$16,'Calc'!$Y$16))))))</x:f>
      </x:c>
      <x:c r="AK159" t="str">
        <x:f>IF(Calc!$AG$159&gt;'Calc'!$B$8,"",IF('Calc'!$E$16=1,0,MIN(Calc!$AI$158*(1+'财富模型'!$E$20/12)+'Calc'!$B$6,IF(Calc!$AG$159&lt;='财富模型'!$E$11*12,'Calc'!$W$16,'Calc'!$Y$16))))</x:f>
      </x:c>
      <x:c r="AL159" t="str">
        <x:f>IF(Calc!$AG$159&gt;'Calc'!$B$8,"",'Calc'!$B$5-'财富模型'!$E$5-(IF('Calc'!$E$16=1,'财富模型'!$E$9,'财富模型'!$M$8+IF(Calc!$AG$159&lt;='财富模型'!$E$11*12,'Calc'!$W$16,'Calc'!$Y$16)-(IF('Calc'!$E$16=1,0,MIN(Calc!$AI$158*(1+'财富模型'!$E$20/12)+'Calc'!$B$6,IF(Calc!$AG$159&lt;='财富模型'!$E$11*12,'Calc'!$W$16,'Calc'!$Y$16)))))))</x:f>
      </x:c>
      <x:c r="AM159" t="str">
        <x:f>IF(Calc!$AG$159&gt;'Calc'!$B$8,"",IF('Calc'!$E$16=1,0,MAX(Calc!$AM$158*(1+IF(Calc!$AG$159&lt;='财富模型'!$E$11*12,'财富模型'!$E$10,'财富模型'!$E$12)/12)-IF('Calc'!$E$16=1,0,IF(Calc!$AG$159&lt;='财富模型'!$E$11*12,'Calc'!$W$16,'Calc'!$Y$16)),0)))</x:f>
      </x:c>
      <x:c r="AO159" t="n">
        <x:v>138</x:v>
      </x:c>
      <x:c r="AP159" t="str">
        <x:f>IF(Calc!$AO$159&gt;'Calc'!$B$8,"",MAX(Calc!$AP$158*(1+'财富模型'!$E$6/12)+('Calc'!$B$5-'财富模型'!$E$5-(IF('Calc'!$E$17=1,'财富模型'!$E$9,'财富模型'!$M$9+IF(Calc!$AO$159&lt;='财富模型'!$E$11*12,'Calc'!$W$17,'Calc'!$Y$17)-(IF('Calc'!$E$17=1,0,MIN(Calc!$AQ$158*(1+'财富模型'!$E$20/12)+'Calc'!$B$6,IF(Calc!$AO$159&lt;='财富模型'!$E$11*12,'Calc'!$W$17,'Calc'!$Y$17))))))),0))</x:f>
      </x:c>
      <x:c r="AQ159" t="str">
        <x:f>IF(Calc!$AO$159&gt;'Calc'!$B$8,"",MAX(Calc!$AQ$158*(1+'财富模型'!$E$20/12)+'Calc'!$B$6-(IF('Calc'!$E$17=1,0,MIN(Calc!$AQ$158*(1+'财富模型'!$E$20/12)+'Calc'!$B$6,IF(Calc!$AO$159&lt;='财富模型'!$E$11*12,'Calc'!$W$17,'Calc'!$Y$17)))),0))</x:f>
      </x:c>
      <x:c r="AR159" t="str">
        <x:f>IF(Calc!$AO$159&gt;'Calc'!$B$8,"",IF('Calc'!$E$17=1,'财富模型'!$E$9,'财富模型'!$M$9+IF(Calc!$AO$159&lt;='财富模型'!$E$11*12,'Calc'!$W$17,'Calc'!$Y$17)-(IF('Calc'!$E$17=1,0,MIN(Calc!$AQ$158*(1+'财富模型'!$E$20/12)+'Calc'!$B$6,IF(Calc!$AO$159&lt;='财富模型'!$E$11*12,'Calc'!$W$17,'Calc'!$Y$17))))))</x:f>
      </x:c>
      <x:c r="AS159" t="str">
        <x:f>IF(Calc!$AO$159&gt;'Calc'!$B$8,"",IF('Calc'!$E$17=1,0,MIN(Calc!$AQ$158*(1+'财富模型'!$E$20/12)+'Calc'!$B$6,IF(Calc!$AO$159&lt;='财富模型'!$E$11*12,'Calc'!$W$17,'Calc'!$Y$17))))</x:f>
      </x:c>
      <x:c r="AT159" t="str">
        <x:f>IF(Calc!$AO$159&gt;'Calc'!$B$8,"",'Calc'!$B$5-'财富模型'!$E$5-(IF('Calc'!$E$17=1,'财富模型'!$E$9,'财富模型'!$M$9+IF(Calc!$AO$159&lt;='财富模型'!$E$11*12,'Calc'!$W$17,'Calc'!$Y$17)-(IF('Calc'!$E$17=1,0,MIN(Calc!$AQ$158*(1+'财富模型'!$E$20/12)+'Calc'!$B$6,IF(Calc!$AO$159&lt;='财富模型'!$E$11*12,'Calc'!$W$17,'Calc'!$Y$17)))))))</x:f>
      </x:c>
      <x:c r="AU159" t="str">
        <x:f>IF(Calc!$AO$159&gt;'Calc'!$B$8,"",IF('Calc'!$E$17=1,0,MAX(Calc!$AU$158*(1+IF(Calc!$AO$159&lt;='财富模型'!$E$11*12,'财富模型'!$E$10,'财富模型'!$E$12)/12)-IF('Calc'!$E$17=1,0,IF(Calc!$AO$159&lt;='财富模型'!$E$11*12,'Calc'!$W$17,'Calc'!$Y$17)),0)))</x:f>
      </x:c>
    </x:row>
    <x:row r="160">
      <x:c r="A160" t="n">
        <x:v>139</x:v>
      </x:c>
      <x:c r="B160" t="str">
        <x:f>IF(Calc!$A$160&gt;'Calc'!$B$8,"",MAX(Calc!$B$159*(1+'财富模型'!$E$6/12)+('Calc'!$B$5-'财富模型'!$E$5-(IF('Calc'!$E$12=1,'财富模型'!$E$9,'财富模型'!$M$4+IF(Calc!$A$160&lt;='财富模型'!$E$11*12,'Calc'!$W$12,'Calc'!$Y$12)-(IF('Calc'!$E$12=1,0,MIN(Calc!$C$159*(1+'财富模型'!$E$20/12)+'Calc'!$B$6,IF(Calc!$A$160&lt;='财富模型'!$E$11*12,'Calc'!$W$12,'Calc'!$Y$12))))))),0))</x:f>
      </x:c>
      <x:c r="C160" t="str">
        <x:f>IF(Calc!$A$160&gt;'Calc'!$B$8,"",MAX(Calc!$C$159*(1+'财富模型'!$E$20/12)+'Calc'!$B$6-(IF('Calc'!$E$12=1,0,MIN(Calc!$C$159*(1+'财富模型'!$E$20/12)+'Calc'!$B$6,IF(Calc!$A$160&lt;='财富模型'!$E$11*12,'Calc'!$W$12,'Calc'!$Y$12)))),0))</x:f>
      </x:c>
      <x:c r="D160" t="str">
        <x:f>IF(Calc!$A$160&gt;'Calc'!$B$8,"",IF('Calc'!$E$12=1,'财富模型'!$E$9,'财富模型'!$M$4+IF(Calc!$A$160&lt;='财富模型'!$E$11*12,'Calc'!$W$12,'Calc'!$Y$12)-(IF('Calc'!$E$12=1,0,MIN(Calc!$C$159*(1+'财富模型'!$E$20/12)+'Calc'!$B$6,IF(Calc!$A$160&lt;='财富模型'!$E$11*12,'Calc'!$W$12,'Calc'!$Y$12))))))</x:f>
      </x:c>
      <x:c r="E160" t="str">
        <x:f>IF(Calc!$A$160&gt;'Calc'!$B$8,"",IF('Calc'!$E$12=1,0,MIN(Calc!$C$159*(1+'财富模型'!$E$20/12)+'Calc'!$B$6,IF(Calc!$A$160&lt;='财富模型'!$E$11*12,'Calc'!$W$12,'Calc'!$Y$12))))</x:f>
      </x:c>
      <x:c r="F160" t="str">
        <x:f>IF(Calc!$A$160&gt;'Calc'!$B$8,"",'Calc'!$B$5-'财富模型'!$E$5-(IF('Calc'!$E$12=1,'财富模型'!$E$9,'财富模型'!$M$4+IF(Calc!$A$160&lt;='财富模型'!$E$11*12,'Calc'!$W$12,'Calc'!$Y$12)-(IF('Calc'!$E$12=1,0,MIN(Calc!$C$159*(1+'财富模型'!$E$20/12)+'Calc'!$B$6,IF(Calc!$A$160&lt;='财富模型'!$E$11*12,'Calc'!$W$12,'Calc'!$Y$12)))))))</x:f>
      </x:c>
      <x:c r="G160" t="str">
        <x:f>IF(Calc!$A$160&gt;'Calc'!$B$8,"",IF('Calc'!$E$12=1,0,MAX(Calc!$G$159*(1+IF(Calc!$A$160&lt;='财富模型'!$E$11*12,'财富模型'!$E$10,'财富模型'!$E$12)/12)-IF('Calc'!$E$12=1,0,IF(Calc!$A$160&lt;='财富模型'!$E$11*12,'Calc'!$W$12,'Calc'!$Y$12)),0)))</x:f>
      </x:c>
      <x:c r="I160" t="n">
        <x:v>139</x:v>
      </x:c>
      <x:c r="J160" t="str">
        <x:f>IF(Calc!$I$160&gt;'Calc'!$B$8,"",MAX(Calc!$J$159*(1+'财富模型'!$E$6/12)+('Calc'!$B$5-'财富模型'!$E$5-(IF('Calc'!$E$13=1,'财富模型'!$E$9,'财富模型'!$M$5+IF(Calc!$I$160&lt;='财富模型'!$E$11*12,'Calc'!$W$13,'Calc'!$Y$13)-(IF('Calc'!$E$13=1,0,MIN(Calc!$K$159*(1+'财富模型'!$E$20/12)+'Calc'!$B$6,IF(Calc!$I$160&lt;='财富模型'!$E$11*12,'Calc'!$W$13,'Calc'!$Y$13))))))),0))</x:f>
      </x:c>
      <x:c r="K160" t="str">
        <x:f>IF(Calc!$I$160&gt;'Calc'!$B$8,"",MAX(Calc!$K$159*(1+'财富模型'!$E$20/12)+'Calc'!$B$6-(IF('Calc'!$E$13=1,0,MIN(Calc!$K$159*(1+'财富模型'!$E$20/12)+'Calc'!$B$6,IF(Calc!$I$160&lt;='财富模型'!$E$11*12,'Calc'!$W$13,'Calc'!$Y$13)))),0))</x:f>
      </x:c>
      <x:c r="L160" t="str">
        <x:f>IF(Calc!$I$160&gt;'Calc'!$B$8,"",IF('Calc'!$E$13=1,'财富模型'!$E$9,'财富模型'!$M$5+IF(Calc!$I$160&lt;='财富模型'!$E$11*12,'Calc'!$W$13,'Calc'!$Y$13)-(IF('Calc'!$E$13=1,0,MIN(Calc!$K$159*(1+'财富模型'!$E$20/12)+'Calc'!$B$6,IF(Calc!$I$160&lt;='财富模型'!$E$11*12,'Calc'!$W$13,'Calc'!$Y$13))))))</x:f>
      </x:c>
      <x:c r="M160" t="str">
        <x:f>IF(Calc!$I$160&gt;'Calc'!$B$8,"",IF('Calc'!$E$13=1,0,MIN(Calc!$K$159*(1+'财富模型'!$E$20/12)+'Calc'!$B$6,IF(Calc!$I$160&lt;='财富模型'!$E$11*12,'Calc'!$W$13,'Calc'!$Y$13))))</x:f>
      </x:c>
      <x:c r="N160" t="str">
        <x:f>IF(Calc!$I$160&gt;'Calc'!$B$8,"",'Calc'!$B$5-'财富模型'!$E$5-(IF('Calc'!$E$13=1,'财富模型'!$E$9,'财富模型'!$M$5+IF(Calc!$I$160&lt;='财富模型'!$E$11*12,'Calc'!$W$13,'Calc'!$Y$13)-(IF('Calc'!$E$13=1,0,MIN(Calc!$K$159*(1+'财富模型'!$E$20/12)+'Calc'!$B$6,IF(Calc!$I$160&lt;='财富模型'!$E$11*12,'Calc'!$W$13,'Calc'!$Y$13)))))))</x:f>
      </x:c>
      <x:c r="O160" t="str">
        <x:f>IF(Calc!$I$160&gt;'Calc'!$B$8,"",IF('Calc'!$E$13=1,0,MAX(Calc!$O$159*(1+IF(Calc!$I$160&lt;='财富模型'!$E$11*12,'财富模型'!$E$10,'财富模型'!$E$12)/12)-IF('Calc'!$E$13=1,0,IF(Calc!$I$160&lt;='财富模型'!$E$11*12,'Calc'!$W$13,'Calc'!$Y$13)),0)))</x:f>
      </x:c>
      <x:c r="Q160" t="n">
        <x:v>139</x:v>
      </x:c>
      <x:c r="R160" t="str">
        <x:f>IF(Calc!$Q$160&gt;'Calc'!$B$8,"",MAX(Calc!$R$159*(1+'财富模型'!$E$6/12)+('Calc'!$B$5-'财富模型'!$E$5-(IF('Calc'!$E$14=1,'财富模型'!$E$9,'财富模型'!$M$6+IF(Calc!$Q$160&lt;='财富模型'!$E$11*12,'Calc'!$W$14,'Calc'!$Y$14)-(IF('Calc'!$E$14=1,0,MIN(Calc!$S$159*(1+'财富模型'!$E$20/12)+'Calc'!$B$6,IF(Calc!$Q$160&lt;='财富模型'!$E$11*12,'Calc'!$W$14,'Calc'!$Y$14))))))),0))</x:f>
      </x:c>
      <x:c r="S160" t="str">
        <x:f>IF(Calc!$Q$160&gt;'Calc'!$B$8,"",MAX(Calc!$S$159*(1+'财富模型'!$E$20/12)+'Calc'!$B$6-(IF('Calc'!$E$14=1,0,MIN(Calc!$S$159*(1+'财富模型'!$E$20/12)+'Calc'!$B$6,IF(Calc!$Q$160&lt;='财富模型'!$E$11*12,'Calc'!$W$14,'Calc'!$Y$14)))),0))</x:f>
      </x:c>
      <x:c r="T160" t="str">
        <x:f>IF(Calc!$Q$160&gt;'Calc'!$B$8,"",IF('Calc'!$E$14=1,'财富模型'!$E$9,'财富模型'!$M$6+IF(Calc!$Q$160&lt;='财富模型'!$E$11*12,'Calc'!$W$14,'Calc'!$Y$14)-(IF('Calc'!$E$14=1,0,MIN(Calc!$S$159*(1+'财富模型'!$E$20/12)+'Calc'!$B$6,IF(Calc!$Q$160&lt;='财富模型'!$E$11*12,'Calc'!$W$14,'Calc'!$Y$14))))))</x:f>
      </x:c>
      <x:c r="U160" t="str">
        <x:f>IF(Calc!$Q$160&gt;'Calc'!$B$8,"",IF('Calc'!$E$14=1,0,MIN(Calc!$S$159*(1+'财富模型'!$E$20/12)+'Calc'!$B$6,IF(Calc!$Q$160&lt;='财富模型'!$E$11*12,'Calc'!$W$14,'Calc'!$Y$14))))</x:f>
      </x:c>
      <x:c r="V160" t="str">
        <x:f>IF(Calc!$Q$160&gt;'Calc'!$B$8,"",'Calc'!$B$5-'财富模型'!$E$5-(IF('Calc'!$E$14=1,'财富模型'!$E$9,'财富模型'!$M$6+IF(Calc!$Q$160&lt;='财富模型'!$E$11*12,'Calc'!$W$14,'Calc'!$Y$14)-(IF('Calc'!$E$14=1,0,MIN(Calc!$S$159*(1+'财富模型'!$E$20/12)+'Calc'!$B$6,IF(Calc!$Q$160&lt;='财富模型'!$E$11*12,'Calc'!$W$14,'Calc'!$Y$14)))))))</x:f>
      </x:c>
      <x:c r="W160" t="str">
        <x:f>IF(Calc!$Q$160&gt;'Calc'!$B$8,"",IF('Calc'!$E$14=1,0,MAX(Calc!$W$159*(1+IF(Calc!$Q$160&lt;='财富模型'!$E$11*12,'财富模型'!$E$10,'财富模型'!$E$12)/12)-IF('Calc'!$E$14=1,0,IF(Calc!$Q$160&lt;='财富模型'!$E$11*12,'Calc'!$W$14,'Calc'!$Y$14)),0)))</x:f>
      </x:c>
      <x:c r="Y160" t="n">
        <x:v>139</x:v>
      </x:c>
      <x:c r="Z160" t="str">
        <x:f>IF(Calc!$Y$160&gt;'Calc'!$B$8,"",MAX(Calc!$Z$159*(1+'财富模型'!$E$6/12)+('Calc'!$B$5-'财富模型'!$E$5-(IF('Calc'!$E$15=1,'财富模型'!$E$9,'财富模型'!$M$7+IF(Calc!$Y$160&lt;='财富模型'!$E$11*12,'Calc'!$W$15,'Calc'!$Y$15)-(IF('Calc'!$E$15=1,0,MIN(Calc!$AA$159*(1+'财富模型'!$E$20/12)+'Calc'!$B$6,IF(Calc!$Y$160&lt;='财富模型'!$E$11*12,'Calc'!$W$15,'Calc'!$Y$15))))))),0))</x:f>
      </x:c>
      <x:c r="AA160" t="str">
        <x:f>IF(Calc!$Y$160&gt;'Calc'!$B$8,"",MAX(Calc!$AA$159*(1+'财富模型'!$E$20/12)+'Calc'!$B$6-(IF('Calc'!$E$15=1,0,MIN(Calc!$AA$159*(1+'财富模型'!$E$20/12)+'Calc'!$B$6,IF(Calc!$Y$160&lt;='财富模型'!$E$11*12,'Calc'!$W$15,'Calc'!$Y$15)))),0))</x:f>
      </x:c>
      <x:c r="AB160" t="str">
        <x:f>IF(Calc!$Y$160&gt;'Calc'!$B$8,"",IF('Calc'!$E$15=1,'财富模型'!$E$9,'财富模型'!$M$7+IF(Calc!$Y$160&lt;='财富模型'!$E$11*12,'Calc'!$W$15,'Calc'!$Y$15)-(IF('Calc'!$E$15=1,0,MIN(Calc!$AA$159*(1+'财富模型'!$E$20/12)+'Calc'!$B$6,IF(Calc!$Y$160&lt;='财富模型'!$E$11*12,'Calc'!$W$15,'Calc'!$Y$15))))))</x:f>
      </x:c>
      <x:c r="AC160" t="str">
        <x:f>IF(Calc!$Y$160&gt;'Calc'!$B$8,"",IF('Calc'!$E$15=1,0,MIN(Calc!$AA$159*(1+'财富模型'!$E$20/12)+'Calc'!$B$6,IF(Calc!$Y$160&lt;='财富模型'!$E$11*12,'Calc'!$W$15,'Calc'!$Y$15))))</x:f>
      </x:c>
      <x:c r="AD160" t="str">
        <x:f>IF(Calc!$Y$160&gt;'Calc'!$B$8,"",'Calc'!$B$5-'财富模型'!$E$5-(IF('Calc'!$E$15=1,'财富模型'!$E$9,'财富模型'!$M$7+IF(Calc!$Y$160&lt;='财富模型'!$E$11*12,'Calc'!$W$15,'Calc'!$Y$15)-(IF('Calc'!$E$15=1,0,MIN(Calc!$AA$159*(1+'财富模型'!$E$20/12)+'Calc'!$B$6,IF(Calc!$Y$160&lt;='财富模型'!$E$11*12,'Calc'!$W$15,'Calc'!$Y$15)))))))</x:f>
      </x:c>
      <x:c r="AE160" t="str">
        <x:f>IF(Calc!$Y$160&gt;'Calc'!$B$8,"",IF('Calc'!$E$15=1,0,MAX(Calc!$AE$159*(1+IF(Calc!$Y$160&lt;='财富模型'!$E$11*12,'财富模型'!$E$10,'财富模型'!$E$12)/12)-IF('Calc'!$E$15=1,0,IF(Calc!$Y$160&lt;='财富模型'!$E$11*12,'Calc'!$W$15,'Calc'!$Y$15)),0)))</x:f>
      </x:c>
      <x:c r="AG160" t="n">
        <x:v>139</x:v>
      </x:c>
      <x:c r="AH160" t="str">
        <x:f>IF(Calc!$AG$160&gt;'Calc'!$B$8,"",MAX(Calc!$AH$159*(1+'财富模型'!$E$6/12)+('Calc'!$B$5-'财富模型'!$E$5-(IF('Calc'!$E$16=1,'财富模型'!$E$9,'财富模型'!$M$8+IF(Calc!$AG$160&lt;='财富模型'!$E$11*12,'Calc'!$W$16,'Calc'!$Y$16)-(IF('Calc'!$E$16=1,0,MIN(Calc!$AI$159*(1+'财富模型'!$E$20/12)+'Calc'!$B$6,IF(Calc!$AG$160&lt;='财富模型'!$E$11*12,'Calc'!$W$16,'Calc'!$Y$16))))))),0))</x:f>
      </x:c>
      <x:c r="AI160" t="str">
        <x:f>IF(Calc!$AG$160&gt;'Calc'!$B$8,"",MAX(Calc!$AI$159*(1+'财富模型'!$E$20/12)+'Calc'!$B$6-(IF('Calc'!$E$16=1,0,MIN(Calc!$AI$159*(1+'财富模型'!$E$20/12)+'Calc'!$B$6,IF(Calc!$AG$160&lt;='财富模型'!$E$11*12,'Calc'!$W$16,'Calc'!$Y$16)))),0))</x:f>
      </x:c>
      <x:c r="AJ160" t="str">
        <x:f>IF(Calc!$AG$160&gt;'Calc'!$B$8,"",IF('Calc'!$E$16=1,'财富模型'!$E$9,'财富模型'!$M$8+IF(Calc!$AG$160&lt;='财富模型'!$E$11*12,'Calc'!$W$16,'Calc'!$Y$16)-(IF('Calc'!$E$16=1,0,MIN(Calc!$AI$159*(1+'财富模型'!$E$20/12)+'Calc'!$B$6,IF(Calc!$AG$160&lt;='财富模型'!$E$11*12,'Calc'!$W$16,'Calc'!$Y$16))))))</x:f>
      </x:c>
      <x:c r="AK160" t="str">
        <x:f>IF(Calc!$AG$160&gt;'Calc'!$B$8,"",IF('Calc'!$E$16=1,0,MIN(Calc!$AI$159*(1+'财富模型'!$E$20/12)+'Calc'!$B$6,IF(Calc!$AG$160&lt;='财富模型'!$E$11*12,'Calc'!$W$16,'Calc'!$Y$16))))</x:f>
      </x:c>
      <x:c r="AL160" t="str">
        <x:f>IF(Calc!$AG$160&gt;'Calc'!$B$8,"",'Calc'!$B$5-'财富模型'!$E$5-(IF('Calc'!$E$16=1,'财富模型'!$E$9,'财富模型'!$M$8+IF(Calc!$AG$160&lt;='财富模型'!$E$11*12,'Calc'!$W$16,'Calc'!$Y$16)-(IF('Calc'!$E$16=1,0,MIN(Calc!$AI$159*(1+'财富模型'!$E$20/12)+'Calc'!$B$6,IF(Calc!$AG$160&lt;='财富模型'!$E$11*12,'Calc'!$W$16,'Calc'!$Y$16)))))))</x:f>
      </x:c>
      <x:c r="AM160" t="str">
        <x:f>IF(Calc!$AG$160&gt;'Calc'!$B$8,"",IF('Calc'!$E$16=1,0,MAX(Calc!$AM$159*(1+IF(Calc!$AG$160&lt;='财富模型'!$E$11*12,'财富模型'!$E$10,'财富模型'!$E$12)/12)-IF('Calc'!$E$16=1,0,IF(Calc!$AG$160&lt;='财富模型'!$E$11*12,'Calc'!$W$16,'Calc'!$Y$16)),0)))</x:f>
      </x:c>
      <x:c r="AO160" t="n">
        <x:v>139</x:v>
      </x:c>
      <x:c r="AP160" t="str">
        <x:f>IF(Calc!$AO$160&gt;'Calc'!$B$8,"",MAX(Calc!$AP$159*(1+'财富模型'!$E$6/12)+('Calc'!$B$5-'财富模型'!$E$5-(IF('Calc'!$E$17=1,'财富模型'!$E$9,'财富模型'!$M$9+IF(Calc!$AO$160&lt;='财富模型'!$E$11*12,'Calc'!$W$17,'Calc'!$Y$17)-(IF('Calc'!$E$17=1,0,MIN(Calc!$AQ$159*(1+'财富模型'!$E$20/12)+'Calc'!$B$6,IF(Calc!$AO$160&lt;='财富模型'!$E$11*12,'Calc'!$W$17,'Calc'!$Y$17))))))),0))</x:f>
      </x:c>
      <x:c r="AQ160" t="str">
        <x:f>IF(Calc!$AO$160&gt;'Calc'!$B$8,"",MAX(Calc!$AQ$159*(1+'财富模型'!$E$20/12)+'Calc'!$B$6-(IF('Calc'!$E$17=1,0,MIN(Calc!$AQ$159*(1+'财富模型'!$E$20/12)+'Calc'!$B$6,IF(Calc!$AO$160&lt;='财富模型'!$E$11*12,'Calc'!$W$17,'Calc'!$Y$17)))),0))</x:f>
      </x:c>
      <x:c r="AR160" t="str">
        <x:f>IF(Calc!$AO$160&gt;'Calc'!$B$8,"",IF('Calc'!$E$17=1,'财富模型'!$E$9,'财富模型'!$M$9+IF(Calc!$AO$160&lt;='财富模型'!$E$11*12,'Calc'!$W$17,'Calc'!$Y$17)-(IF('Calc'!$E$17=1,0,MIN(Calc!$AQ$159*(1+'财富模型'!$E$20/12)+'Calc'!$B$6,IF(Calc!$AO$160&lt;='财富模型'!$E$11*12,'Calc'!$W$17,'Calc'!$Y$17))))))</x:f>
      </x:c>
      <x:c r="AS160" t="str">
        <x:f>IF(Calc!$AO$160&gt;'Calc'!$B$8,"",IF('Calc'!$E$17=1,0,MIN(Calc!$AQ$159*(1+'财富模型'!$E$20/12)+'Calc'!$B$6,IF(Calc!$AO$160&lt;='财富模型'!$E$11*12,'Calc'!$W$17,'Calc'!$Y$17))))</x:f>
      </x:c>
      <x:c r="AT160" t="str">
        <x:f>IF(Calc!$AO$160&gt;'Calc'!$B$8,"",'Calc'!$B$5-'财富模型'!$E$5-(IF('Calc'!$E$17=1,'财富模型'!$E$9,'财富模型'!$M$9+IF(Calc!$AO$160&lt;='财富模型'!$E$11*12,'Calc'!$W$17,'Calc'!$Y$17)-(IF('Calc'!$E$17=1,0,MIN(Calc!$AQ$159*(1+'财富模型'!$E$20/12)+'Calc'!$B$6,IF(Calc!$AO$160&lt;='财富模型'!$E$11*12,'Calc'!$W$17,'Calc'!$Y$17)))))))</x:f>
      </x:c>
      <x:c r="AU160" t="str">
        <x:f>IF(Calc!$AO$160&gt;'Calc'!$B$8,"",IF('Calc'!$E$17=1,0,MAX(Calc!$AU$159*(1+IF(Calc!$AO$160&lt;='财富模型'!$E$11*12,'财富模型'!$E$10,'财富模型'!$E$12)/12)-IF('Calc'!$E$17=1,0,IF(Calc!$AO$160&lt;='财富模型'!$E$11*12,'Calc'!$W$17,'Calc'!$Y$17)),0)))</x:f>
      </x:c>
    </x:row>
    <x:row r="161">
      <x:c r="A161" t="n">
        <x:v>140</x:v>
      </x:c>
      <x:c r="B161" t="str">
        <x:f>IF(Calc!$A$161&gt;'Calc'!$B$8,"",MAX(Calc!$B$160*(1+'财富模型'!$E$6/12)+('Calc'!$B$5-'财富模型'!$E$5-(IF('Calc'!$E$12=1,'财富模型'!$E$9,'财富模型'!$M$4+IF(Calc!$A$161&lt;='财富模型'!$E$11*12,'Calc'!$W$12,'Calc'!$Y$12)-(IF('Calc'!$E$12=1,0,MIN(Calc!$C$160*(1+'财富模型'!$E$20/12)+'Calc'!$B$6,IF(Calc!$A$161&lt;='财富模型'!$E$11*12,'Calc'!$W$12,'Calc'!$Y$12))))))),0))</x:f>
      </x:c>
      <x:c r="C161" t="str">
        <x:f>IF(Calc!$A$161&gt;'Calc'!$B$8,"",MAX(Calc!$C$160*(1+'财富模型'!$E$20/12)+'Calc'!$B$6-(IF('Calc'!$E$12=1,0,MIN(Calc!$C$160*(1+'财富模型'!$E$20/12)+'Calc'!$B$6,IF(Calc!$A$161&lt;='财富模型'!$E$11*12,'Calc'!$W$12,'Calc'!$Y$12)))),0))</x:f>
      </x:c>
      <x:c r="D161" t="str">
        <x:f>IF(Calc!$A$161&gt;'Calc'!$B$8,"",IF('Calc'!$E$12=1,'财富模型'!$E$9,'财富模型'!$M$4+IF(Calc!$A$161&lt;='财富模型'!$E$11*12,'Calc'!$W$12,'Calc'!$Y$12)-(IF('Calc'!$E$12=1,0,MIN(Calc!$C$160*(1+'财富模型'!$E$20/12)+'Calc'!$B$6,IF(Calc!$A$161&lt;='财富模型'!$E$11*12,'Calc'!$W$12,'Calc'!$Y$12))))))</x:f>
      </x:c>
      <x:c r="E161" t="str">
        <x:f>IF(Calc!$A$161&gt;'Calc'!$B$8,"",IF('Calc'!$E$12=1,0,MIN(Calc!$C$160*(1+'财富模型'!$E$20/12)+'Calc'!$B$6,IF(Calc!$A$161&lt;='财富模型'!$E$11*12,'Calc'!$W$12,'Calc'!$Y$12))))</x:f>
      </x:c>
      <x:c r="F161" t="str">
        <x:f>IF(Calc!$A$161&gt;'Calc'!$B$8,"",'Calc'!$B$5-'财富模型'!$E$5-(IF('Calc'!$E$12=1,'财富模型'!$E$9,'财富模型'!$M$4+IF(Calc!$A$161&lt;='财富模型'!$E$11*12,'Calc'!$W$12,'Calc'!$Y$12)-(IF('Calc'!$E$12=1,0,MIN(Calc!$C$160*(1+'财富模型'!$E$20/12)+'Calc'!$B$6,IF(Calc!$A$161&lt;='财富模型'!$E$11*12,'Calc'!$W$12,'Calc'!$Y$12)))))))</x:f>
      </x:c>
      <x:c r="G161" t="str">
        <x:f>IF(Calc!$A$161&gt;'Calc'!$B$8,"",IF('Calc'!$E$12=1,0,MAX(Calc!$G$160*(1+IF(Calc!$A$161&lt;='财富模型'!$E$11*12,'财富模型'!$E$10,'财富模型'!$E$12)/12)-IF('Calc'!$E$12=1,0,IF(Calc!$A$161&lt;='财富模型'!$E$11*12,'Calc'!$W$12,'Calc'!$Y$12)),0)))</x:f>
      </x:c>
      <x:c r="I161" t="n">
        <x:v>140</x:v>
      </x:c>
      <x:c r="J161" t="str">
        <x:f>IF(Calc!$I$161&gt;'Calc'!$B$8,"",MAX(Calc!$J$160*(1+'财富模型'!$E$6/12)+('Calc'!$B$5-'财富模型'!$E$5-(IF('Calc'!$E$13=1,'财富模型'!$E$9,'财富模型'!$M$5+IF(Calc!$I$161&lt;='财富模型'!$E$11*12,'Calc'!$W$13,'Calc'!$Y$13)-(IF('Calc'!$E$13=1,0,MIN(Calc!$K$160*(1+'财富模型'!$E$20/12)+'Calc'!$B$6,IF(Calc!$I$161&lt;='财富模型'!$E$11*12,'Calc'!$W$13,'Calc'!$Y$13))))))),0))</x:f>
      </x:c>
      <x:c r="K161" t="str">
        <x:f>IF(Calc!$I$161&gt;'Calc'!$B$8,"",MAX(Calc!$K$160*(1+'财富模型'!$E$20/12)+'Calc'!$B$6-(IF('Calc'!$E$13=1,0,MIN(Calc!$K$160*(1+'财富模型'!$E$20/12)+'Calc'!$B$6,IF(Calc!$I$161&lt;='财富模型'!$E$11*12,'Calc'!$W$13,'Calc'!$Y$13)))),0))</x:f>
      </x:c>
      <x:c r="L161" t="str">
        <x:f>IF(Calc!$I$161&gt;'Calc'!$B$8,"",IF('Calc'!$E$13=1,'财富模型'!$E$9,'财富模型'!$M$5+IF(Calc!$I$161&lt;='财富模型'!$E$11*12,'Calc'!$W$13,'Calc'!$Y$13)-(IF('Calc'!$E$13=1,0,MIN(Calc!$K$160*(1+'财富模型'!$E$20/12)+'Calc'!$B$6,IF(Calc!$I$161&lt;='财富模型'!$E$11*12,'Calc'!$W$13,'Calc'!$Y$13))))))</x:f>
      </x:c>
      <x:c r="M161" t="str">
        <x:f>IF(Calc!$I$161&gt;'Calc'!$B$8,"",IF('Calc'!$E$13=1,0,MIN(Calc!$K$160*(1+'财富模型'!$E$20/12)+'Calc'!$B$6,IF(Calc!$I$161&lt;='财富模型'!$E$11*12,'Calc'!$W$13,'Calc'!$Y$13))))</x:f>
      </x:c>
      <x:c r="N161" t="str">
        <x:f>IF(Calc!$I$161&gt;'Calc'!$B$8,"",'Calc'!$B$5-'财富模型'!$E$5-(IF('Calc'!$E$13=1,'财富模型'!$E$9,'财富模型'!$M$5+IF(Calc!$I$161&lt;='财富模型'!$E$11*12,'Calc'!$W$13,'Calc'!$Y$13)-(IF('Calc'!$E$13=1,0,MIN(Calc!$K$160*(1+'财富模型'!$E$20/12)+'Calc'!$B$6,IF(Calc!$I$161&lt;='财富模型'!$E$11*12,'Calc'!$W$13,'Calc'!$Y$13)))))))</x:f>
      </x:c>
      <x:c r="O161" t="str">
        <x:f>IF(Calc!$I$161&gt;'Calc'!$B$8,"",IF('Calc'!$E$13=1,0,MAX(Calc!$O$160*(1+IF(Calc!$I$161&lt;='财富模型'!$E$11*12,'财富模型'!$E$10,'财富模型'!$E$12)/12)-IF('Calc'!$E$13=1,0,IF(Calc!$I$161&lt;='财富模型'!$E$11*12,'Calc'!$W$13,'Calc'!$Y$13)),0)))</x:f>
      </x:c>
      <x:c r="Q161" t="n">
        <x:v>140</x:v>
      </x:c>
      <x:c r="R161" t="str">
        <x:f>IF(Calc!$Q$161&gt;'Calc'!$B$8,"",MAX(Calc!$R$160*(1+'财富模型'!$E$6/12)+('Calc'!$B$5-'财富模型'!$E$5-(IF('Calc'!$E$14=1,'财富模型'!$E$9,'财富模型'!$M$6+IF(Calc!$Q$161&lt;='财富模型'!$E$11*12,'Calc'!$W$14,'Calc'!$Y$14)-(IF('Calc'!$E$14=1,0,MIN(Calc!$S$160*(1+'财富模型'!$E$20/12)+'Calc'!$B$6,IF(Calc!$Q$161&lt;='财富模型'!$E$11*12,'Calc'!$W$14,'Calc'!$Y$14))))))),0))</x:f>
      </x:c>
      <x:c r="S161" t="str">
        <x:f>IF(Calc!$Q$161&gt;'Calc'!$B$8,"",MAX(Calc!$S$160*(1+'财富模型'!$E$20/12)+'Calc'!$B$6-(IF('Calc'!$E$14=1,0,MIN(Calc!$S$160*(1+'财富模型'!$E$20/12)+'Calc'!$B$6,IF(Calc!$Q$161&lt;='财富模型'!$E$11*12,'Calc'!$W$14,'Calc'!$Y$14)))),0))</x:f>
      </x:c>
      <x:c r="T161" t="str">
        <x:f>IF(Calc!$Q$161&gt;'Calc'!$B$8,"",IF('Calc'!$E$14=1,'财富模型'!$E$9,'财富模型'!$M$6+IF(Calc!$Q$161&lt;='财富模型'!$E$11*12,'Calc'!$W$14,'Calc'!$Y$14)-(IF('Calc'!$E$14=1,0,MIN(Calc!$S$160*(1+'财富模型'!$E$20/12)+'Calc'!$B$6,IF(Calc!$Q$161&lt;='财富模型'!$E$11*12,'Calc'!$W$14,'Calc'!$Y$14))))))</x:f>
      </x:c>
      <x:c r="U161" t="str">
        <x:f>IF(Calc!$Q$161&gt;'Calc'!$B$8,"",IF('Calc'!$E$14=1,0,MIN(Calc!$S$160*(1+'财富模型'!$E$20/12)+'Calc'!$B$6,IF(Calc!$Q$161&lt;='财富模型'!$E$11*12,'Calc'!$W$14,'Calc'!$Y$14))))</x:f>
      </x:c>
      <x:c r="V161" t="str">
        <x:f>IF(Calc!$Q$161&gt;'Calc'!$B$8,"",'Calc'!$B$5-'财富模型'!$E$5-(IF('Calc'!$E$14=1,'财富模型'!$E$9,'财富模型'!$M$6+IF(Calc!$Q$161&lt;='财富模型'!$E$11*12,'Calc'!$W$14,'Calc'!$Y$14)-(IF('Calc'!$E$14=1,0,MIN(Calc!$S$160*(1+'财富模型'!$E$20/12)+'Calc'!$B$6,IF(Calc!$Q$161&lt;='财富模型'!$E$11*12,'Calc'!$W$14,'Calc'!$Y$14)))))))</x:f>
      </x:c>
      <x:c r="W161" t="str">
        <x:f>IF(Calc!$Q$161&gt;'Calc'!$B$8,"",IF('Calc'!$E$14=1,0,MAX(Calc!$W$160*(1+IF(Calc!$Q$161&lt;='财富模型'!$E$11*12,'财富模型'!$E$10,'财富模型'!$E$12)/12)-IF('Calc'!$E$14=1,0,IF(Calc!$Q$161&lt;='财富模型'!$E$11*12,'Calc'!$W$14,'Calc'!$Y$14)),0)))</x:f>
      </x:c>
      <x:c r="Y161" t="n">
        <x:v>140</x:v>
      </x:c>
      <x:c r="Z161" t="str">
        <x:f>IF(Calc!$Y$161&gt;'Calc'!$B$8,"",MAX(Calc!$Z$160*(1+'财富模型'!$E$6/12)+('Calc'!$B$5-'财富模型'!$E$5-(IF('Calc'!$E$15=1,'财富模型'!$E$9,'财富模型'!$M$7+IF(Calc!$Y$161&lt;='财富模型'!$E$11*12,'Calc'!$W$15,'Calc'!$Y$15)-(IF('Calc'!$E$15=1,0,MIN(Calc!$AA$160*(1+'财富模型'!$E$20/12)+'Calc'!$B$6,IF(Calc!$Y$161&lt;='财富模型'!$E$11*12,'Calc'!$W$15,'Calc'!$Y$15))))))),0))</x:f>
      </x:c>
      <x:c r="AA161" t="str">
        <x:f>IF(Calc!$Y$161&gt;'Calc'!$B$8,"",MAX(Calc!$AA$160*(1+'财富模型'!$E$20/12)+'Calc'!$B$6-(IF('Calc'!$E$15=1,0,MIN(Calc!$AA$160*(1+'财富模型'!$E$20/12)+'Calc'!$B$6,IF(Calc!$Y$161&lt;='财富模型'!$E$11*12,'Calc'!$W$15,'Calc'!$Y$15)))),0))</x:f>
      </x:c>
      <x:c r="AB161" t="str">
        <x:f>IF(Calc!$Y$161&gt;'Calc'!$B$8,"",IF('Calc'!$E$15=1,'财富模型'!$E$9,'财富模型'!$M$7+IF(Calc!$Y$161&lt;='财富模型'!$E$11*12,'Calc'!$W$15,'Calc'!$Y$15)-(IF('Calc'!$E$15=1,0,MIN(Calc!$AA$160*(1+'财富模型'!$E$20/12)+'Calc'!$B$6,IF(Calc!$Y$161&lt;='财富模型'!$E$11*12,'Calc'!$W$15,'Calc'!$Y$15))))))</x:f>
      </x:c>
      <x:c r="AC161" t="str">
        <x:f>IF(Calc!$Y$161&gt;'Calc'!$B$8,"",IF('Calc'!$E$15=1,0,MIN(Calc!$AA$160*(1+'财富模型'!$E$20/12)+'Calc'!$B$6,IF(Calc!$Y$161&lt;='财富模型'!$E$11*12,'Calc'!$W$15,'Calc'!$Y$15))))</x:f>
      </x:c>
      <x:c r="AD161" t="str">
        <x:f>IF(Calc!$Y$161&gt;'Calc'!$B$8,"",'Calc'!$B$5-'财富模型'!$E$5-(IF('Calc'!$E$15=1,'财富模型'!$E$9,'财富模型'!$M$7+IF(Calc!$Y$161&lt;='财富模型'!$E$11*12,'Calc'!$W$15,'Calc'!$Y$15)-(IF('Calc'!$E$15=1,0,MIN(Calc!$AA$160*(1+'财富模型'!$E$20/12)+'Calc'!$B$6,IF(Calc!$Y$161&lt;='财富模型'!$E$11*12,'Calc'!$W$15,'Calc'!$Y$15)))))))</x:f>
      </x:c>
      <x:c r="AE161" t="str">
        <x:f>IF(Calc!$Y$161&gt;'Calc'!$B$8,"",IF('Calc'!$E$15=1,0,MAX(Calc!$AE$160*(1+IF(Calc!$Y$161&lt;='财富模型'!$E$11*12,'财富模型'!$E$10,'财富模型'!$E$12)/12)-IF('Calc'!$E$15=1,0,IF(Calc!$Y$161&lt;='财富模型'!$E$11*12,'Calc'!$W$15,'Calc'!$Y$15)),0)))</x:f>
      </x:c>
      <x:c r="AG161" t="n">
        <x:v>140</x:v>
      </x:c>
      <x:c r="AH161" t="str">
        <x:f>IF(Calc!$AG$161&gt;'Calc'!$B$8,"",MAX(Calc!$AH$160*(1+'财富模型'!$E$6/12)+('Calc'!$B$5-'财富模型'!$E$5-(IF('Calc'!$E$16=1,'财富模型'!$E$9,'财富模型'!$M$8+IF(Calc!$AG$161&lt;='财富模型'!$E$11*12,'Calc'!$W$16,'Calc'!$Y$16)-(IF('Calc'!$E$16=1,0,MIN(Calc!$AI$160*(1+'财富模型'!$E$20/12)+'Calc'!$B$6,IF(Calc!$AG$161&lt;='财富模型'!$E$11*12,'Calc'!$W$16,'Calc'!$Y$16))))))),0))</x:f>
      </x:c>
      <x:c r="AI161" t="str">
        <x:f>IF(Calc!$AG$161&gt;'Calc'!$B$8,"",MAX(Calc!$AI$160*(1+'财富模型'!$E$20/12)+'Calc'!$B$6-(IF('Calc'!$E$16=1,0,MIN(Calc!$AI$160*(1+'财富模型'!$E$20/12)+'Calc'!$B$6,IF(Calc!$AG$161&lt;='财富模型'!$E$11*12,'Calc'!$W$16,'Calc'!$Y$16)))),0))</x:f>
      </x:c>
      <x:c r="AJ161" t="str">
        <x:f>IF(Calc!$AG$161&gt;'Calc'!$B$8,"",IF('Calc'!$E$16=1,'财富模型'!$E$9,'财富模型'!$M$8+IF(Calc!$AG$161&lt;='财富模型'!$E$11*12,'Calc'!$W$16,'Calc'!$Y$16)-(IF('Calc'!$E$16=1,0,MIN(Calc!$AI$160*(1+'财富模型'!$E$20/12)+'Calc'!$B$6,IF(Calc!$AG$161&lt;='财富模型'!$E$11*12,'Calc'!$W$16,'Calc'!$Y$16))))))</x:f>
      </x:c>
      <x:c r="AK161" t="str">
        <x:f>IF(Calc!$AG$161&gt;'Calc'!$B$8,"",IF('Calc'!$E$16=1,0,MIN(Calc!$AI$160*(1+'财富模型'!$E$20/12)+'Calc'!$B$6,IF(Calc!$AG$161&lt;='财富模型'!$E$11*12,'Calc'!$W$16,'Calc'!$Y$16))))</x:f>
      </x:c>
      <x:c r="AL161" t="str">
        <x:f>IF(Calc!$AG$161&gt;'Calc'!$B$8,"",'Calc'!$B$5-'财富模型'!$E$5-(IF('Calc'!$E$16=1,'财富模型'!$E$9,'财富模型'!$M$8+IF(Calc!$AG$161&lt;='财富模型'!$E$11*12,'Calc'!$W$16,'Calc'!$Y$16)-(IF('Calc'!$E$16=1,0,MIN(Calc!$AI$160*(1+'财富模型'!$E$20/12)+'Calc'!$B$6,IF(Calc!$AG$161&lt;='财富模型'!$E$11*12,'Calc'!$W$16,'Calc'!$Y$16)))))))</x:f>
      </x:c>
      <x:c r="AM161" t="str">
        <x:f>IF(Calc!$AG$161&gt;'Calc'!$B$8,"",IF('Calc'!$E$16=1,0,MAX(Calc!$AM$160*(1+IF(Calc!$AG$161&lt;='财富模型'!$E$11*12,'财富模型'!$E$10,'财富模型'!$E$12)/12)-IF('Calc'!$E$16=1,0,IF(Calc!$AG$161&lt;='财富模型'!$E$11*12,'Calc'!$W$16,'Calc'!$Y$16)),0)))</x:f>
      </x:c>
      <x:c r="AO161" t="n">
        <x:v>140</x:v>
      </x:c>
      <x:c r="AP161" t="str">
        <x:f>IF(Calc!$AO$161&gt;'Calc'!$B$8,"",MAX(Calc!$AP$160*(1+'财富模型'!$E$6/12)+('Calc'!$B$5-'财富模型'!$E$5-(IF('Calc'!$E$17=1,'财富模型'!$E$9,'财富模型'!$M$9+IF(Calc!$AO$161&lt;='财富模型'!$E$11*12,'Calc'!$W$17,'Calc'!$Y$17)-(IF('Calc'!$E$17=1,0,MIN(Calc!$AQ$160*(1+'财富模型'!$E$20/12)+'Calc'!$B$6,IF(Calc!$AO$161&lt;='财富模型'!$E$11*12,'Calc'!$W$17,'Calc'!$Y$17))))))),0))</x:f>
      </x:c>
      <x:c r="AQ161" t="str">
        <x:f>IF(Calc!$AO$161&gt;'Calc'!$B$8,"",MAX(Calc!$AQ$160*(1+'财富模型'!$E$20/12)+'Calc'!$B$6-(IF('Calc'!$E$17=1,0,MIN(Calc!$AQ$160*(1+'财富模型'!$E$20/12)+'Calc'!$B$6,IF(Calc!$AO$161&lt;='财富模型'!$E$11*12,'Calc'!$W$17,'Calc'!$Y$17)))),0))</x:f>
      </x:c>
      <x:c r="AR161" t="str">
        <x:f>IF(Calc!$AO$161&gt;'Calc'!$B$8,"",IF('Calc'!$E$17=1,'财富模型'!$E$9,'财富模型'!$M$9+IF(Calc!$AO$161&lt;='财富模型'!$E$11*12,'Calc'!$W$17,'Calc'!$Y$17)-(IF('Calc'!$E$17=1,0,MIN(Calc!$AQ$160*(1+'财富模型'!$E$20/12)+'Calc'!$B$6,IF(Calc!$AO$161&lt;='财富模型'!$E$11*12,'Calc'!$W$17,'Calc'!$Y$17))))))</x:f>
      </x:c>
      <x:c r="AS161" t="str">
        <x:f>IF(Calc!$AO$161&gt;'Calc'!$B$8,"",IF('Calc'!$E$17=1,0,MIN(Calc!$AQ$160*(1+'财富模型'!$E$20/12)+'Calc'!$B$6,IF(Calc!$AO$161&lt;='财富模型'!$E$11*12,'Calc'!$W$17,'Calc'!$Y$17))))</x:f>
      </x:c>
      <x:c r="AT161" t="str">
        <x:f>IF(Calc!$AO$161&gt;'Calc'!$B$8,"",'Calc'!$B$5-'财富模型'!$E$5-(IF('Calc'!$E$17=1,'财富模型'!$E$9,'财富模型'!$M$9+IF(Calc!$AO$161&lt;='财富模型'!$E$11*12,'Calc'!$W$17,'Calc'!$Y$17)-(IF('Calc'!$E$17=1,0,MIN(Calc!$AQ$160*(1+'财富模型'!$E$20/12)+'Calc'!$B$6,IF(Calc!$AO$161&lt;='财富模型'!$E$11*12,'Calc'!$W$17,'Calc'!$Y$17)))))))</x:f>
      </x:c>
      <x:c r="AU161" t="str">
        <x:f>IF(Calc!$AO$161&gt;'Calc'!$B$8,"",IF('Calc'!$E$17=1,0,MAX(Calc!$AU$160*(1+IF(Calc!$AO$161&lt;='财富模型'!$E$11*12,'财富模型'!$E$10,'财富模型'!$E$12)/12)-IF('Calc'!$E$17=1,0,IF(Calc!$AO$161&lt;='财富模型'!$E$11*12,'Calc'!$W$17,'Calc'!$Y$17)),0)))</x:f>
      </x:c>
    </x:row>
    <x:row r="162">
      <x:c r="A162" t="n">
        <x:v>141</x:v>
      </x:c>
      <x:c r="B162" t="str">
        <x:f>IF(Calc!$A$162&gt;'Calc'!$B$8,"",MAX(Calc!$B$161*(1+'财富模型'!$E$6/12)+('Calc'!$B$5-'财富模型'!$E$5-(IF('Calc'!$E$12=1,'财富模型'!$E$9,'财富模型'!$M$4+IF(Calc!$A$162&lt;='财富模型'!$E$11*12,'Calc'!$W$12,'Calc'!$Y$12)-(IF('Calc'!$E$12=1,0,MIN(Calc!$C$161*(1+'财富模型'!$E$20/12)+'Calc'!$B$6,IF(Calc!$A$162&lt;='财富模型'!$E$11*12,'Calc'!$W$12,'Calc'!$Y$12))))))),0))</x:f>
      </x:c>
      <x:c r="C162" t="str">
        <x:f>IF(Calc!$A$162&gt;'Calc'!$B$8,"",MAX(Calc!$C$161*(1+'财富模型'!$E$20/12)+'Calc'!$B$6-(IF('Calc'!$E$12=1,0,MIN(Calc!$C$161*(1+'财富模型'!$E$20/12)+'Calc'!$B$6,IF(Calc!$A$162&lt;='财富模型'!$E$11*12,'Calc'!$W$12,'Calc'!$Y$12)))),0))</x:f>
      </x:c>
      <x:c r="D162" t="str">
        <x:f>IF(Calc!$A$162&gt;'Calc'!$B$8,"",IF('Calc'!$E$12=1,'财富模型'!$E$9,'财富模型'!$M$4+IF(Calc!$A$162&lt;='财富模型'!$E$11*12,'Calc'!$W$12,'Calc'!$Y$12)-(IF('Calc'!$E$12=1,0,MIN(Calc!$C$161*(1+'财富模型'!$E$20/12)+'Calc'!$B$6,IF(Calc!$A$162&lt;='财富模型'!$E$11*12,'Calc'!$W$12,'Calc'!$Y$12))))))</x:f>
      </x:c>
      <x:c r="E162" t="str">
        <x:f>IF(Calc!$A$162&gt;'Calc'!$B$8,"",IF('Calc'!$E$12=1,0,MIN(Calc!$C$161*(1+'财富模型'!$E$20/12)+'Calc'!$B$6,IF(Calc!$A$162&lt;='财富模型'!$E$11*12,'Calc'!$W$12,'Calc'!$Y$12))))</x:f>
      </x:c>
      <x:c r="F162" t="str">
        <x:f>IF(Calc!$A$162&gt;'Calc'!$B$8,"",'Calc'!$B$5-'财富模型'!$E$5-(IF('Calc'!$E$12=1,'财富模型'!$E$9,'财富模型'!$M$4+IF(Calc!$A$162&lt;='财富模型'!$E$11*12,'Calc'!$W$12,'Calc'!$Y$12)-(IF('Calc'!$E$12=1,0,MIN(Calc!$C$161*(1+'财富模型'!$E$20/12)+'Calc'!$B$6,IF(Calc!$A$162&lt;='财富模型'!$E$11*12,'Calc'!$W$12,'Calc'!$Y$12)))))))</x:f>
      </x:c>
      <x:c r="G162" t="str">
        <x:f>IF(Calc!$A$162&gt;'Calc'!$B$8,"",IF('Calc'!$E$12=1,0,MAX(Calc!$G$161*(1+IF(Calc!$A$162&lt;='财富模型'!$E$11*12,'财富模型'!$E$10,'财富模型'!$E$12)/12)-IF('Calc'!$E$12=1,0,IF(Calc!$A$162&lt;='财富模型'!$E$11*12,'Calc'!$W$12,'Calc'!$Y$12)),0)))</x:f>
      </x:c>
      <x:c r="I162" t="n">
        <x:v>141</x:v>
      </x:c>
      <x:c r="J162" t="str">
        <x:f>IF(Calc!$I$162&gt;'Calc'!$B$8,"",MAX(Calc!$J$161*(1+'财富模型'!$E$6/12)+('Calc'!$B$5-'财富模型'!$E$5-(IF('Calc'!$E$13=1,'财富模型'!$E$9,'财富模型'!$M$5+IF(Calc!$I$162&lt;='财富模型'!$E$11*12,'Calc'!$W$13,'Calc'!$Y$13)-(IF('Calc'!$E$13=1,0,MIN(Calc!$K$161*(1+'财富模型'!$E$20/12)+'Calc'!$B$6,IF(Calc!$I$162&lt;='财富模型'!$E$11*12,'Calc'!$W$13,'Calc'!$Y$13))))))),0))</x:f>
      </x:c>
      <x:c r="K162" t="str">
        <x:f>IF(Calc!$I$162&gt;'Calc'!$B$8,"",MAX(Calc!$K$161*(1+'财富模型'!$E$20/12)+'Calc'!$B$6-(IF('Calc'!$E$13=1,0,MIN(Calc!$K$161*(1+'财富模型'!$E$20/12)+'Calc'!$B$6,IF(Calc!$I$162&lt;='财富模型'!$E$11*12,'Calc'!$W$13,'Calc'!$Y$13)))),0))</x:f>
      </x:c>
      <x:c r="L162" t="str">
        <x:f>IF(Calc!$I$162&gt;'Calc'!$B$8,"",IF('Calc'!$E$13=1,'财富模型'!$E$9,'财富模型'!$M$5+IF(Calc!$I$162&lt;='财富模型'!$E$11*12,'Calc'!$W$13,'Calc'!$Y$13)-(IF('Calc'!$E$13=1,0,MIN(Calc!$K$161*(1+'财富模型'!$E$20/12)+'Calc'!$B$6,IF(Calc!$I$162&lt;='财富模型'!$E$11*12,'Calc'!$W$13,'Calc'!$Y$13))))))</x:f>
      </x:c>
      <x:c r="M162" t="str">
        <x:f>IF(Calc!$I$162&gt;'Calc'!$B$8,"",IF('Calc'!$E$13=1,0,MIN(Calc!$K$161*(1+'财富模型'!$E$20/12)+'Calc'!$B$6,IF(Calc!$I$162&lt;='财富模型'!$E$11*12,'Calc'!$W$13,'Calc'!$Y$13))))</x:f>
      </x:c>
      <x:c r="N162" t="str">
        <x:f>IF(Calc!$I$162&gt;'Calc'!$B$8,"",'Calc'!$B$5-'财富模型'!$E$5-(IF('Calc'!$E$13=1,'财富模型'!$E$9,'财富模型'!$M$5+IF(Calc!$I$162&lt;='财富模型'!$E$11*12,'Calc'!$W$13,'Calc'!$Y$13)-(IF('Calc'!$E$13=1,0,MIN(Calc!$K$161*(1+'财富模型'!$E$20/12)+'Calc'!$B$6,IF(Calc!$I$162&lt;='财富模型'!$E$11*12,'Calc'!$W$13,'Calc'!$Y$13)))))))</x:f>
      </x:c>
      <x:c r="O162" t="str">
        <x:f>IF(Calc!$I$162&gt;'Calc'!$B$8,"",IF('Calc'!$E$13=1,0,MAX(Calc!$O$161*(1+IF(Calc!$I$162&lt;='财富模型'!$E$11*12,'财富模型'!$E$10,'财富模型'!$E$12)/12)-IF('Calc'!$E$13=1,0,IF(Calc!$I$162&lt;='财富模型'!$E$11*12,'Calc'!$W$13,'Calc'!$Y$13)),0)))</x:f>
      </x:c>
      <x:c r="Q162" t="n">
        <x:v>141</x:v>
      </x:c>
      <x:c r="R162" t="str">
        <x:f>IF(Calc!$Q$162&gt;'Calc'!$B$8,"",MAX(Calc!$R$161*(1+'财富模型'!$E$6/12)+('Calc'!$B$5-'财富模型'!$E$5-(IF('Calc'!$E$14=1,'财富模型'!$E$9,'财富模型'!$M$6+IF(Calc!$Q$162&lt;='财富模型'!$E$11*12,'Calc'!$W$14,'Calc'!$Y$14)-(IF('Calc'!$E$14=1,0,MIN(Calc!$S$161*(1+'财富模型'!$E$20/12)+'Calc'!$B$6,IF(Calc!$Q$162&lt;='财富模型'!$E$11*12,'Calc'!$W$14,'Calc'!$Y$14))))))),0))</x:f>
      </x:c>
      <x:c r="S162" t="str">
        <x:f>IF(Calc!$Q$162&gt;'Calc'!$B$8,"",MAX(Calc!$S$161*(1+'财富模型'!$E$20/12)+'Calc'!$B$6-(IF('Calc'!$E$14=1,0,MIN(Calc!$S$161*(1+'财富模型'!$E$20/12)+'Calc'!$B$6,IF(Calc!$Q$162&lt;='财富模型'!$E$11*12,'Calc'!$W$14,'Calc'!$Y$14)))),0))</x:f>
      </x:c>
      <x:c r="T162" t="str">
        <x:f>IF(Calc!$Q$162&gt;'Calc'!$B$8,"",IF('Calc'!$E$14=1,'财富模型'!$E$9,'财富模型'!$M$6+IF(Calc!$Q$162&lt;='财富模型'!$E$11*12,'Calc'!$W$14,'Calc'!$Y$14)-(IF('Calc'!$E$14=1,0,MIN(Calc!$S$161*(1+'财富模型'!$E$20/12)+'Calc'!$B$6,IF(Calc!$Q$162&lt;='财富模型'!$E$11*12,'Calc'!$W$14,'Calc'!$Y$14))))))</x:f>
      </x:c>
      <x:c r="U162" t="str">
        <x:f>IF(Calc!$Q$162&gt;'Calc'!$B$8,"",IF('Calc'!$E$14=1,0,MIN(Calc!$S$161*(1+'财富模型'!$E$20/12)+'Calc'!$B$6,IF(Calc!$Q$162&lt;='财富模型'!$E$11*12,'Calc'!$W$14,'Calc'!$Y$14))))</x:f>
      </x:c>
      <x:c r="V162" t="str">
        <x:f>IF(Calc!$Q$162&gt;'Calc'!$B$8,"",'Calc'!$B$5-'财富模型'!$E$5-(IF('Calc'!$E$14=1,'财富模型'!$E$9,'财富模型'!$M$6+IF(Calc!$Q$162&lt;='财富模型'!$E$11*12,'Calc'!$W$14,'Calc'!$Y$14)-(IF('Calc'!$E$14=1,0,MIN(Calc!$S$161*(1+'财富模型'!$E$20/12)+'Calc'!$B$6,IF(Calc!$Q$162&lt;='财富模型'!$E$11*12,'Calc'!$W$14,'Calc'!$Y$14)))))))</x:f>
      </x:c>
      <x:c r="W162" t="str">
        <x:f>IF(Calc!$Q$162&gt;'Calc'!$B$8,"",IF('Calc'!$E$14=1,0,MAX(Calc!$W$161*(1+IF(Calc!$Q$162&lt;='财富模型'!$E$11*12,'财富模型'!$E$10,'财富模型'!$E$12)/12)-IF('Calc'!$E$14=1,0,IF(Calc!$Q$162&lt;='财富模型'!$E$11*12,'Calc'!$W$14,'Calc'!$Y$14)),0)))</x:f>
      </x:c>
      <x:c r="Y162" t="n">
        <x:v>141</x:v>
      </x:c>
      <x:c r="Z162" t="str">
        <x:f>IF(Calc!$Y$162&gt;'Calc'!$B$8,"",MAX(Calc!$Z$161*(1+'财富模型'!$E$6/12)+('Calc'!$B$5-'财富模型'!$E$5-(IF('Calc'!$E$15=1,'财富模型'!$E$9,'财富模型'!$M$7+IF(Calc!$Y$162&lt;='财富模型'!$E$11*12,'Calc'!$W$15,'Calc'!$Y$15)-(IF('Calc'!$E$15=1,0,MIN(Calc!$AA$161*(1+'财富模型'!$E$20/12)+'Calc'!$B$6,IF(Calc!$Y$162&lt;='财富模型'!$E$11*12,'Calc'!$W$15,'Calc'!$Y$15))))))),0))</x:f>
      </x:c>
      <x:c r="AA162" t="str">
        <x:f>IF(Calc!$Y$162&gt;'Calc'!$B$8,"",MAX(Calc!$AA$161*(1+'财富模型'!$E$20/12)+'Calc'!$B$6-(IF('Calc'!$E$15=1,0,MIN(Calc!$AA$161*(1+'财富模型'!$E$20/12)+'Calc'!$B$6,IF(Calc!$Y$162&lt;='财富模型'!$E$11*12,'Calc'!$W$15,'Calc'!$Y$15)))),0))</x:f>
      </x:c>
      <x:c r="AB162" t="str">
        <x:f>IF(Calc!$Y$162&gt;'Calc'!$B$8,"",IF('Calc'!$E$15=1,'财富模型'!$E$9,'财富模型'!$M$7+IF(Calc!$Y$162&lt;='财富模型'!$E$11*12,'Calc'!$W$15,'Calc'!$Y$15)-(IF('Calc'!$E$15=1,0,MIN(Calc!$AA$161*(1+'财富模型'!$E$20/12)+'Calc'!$B$6,IF(Calc!$Y$162&lt;='财富模型'!$E$11*12,'Calc'!$W$15,'Calc'!$Y$15))))))</x:f>
      </x:c>
      <x:c r="AC162" t="str">
        <x:f>IF(Calc!$Y$162&gt;'Calc'!$B$8,"",IF('Calc'!$E$15=1,0,MIN(Calc!$AA$161*(1+'财富模型'!$E$20/12)+'Calc'!$B$6,IF(Calc!$Y$162&lt;='财富模型'!$E$11*12,'Calc'!$W$15,'Calc'!$Y$15))))</x:f>
      </x:c>
      <x:c r="AD162" t="str">
        <x:f>IF(Calc!$Y$162&gt;'Calc'!$B$8,"",'Calc'!$B$5-'财富模型'!$E$5-(IF('Calc'!$E$15=1,'财富模型'!$E$9,'财富模型'!$M$7+IF(Calc!$Y$162&lt;='财富模型'!$E$11*12,'Calc'!$W$15,'Calc'!$Y$15)-(IF('Calc'!$E$15=1,0,MIN(Calc!$AA$161*(1+'财富模型'!$E$20/12)+'Calc'!$B$6,IF(Calc!$Y$162&lt;='财富模型'!$E$11*12,'Calc'!$W$15,'Calc'!$Y$15)))))))</x:f>
      </x:c>
      <x:c r="AE162" t="str">
        <x:f>IF(Calc!$Y$162&gt;'Calc'!$B$8,"",IF('Calc'!$E$15=1,0,MAX(Calc!$AE$161*(1+IF(Calc!$Y$162&lt;='财富模型'!$E$11*12,'财富模型'!$E$10,'财富模型'!$E$12)/12)-IF('Calc'!$E$15=1,0,IF(Calc!$Y$162&lt;='财富模型'!$E$11*12,'Calc'!$W$15,'Calc'!$Y$15)),0)))</x:f>
      </x:c>
      <x:c r="AG162" t="n">
        <x:v>141</x:v>
      </x:c>
      <x:c r="AH162" t="str">
        <x:f>IF(Calc!$AG$162&gt;'Calc'!$B$8,"",MAX(Calc!$AH$161*(1+'财富模型'!$E$6/12)+('Calc'!$B$5-'财富模型'!$E$5-(IF('Calc'!$E$16=1,'财富模型'!$E$9,'财富模型'!$M$8+IF(Calc!$AG$162&lt;='财富模型'!$E$11*12,'Calc'!$W$16,'Calc'!$Y$16)-(IF('Calc'!$E$16=1,0,MIN(Calc!$AI$161*(1+'财富模型'!$E$20/12)+'Calc'!$B$6,IF(Calc!$AG$162&lt;='财富模型'!$E$11*12,'Calc'!$W$16,'Calc'!$Y$16))))))),0))</x:f>
      </x:c>
      <x:c r="AI162" t="str">
        <x:f>IF(Calc!$AG$162&gt;'Calc'!$B$8,"",MAX(Calc!$AI$161*(1+'财富模型'!$E$20/12)+'Calc'!$B$6-(IF('Calc'!$E$16=1,0,MIN(Calc!$AI$161*(1+'财富模型'!$E$20/12)+'Calc'!$B$6,IF(Calc!$AG$162&lt;='财富模型'!$E$11*12,'Calc'!$W$16,'Calc'!$Y$16)))),0))</x:f>
      </x:c>
      <x:c r="AJ162" t="str">
        <x:f>IF(Calc!$AG$162&gt;'Calc'!$B$8,"",IF('Calc'!$E$16=1,'财富模型'!$E$9,'财富模型'!$M$8+IF(Calc!$AG$162&lt;='财富模型'!$E$11*12,'Calc'!$W$16,'Calc'!$Y$16)-(IF('Calc'!$E$16=1,0,MIN(Calc!$AI$161*(1+'财富模型'!$E$20/12)+'Calc'!$B$6,IF(Calc!$AG$162&lt;='财富模型'!$E$11*12,'Calc'!$W$16,'Calc'!$Y$16))))))</x:f>
      </x:c>
      <x:c r="AK162" t="str">
        <x:f>IF(Calc!$AG$162&gt;'Calc'!$B$8,"",IF('Calc'!$E$16=1,0,MIN(Calc!$AI$161*(1+'财富模型'!$E$20/12)+'Calc'!$B$6,IF(Calc!$AG$162&lt;='财富模型'!$E$11*12,'Calc'!$W$16,'Calc'!$Y$16))))</x:f>
      </x:c>
      <x:c r="AL162" t="str">
        <x:f>IF(Calc!$AG$162&gt;'Calc'!$B$8,"",'Calc'!$B$5-'财富模型'!$E$5-(IF('Calc'!$E$16=1,'财富模型'!$E$9,'财富模型'!$M$8+IF(Calc!$AG$162&lt;='财富模型'!$E$11*12,'Calc'!$W$16,'Calc'!$Y$16)-(IF('Calc'!$E$16=1,0,MIN(Calc!$AI$161*(1+'财富模型'!$E$20/12)+'Calc'!$B$6,IF(Calc!$AG$162&lt;='财富模型'!$E$11*12,'Calc'!$W$16,'Calc'!$Y$16)))))))</x:f>
      </x:c>
      <x:c r="AM162" t="str">
        <x:f>IF(Calc!$AG$162&gt;'Calc'!$B$8,"",IF('Calc'!$E$16=1,0,MAX(Calc!$AM$161*(1+IF(Calc!$AG$162&lt;='财富模型'!$E$11*12,'财富模型'!$E$10,'财富模型'!$E$12)/12)-IF('Calc'!$E$16=1,0,IF(Calc!$AG$162&lt;='财富模型'!$E$11*12,'Calc'!$W$16,'Calc'!$Y$16)),0)))</x:f>
      </x:c>
      <x:c r="AO162" t="n">
        <x:v>141</x:v>
      </x:c>
      <x:c r="AP162" t="str">
        <x:f>IF(Calc!$AO$162&gt;'Calc'!$B$8,"",MAX(Calc!$AP$161*(1+'财富模型'!$E$6/12)+('Calc'!$B$5-'财富模型'!$E$5-(IF('Calc'!$E$17=1,'财富模型'!$E$9,'财富模型'!$M$9+IF(Calc!$AO$162&lt;='财富模型'!$E$11*12,'Calc'!$W$17,'Calc'!$Y$17)-(IF('Calc'!$E$17=1,0,MIN(Calc!$AQ$161*(1+'财富模型'!$E$20/12)+'Calc'!$B$6,IF(Calc!$AO$162&lt;='财富模型'!$E$11*12,'Calc'!$W$17,'Calc'!$Y$17))))))),0))</x:f>
      </x:c>
      <x:c r="AQ162" t="str">
        <x:f>IF(Calc!$AO$162&gt;'Calc'!$B$8,"",MAX(Calc!$AQ$161*(1+'财富模型'!$E$20/12)+'Calc'!$B$6-(IF('Calc'!$E$17=1,0,MIN(Calc!$AQ$161*(1+'财富模型'!$E$20/12)+'Calc'!$B$6,IF(Calc!$AO$162&lt;='财富模型'!$E$11*12,'Calc'!$W$17,'Calc'!$Y$17)))),0))</x:f>
      </x:c>
      <x:c r="AR162" t="str">
        <x:f>IF(Calc!$AO$162&gt;'Calc'!$B$8,"",IF('Calc'!$E$17=1,'财富模型'!$E$9,'财富模型'!$M$9+IF(Calc!$AO$162&lt;='财富模型'!$E$11*12,'Calc'!$W$17,'Calc'!$Y$17)-(IF('Calc'!$E$17=1,0,MIN(Calc!$AQ$161*(1+'财富模型'!$E$20/12)+'Calc'!$B$6,IF(Calc!$AO$162&lt;='财富模型'!$E$11*12,'Calc'!$W$17,'Calc'!$Y$17))))))</x:f>
      </x:c>
      <x:c r="AS162" t="str">
        <x:f>IF(Calc!$AO$162&gt;'Calc'!$B$8,"",IF('Calc'!$E$17=1,0,MIN(Calc!$AQ$161*(1+'财富模型'!$E$20/12)+'Calc'!$B$6,IF(Calc!$AO$162&lt;='财富模型'!$E$11*12,'Calc'!$W$17,'Calc'!$Y$17))))</x:f>
      </x:c>
      <x:c r="AT162" t="str">
        <x:f>IF(Calc!$AO$162&gt;'Calc'!$B$8,"",'Calc'!$B$5-'财富模型'!$E$5-(IF('Calc'!$E$17=1,'财富模型'!$E$9,'财富模型'!$M$9+IF(Calc!$AO$162&lt;='财富模型'!$E$11*12,'Calc'!$W$17,'Calc'!$Y$17)-(IF('Calc'!$E$17=1,0,MIN(Calc!$AQ$161*(1+'财富模型'!$E$20/12)+'Calc'!$B$6,IF(Calc!$AO$162&lt;='财富模型'!$E$11*12,'Calc'!$W$17,'Calc'!$Y$17)))))))</x:f>
      </x:c>
      <x:c r="AU162" t="str">
        <x:f>IF(Calc!$AO$162&gt;'Calc'!$B$8,"",IF('Calc'!$E$17=1,0,MAX(Calc!$AU$161*(1+IF(Calc!$AO$162&lt;='财富模型'!$E$11*12,'财富模型'!$E$10,'财富模型'!$E$12)/12)-IF('Calc'!$E$17=1,0,IF(Calc!$AO$162&lt;='财富模型'!$E$11*12,'Calc'!$W$17,'Calc'!$Y$17)),0)))</x:f>
      </x:c>
    </x:row>
    <x:row r="163">
      <x:c r="A163" t="n">
        <x:v>142</x:v>
      </x:c>
      <x:c r="B163" t="str">
        <x:f>IF(Calc!$A$163&gt;'Calc'!$B$8,"",MAX(Calc!$B$162*(1+'财富模型'!$E$6/12)+('Calc'!$B$5-'财富模型'!$E$5-(IF('Calc'!$E$12=1,'财富模型'!$E$9,'财富模型'!$M$4+IF(Calc!$A$163&lt;='财富模型'!$E$11*12,'Calc'!$W$12,'Calc'!$Y$12)-(IF('Calc'!$E$12=1,0,MIN(Calc!$C$162*(1+'财富模型'!$E$20/12)+'Calc'!$B$6,IF(Calc!$A$163&lt;='财富模型'!$E$11*12,'Calc'!$W$12,'Calc'!$Y$12))))))),0))</x:f>
      </x:c>
      <x:c r="C163" t="str">
        <x:f>IF(Calc!$A$163&gt;'Calc'!$B$8,"",MAX(Calc!$C$162*(1+'财富模型'!$E$20/12)+'Calc'!$B$6-(IF('Calc'!$E$12=1,0,MIN(Calc!$C$162*(1+'财富模型'!$E$20/12)+'Calc'!$B$6,IF(Calc!$A$163&lt;='财富模型'!$E$11*12,'Calc'!$W$12,'Calc'!$Y$12)))),0))</x:f>
      </x:c>
      <x:c r="D163" t="str">
        <x:f>IF(Calc!$A$163&gt;'Calc'!$B$8,"",IF('Calc'!$E$12=1,'财富模型'!$E$9,'财富模型'!$M$4+IF(Calc!$A$163&lt;='财富模型'!$E$11*12,'Calc'!$W$12,'Calc'!$Y$12)-(IF('Calc'!$E$12=1,0,MIN(Calc!$C$162*(1+'财富模型'!$E$20/12)+'Calc'!$B$6,IF(Calc!$A$163&lt;='财富模型'!$E$11*12,'Calc'!$W$12,'Calc'!$Y$12))))))</x:f>
      </x:c>
      <x:c r="E163" t="str">
        <x:f>IF(Calc!$A$163&gt;'Calc'!$B$8,"",IF('Calc'!$E$12=1,0,MIN(Calc!$C$162*(1+'财富模型'!$E$20/12)+'Calc'!$B$6,IF(Calc!$A$163&lt;='财富模型'!$E$11*12,'Calc'!$W$12,'Calc'!$Y$12))))</x:f>
      </x:c>
      <x:c r="F163" t="str">
        <x:f>IF(Calc!$A$163&gt;'Calc'!$B$8,"",'Calc'!$B$5-'财富模型'!$E$5-(IF('Calc'!$E$12=1,'财富模型'!$E$9,'财富模型'!$M$4+IF(Calc!$A$163&lt;='财富模型'!$E$11*12,'Calc'!$W$12,'Calc'!$Y$12)-(IF('Calc'!$E$12=1,0,MIN(Calc!$C$162*(1+'财富模型'!$E$20/12)+'Calc'!$B$6,IF(Calc!$A$163&lt;='财富模型'!$E$11*12,'Calc'!$W$12,'Calc'!$Y$12)))))))</x:f>
      </x:c>
      <x:c r="G163" t="str">
        <x:f>IF(Calc!$A$163&gt;'Calc'!$B$8,"",IF('Calc'!$E$12=1,0,MAX(Calc!$G$162*(1+IF(Calc!$A$163&lt;='财富模型'!$E$11*12,'财富模型'!$E$10,'财富模型'!$E$12)/12)-IF('Calc'!$E$12=1,0,IF(Calc!$A$163&lt;='财富模型'!$E$11*12,'Calc'!$W$12,'Calc'!$Y$12)),0)))</x:f>
      </x:c>
      <x:c r="I163" t="n">
        <x:v>142</x:v>
      </x:c>
      <x:c r="J163" t="str">
        <x:f>IF(Calc!$I$163&gt;'Calc'!$B$8,"",MAX(Calc!$J$162*(1+'财富模型'!$E$6/12)+('Calc'!$B$5-'财富模型'!$E$5-(IF('Calc'!$E$13=1,'财富模型'!$E$9,'财富模型'!$M$5+IF(Calc!$I$163&lt;='财富模型'!$E$11*12,'Calc'!$W$13,'Calc'!$Y$13)-(IF('Calc'!$E$13=1,0,MIN(Calc!$K$162*(1+'财富模型'!$E$20/12)+'Calc'!$B$6,IF(Calc!$I$163&lt;='财富模型'!$E$11*12,'Calc'!$W$13,'Calc'!$Y$13))))))),0))</x:f>
      </x:c>
      <x:c r="K163" t="str">
        <x:f>IF(Calc!$I$163&gt;'Calc'!$B$8,"",MAX(Calc!$K$162*(1+'财富模型'!$E$20/12)+'Calc'!$B$6-(IF('Calc'!$E$13=1,0,MIN(Calc!$K$162*(1+'财富模型'!$E$20/12)+'Calc'!$B$6,IF(Calc!$I$163&lt;='财富模型'!$E$11*12,'Calc'!$W$13,'Calc'!$Y$13)))),0))</x:f>
      </x:c>
      <x:c r="L163" t="str">
        <x:f>IF(Calc!$I$163&gt;'Calc'!$B$8,"",IF('Calc'!$E$13=1,'财富模型'!$E$9,'财富模型'!$M$5+IF(Calc!$I$163&lt;='财富模型'!$E$11*12,'Calc'!$W$13,'Calc'!$Y$13)-(IF('Calc'!$E$13=1,0,MIN(Calc!$K$162*(1+'财富模型'!$E$20/12)+'Calc'!$B$6,IF(Calc!$I$163&lt;='财富模型'!$E$11*12,'Calc'!$W$13,'Calc'!$Y$13))))))</x:f>
      </x:c>
      <x:c r="M163" t="str">
        <x:f>IF(Calc!$I$163&gt;'Calc'!$B$8,"",IF('Calc'!$E$13=1,0,MIN(Calc!$K$162*(1+'财富模型'!$E$20/12)+'Calc'!$B$6,IF(Calc!$I$163&lt;='财富模型'!$E$11*12,'Calc'!$W$13,'Calc'!$Y$13))))</x:f>
      </x:c>
      <x:c r="N163" t="str">
        <x:f>IF(Calc!$I$163&gt;'Calc'!$B$8,"",'Calc'!$B$5-'财富模型'!$E$5-(IF('Calc'!$E$13=1,'财富模型'!$E$9,'财富模型'!$M$5+IF(Calc!$I$163&lt;='财富模型'!$E$11*12,'Calc'!$W$13,'Calc'!$Y$13)-(IF('Calc'!$E$13=1,0,MIN(Calc!$K$162*(1+'财富模型'!$E$20/12)+'Calc'!$B$6,IF(Calc!$I$163&lt;='财富模型'!$E$11*12,'Calc'!$W$13,'Calc'!$Y$13)))))))</x:f>
      </x:c>
      <x:c r="O163" t="str">
        <x:f>IF(Calc!$I$163&gt;'Calc'!$B$8,"",IF('Calc'!$E$13=1,0,MAX(Calc!$O$162*(1+IF(Calc!$I$163&lt;='财富模型'!$E$11*12,'财富模型'!$E$10,'财富模型'!$E$12)/12)-IF('Calc'!$E$13=1,0,IF(Calc!$I$163&lt;='财富模型'!$E$11*12,'Calc'!$W$13,'Calc'!$Y$13)),0)))</x:f>
      </x:c>
      <x:c r="Q163" t="n">
        <x:v>142</x:v>
      </x:c>
      <x:c r="R163" t="str">
        <x:f>IF(Calc!$Q$163&gt;'Calc'!$B$8,"",MAX(Calc!$R$162*(1+'财富模型'!$E$6/12)+('Calc'!$B$5-'财富模型'!$E$5-(IF('Calc'!$E$14=1,'财富模型'!$E$9,'财富模型'!$M$6+IF(Calc!$Q$163&lt;='财富模型'!$E$11*12,'Calc'!$W$14,'Calc'!$Y$14)-(IF('Calc'!$E$14=1,0,MIN(Calc!$S$162*(1+'财富模型'!$E$20/12)+'Calc'!$B$6,IF(Calc!$Q$163&lt;='财富模型'!$E$11*12,'Calc'!$W$14,'Calc'!$Y$14))))))),0))</x:f>
      </x:c>
      <x:c r="S163" t="str">
        <x:f>IF(Calc!$Q$163&gt;'Calc'!$B$8,"",MAX(Calc!$S$162*(1+'财富模型'!$E$20/12)+'Calc'!$B$6-(IF('Calc'!$E$14=1,0,MIN(Calc!$S$162*(1+'财富模型'!$E$20/12)+'Calc'!$B$6,IF(Calc!$Q$163&lt;='财富模型'!$E$11*12,'Calc'!$W$14,'Calc'!$Y$14)))),0))</x:f>
      </x:c>
      <x:c r="T163" t="str">
        <x:f>IF(Calc!$Q$163&gt;'Calc'!$B$8,"",IF('Calc'!$E$14=1,'财富模型'!$E$9,'财富模型'!$M$6+IF(Calc!$Q$163&lt;='财富模型'!$E$11*12,'Calc'!$W$14,'Calc'!$Y$14)-(IF('Calc'!$E$14=1,0,MIN(Calc!$S$162*(1+'财富模型'!$E$20/12)+'Calc'!$B$6,IF(Calc!$Q$163&lt;='财富模型'!$E$11*12,'Calc'!$W$14,'Calc'!$Y$14))))))</x:f>
      </x:c>
      <x:c r="U163" t="str">
        <x:f>IF(Calc!$Q$163&gt;'Calc'!$B$8,"",IF('Calc'!$E$14=1,0,MIN(Calc!$S$162*(1+'财富模型'!$E$20/12)+'Calc'!$B$6,IF(Calc!$Q$163&lt;='财富模型'!$E$11*12,'Calc'!$W$14,'Calc'!$Y$14))))</x:f>
      </x:c>
      <x:c r="V163" t="str">
        <x:f>IF(Calc!$Q$163&gt;'Calc'!$B$8,"",'Calc'!$B$5-'财富模型'!$E$5-(IF('Calc'!$E$14=1,'财富模型'!$E$9,'财富模型'!$M$6+IF(Calc!$Q$163&lt;='财富模型'!$E$11*12,'Calc'!$W$14,'Calc'!$Y$14)-(IF('Calc'!$E$14=1,0,MIN(Calc!$S$162*(1+'财富模型'!$E$20/12)+'Calc'!$B$6,IF(Calc!$Q$163&lt;='财富模型'!$E$11*12,'Calc'!$W$14,'Calc'!$Y$14)))))))</x:f>
      </x:c>
      <x:c r="W163" t="str">
        <x:f>IF(Calc!$Q$163&gt;'Calc'!$B$8,"",IF('Calc'!$E$14=1,0,MAX(Calc!$W$162*(1+IF(Calc!$Q$163&lt;='财富模型'!$E$11*12,'财富模型'!$E$10,'财富模型'!$E$12)/12)-IF('Calc'!$E$14=1,0,IF(Calc!$Q$163&lt;='财富模型'!$E$11*12,'Calc'!$W$14,'Calc'!$Y$14)),0)))</x:f>
      </x:c>
      <x:c r="Y163" t="n">
        <x:v>142</x:v>
      </x:c>
      <x:c r="Z163" t="str">
        <x:f>IF(Calc!$Y$163&gt;'Calc'!$B$8,"",MAX(Calc!$Z$162*(1+'财富模型'!$E$6/12)+('Calc'!$B$5-'财富模型'!$E$5-(IF('Calc'!$E$15=1,'财富模型'!$E$9,'财富模型'!$M$7+IF(Calc!$Y$163&lt;='财富模型'!$E$11*12,'Calc'!$W$15,'Calc'!$Y$15)-(IF('Calc'!$E$15=1,0,MIN(Calc!$AA$162*(1+'财富模型'!$E$20/12)+'Calc'!$B$6,IF(Calc!$Y$163&lt;='财富模型'!$E$11*12,'Calc'!$W$15,'Calc'!$Y$15))))))),0))</x:f>
      </x:c>
      <x:c r="AA163" t="str">
        <x:f>IF(Calc!$Y$163&gt;'Calc'!$B$8,"",MAX(Calc!$AA$162*(1+'财富模型'!$E$20/12)+'Calc'!$B$6-(IF('Calc'!$E$15=1,0,MIN(Calc!$AA$162*(1+'财富模型'!$E$20/12)+'Calc'!$B$6,IF(Calc!$Y$163&lt;='财富模型'!$E$11*12,'Calc'!$W$15,'Calc'!$Y$15)))),0))</x:f>
      </x:c>
      <x:c r="AB163" t="str">
        <x:f>IF(Calc!$Y$163&gt;'Calc'!$B$8,"",IF('Calc'!$E$15=1,'财富模型'!$E$9,'财富模型'!$M$7+IF(Calc!$Y$163&lt;='财富模型'!$E$11*12,'Calc'!$W$15,'Calc'!$Y$15)-(IF('Calc'!$E$15=1,0,MIN(Calc!$AA$162*(1+'财富模型'!$E$20/12)+'Calc'!$B$6,IF(Calc!$Y$163&lt;='财富模型'!$E$11*12,'Calc'!$W$15,'Calc'!$Y$15))))))</x:f>
      </x:c>
      <x:c r="AC163" t="str">
        <x:f>IF(Calc!$Y$163&gt;'Calc'!$B$8,"",IF('Calc'!$E$15=1,0,MIN(Calc!$AA$162*(1+'财富模型'!$E$20/12)+'Calc'!$B$6,IF(Calc!$Y$163&lt;='财富模型'!$E$11*12,'Calc'!$W$15,'Calc'!$Y$15))))</x:f>
      </x:c>
      <x:c r="AD163" t="str">
        <x:f>IF(Calc!$Y$163&gt;'Calc'!$B$8,"",'Calc'!$B$5-'财富模型'!$E$5-(IF('Calc'!$E$15=1,'财富模型'!$E$9,'财富模型'!$M$7+IF(Calc!$Y$163&lt;='财富模型'!$E$11*12,'Calc'!$W$15,'Calc'!$Y$15)-(IF('Calc'!$E$15=1,0,MIN(Calc!$AA$162*(1+'财富模型'!$E$20/12)+'Calc'!$B$6,IF(Calc!$Y$163&lt;='财富模型'!$E$11*12,'Calc'!$W$15,'Calc'!$Y$15)))))))</x:f>
      </x:c>
      <x:c r="AE163" t="str">
        <x:f>IF(Calc!$Y$163&gt;'Calc'!$B$8,"",IF('Calc'!$E$15=1,0,MAX(Calc!$AE$162*(1+IF(Calc!$Y$163&lt;='财富模型'!$E$11*12,'财富模型'!$E$10,'财富模型'!$E$12)/12)-IF('Calc'!$E$15=1,0,IF(Calc!$Y$163&lt;='财富模型'!$E$11*12,'Calc'!$W$15,'Calc'!$Y$15)),0)))</x:f>
      </x:c>
      <x:c r="AG163" t="n">
        <x:v>142</x:v>
      </x:c>
      <x:c r="AH163" t="str">
        <x:f>IF(Calc!$AG$163&gt;'Calc'!$B$8,"",MAX(Calc!$AH$162*(1+'财富模型'!$E$6/12)+('Calc'!$B$5-'财富模型'!$E$5-(IF('Calc'!$E$16=1,'财富模型'!$E$9,'财富模型'!$M$8+IF(Calc!$AG$163&lt;='财富模型'!$E$11*12,'Calc'!$W$16,'Calc'!$Y$16)-(IF('Calc'!$E$16=1,0,MIN(Calc!$AI$162*(1+'财富模型'!$E$20/12)+'Calc'!$B$6,IF(Calc!$AG$163&lt;='财富模型'!$E$11*12,'Calc'!$W$16,'Calc'!$Y$16))))))),0))</x:f>
      </x:c>
      <x:c r="AI163" t="str">
        <x:f>IF(Calc!$AG$163&gt;'Calc'!$B$8,"",MAX(Calc!$AI$162*(1+'财富模型'!$E$20/12)+'Calc'!$B$6-(IF('Calc'!$E$16=1,0,MIN(Calc!$AI$162*(1+'财富模型'!$E$20/12)+'Calc'!$B$6,IF(Calc!$AG$163&lt;='财富模型'!$E$11*12,'Calc'!$W$16,'Calc'!$Y$16)))),0))</x:f>
      </x:c>
      <x:c r="AJ163" t="str">
        <x:f>IF(Calc!$AG$163&gt;'Calc'!$B$8,"",IF('Calc'!$E$16=1,'财富模型'!$E$9,'财富模型'!$M$8+IF(Calc!$AG$163&lt;='财富模型'!$E$11*12,'Calc'!$W$16,'Calc'!$Y$16)-(IF('Calc'!$E$16=1,0,MIN(Calc!$AI$162*(1+'财富模型'!$E$20/12)+'Calc'!$B$6,IF(Calc!$AG$163&lt;='财富模型'!$E$11*12,'Calc'!$W$16,'Calc'!$Y$16))))))</x:f>
      </x:c>
      <x:c r="AK163" t="str">
        <x:f>IF(Calc!$AG$163&gt;'Calc'!$B$8,"",IF('Calc'!$E$16=1,0,MIN(Calc!$AI$162*(1+'财富模型'!$E$20/12)+'Calc'!$B$6,IF(Calc!$AG$163&lt;='财富模型'!$E$11*12,'Calc'!$W$16,'Calc'!$Y$16))))</x:f>
      </x:c>
      <x:c r="AL163" t="str">
        <x:f>IF(Calc!$AG$163&gt;'Calc'!$B$8,"",'Calc'!$B$5-'财富模型'!$E$5-(IF('Calc'!$E$16=1,'财富模型'!$E$9,'财富模型'!$M$8+IF(Calc!$AG$163&lt;='财富模型'!$E$11*12,'Calc'!$W$16,'Calc'!$Y$16)-(IF('Calc'!$E$16=1,0,MIN(Calc!$AI$162*(1+'财富模型'!$E$20/12)+'Calc'!$B$6,IF(Calc!$AG$163&lt;='财富模型'!$E$11*12,'Calc'!$W$16,'Calc'!$Y$16)))))))</x:f>
      </x:c>
      <x:c r="AM163" t="str">
        <x:f>IF(Calc!$AG$163&gt;'Calc'!$B$8,"",IF('Calc'!$E$16=1,0,MAX(Calc!$AM$162*(1+IF(Calc!$AG$163&lt;='财富模型'!$E$11*12,'财富模型'!$E$10,'财富模型'!$E$12)/12)-IF('Calc'!$E$16=1,0,IF(Calc!$AG$163&lt;='财富模型'!$E$11*12,'Calc'!$W$16,'Calc'!$Y$16)),0)))</x:f>
      </x:c>
      <x:c r="AO163" t="n">
        <x:v>142</x:v>
      </x:c>
      <x:c r="AP163" t="str">
        <x:f>IF(Calc!$AO$163&gt;'Calc'!$B$8,"",MAX(Calc!$AP$162*(1+'财富模型'!$E$6/12)+('Calc'!$B$5-'财富模型'!$E$5-(IF('Calc'!$E$17=1,'财富模型'!$E$9,'财富模型'!$M$9+IF(Calc!$AO$163&lt;='财富模型'!$E$11*12,'Calc'!$W$17,'Calc'!$Y$17)-(IF('Calc'!$E$17=1,0,MIN(Calc!$AQ$162*(1+'财富模型'!$E$20/12)+'Calc'!$B$6,IF(Calc!$AO$163&lt;='财富模型'!$E$11*12,'Calc'!$W$17,'Calc'!$Y$17))))))),0))</x:f>
      </x:c>
      <x:c r="AQ163" t="str">
        <x:f>IF(Calc!$AO$163&gt;'Calc'!$B$8,"",MAX(Calc!$AQ$162*(1+'财富模型'!$E$20/12)+'Calc'!$B$6-(IF('Calc'!$E$17=1,0,MIN(Calc!$AQ$162*(1+'财富模型'!$E$20/12)+'Calc'!$B$6,IF(Calc!$AO$163&lt;='财富模型'!$E$11*12,'Calc'!$W$17,'Calc'!$Y$17)))),0))</x:f>
      </x:c>
      <x:c r="AR163" t="str">
        <x:f>IF(Calc!$AO$163&gt;'Calc'!$B$8,"",IF('Calc'!$E$17=1,'财富模型'!$E$9,'财富模型'!$M$9+IF(Calc!$AO$163&lt;='财富模型'!$E$11*12,'Calc'!$W$17,'Calc'!$Y$17)-(IF('Calc'!$E$17=1,0,MIN(Calc!$AQ$162*(1+'财富模型'!$E$20/12)+'Calc'!$B$6,IF(Calc!$AO$163&lt;='财富模型'!$E$11*12,'Calc'!$W$17,'Calc'!$Y$17))))))</x:f>
      </x:c>
      <x:c r="AS163" t="str">
        <x:f>IF(Calc!$AO$163&gt;'Calc'!$B$8,"",IF('Calc'!$E$17=1,0,MIN(Calc!$AQ$162*(1+'财富模型'!$E$20/12)+'Calc'!$B$6,IF(Calc!$AO$163&lt;='财富模型'!$E$11*12,'Calc'!$W$17,'Calc'!$Y$17))))</x:f>
      </x:c>
      <x:c r="AT163" t="str">
        <x:f>IF(Calc!$AO$163&gt;'Calc'!$B$8,"",'Calc'!$B$5-'财富模型'!$E$5-(IF('Calc'!$E$17=1,'财富模型'!$E$9,'财富模型'!$M$9+IF(Calc!$AO$163&lt;='财富模型'!$E$11*12,'Calc'!$W$17,'Calc'!$Y$17)-(IF('Calc'!$E$17=1,0,MIN(Calc!$AQ$162*(1+'财富模型'!$E$20/12)+'Calc'!$B$6,IF(Calc!$AO$163&lt;='财富模型'!$E$11*12,'Calc'!$W$17,'Calc'!$Y$17)))))))</x:f>
      </x:c>
      <x:c r="AU163" t="str">
        <x:f>IF(Calc!$AO$163&gt;'Calc'!$B$8,"",IF('Calc'!$E$17=1,0,MAX(Calc!$AU$162*(1+IF(Calc!$AO$163&lt;='财富模型'!$E$11*12,'财富模型'!$E$10,'财富模型'!$E$12)/12)-IF('Calc'!$E$17=1,0,IF(Calc!$AO$163&lt;='财富模型'!$E$11*12,'Calc'!$W$17,'Calc'!$Y$17)),0)))</x:f>
      </x:c>
    </x:row>
    <x:row r="164">
      <x:c r="A164" t="n">
        <x:v>143</x:v>
      </x:c>
      <x:c r="B164" t="str">
        <x:f>IF(Calc!$A$164&gt;'Calc'!$B$8,"",MAX(Calc!$B$163*(1+'财富模型'!$E$6/12)+('Calc'!$B$5-'财富模型'!$E$5-(IF('Calc'!$E$12=1,'财富模型'!$E$9,'财富模型'!$M$4+IF(Calc!$A$164&lt;='财富模型'!$E$11*12,'Calc'!$W$12,'Calc'!$Y$12)-(IF('Calc'!$E$12=1,0,MIN(Calc!$C$163*(1+'财富模型'!$E$20/12)+'Calc'!$B$6,IF(Calc!$A$164&lt;='财富模型'!$E$11*12,'Calc'!$W$12,'Calc'!$Y$12))))))),0))</x:f>
      </x:c>
      <x:c r="C164" t="str">
        <x:f>IF(Calc!$A$164&gt;'Calc'!$B$8,"",MAX(Calc!$C$163*(1+'财富模型'!$E$20/12)+'Calc'!$B$6-(IF('Calc'!$E$12=1,0,MIN(Calc!$C$163*(1+'财富模型'!$E$20/12)+'Calc'!$B$6,IF(Calc!$A$164&lt;='财富模型'!$E$11*12,'Calc'!$W$12,'Calc'!$Y$12)))),0))</x:f>
      </x:c>
      <x:c r="D164" t="str">
        <x:f>IF(Calc!$A$164&gt;'Calc'!$B$8,"",IF('Calc'!$E$12=1,'财富模型'!$E$9,'财富模型'!$M$4+IF(Calc!$A$164&lt;='财富模型'!$E$11*12,'Calc'!$W$12,'Calc'!$Y$12)-(IF('Calc'!$E$12=1,0,MIN(Calc!$C$163*(1+'财富模型'!$E$20/12)+'Calc'!$B$6,IF(Calc!$A$164&lt;='财富模型'!$E$11*12,'Calc'!$W$12,'Calc'!$Y$12))))))</x:f>
      </x:c>
      <x:c r="E164" t="str">
        <x:f>IF(Calc!$A$164&gt;'Calc'!$B$8,"",IF('Calc'!$E$12=1,0,MIN(Calc!$C$163*(1+'财富模型'!$E$20/12)+'Calc'!$B$6,IF(Calc!$A$164&lt;='财富模型'!$E$11*12,'Calc'!$W$12,'Calc'!$Y$12))))</x:f>
      </x:c>
      <x:c r="F164" t="str">
        <x:f>IF(Calc!$A$164&gt;'Calc'!$B$8,"",'Calc'!$B$5-'财富模型'!$E$5-(IF('Calc'!$E$12=1,'财富模型'!$E$9,'财富模型'!$M$4+IF(Calc!$A$164&lt;='财富模型'!$E$11*12,'Calc'!$W$12,'Calc'!$Y$12)-(IF('Calc'!$E$12=1,0,MIN(Calc!$C$163*(1+'财富模型'!$E$20/12)+'Calc'!$B$6,IF(Calc!$A$164&lt;='财富模型'!$E$11*12,'Calc'!$W$12,'Calc'!$Y$12)))))))</x:f>
      </x:c>
      <x:c r="G164" t="str">
        <x:f>IF(Calc!$A$164&gt;'Calc'!$B$8,"",IF('Calc'!$E$12=1,0,MAX(Calc!$G$163*(1+IF(Calc!$A$164&lt;='财富模型'!$E$11*12,'财富模型'!$E$10,'财富模型'!$E$12)/12)-IF('Calc'!$E$12=1,0,IF(Calc!$A$164&lt;='财富模型'!$E$11*12,'Calc'!$W$12,'Calc'!$Y$12)),0)))</x:f>
      </x:c>
      <x:c r="I164" t="n">
        <x:v>143</x:v>
      </x:c>
      <x:c r="J164" t="str">
        <x:f>IF(Calc!$I$164&gt;'Calc'!$B$8,"",MAX(Calc!$J$163*(1+'财富模型'!$E$6/12)+('Calc'!$B$5-'财富模型'!$E$5-(IF('Calc'!$E$13=1,'财富模型'!$E$9,'财富模型'!$M$5+IF(Calc!$I$164&lt;='财富模型'!$E$11*12,'Calc'!$W$13,'Calc'!$Y$13)-(IF('Calc'!$E$13=1,0,MIN(Calc!$K$163*(1+'财富模型'!$E$20/12)+'Calc'!$B$6,IF(Calc!$I$164&lt;='财富模型'!$E$11*12,'Calc'!$W$13,'Calc'!$Y$13))))))),0))</x:f>
      </x:c>
      <x:c r="K164" t="str">
        <x:f>IF(Calc!$I$164&gt;'Calc'!$B$8,"",MAX(Calc!$K$163*(1+'财富模型'!$E$20/12)+'Calc'!$B$6-(IF('Calc'!$E$13=1,0,MIN(Calc!$K$163*(1+'财富模型'!$E$20/12)+'Calc'!$B$6,IF(Calc!$I$164&lt;='财富模型'!$E$11*12,'Calc'!$W$13,'Calc'!$Y$13)))),0))</x:f>
      </x:c>
      <x:c r="L164" t="str">
        <x:f>IF(Calc!$I$164&gt;'Calc'!$B$8,"",IF('Calc'!$E$13=1,'财富模型'!$E$9,'财富模型'!$M$5+IF(Calc!$I$164&lt;='财富模型'!$E$11*12,'Calc'!$W$13,'Calc'!$Y$13)-(IF('Calc'!$E$13=1,0,MIN(Calc!$K$163*(1+'财富模型'!$E$20/12)+'Calc'!$B$6,IF(Calc!$I$164&lt;='财富模型'!$E$11*12,'Calc'!$W$13,'Calc'!$Y$13))))))</x:f>
      </x:c>
      <x:c r="M164" t="str">
        <x:f>IF(Calc!$I$164&gt;'Calc'!$B$8,"",IF('Calc'!$E$13=1,0,MIN(Calc!$K$163*(1+'财富模型'!$E$20/12)+'Calc'!$B$6,IF(Calc!$I$164&lt;='财富模型'!$E$11*12,'Calc'!$W$13,'Calc'!$Y$13))))</x:f>
      </x:c>
      <x:c r="N164" t="str">
        <x:f>IF(Calc!$I$164&gt;'Calc'!$B$8,"",'Calc'!$B$5-'财富模型'!$E$5-(IF('Calc'!$E$13=1,'财富模型'!$E$9,'财富模型'!$M$5+IF(Calc!$I$164&lt;='财富模型'!$E$11*12,'Calc'!$W$13,'Calc'!$Y$13)-(IF('Calc'!$E$13=1,0,MIN(Calc!$K$163*(1+'财富模型'!$E$20/12)+'Calc'!$B$6,IF(Calc!$I$164&lt;='财富模型'!$E$11*12,'Calc'!$W$13,'Calc'!$Y$13)))))))</x:f>
      </x:c>
      <x:c r="O164" t="str">
        <x:f>IF(Calc!$I$164&gt;'Calc'!$B$8,"",IF('Calc'!$E$13=1,0,MAX(Calc!$O$163*(1+IF(Calc!$I$164&lt;='财富模型'!$E$11*12,'财富模型'!$E$10,'财富模型'!$E$12)/12)-IF('Calc'!$E$13=1,0,IF(Calc!$I$164&lt;='财富模型'!$E$11*12,'Calc'!$W$13,'Calc'!$Y$13)),0)))</x:f>
      </x:c>
      <x:c r="Q164" t="n">
        <x:v>143</x:v>
      </x:c>
      <x:c r="R164" t="str">
        <x:f>IF(Calc!$Q$164&gt;'Calc'!$B$8,"",MAX(Calc!$R$163*(1+'财富模型'!$E$6/12)+('Calc'!$B$5-'财富模型'!$E$5-(IF('Calc'!$E$14=1,'财富模型'!$E$9,'财富模型'!$M$6+IF(Calc!$Q$164&lt;='财富模型'!$E$11*12,'Calc'!$W$14,'Calc'!$Y$14)-(IF('Calc'!$E$14=1,0,MIN(Calc!$S$163*(1+'财富模型'!$E$20/12)+'Calc'!$B$6,IF(Calc!$Q$164&lt;='财富模型'!$E$11*12,'Calc'!$W$14,'Calc'!$Y$14))))))),0))</x:f>
      </x:c>
      <x:c r="S164" t="str">
        <x:f>IF(Calc!$Q$164&gt;'Calc'!$B$8,"",MAX(Calc!$S$163*(1+'财富模型'!$E$20/12)+'Calc'!$B$6-(IF('Calc'!$E$14=1,0,MIN(Calc!$S$163*(1+'财富模型'!$E$20/12)+'Calc'!$B$6,IF(Calc!$Q$164&lt;='财富模型'!$E$11*12,'Calc'!$W$14,'Calc'!$Y$14)))),0))</x:f>
      </x:c>
      <x:c r="T164" t="str">
        <x:f>IF(Calc!$Q$164&gt;'Calc'!$B$8,"",IF('Calc'!$E$14=1,'财富模型'!$E$9,'财富模型'!$M$6+IF(Calc!$Q$164&lt;='财富模型'!$E$11*12,'Calc'!$W$14,'Calc'!$Y$14)-(IF('Calc'!$E$14=1,0,MIN(Calc!$S$163*(1+'财富模型'!$E$20/12)+'Calc'!$B$6,IF(Calc!$Q$164&lt;='财富模型'!$E$11*12,'Calc'!$W$14,'Calc'!$Y$14))))))</x:f>
      </x:c>
      <x:c r="U164" t="str">
        <x:f>IF(Calc!$Q$164&gt;'Calc'!$B$8,"",IF('Calc'!$E$14=1,0,MIN(Calc!$S$163*(1+'财富模型'!$E$20/12)+'Calc'!$B$6,IF(Calc!$Q$164&lt;='财富模型'!$E$11*12,'Calc'!$W$14,'Calc'!$Y$14))))</x:f>
      </x:c>
      <x:c r="V164" t="str">
        <x:f>IF(Calc!$Q$164&gt;'Calc'!$B$8,"",'Calc'!$B$5-'财富模型'!$E$5-(IF('Calc'!$E$14=1,'财富模型'!$E$9,'财富模型'!$M$6+IF(Calc!$Q$164&lt;='财富模型'!$E$11*12,'Calc'!$W$14,'Calc'!$Y$14)-(IF('Calc'!$E$14=1,0,MIN(Calc!$S$163*(1+'财富模型'!$E$20/12)+'Calc'!$B$6,IF(Calc!$Q$164&lt;='财富模型'!$E$11*12,'Calc'!$W$14,'Calc'!$Y$14)))))))</x:f>
      </x:c>
      <x:c r="W164" t="str">
        <x:f>IF(Calc!$Q$164&gt;'Calc'!$B$8,"",IF('Calc'!$E$14=1,0,MAX(Calc!$W$163*(1+IF(Calc!$Q$164&lt;='财富模型'!$E$11*12,'财富模型'!$E$10,'财富模型'!$E$12)/12)-IF('Calc'!$E$14=1,0,IF(Calc!$Q$164&lt;='财富模型'!$E$11*12,'Calc'!$W$14,'Calc'!$Y$14)),0)))</x:f>
      </x:c>
      <x:c r="Y164" t="n">
        <x:v>143</x:v>
      </x:c>
      <x:c r="Z164" t="str">
        <x:f>IF(Calc!$Y$164&gt;'Calc'!$B$8,"",MAX(Calc!$Z$163*(1+'财富模型'!$E$6/12)+('Calc'!$B$5-'财富模型'!$E$5-(IF('Calc'!$E$15=1,'财富模型'!$E$9,'财富模型'!$M$7+IF(Calc!$Y$164&lt;='财富模型'!$E$11*12,'Calc'!$W$15,'Calc'!$Y$15)-(IF('Calc'!$E$15=1,0,MIN(Calc!$AA$163*(1+'财富模型'!$E$20/12)+'Calc'!$B$6,IF(Calc!$Y$164&lt;='财富模型'!$E$11*12,'Calc'!$W$15,'Calc'!$Y$15))))))),0))</x:f>
      </x:c>
      <x:c r="AA164" t="str">
        <x:f>IF(Calc!$Y$164&gt;'Calc'!$B$8,"",MAX(Calc!$AA$163*(1+'财富模型'!$E$20/12)+'Calc'!$B$6-(IF('Calc'!$E$15=1,0,MIN(Calc!$AA$163*(1+'财富模型'!$E$20/12)+'Calc'!$B$6,IF(Calc!$Y$164&lt;='财富模型'!$E$11*12,'Calc'!$W$15,'Calc'!$Y$15)))),0))</x:f>
      </x:c>
      <x:c r="AB164" t="str">
        <x:f>IF(Calc!$Y$164&gt;'Calc'!$B$8,"",IF('Calc'!$E$15=1,'财富模型'!$E$9,'财富模型'!$M$7+IF(Calc!$Y$164&lt;='财富模型'!$E$11*12,'Calc'!$W$15,'Calc'!$Y$15)-(IF('Calc'!$E$15=1,0,MIN(Calc!$AA$163*(1+'财富模型'!$E$20/12)+'Calc'!$B$6,IF(Calc!$Y$164&lt;='财富模型'!$E$11*12,'Calc'!$W$15,'Calc'!$Y$15))))))</x:f>
      </x:c>
      <x:c r="AC164" t="str">
        <x:f>IF(Calc!$Y$164&gt;'Calc'!$B$8,"",IF('Calc'!$E$15=1,0,MIN(Calc!$AA$163*(1+'财富模型'!$E$20/12)+'Calc'!$B$6,IF(Calc!$Y$164&lt;='财富模型'!$E$11*12,'Calc'!$W$15,'Calc'!$Y$15))))</x:f>
      </x:c>
      <x:c r="AD164" t="str">
        <x:f>IF(Calc!$Y$164&gt;'Calc'!$B$8,"",'Calc'!$B$5-'财富模型'!$E$5-(IF('Calc'!$E$15=1,'财富模型'!$E$9,'财富模型'!$M$7+IF(Calc!$Y$164&lt;='财富模型'!$E$11*12,'Calc'!$W$15,'Calc'!$Y$15)-(IF('Calc'!$E$15=1,0,MIN(Calc!$AA$163*(1+'财富模型'!$E$20/12)+'Calc'!$B$6,IF(Calc!$Y$164&lt;='财富模型'!$E$11*12,'Calc'!$W$15,'Calc'!$Y$15)))))))</x:f>
      </x:c>
      <x:c r="AE164" t="str">
        <x:f>IF(Calc!$Y$164&gt;'Calc'!$B$8,"",IF('Calc'!$E$15=1,0,MAX(Calc!$AE$163*(1+IF(Calc!$Y$164&lt;='财富模型'!$E$11*12,'财富模型'!$E$10,'财富模型'!$E$12)/12)-IF('Calc'!$E$15=1,0,IF(Calc!$Y$164&lt;='财富模型'!$E$11*12,'Calc'!$W$15,'Calc'!$Y$15)),0)))</x:f>
      </x:c>
      <x:c r="AG164" t="n">
        <x:v>143</x:v>
      </x:c>
      <x:c r="AH164" t="str">
        <x:f>IF(Calc!$AG$164&gt;'Calc'!$B$8,"",MAX(Calc!$AH$163*(1+'财富模型'!$E$6/12)+('Calc'!$B$5-'财富模型'!$E$5-(IF('Calc'!$E$16=1,'财富模型'!$E$9,'财富模型'!$M$8+IF(Calc!$AG$164&lt;='财富模型'!$E$11*12,'Calc'!$W$16,'Calc'!$Y$16)-(IF('Calc'!$E$16=1,0,MIN(Calc!$AI$163*(1+'财富模型'!$E$20/12)+'Calc'!$B$6,IF(Calc!$AG$164&lt;='财富模型'!$E$11*12,'Calc'!$W$16,'Calc'!$Y$16))))))),0))</x:f>
      </x:c>
      <x:c r="AI164" t="str">
        <x:f>IF(Calc!$AG$164&gt;'Calc'!$B$8,"",MAX(Calc!$AI$163*(1+'财富模型'!$E$20/12)+'Calc'!$B$6-(IF('Calc'!$E$16=1,0,MIN(Calc!$AI$163*(1+'财富模型'!$E$20/12)+'Calc'!$B$6,IF(Calc!$AG$164&lt;='财富模型'!$E$11*12,'Calc'!$W$16,'Calc'!$Y$16)))),0))</x:f>
      </x:c>
      <x:c r="AJ164" t="str">
        <x:f>IF(Calc!$AG$164&gt;'Calc'!$B$8,"",IF('Calc'!$E$16=1,'财富模型'!$E$9,'财富模型'!$M$8+IF(Calc!$AG$164&lt;='财富模型'!$E$11*12,'Calc'!$W$16,'Calc'!$Y$16)-(IF('Calc'!$E$16=1,0,MIN(Calc!$AI$163*(1+'财富模型'!$E$20/12)+'Calc'!$B$6,IF(Calc!$AG$164&lt;='财富模型'!$E$11*12,'Calc'!$W$16,'Calc'!$Y$16))))))</x:f>
      </x:c>
      <x:c r="AK164" t="str">
        <x:f>IF(Calc!$AG$164&gt;'Calc'!$B$8,"",IF('Calc'!$E$16=1,0,MIN(Calc!$AI$163*(1+'财富模型'!$E$20/12)+'Calc'!$B$6,IF(Calc!$AG$164&lt;='财富模型'!$E$11*12,'Calc'!$W$16,'Calc'!$Y$16))))</x:f>
      </x:c>
      <x:c r="AL164" t="str">
        <x:f>IF(Calc!$AG$164&gt;'Calc'!$B$8,"",'Calc'!$B$5-'财富模型'!$E$5-(IF('Calc'!$E$16=1,'财富模型'!$E$9,'财富模型'!$M$8+IF(Calc!$AG$164&lt;='财富模型'!$E$11*12,'Calc'!$W$16,'Calc'!$Y$16)-(IF('Calc'!$E$16=1,0,MIN(Calc!$AI$163*(1+'财富模型'!$E$20/12)+'Calc'!$B$6,IF(Calc!$AG$164&lt;='财富模型'!$E$11*12,'Calc'!$W$16,'Calc'!$Y$16)))))))</x:f>
      </x:c>
      <x:c r="AM164" t="str">
        <x:f>IF(Calc!$AG$164&gt;'Calc'!$B$8,"",IF('Calc'!$E$16=1,0,MAX(Calc!$AM$163*(1+IF(Calc!$AG$164&lt;='财富模型'!$E$11*12,'财富模型'!$E$10,'财富模型'!$E$12)/12)-IF('Calc'!$E$16=1,0,IF(Calc!$AG$164&lt;='财富模型'!$E$11*12,'Calc'!$W$16,'Calc'!$Y$16)),0)))</x:f>
      </x:c>
      <x:c r="AO164" t="n">
        <x:v>143</x:v>
      </x:c>
      <x:c r="AP164" t="str">
        <x:f>IF(Calc!$AO$164&gt;'Calc'!$B$8,"",MAX(Calc!$AP$163*(1+'财富模型'!$E$6/12)+('Calc'!$B$5-'财富模型'!$E$5-(IF('Calc'!$E$17=1,'财富模型'!$E$9,'财富模型'!$M$9+IF(Calc!$AO$164&lt;='财富模型'!$E$11*12,'Calc'!$W$17,'Calc'!$Y$17)-(IF('Calc'!$E$17=1,0,MIN(Calc!$AQ$163*(1+'财富模型'!$E$20/12)+'Calc'!$B$6,IF(Calc!$AO$164&lt;='财富模型'!$E$11*12,'Calc'!$W$17,'Calc'!$Y$17))))))),0))</x:f>
      </x:c>
      <x:c r="AQ164" t="str">
        <x:f>IF(Calc!$AO$164&gt;'Calc'!$B$8,"",MAX(Calc!$AQ$163*(1+'财富模型'!$E$20/12)+'Calc'!$B$6-(IF('Calc'!$E$17=1,0,MIN(Calc!$AQ$163*(1+'财富模型'!$E$20/12)+'Calc'!$B$6,IF(Calc!$AO$164&lt;='财富模型'!$E$11*12,'Calc'!$W$17,'Calc'!$Y$17)))),0))</x:f>
      </x:c>
      <x:c r="AR164" t="str">
        <x:f>IF(Calc!$AO$164&gt;'Calc'!$B$8,"",IF('Calc'!$E$17=1,'财富模型'!$E$9,'财富模型'!$M$9+IF(Calc!$AO$164&lt;='财富模型'!$E$11*12,'Calc'!$W$17,'Calc'!$Y$17)-(IF('Calc'!$E$17=1,0,MIN(Calc!$AQ$163*(1+'财富模型'!$E$20/12)+'Calc'!$B$6,IF(Calc!$AO$164&lt;='财富模型'!$E$11*12,'Calc'!$W$17,'Calc'!$Y$17))))))</x:f>
      </x:c>
      <x:c r="AS164" t="str">
        <x:f>IF(Calc!$AO$164&gt;'Calc'!$B$8,"",IF('Calc'!$E$17=1,0,MIN(Calc!$AQ$163*(1+'财富模型'!$E$20/12)+'Calc'!$B$6,IF(Calc!$AO$164&lt;='财富模型'!$E$11*12,'Calc'!$W$17,'Calc'!$Y$17))))</x:f>
      </x:c>
      <x:c r="AT164" t="str">
        <x:f>IF(Calc!$AO$164&gt;'Calc'!$B$8,"",'Calc'!$B$5-'财富模型'!$E$5-(IF('Calc'!$E$17=1,'财富模型'!$E$9,'财富模型'!$M$9+IF(Calc!$AO$164&lt;='财富模型'!$E$11*12,'Calc'!$W$17,'Calc'!$Y$17)-(IF('Calc'!$E$17=1,0,MIN(Calc!$AQ$163*(1+'财富模型'!$E$20/12)+'Calc'!$B$6,IF(Calc!$AO$164&lt;='财富模型'!$E$11*12,'Calc'!$W$17,'Calc'!$Y$17)))))))</x:f>
      </x:c>
      <x:c r="AU164" t="str">
        <x:f>IF(Calc!$AO$164&gt;'Calc'!$B$8,"",IF('Calc'!$E$17=1,0,MAX(Calc!$AU$163*(1+IF(Calc!$AO$164&lt;='财富模型'!$E$11*12,'财富模型'!$E$10,'财富模型'!$E$12)/12)-IF('Calc'!$E$17=1,0,IF(Calc!$AO$164&lt;='财富模型'!$E$11*12,'Calc'!$W$17,'Calc'!$Y$17)),0)))</x:f>
      </x:c>
    </x:row>
    <x:row r="165">
      <x:c r="A165" t="n">
        <x:v>144</x:v>
      </x:c>
      <x:c r="B165" t="str">
        <x:f>IF(Calc!$A$165&gt;'Calc'!$B$8,"",MAX(Calc!$B$164*(1+'财富模型'!$E$6/12)+('Calc'!$B$5-'财富模型'!$E$5-(IF('Calc'!$E$12=1,'财富模型'!$E$9,'财富模型'!$M$4+IF(Calc!$A$165&lt;='财富模型'!$E$11*12,'Calc'!$W$12,'Calc'!$Y$12)-(IF('Calc'!$E$12=1,0,MIN(Calc!$C$164*(1+'财富模型'!$E$20/12)+'Calc'!$B$6,IF(Calc!$A$165&lt;='财富模型'!$E$11*12,'Calc'!$W$12,'Calc'!$Y$12))))))),0))</x:f>
      </x:c>
      <x:c r="C165" t="str">
        <x:f>IF(Calc!$A$165&gt;'Calc'!$B$8,"",MAX(Calc!$C$164*(1+'财富模型'!$E$20/12)+'Calc'!$B$6-(IF('Calc'!$E$12=1,0,MIN(Calc!$C$164*(1+'财富模型'!$E$20/12)+'Calc'!$B$6,IF(Calc!$A$165&lt;='财富模型'!$E$11*12,'Calc'!$W$12,'Calc'!$Y$12)))),0))</x:f>
      </x:c>
      <x:c r="D165" t="str">
        <x:f>IF(Calc!$A$165&gt;'Calc'!$B$8,"",IF('Calc'!$E$12=1,'财富模型'!$E$9,'财富模型'!$M$4+IF(Calc!$A$165&lt;='财富模型'!$E$11*12,'Calc'!$W$12,'Calc'!$Y$12)-(IF('Calc'!$E$12=1,0,MIN(Calc!$C$164*(1+'财富模型'!$E$20/12)+'Calc'!$B$6,IF(Calc!$A$165&lt;='财富模型'!$E$11*12,'Calc'!$W$12,'Calc'!$Y$12))))))</x:f>
      </x:c>
      <x:c r="E165" t="str">
        <x:f>IF(Calc!$A$165&gt;'Calc'!$B$8,"",IF('Calc'!$E$12=1,0,MIN(Calc!$C$164*(1+'财富模型'!$E$20/12)+'Calc'!$B$6,IF(Calc!$A$165&lt;='财富模型'!$E$11*12,'Calc'!$W$12,'Calc'!$Y$12))))</x:f>
      </x:c>
      <x:c r="F165" t="str">
        <x:f>IF(Calc!$A$165&gt;'Calc'!$B$8,"",'Calc'!$B$5-'财富模型'!$E$5-(IF('Calc'!$E$12=1,'财富模型'!$E$9,'财富模型'!$M$4+IF(Calc!$A$165&lt;='财富模型'!$E$11*12,'Calc'!$W$12,'Calc'!$Y$12)-(IF('Calc'!$E$12=1,0,MIN(Calc!$C$164*(1+'财富模型'!$E$20/12)+'Calc'!$B$6,IF(Calc!$A$165&lt;='财富模型'!$E$11*12,'Calc'!$W$12,'Calc'!$Y$12)))))))</x:f>
      </x:c>
      <x:c r="G165" t="str">
        <x:f>IF(Calc!$A$165&gt;'Calc'!$B$8,"",IF('Calc'!$E$12=1,0,MAX(Calc!$G$164*(1+IF(Calc!$A$165&lt;='财富模型'!$E$11*12,'财富模型'!$E$10,'财富模型'!$E$12)/12)-IF('Calc'!$E$12=1,0,IF(Calc!$A$165&lt;='财富模型'!$E$11*12,'Calc'!$W$12,'Calc'!$Y$12)),0)))</x:f>
      </x:c>
      <x:c r="I165" t="n">
        <x:v>144</x:v>
      </x:c>
      <x:c r="J165" t="str">
        <x:f>IF(Calc!$I$165&gt;'Calc'!$B$8,"",MAX(Calc!$J$164*(1+'财富模型'!$E$6/12)+('Calc'!$B$5-'财富模型'!$E$5-(IF('Calc'!$E$13=1,'财富模型'!$E$9,'财富模型'!$M$5+IF(Calc!$I$165&lt;='财富模型'!$E$11*12,'Calc'!$W$13,'Calc'!$Y$13)-(IF('Calc'!$E$13=1,0,MIN(Calc!$K$164*(1+'财富模型'!$E$20/12)+'Calc'!$B$6,IF(Calc!$I$165&lt;='财富模型'!$E$11*12,'Calc'!$W$13,'Calc'!$Y$13))))))),0))</x:f>
      </x:c>
      <x:c r="K165" t="str">
        <x:f>IF(Calc!$I$165&gt;'Calc'!$B$8,"",MAX(Calc!$K$164*(1+'财富模型'!$E$20/12)+'Calc'!$B$6-(IF('Calc'!$E$13=1,0,MIN(Calc!$K$164*(1+'财富模型'!$E$20/12)+'Calc'!$B$6,IF(Calc!$I$165&lt;='财富模型'!$E$11*12,'Calc'!$W$13,'Calc'!$Y$13)))),0))</x:f>
      </x:c>
      <x:c r="L165" t="str">
        <x:f>IF(Calc!$I$165&gt;'Calc'!$B$8,"",IF('Calc'!$E$13=1,'财富模型'!$E$9,'财富模型'!$M$5+IF(Calc!$I$165&lt;='财富模型'!$E$11*12,'Calc'!$W$13,'Calc'!$Y$13)-(IF('Calc'!$E$13=1,0,MIN(Calc!$K$164*(1+'财富模型'!$E$20/12)+'Calc'!$B$6,IF(Calc!$I$165&lt;='财富模型'!$E$11*12,'Calc'!$W$13,'Calc'!$Y$13))))))</x:f>
      </x:c>
      <x:c r="M165" t="str">
        <x:f>IF(Calc!$I$165&gt;'Calc'!$B$8,"",IF('Calc'!$E$13=1,0,MIN(Calc!$K$164*(1+'财富模型'!$E$20/12)+'Calc'!$B$6,IF(Calc!$I$165&lt;='财富模型'!$E$11*12,'Calc'!$W$13,'Calc'!$Y$13))))</x:f>
      </x:c>
      <x:c r="N165" t="str">
        <x:f>IF(Calc!$I$165&gt;'Calc'!$B$8,"",'Calc'!$B$5-'财富模型'!$E$5-(IF('Calc'!$E$13=1,'财富模型'!$E$9,'财富模型'!$M$5+IF(Calc!$I$165&lt;='财富模型'!$E$11*12,'Calc'!$W$13,'Calc'!$Y$13)-(IF('Calc'!$E$13=1,0,MIN(Calc!$K$164*(1+'财富模型'!$E$20/12)+'Calc'!$B$6,IF(Calc!$I$165&lt;='财富模型'!$E$11*12,'Calc'!$W$13,'Calc'!$Y$13)))))))</x:f>
      </x:c>
      <x:c r="O165" t="str">
        <x:f>IF(Calc!$I$165&gt;'Calc'!$B$8,"",IF('Calc'!$E$13=1,0,MAX(Calc!$O$164*(1+IF(Calc!$I$165&lt;='财富模型'!$E$11*12,'财富模型'!$E$10,'财富模型'!$E$12)/12)-IF('Calc'!$E$13=1,0,IF(Calc!$I$165&lt;='财富模型'!$E$11*12,'Calc'!$W$13,'Calc'!$Y$13)),0)))</x:f>
      </x:c>
      <x:c r="Q165" t="n">
        <x:v>144</x:v>
      </x:c>
      <x:c r="R165" t="str">
        <x:f>IF(Calc!$Q$165&gt;'Calc'!$B$8,"",MAX(Calc!$R$164*(1+'财富模型'!$E$6/12)+('Calc'!$B$5-'财富模型'!$E$5-(IF('Calc'!$E$14=1,'财富模型'!$E$9,'财富模型'!$M$6+IF(Calc!$Q$165&lt;='财富模型'!$E$11*12,'Calc'!$W$14,'Calc'!$Y$14)-(IF('Calc'!$E$14=1,0,MIN(Calc!$S$164*(1+'财富模型'!$E$20/12)+'Calc'!$B$6,IF(Calc!$Q$165&lt;='财富模型'!$E$11*12,'Calc'!$W$14,'Calc'!$Y$14))))))),0))</x:f>
      </x:c>
      <x:c r="S165" t="str">
        <x:f>IF(Calc!$Q$165&gt;'Calc'!$B$8,"",MAX(Calc!$S$164*(1+'财富模型'!$E$20/12)+'Calc'!$B$6-(IF('Calc'!$E$14=1,0,MIN(Calc!$S$164*(1+'财富模型'!$E$20/12)+'Calc'!$B$6,IF(Calc!$Q$165&lt;='财富模型'!$E$11*12,'Calc'!$W$14,'Calc'!$Y$14)))),0))</x:f>
      </x:c>
      <x:c r="T165" t="str">
        <x:f>IF(Calc!$Q$165&gt;'Calc'!$B$8,"",IF('Calc'!$E$14=1,'财富模型'!$E$9,'财富模型'!$M$6+IF(Calc!$Q$165&lt;='财富模型'!$E$11*12,'Calc'!$W$14,'Calc'!$Y$14)-(IF('Calc'!$E$14=1,0,MIN(Calc!$S$164*(1+'财富模型'!$E$20/12)+'Calc'!$B$6,IF(Calc!$Q$165&lt;='财富模型'!$E$11*12,'Calc'!$W$14,'Calc'!$Y$14))))))</x:f>
      </x:c>
      <x:c r="U165" t="str">
        <x:f>IF(Calc!$Q$165&gt;'Calc'!$B$8,"",IF('Calc'!$E$14=1,0,MIN(Calc!$S$164*(1+'财富模型'!$E$20/12)+'Calc'!$B$6,IF(Calc!$Q$165&lt;='财富模型'!$E$11*12,'Calc'!$W$14,'Calc'!$Y$14))))</x:f>
      </x:c>
      <x:c r="V165" t="str">
        <x:f>IF(Calc!$Q$165&gt;'Calc'!$B$8,"",'Calc'!$B$5-'财富模型'!$E$5-(IF('Calc'!$E$14=1,'财富模型'!$E$9,'财富模型'!$M$6+IF(Calc!$Q$165&lt;='财富模型'!$E$11*12,'Calc'!$W$14,'Calc'!$Y$14)-(IF('Calc'!$E$14=1,0,MIN(Calc!$S$164*(1+'财富模型'!$E$20/12)+'Calc'!$B$6,IF(Calc!$Q$165&lt;='财富模型'!$E$11*12,'Calc'!$W$14,'Calc'!$Y$14)))))))</x:f>
      </x:c>
      <x:c r="W165" t="str">
        <x:f>IF(Calc!$Q$165&gt;'Calc'!$B$8,"",IF('Calc'!$E$14=1,0,MAX(Calc!$W$164*(1+IF(Calc!$Q$165&lt;='财富模型'!$E$11*12,'财富模型'!$E$10,'财富模型'!$E$12)/12)-IF('Calc'!$E$14=1,0,IF(Calc!$Q$165&lt;='财富模型'!$E$11*12,'Calc'!$W$14,'Calc'!$Y$14)),0)))</x:f>
      </x:c>
      <x:c r="Y165" t="n">
        <x:v>144</x:v>
      </x:c>
      <x:c r="Z165" t="str">
        <x:f>IF(Calc!$Y$165&gt;'Calc'!$B$8,"",MAX(Calc!$Z$164*(1+'财富模型'!$E$6/12)+('Calc'!$B$5-'财富模型'!$E$5-(IF('Calc'!$E$15=1,'财富模型'!$E$9,'财富模型'!$M$7+IF(Calc!$Y$165&lt;='财富模型'!$E$11*12,'Calc'!$W$15,'Calc'!$Y$15)-(IF('Calc'!$E$15=1,0,MIN(Calc!$AA$164*(1+'财富模型'!$E$20/12)+'Calc'!$B$6,IF(Calc!$Y$165&lt;='财富模型'!$E$11*12,'Calc'!$W$15,'Calc'!$Y$15))))))),0))</x:f>
      </x:c>
      <x:c r="AA165" t="str">
        <x:f>IF(Calc!$Y$165&gt;'Calc'!$B$8,"",MAX(Calc!$AA$164*(1+'财富模型'!$E$20/12)+'Calc'!$B$6-(IF('Calc'!$E$15=1,0,MIN(Calc!$AA$164*(1+'财富模型'!$E$20/12)+'Calc'!$B$6,IF(Calc!$Y$165&lt;='财富模型'!$E$11*12,'Calc'!$W$15,'Calc'!$Y$15)))),0))</x:f>
      </x:c>
      <x:c r="AB165" t="str">
        <x:f>IF(Calc!$Y$165&gt;'Calc'!$B$8,"",IF('Calc'!$E$15=1,'财富模型'!$E$9,'财富模型'!$M$7+IF(Calc!$Y$165&lt;='财富模型'!$E$11*12,'Calc'!$W$15,'Calc'!$Y$15)-(IF('Calc'!$E$15=1,0,MIN(Calc!$AA$164*(1+'财富模型'!$E$20/12)+'Calc'!$B$6,IF(Calc!$Y$165&lt;='财富模型'!$E$11*12,'Calc'!$W$15,'Calc'!$Y$15))))))</x:f>
      </x:c>
      <x:c r="AC165" t="str">
        <x:f>IF(Calc!$Y$165&gt;'Calc'!$B$8,"",IF('Calc'!$E$15=1,0,MIN(Calc!$AA$164*(1+'财富模型'!$E$20/12)+'Calc'!$B$6,IF(Calc!$Y$165&lt;='财富模型'!$E$11*12,'Calc'!$W$15,'Calc'!$Y$15))))</x:f>
      </x:c>
      <x:c r="AD165" t="str">
        <x:f>IF(Calc!$Y$165&gt;'Calc'!$B$8,"",'Calc'!$B$5-'财富模型'!$E$5-(IF('Calc'!$E$15=1,'财富模型'!$E$9,'财富模型'!$M$7+IF(Calc!$Y$165&lt;='财富模型'!$E$11*12,'Calc'!$W$15,'Calc'!$Y$15)-(IF('Calc'!$E$15=1,0,MIN(Calc!$AA$164*(1+'财富模型'!$E$20/12)+'Calc'!$B$6,IF(Calc!$Y$165&lt;='财富模型'!$E$11*12,'Calc'!$W$15,'Calc'!$Y$15)))))))</x:f>
      </x:c>
      <x:c r="AE165" t="str">
        <x:f>IF(Calc!$Y$165&gt;'Calc'!$B$8,"",IF('Calc'!$E$15=1,0,MAX(Calc!$AE$164*(1+IF(Calc!$Y$165&lt;='财富模型'!$E$11*12,'财富模型'!$E$10,'财富模型'!$E$12)/12)-IF('Calc'!$E$15=1,0,IF(Calc!$Y$165&lt;='财富模型'!$E$11*12,'Calc'!$W$15,'Calc'!$Y$15)),0)))</x:f>
      </x:c>
      <x:c r="AG165" t="n">
        <x:v>144</x:v>
      </x:c>
      <x:c r="AH165" t="str">
        <x:f>IF(Calc!$AG$165&gt;'Calc'!$B$8,"",MAX(Calc!$AH$164*(1+'财富模型'!$E$6/12)+('Calc'!$B$5-'财富模型'!$E$5-(IF('Calc'!$E$16=1,'财富模型'!$E$9,'财富模型'!$M$8+IF(Calc!$AG$165&lt;='财富模型'!$E$11*12,'Calc'!$W$16,'Calc'!$Y$16)-(IF('Calc'!$E$16=1,0,MIN(Calc!$AI$164*(1+'财富模型'!$E$20/12)+'Calc'!$B$6,IF(Calc!$AG$165&lt;='财富模型'!$E$11*12,'Calc'!$W$16,'Calc'!$Y$16))))))),0))</x:f>
      </x:c>
      <x:c r="AI165" t="str">
        <x:f>IF(Calc!$AG$165&gt;'Calc'!$B$8,"",MAX(Calc!$AI$164*(1+'财富模型'!$E$20/12)+'Calc'!$B$6-(IF('Calc'!$E$16=1,0,MIN(Calc!$AI$164*(1+'财富模型'!$E$20/12)+'Calc'!$B$6,IF(Calc!$AG$165&lt;='财富模型'!$E$11*12,'Calc'!$W$16,'Calc'!$Y$16)))),0))</x:f>
      </x:c>
      <x:c r="AJ165" t="str">
        <x:f>IF(Calc!$AG$165&gt;'Calc'!$B$8,"",IF('Calc'!$E$16=1,'财富模型'!$E$9,'财富模型'!$M$8+IF(Calc!$AG$165&lt;='财富模型'!$E$11*12,'Calc'!$W$16,'Calc'!$Y$16)-(IF('Calc'!$E$16=1,0,MIN(Calc!$AI$164*(1+'财富模型'!$E$20/12)+'Calc'!$B$6,IF(Calc!$AG$165&lt;='财富模型'!$E$11*12,'Calc'!$W$16,'Calc'!$Y$16))))))</x:f>
      </x:c>
      <x:c r="AK165" t="str">
        <x:f>IF(Calc!$AG$165&gt;'Calc'!$B$8,"",IF('Calc'!$E$16=1,0,MIN(Calc!$AI$164*(1+'财富模型'!$E$20/12)+'Calc'!$B$6,IF(Calc!$AG$165&lt;='财富模型'!$E$11*12,'Calc'!$W$16,'Calc'!$Y$16))))</x:f>
      </x:c>
      <x:c r="AL165" t="str">
        <x:f>IF(Calc!$AG$165&gt;'Calc'!$B$8,"",'Calc'!$B$5-'财富模型'!$E$5-(IF('Calc'!$E$16=1,'财富模型'!$E$9,'财富模型'!$M$8+IF(Calc!$AG$165&lt;='财富模型'!$E$11*12,'Calc'!$W$16,'Calc'!$Y$16)-(IF('Calc'!$E$16=1,0,MIN(Calc!$AI$164*(1+'财富模型'!$E$20/12)+'Calc'!$B$6,IF(Calc!$AG$165&lt;='财富模型'!$E$11*12,'Calc'!$W$16,'Calc'!$Y$16)))))))</x:f>
      </x:c>
      <x:c r="AM165" t="str">
        <x:f>IF(Calc!$AG$165&gt;'Calc'!$B$8,"",IF('Calc'!$E$16=1,0,MAX(Calc!$AM$164*(1+IF(Calc!$AG$165&lt;='财富模型'!$E$11*12,'财富模型'!$E$10,'财富模型'!$E$12)/12)-IF('Calc'!$E$16=1,0,IF(Calc!$AG$165&lt;='财富模型'!$E$11*12,'Calc'!$W$16,'Calc'!$Y$16)),0)))</x:f>
      </x:c>
      <x:c r="AO165" t="n">
        <x:v>144</x:v>
      </x:c>
      <x:c r="AP165" t="str">
        <x:f>IF(Calc!$AO$165&gt;'Calc'!$B$8,"",MAX(Calc!$AP$164*(1+'财富模型'!$E$6/12)+('Calc'!$B$5-'财富模型'!$E$5-(IF('Calc'!$E$17=1,'财富模型'!$E$9,'财富模型'!$M$9+IF(Calc!$AO$165&lt;='财富模型'!$E$11*12,'Calc'!$W$17,'Calc'!$Y$17)-(IF('Calc'!$E$17=1,0,MIN(Calc!$AQ$164*(1+'财富模型'!$E$20/12)+'Calc'!$B$6,IF(Calc!$AO$165&lt;='财富模型'!$E$11*12,'Calc'!$W$17,'Calc'!$Y$17))))))),0))</x:f>
      </x:c>
      <x:c r="AQ165" t="str">
        <x:f>IF(Calc!$AO$165&gt;'Calc'!$B$8,"",MAX(Calc!$AQ$164*(1+'财富模型'!$E$20/12)+'Calc'!$B$6-(IF('Calc'!$E$17=1,0,MIN(Calc!$AQ$164*(1+'财富模型'!$E$20/12)+'Calc'!$B$6,IF(Calc!$AO$165&lt;='财富模型'!$E$11*12,'Calc'!$W$17,'Calc'!$Y$17)))),0))</x:f>
      </x:c>
      <x:c r="AR165" t="str">
        <x:f>IF(Calc!$AO$165&gt;'Calc'!$B$8,"",IF('Calc'!$E$17=1,'财富模型'!$E$9,'财富模型'!$M$9+IF(Calc!$AO$165&lt;='财富模型'!$E$11*12,'Calc'!$W$17,'Calc'!$Y$17)-(IF('Calc'!$E$17=1,0,MIN(Calc!$AQ$164*(1+'财富模型'!$E$20/12)+'Calc'!$B$6,IF(Calc!$AO$165&lt;='财富模型'!$E$11*12,'Calc'!$W$17,'Calc'!$Y$17))))))</x:f>
      </x:c>
      <x:c r="AS165" t="str">
        <x:f>IF(Calc!$AO$165&gt;'Calc'!$B$8,"",IF('Calc'!$E$17=1,0,MIN(Calc!$AQ$164*(1+'财富模型'!$E$20/12)+'Calc'!$B$6,IF(Calc!$AO$165&lt;='财富模型'!$E$11*12,'Calc'!$W$17,'Calc'!$Y$17))))</x:f>
      </x:c>
      <x:c r="AT165" t="str">
        <x:f>IF(Calc!$AO$165&gt;'Calc'!$B$8,"",'Calc'!$B$5-'财富模型'!$E$5-(IF('Calc'!$E$17=1,'财富模型'!$E$9,'财富模型'!$M$9+IF(Calc!$AO$165&lt;='财富模型'!$E$11*12,'Calc'!$W$17,'Calc'!$Y$17)-(IF('Calc'!$E$17=1,0,MIN(Calc!$AQ$164*(1+'财富模型'!$E$20/12)+'Calc'!$B$6,IF(Calc!$AO$165&lt;='财富模型'!$E$11*12,'Calc'!$W$17,'Calc'!$Y$17)))))))</x:f>
      </x:c>
      <x:c r="AU165" t="str">
        <x:f>IF(Calc!$AO$165&gt;'Calc'!$B$8,"",IF('Calc'!$E$17=1,0,MAX(Calc!$AU$164*(1+IF(Calc!$AO$165&lt;='财富模型'!$E$11*12,'财富模型'!$E$10,'财富模型'!$E$12)/12)-IF('Calc'!$E$17=1,0,IF(Calc!$AO$165&lt;='财富模型'!$E$11*12,'Calc'!$W$17,'Calc'!$Y$17)),0)))</x:f>
      </x:c>
    </x:row>
    <x:row r="166">
      <x:c r="A166" t="n">
        <x:v>145</x:v>
      </x:c>
      <x:c r="B166" t="str">
        <x:f>IF(Calc!$A$166&gt;'Calc'!$B$8,"",MAX(Calc!$B$165*(1+'财富模型'!$E$6/12)+('Calc'!$B$5-'财富模型'!$E$5-(IF('Calc'!$E$12=1,'财富模型'!$E$9,'财富模型'!$M$4+IF(Calc!$A$166&lt;='财富模型'!$E$11*12,'Calc'!$W$12,'Calc'!$Y$12)-(IF('Calc'!$E$12=1,0,MIN(Calc!$C$165*(1+'财富模型'!$E$20/12)+'Calc'!$B$6,IF(Calc!$A$166&lt;='财富模型'!$E$11*12,'Calc'!$W$12,'Calc'!$Y$12))))))),0))</x:f>
      </x:c>
      <x:c r="C166" t="str">
        <x:f>IF(Calc!$A$166&gt;'Calc'!$B$8,"",MAX(Calc!$C$165*(1+'财富模型'!$E$20/12)+'Calc'!$B$6-(IF('Calc'!$E$12=1,0,MIN(Calc!$C$165*(1+'财富模型'!$E$20/12)+'Calc'!$B$6,IF(Calc!$A$166&lt;='财富模型'!$E$11*12,'Calc'!$W$12,'Calc'!$Y$12)))),0))</x:f>
      </x:c>
      <x:c r="D166" t="str">
        <x:f>IF(Calc!$A$166&gt;'Calc'!$B$8,"",IF('Calc'!$E$12=1,'财富模型'!$E$9,'财富模型'!$M$4+IF(Calc!$A$166&lt;='财富模型'!$E$11*12,'Calc'!$W$12,'Calc'!$Y$12)-(IF('Calc'!$E$12=1,0,MIN(Calc!$C$165*(1+'财富模型'!$E$20/12)+'Calc'!$B$6,IF(Calc!$A$166&lt;='财富模型'!$E$11*12,'Calc'!$W$12,'Calc'!$Y$12))))))</x:f>
      </x:c>
      <x:c r="E166" t="str">
        <x:f>IF(Calc!$A$166&gt;'Calc'!$B$8,"",IF('Calc'!$E$12=1,0,MIN(Calc!$C$165*(1+'财富模型'!$E$20/12)+'Calc'!$B$6,IF(Calc!$A$166&lt;='财富模型'!$E$11*12,'Calc'!$W$12,'Calc'!$Y$12))))</x:f>
      </x:c>
      <x:c r="F166" t="str">
        <x:f>IF(Calc!$A$166&gt;'Calc'!$B$8,"",'Calc'!$B$5-'财富模型'!$E$5-(IF('Calc'!$E$12=1,'财富模型'!$E$9,'财富模型'!$M$4+IF(Calc!$A$166&lt;='财富模型'!$E$11*12,'Calc'!$W$12,'Calc'!$Y$12)-(IF('Calc'!$E$12=1,0,MIN(Calc!$C$165*(1+'财富模型'!$E$20/12)+'Calc'!$B$6,IF(Calc!$A$166&lt;='财富模型'!$E$11*12,'Calc'!$W$12,'Calc'!$Y$12)))))))</x:f>
      </x:c>
      <x:c r="G166" t="str">
        <x:f>IF(Calc!$A$166&gt;'Calc'!$B$8,"",IF('Calc'!$E$12=1,0,MAX(Calc!$G$165*(1+IF(Calc!$A$166&lt;='财富模型'!$E$11*12,'财富模型'!$E$10,'财富模型'!$E$12)/12)-IF('Calc'!$E$12=1,0,IF(Calc!$A$166&lt;='财富模型'!$E$11*12,'Calc'!$W$12,'Calc'!$Y$12)),0)))</x:f>
      </x:c>
      <x:c r="I166" t="n">
        <x:v>145</x:v>
      </x:c>
      <x:c r="J166" t="str">
        <x:f>IF(Calc!$I$166&gt;'Calc'!$B$8,"",MAX(Calc!$J$165*(1+'财富模型'!$E$6/12)+('Calc'!$B$5-'财富模型'!$E$5-(IF('Calc'!$E$13=1,'财富模型'!$E$9,'财富模型'!$M$5+IF(Calc!$I$166&lt;='财富模型'!$E$11*12,'Calc'!$W$13,'Calc'!$Y$13)-(IF('Calc'!$E$13=1,0,MIN(Calc!$K$165*(1+'财富模型'!$E$20/12)+'Calc'!$B$6,IF(Calc!$I$166&lt;='财富模型'!$E$11*12,'Calc'!$W$13,'Calc'!$Y$13))))))),0))</x:f>
      </x:c>
      <x:c r="K166" t="str">
        <x:f>IF(Calc!$I$166&gt;'Calc'!$B$8,"",MAX(Calc!$K$165*(1+'财富模型'!$E$20/12)+'Calc'!$B$6-(IF('Calc'!$E$13=1,0,MIN(Calc!$K$165*(1+'财富模型'!$E$20/12)+'Calc'!$B$6,IF(Calc!$I$166&lt;='财富模型'!$E$11*12,'Calc'!$W$13,'Calc'!$Y$13)))),0))</x:f>
      </x:c>
      <x:c r="L166" t="str">
        <x:f>IF(Calc!$I$166&gt;'Calc'!$B$8,"",IF('Calc'!$E$13=1,'财富模型'!$E$9,'财富模型'!$M$5+IF(Calc!$I$166&lt;='财富模型'!$E$11*12,'Calc'!$W$13,'Calc'!$Y$13)-(IF('Calc'!$E$13=1,0,MIN(Calc!$K$165*(1+'财富模型'!$E$20/12)+'Calc'!$B$6,IF(Calc!$I$166&lt;='财富模型'!$E$11*12,'Calc'!$W$13,'Calc'!$Y$13))))))</x:f>
      </x:c>
      <x:c r="M166" t="str">
        <x:f>IF(Calc!$I$166&gt;'Calc'!$B$8,"",IF('Calc'!$E$13=1,0,MIN(Calc!$K$165*(1+'财富模型'!$E$20/12)+'Calc'!$B$6,IF(Calc!$I$166&lt;='财富模型'!$E$11*12,'Calc'!$W$13,'Calc'!$Y$13))))</x:f>
      </x:c>
      <x:c r="N166" t="str">
        <x:f>IF(Calc!$I$166&gt;'Calc'!$B$8,"",'Calc'!$B$5-'财富模型'!$E$5-(IF('Calc'!$E$13=1,'财富模型'!$E$9,'财富模型'!$M$5+IF(Calc!$I$166&lt;='财富模型'!$E$11*12,'Calc'!$W$13,'Calc'!$Y$13)-(IF('Calc'!$E$13=1,0,MIN(Calc!$K$165*(1+'财富模型'!$E$20/12)+'Calc'!$B$6,IF(Calc!$I$166&lt;='财富模型'!$E$11*12,'Calc'!$W$13,'Calc'!$Y$13)))))))</x:f>
      </x:c>
      <x:c r="O166" t="str">
        <x:f>IF(Calc!$I$166&gt;'Calc'!$B$8,"",IF('Calc'!$E$13=1,0,MAX(Calc!$O$165*(1+IF(Calc!$I$166&lt;='财富模型'!$E$11*12,'财富模型'!$E$10,'财富模型'!$E$12)/12)-IF('Calc'!$E$13=1,0,IF(Calc!$I$166&lt;='财富模型'!$E$11*12,'Calc'!$W$13,'Calc'!$Y$13)),0)))</x:f>
      </x:c>
      <x:c r="Q166" t="n">
        <x:v>145</x:v>
      </x:c>
      <x:c r="R166" t="str">
        <x:f>IF(Calc!$Q$166&gt;'Calc'!$B$8,"",MAX(Calc!$R$165*(1+'财富模型'!$E$6/12)+('Calc'!$B$5-'财富模型'!$E$5-(IF('Calc'!$E$14=1,'财富模型'!$E$9,'财富模型'!$M$6+IF(Calc!$Q$166&lt;='财富模型'!$E$11*12,'Calc'!$W$14,'Calc'!$Y$14)-(IF('Calc'!$E$14=1,0,MIN(Calc!$S$165*(1+'财富模型'!$E$20/12)+'Calc'!$B$6,IF(Calc!$Q$166&lt;='财富模型'!$E$11*12,'Calc'!$W$14,'Calc'!$Y$14))))))),0))</x:f>
      </x:c>
      <x:c r="S166" t="str">
        <x:f>IF(Calc!$Q$166&gt;'Calc'!$B$8,"",MAX(Calc!$S$165*(1+'财富模型'!$E$20/12)+'Calc'!$B$6-(IF('Calc'!$E$14=1,0,MIN(Calc!$S$165*(1+'财富模型'!$E$20/12)+'Calc'!$B$6,IF(Calc!$Q$166&lt;='财富模型'!$E$11*12,'Calc'!$W$14,'Calc'!$Y$14)))),0))</x:f>
      </x:c>
      <x:c r="T166" t="str">
        <x:f>IF(Calc!$Q$166&gt;'Calc'!$B$8,"",IF('Calc'!$E$14=1,'财富模型'!$E$9,'财富模型'!$M$6+IF(Calc!$Q$166&lt;='财富模型'!$E$11*12,'Calc'!$W$14,'Calc'!$Y$14)-(IF('Calc'!$E$14=1,0,MIN(Calc!$S$165*(1+'财富模型'!$E$20/12)+'Calc'!$B$6,IF(Calc!$Q$166&lt;='财富模型'!$E$11*12,'Calc'!$W$14,'Calc'!$Y$14))))))</x:f>
      </x:c>
      <x:c r="U166" t="str">
        <x:f>IF(Calc!$Q$166&gt;'Calc'!$B$8,"",IF('Calc'!$E$14=1,0,MIN(Calc!$S$165*(1+'财富模型'!$E$20/12)+'Calc'!$B$6,IF(Calc!$Q$166&lt;='财富模型'!$E$11*12,'Calc'!$W$14,'Calc'!$Y$14))))</x:f>
      </x:c>
      <x:c r="V166" t="str">
        <x:f>IF(Calc!$Q$166&gt;'Calc'!$B$8,"",'Calc'!$B$5-'财富模型'!$E$5-(IF('Calc'!$E$14=1,'财富模型'!$E$9,'财富模型'!$M$6+IF(Calc!$Q$166&lt;='财富模型'!$E$11*12,'Calc'!$W$14,'Calc'!$Y$14)-(IF('Calc'!$E$14=1,0,MIN(Calc!$S$165*(1+'财富模型'!$E$20/12)+'Calc'!$B$6,IF(Calc!$Q$166&lt;='财富模型'!$E$11*12,'Calc'!$W$14,'Calc'!$Y$14)))))))</x:f>
      </x:c>
      <x:c r="W166" t="str">
        <x:f>IF(Calc!$Q$166&gt;'Calc'!$B$8,"",IF('Calc'!$E$14=1,0,MAX(Calc!$W$165*(1+IF(Calc!$Q$166&lt;='财富模型'!$E$11*12,'财富模型'!$E$10,'财富模型'!$E$12)/12)-IF('Calc'!$E$14=1,0,IF(Calc!$Q$166&lt;='财富模型'!$E$11*12,'Calc'!$W$14,'Calc'!$Y$14)),0)))</x:f>
      </x:c>
      <x:c r="Y166" t="n">
        <x:v>145</x:v>
      </x:c>
      <x:c r="Z166" t="str">
        <x:f>IF(Calc!$Y$166&gt;'Calc'!$B$8,"",MAX(Calc!$Z$165*(1+'财富模型'!$E$6/12)+('Calc'!$B$5-'财富模型'!$E$5-(IF('Calc'!$E$15=1,'财富模型'!$E$9,'财富模型'!$M$7+IF(Calc!$Y$166&lt;='财富模型'!$E$11*12,'Calc'!$W$15,'Calc'!$Y$15)-(IF('Calc'!$E$15=1,0,MIN(Calc!$AA$165*(1+'财富模型'!$E$20/12)+'Calc'!$B$6,IF(Calc!$Y$166&lt;='财富模型'!$E$11*12,'Calc'!$W$15,'Calc'!$Y$15))))))),0))</x:f>
      </x:c>
      <x:c r="AA166" t="str">
        <x:f>IF(Calc!$Y$166&gt;'Calc'!$B$8,"",MAX(Calc!$AA$165*(1+'财富模型'!$E$20/12)+'Calc'!$B$6-(IF('Calc'!$E$15=1,0,MIN(Calc!$AA$165*(1+'财富模型'!$E$20/12)+'Calc'!$B$6,IF(Calc!$Y$166&lt;='财富模型'!$E$11*12,'Calc'!$W$15,'Calc'!$Y$15)))),0))</x:f>
      </x:c>
      <x:c r="AB166" t="str">
        <x:f>IF(Calc!$Y$166&gt;'Calc'!$B$8,"",IF('Calc'!$E$15=1,'财富模型'!$E$9,'财富模型'!$M$7+IF(Calc!$Y$166&lt;='财富模型'!$E$11*12,'Calc'!$W$15,'Calc'!$Y$15)-(IF('Calc'!$E$15=1,0,MIN(Calc!$AA$165*(1+'财富模型'!$E$20/12)+'Calc'!$B$6,IF(Calc!$Y$166&lt;='财富模型'!$E$11*12,'Calc'!$W$15,'Calc'!$Y$15))))))</x:f>
      </x:c>
      <x:c r="AC166" t="str">
        <x:f>IF(Calc!$Y$166&gt;'Calc'!$B$8,"",IF('Calc'!$E$15=1,0,MIN(Calc!$AA$165*(1+'财富模型'!$E$20/12)+'Calc'!$B$6,IF(Calc!$Y$166&lt;='财富模型'!$E$11*12,'Calc'!$W$15,'Calc'!$Y$15))))</x:f>
      </x:c>
      <x:c r="AD166" t="str">
        <x:f>IF(Calc!$Y$166&gt;'Calc'!$B$8,"",'Calc'!$B$5-'财富模型'!$E$5-(IF('Calc'!$E$15=1,'财富模型'!$E$9,'财富模型'!$M$7+IF(Calc!$Y$166&lt;='财富模型'!$E$11*12,'Calc'!$W$15,'Calc'!$Y$15)-(IF('Calc'!$E$15=1,0,MIN(Calc!$AA$165*(1+'财富模型'!$E$20/12)+'Calc'!$B$6,IF(Calc!$Y$166&lt;='财富模型'!$E$11*12,'Calc'!$W$15,'Calc'!$Y$15)))))))</x:f>
      </x:c>
      <x:c r="AE166" t="str">
        <x:f>IF(Calc!$Y$166&gt;'Calc'!$B$8,"",IF('Calc'!$E$15=1,0,MAX(Calc!$AE$165*(1+IF(Calc!$Y$166&lt;='财富模型'!$E$11*12,'财富模型'!$E$10,'财富模型'!$E$12)/12)-IF('Calc'!$E$15=1,0,IF(Calc!$Y$166&lt;='财富模型'!$E$11*12,'Calc'!$W$15,'Calc'!$Y$15)),0)))</x:f>
      </x:c>
      <x:c r="AG166" t="n">
        <x:v>145</x:v>
      </x:c>
      <x:c r="AH166" t="str">
        <x:f>IF(Calc!$AG$166&gt;'Calc'!$B$8,"",MAX(Calc!$AH$165*(1+'财富模型'!$E$6/12)+('Calc'!$B$5-'财富模型'!$E$5-(IF('Calc'!$E$16=1,'财富模型'!$E$9,'财富模型'!$M$8+IF(Calc!$AG$166&lt;='财富模型'!$E$11*12,'Calc'!$W$16,'Calc'!$Y$16)-(IF('Calc'!$E$16=1,0,MIN(Calc!$AI$165*(1+'财富模型'!$E$20/12)+'Calc'!$B$6,IF(Calc!$AG$166&lt;='财富模型'!$E$11*12,'Calc'!$W$16,'Calc'!$Y$16))))))),0))</x:f>
      </x:c>
      <x:c r="AI166" t="str">
        <x:f>IF(Calc!$AG$166&gt;'Calc'!$B$8,"",MAX(Calc!$AI$165*(1+'财富模型'!$E$20/12)+'Calc'!$B$6-(IF('Calc'!$E$16=1,0,MIN(Calc!$AI$165*(1+'财富模型'!$E$20/12)+'Calc'!$B$6,IF(Calc!$AG$166&lt;='财富模型'!$E$11*12,'Calc'!$W$16,'Calc'!$Y$16)))),0))</x:f>
      </x:c>
      <x:c r="AJ166" t="str">
        <x:f>IF(Calc!$AG$166&gt;'Calc'!$B$8,"",IF('Calc'!$E$16=1,'财富模型'!$E$9,'财富模型'!$M$8+IF(Calc!$AG$166&lt;='财富模型'!$E$11*12,'Calc'!$W$16,'Calc'!$Y$16)-(IF('Calc'!$E$16=1,0,MIN(Calc!$AI$165*(1+'财富模型'!$E$20/12)+'Calc'!$B$6,IF(Calc!$AG$166&lt;='财富模型'!$E$11*12,'Calc'!$W$16,'Calc'!$Y$16))))))</x:f>
      </x:c>
      <x:c r="AK166" t="str">
        <x:f>IF(Calc!$AG$166&gt;'Calc'!$B$8,"",IF('Calc'!$E$16=1,0,MIN(Calc!$AI$165*(1+'财富模型'!$E$20/12)+'Calc'!$B$6,IF(Calc!$AG$166&lt;='财富模型'!$E$11*12,'Calc'!$W$16,'Calc'!$Y$16))))</x:f>
      </x:c>
      <x:c r="AL166" t="str">
        <x:f>IF(Calc!$AG$166&gt;'Calc'!$B$8,"",'Calc'!$B$5-'财富模型'!$E$5-(IF('Calc'!$E$16=1,'财富模型'!$E$9,'财富模型'!$M$8+IF(Calc!$AG$166&lt;='财富模型'!$E$11*12,'Calc'!$W$16,'Calc'!$Y$16)-(IF('Calc'!$E$16=1,0,MIN(Calc!$AI$165*(1+'财富模型'!$E$20/12)+'Calc'!$B$6,IF(Calc!$AG$166&lt;='财富模型'!$E$11*12,'Calc'!$W$16,'Calc'!$Y$16)))))))</x:f>
      </x:c>
      <x:c r="AM166" t="str">
        <x:f>IF(Calc!$AG$166&gt;'Calc'!$B$8,"",IF('Calc'!$E$16=1,0,MAX(Calc!$AM$165*(1+IF(Calc!$AG$166&lt;='财富模型'!$E$11*12,'财富模型'!$E$10,'财富模型'!$E$12)/12)-IF('Calc'!$E$16=1,0,IF(Calc!$AG$166&lt;='财富模型'!$E$11*12,'Calc'!$W$16,'Calc'!$Y$16)),0)))</x:f>
      </x:c>
      <x:c r="AO166" t="n">
        <x:v>145</x:v>
      </x:c>
      <x:c r="AP166" t="str">
        <x:f>IF(Calc!$AO$166&gt;'Calc'!$B$8,"",MAX(Calc!$AP$165*(1+'财富模型'!$E$6/12)+('Calc'!$B$5-'财富模型'!$E$5-(IF('Calc'!$E$17=1,'财富模型'!$E$9,'财富模型'!$M$9+IF(Calc!$AO$166&lt;='财富模型'!$E$11*12,'Calc'!$W$17,'Calc'!$Y$17)-(IF('Calc'!$E$17=1,0,MIN(Calc!$AQ$165*(1+'财富模型'!$E$20/12)+'Calc'!$B$6,IF(Calc!$AO$166&lt;='财富模型'!$E$11*12,'Calc'!$W$17,'Calc'!$Y$17))))))),0))</x:f>
      </x:c>
      <x:c r="AQ166" t="str">
        <x:f>IF(Calc!$AO$166&gt;'Calc'!$B$8,"",MAX(Calc!$AQ$165*(1+'财富模型'!$E$20/12)+'Calc'!$B$6-(IF('Calc'!$E$17=1,0,MIN(Calc!$AQ$165*(1+'财富模型'!$E$20/12)+'Calc'!$B$6,IF(Calc!$AO$166&lt;='财富模型'!$E$11*12,'Calc'!$W$17,'Calc'!$Y$17)))),0))</x:f>
      </x:c>
      <x:c r="AR166" t="str">
        <x:f>IF(Calc!$AO$166&gt;'Calc'!$B$8,"",IF('Calc'!$E$17=1,'财富模型'!$E$9,'财富模型'!$M$9+IF(Calc!$AO$166&lt;='财富模型'!$E$11*12,'Calc'!$W$17,'Calc'!$Y$17)-(IF('Calc'!$E$17=1,0,MIN(Calc!$AQ$165*(1+'财富模型'!$E$20/12)+'Calc'!$B$6,IF(Calc!$AO$166&lt;='财富模型'!$E$11*12,'Calc'!$W$17,'Calc'!$Y$17))))))</x:f>
      </x:c>
      <x:c r="AS166" t="str">
        <x:f>IF(Calc!$AO$166&gt;'Calc'!$B$8,"",IF('Calc'!$E$17=1,0,MIN(Calc!$AQ$165*(1+'财富模型'!$E$20/12)+'Calc'!$B$6,IF(Calc!$AO$166&lt;='财富模型'!$E$11*12,'Calc'!$W$17,'Calc'!$Y$17))))</x:f>
      </x:c>
      <x:c r="AT166" t="str">
        <x:f>IF(Calc!$AO$166&gt;'Calc'!$B$8,"",'Calc'!$B$5-'财富模型'!$E$5-(IF('Calc'!$E$17=1,'财富模型'!$E$9,'财富模型'!$M$9+IF(Calc!$AO$166&lt;='财富模型'!$E$11*12,'Calc'!$W$17,'Calc'!$Y$17)-(IF('Calc'!$E$17=1,0,MIN(Calc!$AQ$165*(1+'财富模型'!$E$20/12)+'Calc'!$B$6,IF(Calc!$AO$166&lt;='财富模型'!$E$11*12,'Calc'!$W$17,'Calc'!$Y$17)))))))</x:f>
      </x:c>
      <x:c r="AU166" t="str">
        <x:f>IF(Calc!$AO$166&gt;'Calc'!$B$8,"",IF('Calc'!$E$17=1,0,MAX(Calc!$AU$165*(1+IF(Calc!$AO$166&lt;='财富模型'!$E$11*12,'财富模型'!$E$10,'财富模型'!$E$12)/12)-IF('Calc'!$E$17=1,0,IF(Calc!$AO$166&lt;='财富模型'!$E$11*12,'Calc'!$W$17,'Calc'!$Y$17)),0)))</x:f>
      </x:c>
    </x:row>
    <x:row r="167">
      <x:c r="A167" t="n">
        <x:v>146</x:v>
      </x:c>
      <x:c r="B167" t="str">
        <x:f>IF(Calc!$A$167&gt;'Calc'!$B$8,"",MAX(Calc!$B$166*(1+'财富模型'!$E$6/12)+('Calc'!$B$5-'财富模型'!$E$5-(IF('Calc'!$E$12=1,'财富模型'!$E$9,'财富模型'!$M$4+IF(Calc!$A$167&lt;='财富模型'!$E$11*12,'Calc'!$W$12,'Calc'!$Y$12)-(IF('Calc'!$E$12=1,0,MIN(Calc!$C$166*(1+'财富模型'!$E$20/12)+'Calc'!$B$6,IF(Calc!$A$167&lt;='财富模型'!$E$11*12,'Calc'!$W$12,'Calc'!$Y$12))))))),0))</x:f>
      </x:c>
      <x:c r="C167" t="str">
        <x:f>IF(Calc!$A$167&gt;'Calc'!$B$8,"",MAX(Calc!$C$166*(1+'财富模型'!$E$20/12)+'Calc'!$B$6-(IF('Calc'!$E$12=1,0,MIN(Calc!$C$166*(1+'财富模型'!$E$20/12)+'Calc'!$B$6,IF(Calc!$A$167&lt;='财富模型'!$E$11*12,'Calc'!$W$12,'Calc'!$Y$12)))),0))</x:f>
      </x:c>
      <x:c r="D167" t="str">
        <x:f>IF(Calc!$A$167&gt;'Calc'!$B$8,"",IF('Calc'!$E$12=1,'财富模型'!$E$9,'财富模型'!$M$4+IF(Calc!$A$167&lt;='财富模型'!$E$11*12,'Calc'!$W$12,'Calc'!$Y$12)-(IF('Calc'!$E$12=1,0,MIN(Calc!$C$166*(1+'财富模型'!$E$20/12)+'Calc'!$B$6,IF(Calc!$A$167&lt;='财富模型'!$E$11*12,'Calc'!$W$12,'Calc'!$Y$12))))))</x:f>
      </x:c>
      <x:c r="E167" t="str">
        <x:f>IF(Calc!$A$167&gt;'Calc'!$B$8,"",IF('Calc'!$E$12=1,0,MIN(Calc!$C$166*(1+'财富模型'!$E$20/12)+'Calc'!$B$6,IF(Calc!$A$167&lt;='财富模型'!$E$11*12,'Calc'!$W$12,'Calc'!$Y$12))))</x:f>
      </x:c>
      <x:c r="F167" t="str">
        <x:f>IF(Calc!$A$167&gt;'Calc'!$B$8,"",'Calc'!$B$5-'财富模型'!$E$5-(IF('Calc'!$E$12=1,'财富模型'!$E$9,'财富模型'!$M$4+IF(Calc!$A$167&lt;='财富模型'!$E$11*12,'Calc'!$W$12,'Calc'!$Y$12)-(IF('Calc'!$E$12=1,0,MIN(Calc!$C$166*(1+'财富模型'!$E$20/12)+'Calc'!$B$6,IF(Calc!$A$167&lt;='财富模型'!$E$11*12,'Calc'!$W$12,'Calc'!$Y$12)))))))</x:f>
      </x:c>
      <x:c r="G167" t="str">
        <x:f>IF(Calc!$A$167&gt;'Calc'!$B$8,"",IF('Calc'!$E$12=1,0,MAX(Calc!$G$166*(1+IF(Calc!$A$167&lt;='财富模型'!$E$11*12,'财富模型'!$E$10,'财富模型'!$E$12)/12)-IF('Calc'!$E$12=1,0,IF(Calc!$A$167&lt;='财富模型'!$E$11*12,'Calc'!$W$12,'Calc'!$Y$12)),0)))</x:f>
      </x:c>
      <x:c r="I167" t="n">
        <x:v>146</x:v>
      </x:c>
      <x:c r="J167" t="str">
        <x:f>IF(Calc!$I$167&gt;'Calc'!$B$8,"",MAX(Calc!$J$166*(1+'财富模型'!$E$6/12)+('Calc'!$B$5-'财富模型'!$E$5-(IF('Calc'!$E$13=1,'财富模型'!$E$9,'财富模型'!$M$5+IF(Calc!$I$167&lt;='财富模型'!$E$11*12,'Calc'!$W$13,'Calc'!$Y$13)-(IF('Calc'!$E$13=1,0,MIN(Calc!$K$166*(1+'财富模型'!$E$20/12)+'Calc'!$B$6,IF(Calc!$I$167&lt;='财富模型'!$E$11*12,'Calc'!$W$13,'Calc'!$Y$13))))))),0))</x:f>
      </x:c>
      <x:c r="K167" t="str">
        <x:f>IF(Calc!$I$167&gt;'Calc'!$B$8,"",MAX(Calc!$K$166*(1+'财富模型'!$E$20/12)+'Calc'!$B$6-(IF('Calc'!$E$13=1,0,MIN(Calc!$K$166*(1+'财富模型'!$E$20/12)+'Calc'!$B$6,IF(Calc!$I$167&lt;='财富模型'!$E$11*12,'Calc'!$W$13,'Calc'!$Y$13)))),0))</x:f>
      </x:c>
      <x:c r="L167" t="str">
        <x:f>IF(Calc!$I$167&gt;'Calc'!$B$8,"",IF('Calc'!$E$13=1,'财富模型'!$E$9,'财富模型'!$M$5+IF(Calc!$I$167&lt;='财富模型'!$E$11*12,'Calc'!$W$13,'Calc'!$Y$13)-(IF('Calc'!$E$13=1,0,MIN(Calc!$K$166*(1+'财富模型'!$E$20/12)+'Calc'!$B$6,IF(Calc!$I$167&lt;='财富模型'!$E$11*12,'Calc'!$W$13,'Calc'!$Y$13))))))</x:f>
      </x:c>
      <x:c r="M167" t="str">
        <x:f>IF(Calc!$I$167&gt;'Calc'!$B$8,"",IF('Calc'!$E$13=1,0,MIN(Calc!$K$166*(1+'财富模型'!$E$20/12)+'Calc'!$B$6,IF(Calc!$I$167&lt;='财富模型'!$E$11*12,'Calc'!$W$13,'Calc'!$Y$13))))</x:f>
      </x:c>
      <x:c r="N167" t="str">
        <x:f>IF(Calc!$I$167&gt;'Calc'!$B$8,"",'Calc'!$B$5-'财富模型'!$E$5-(IF('Calc'!$E$13=1,'财富模型'!$E$9,'财富模型'!$M$5+IF(Calc!$I$167&lt;='财富模型'!$E$11*12,'Calc'!$W$13,'Calc'!$Y$13)-(IF('Calc'!$E$13=1,0,MIN(Calc!$K$166*(1+'财富模型'!$E$20/12)+'Calc'!$B$6,IF(Calc!$I$167&lt;='财富模型'!$E$11*12,'Calc'!$W$13,'Calc'!$Y$13)))))))</x:f>
      </x:c>
      <x:c r="O167" t="str">
        <x:f>IF(Calc!$I$167&gt;'Calc'!$B$8,"",IF('Calc'!$E$13=1,0,MAX(Calc!$O$166*(1+IF(Calc!$I$167&lt;='财富模型'!$E$11*12,'财富模型'!$E$10,'财富模型'!$E$12)/12)-IF('Calc'!$E$13=1,0,IF(Calc!$I$167&lt;='财富模型'!$E$11*12,'Calc'!$W$13,'Calc'!$Y$13)),0)))</x:f>
      </x:c>
      <x:c r="Q167" t="n">
        <x:v>146</x:v>
      </x:c>
      <x:c r="R167" t="str">
        <x:f>IF(Calc!$Q$167&gt;'Calc'!$B$8,"",MAX(Calc!$R$166*(1+'财富模型'!$E$6/12)+('Calc'!$B$5-'财富模型'!$E$5-(IF('Calc'!$E$14=1,'财富模型'!$E$9,'财富模型'!$M$6+IF(Calc!$Q$167&lt;='财富模型'!$E$11*12,'Calc'!$W$14,'Calc'!$Y$14)-(IF('Calc'!$E$14=1,0,MIN(Calc!$S$166*(1+'财富模型'!$E$20/12)+'Calc'!$B$6,IF(Calc!$Q$167&lt;='财富模型'!$E$11*12,'Calc'!$W$14,'Calc'!$Y$14))))))),0))</x:f>
      </x:c>
      <x:c r="S167" t="str">
        <x:f>IF(Calc!$Q$167&gt;'Calc'!$B$8,"",MAX(Calc!$S$166*(1+'财富模型'!$E$20/12)+'Calc'!$B$6-(IF('Calc'!$E$14=1,0,MIN(Calc!$S$166*(1+'财富模型'!$E$20/12)+'Calc'!$B$6,IF(Calc!$Q$167&lt;='财富模型'!$E$11*12,'Calc'!$W$14,'Calc'!$Y$14)))),0))</x:f>
      </x:c>
      <x:c r="T167" t="str">
        <x:f>IF(Calc!$Q$167&gt;'Calc'!$B$8,"",IF('Calc'!$E$14=1,'财富模型'!$E$9,'财富模型'!$M$6+IF(Calc!$Q$167&lt;='财富模型'!$E$11*12,'Calc'!$W$14,'Calc'!$Y$14)-(IF('Calc'!$E$14=1,0,MIN(Calc!$S$166*(1+'财富模型'!$E$20/12)+'Calc'!$B$6,IF(Calc!$Q$167&lt;='财富模型'!$E$11*12,'Calc'!$W$14,'Calc'!$Y$14))))))</x:f>
      </x:c>
      <x:c r="U167" t="str">
        <x:f>IF(Calc!$Q$167&gt;'Calc'!$B$8,"",IF('Calc'!$E$14=1,0,MIN(Calc!$S$166*(1+'财富模型'!$E$20/12)+'Calc'!$B$6,IF(Calc!$Q$167&lt;='财富模型'!$E$11*12,'Calc'!$W$14,'Calc'!$Y$14))))</x:f>
      </x:c>
      <x:c r="V167" t="str">
        <x:f>IF(Calc!$Q$167&gt;'Calc'!$B$8,"",'Calc'!$B$5-'财富模型'!$E$5-(IF('Calc'!$E$14=1,'财富模型'!$E$9,'财富模型'!$M$6+IF(Calc!$Q$167&lt;='财富模型'!$E$11*12,'Calc'!$W$14,'Calc'!$Y$14)-(IF('Calc'!$E$14=1,0,MIN(Calc!$S$166*(1+'财富模型'!$E$20/12)+'Calc'!$B$6,IF(Calc!$Q$167&lt;='财富模型'!$E$11*12,'Calc'!$W$14,'Calc'!$Y$14)))))))</x:f>
      </x:c>
      <x:c r="W167" t="str">
        <x:f>IF(Calc!$Q$167&gt;'Calc'!$B$8,"",IF('Calc'!$E$14=1,0,MAX(Calc!$W$166*(1+IF(Calc!$Q$167&lt;='财富模型'!$E$11*12,'财富模型'!$E$10,'财富模型'!$E$12)/12)-IF('Calc'!$E$14=1,0,IF(Calc!$Q$167&lt;='财富模型'!$E$11*12,'Calc'!$W$14,'Calc'!$Y$14)),0)))</x:f>
      </x:c>
      <x:c r="Y167" t="n">
        <x:v>146</x:v>
      </x:c>
      <x:c r="Z167" t="str">
        <x:f>IF(Calc!$Y$167&gt;'Calc'!$B$8,"",MAX(Calc!$Z$166*(1+'财富模型'!$E$6/12)+('Calc'!$B$5-'财富模型'!$E$5-(IF('Calc'!$E$15=1,'财富模型'!$E$9,'财富模型'!$M$7+IF(Calc!$Y$167&lt;='财富模型'!$E$11*12,'Calc'!$W$15,'Calc'!$Y$15)-(IF('Calc'!$E$15=1,0,MIN(Calc!$AA$166*(1+'财富模型'!$E$20/12)+'Calc'!$B$6,IF(Calc!$Y$167&lt;='财富模型'!$E$11*12,'Calc'!$W$15,'Calc'!$Y$15))))))),0))</x:f>
      </x:c>
      <x:c r="AA167" t="str">
        <x:f>IF(Calc!$Y$167&gt;'Calc'!$B$8,"",MAX(Calc!$AA$166*(1+'财富模型'!$E$20/12)+'Calc'!$B$6-(IF('Calc'!$E$15=1,0,MIN(Calc!$AA$166*(1+'财富模型'!$E$20/12)+'Calc'!$B$6,IF(Calc!$Y$167&lt;='财富模型'!$E$11*12,'Calc'!$W$15,'Calc'!$Y$15)))),0))</x:f>
      </x:c>
      <x:c r="AB167" t="str">
        <x:f>IF(Calc!$Y$167&gt;'Calc'!$B$8,"",IF('Calc'!$E$15=1,'财富模型'!$E$9,'财富模型'!$M$7+IF(Calc!$Y$167&lt;='财富模型'!$E$11*12,'Calc'!$W$15,'Calc'!$Y$15)-(IF('Calc'!$E$15=1,0,MIN(Calc!$AA$166*(1+'财富模型'!$E$20/12)+'Calc'!$B$6,IF(Calc!$Y$167&lt;='财富模型'!$E$11*12,'Calc'!$W$15,'Calc'!$Y$15))))))</x:f>
      </x:c>
      <x:c r="AC167" t="str">
        <x:f>IF(Calc!$Y$167&gt;'Calc'!$B$8,"",IF('Calc'!$E$15=1,0,MIN(Calc!$AA$166*(1+'财富模型'!$E$20/12)+'Calc'!$B$6,IF(Calc!$Y$167&lt;='财富模型'!$E$11*12,'Calc'!$W$15,'Calc'!$Y$15))))</x:f>
      </x:c>
      <x:c r="AD167" t="str">
        <x:f>IF(Calc!$Y$167&gt;'Calc'!$B$8,"",'Calc'!$B$5-'财富模型'!$E$5-(IF('Calc'!$E$15=1,'财富模型'!$E$9,'财富模型'!$M$7+IF(Calc!$Y$167&lt;='财富模型'!$E$11*12,'Calc'!$W$15,'Calc'!$Y$15)-(IF('Calc'!$E$15=1,0,MIN(Calc!$AA$166*(1+'财富模型'!$E$20/12)+'Calc'!$B$6,IF(Calc!$Y$167&lt;='财富模型'!$E$11*12,'Calc'!$W$15,'Calc'!$Y$15)))))))</x:f>
      </x:c>
      <x:c r="AE167" t="str">
        <x:f>IF(Calc!$Y$167&gt;'Calc'!$B$8,"",IF('Calc'!$E$15=1,0,MAX(Calc!$AE$166*(1+IF(Calc!$Y$167&lt;='财富模型'!$E$11*12,'财富模型'!$E$10,'财富模型'!$E$12)/12)-IF('Calc'!$E$15=1,0,IF(Calc!$Y$167&lt;='财富模型'!$E$11*12,'Calc'!$W$15,'Calc'!$Y$15)),0)))</x:f>
      </x:c>
      <x:c r="AG167" t="n">
        <x:v>146</x:v>
      </x:c>
      <x:c r="AH167" t="str">
        <x:f>IF(Calc!$AG$167&gt;'Calc'!$B$8,"",MAX(Calc!$AH$166*(1+'财富模型'!$E$6/12)+('Calc'!$B$5-'财富模型'!$E$5-(IF('Calc'!$E$16=1,'财富模型'!$E$9,'财富模型'!$M$8+IF(Calc!$AG$167&lt;='财富模型'!$E$11*12,'Calc'!$W$16,'Calc'!$Y$16)-(IF('Calc'!$E$16=1,0,MIN(Calc!$AI$166*(1+'财富模型'!$E$20/12)+'Calc'!$B$6,IF(Calc!$AG$167&lt;='财富模型'!$E$11*12,'Calc'!$W$16,'Calc'!$Y$16))))))),0))</x:f>
      </x:c>
      <x:c r="AI167" t="str">
        <x:f>IF(Calc!$AG$167&gt;'Calc'!$B$8,"",MAX(Calc!$AI$166*(1+'财富模型'!$E$20/12)+'Calc'!$B$6-(IF('Calc'!$E$16=1,0,MIN(Calc!$AI$166*(1+'财富模型'!$E$20/12)+'Calc'!$B$6,IF(Calc!$AG$167&lt;='财富模型'!$E$11*12,'Calc'!$W$16,'Calc'!$Y$16)))),0))</x:f>
      </x:c>
      <x:c r="AJ167" t="str">
        <x:f>IF(Calc!$AG$167&gt;'Calc'!$B$8,"",IF('Calc'!$E$16=1,'财富模型'!$E$9,'财富模型'!$M$8+IF(Calc!$AG$167&lt;='财富模型'!$E$11*12,'Calc'!$W$16,'Calc'!$Y$16)-(IF('Calc'!$E$16=1,0,MIN(Calc!$AI$166*(1+'财富模型'!$E$20/12)+'Calc'!$B$6,IF(Calc!$AG$167&lt;='财富模型'!$E$11*12,'Calc'!$W$16,'Calc'!$Y$16))))))</x:f>
      </x:c>
      <x:c r="AK167" t="str">
        <x:f>IF(Calc!$AG$167&gt;'Calc'!$B$8,"",IF('Calc'!$E$16=1,0,MIN(Calc!$AI$166*(1+'财富模型'!$E$20/12)+'Calc'!$B$6,IF(Calc!$AG$167&lt;='财富模型'!$E$11*12,'Calc'!$W$16,'Calc'!$Y$16))))</x:f>
      </x:c>
      <x:c r="AL167" t="str">
        <x:f>IF(Calc!$AG$167&gt;'Calc'!$B$8,"",'Calc'!$B$5-'财富模型'!$E$5-(IF('Calc'!$E$16=1,'财富模型'!$E$9,'财富模型'!$M$8+IF(Calc!$AG$167&lt;='财富模型'!$E$11*12,'Calc'!$W$16,'Calc'!$Y$16)-(IF('Calc'!$E$16=1,0,MIN(Calc!$AI$166*(1+'财富模型'!$E$20/12)+'Calc'!$B$6,IF(Calc!$AG$167&lt;='财富模型'!$E$11*12,'Calc'!$W$16,'Calc'!$Y$16)))))))</x:f>
      </x:c>
      <x:c r="AM167" t="str">
        <x:f>IF(Calc!$AG$167&gt;'Calc'!$B$8,"",IF('Calc'!$E$16=1,0,MAX(Calc!$AM$166*(1+IF(Calc!$AG$167&lt;='财富模型'!$E$11*12,'财富模型'!$E$10,'财富模型'!$E$12)/12)-IF('Calc'!$E$16=1,0,IF(Calc!$AG$167&lt;='财富模型'!$E$11*12,'Calc'!$W$16,'Calc'!$Y$16)),0)))</x:f>
      </x:c>
      <x:c r="AO167" t="n">
        <x:v>146</x:v>
      </x:c>
      <x:c r="AP167" t="str">
        <x:f>IF(Calc!$AO$167&gt;'Calc'!$B$8,"",MAX(Calc!$AP$166*(1+'财富模型'!$E$6/12)+('Calc'!$B$5-'财富模型'!$E$5-(IF('Calc'!$E$17=1,'财富模型'!$E$9,'财富模型'!$M$9+IF(Calc!$AO$167&lt;='财富模型'!$E$11*12,'Calc'!$W$17,'Calc'!$Y$17)-(IF('Calc'!$E$17=1,0,MIN(Calc!$AQ$166*(1+'财富模型'!$E$20/12)+'Calc'!$B$6,IF(Calc!$AO$167&lt;='财富模型'!$E$11*12,'Calc'!$W$17,'Calc'!$Y$17))))))),0))</x:f>
      </x:c>
      <x:c r="AQ167" t="str">
        <x:f>IF(Calc!$AO$167&gt;'Calc'!$B$8,"",MAX(Calc!$AQ$166*(1+'财富模型'!$E$20/12)+'Calc'!$B$6-(IF('Calc'!$E$17=1,0,MIN(Calc!$AQ$166*(1+'财富模型'!$E$20/12)+'Calc'!$B$6,IF(Calc!$AO$167&lt;='财富模型'!$E$11*12,'Calc'!$W$17,'Calc'!$Y$17)))),0))</x:f>
      </x:c>
      <x:c r="AR167" t="str">
        <x:f>IF(Calc!$AO$167&gt;'Calc'!$B$8,"",IF('Calc'!$E$17=1,'财富模型'!$E$9,'财富模型'!$M$9+IF(Calc!$AO$167&lt;='财富模型'!$E$11*12,'Calc'!$W$17,'Calc'!$Y$17)-(IF('Calc'!$E$17=1,0,MIN(Calc!$AQ$166*(1+'财富模型'!$E$20/12)+'Calc'!$B$6,IF(Calc!$AO$167&lt;='财富模型'!$E$11*12,'Calc'!$W$17,'Calc'!$Y$17))))))</x:f>
      </x:c>
      <x:c r="AS167" t="str">
        <x:f>IF(Calc!$AO$167&gt;'Calc'!$B$8,"",IF('Calc'!$E$17=1,0,MIN(Calc!$AQ$166*(1+'财富模型'!$E$20/12)+'Calc'!$B$6,IF(Calc!$AO$167&lt;='财富模型'!$E$11*12,'Calc'!$W$17,'Calc'!$Y$17))))</x:f>
      </x:c>
      <x:c r="AT167" t="str">
        <x:f>IF(Calc!$AO$167&gt;'Calc'!$B$8,"",'Calc'!$B$5-'财富模型'!$E$5-(IF('Calc'!$E$17=1,'财富模型'!$E$9,'财富模型'!$M$9+IF(Calc!$AO$167&lt;='财富模型'!$E$11*12,'Calc'!$W$17,'Calc'!$Y$17)-(IF('Calc'!$E$17=1,0,MIN(Calc!$AQ$166*(1+'财富模型'!$E$20/12)+'Calc'!$B$6,IF(Calc!$AO$167&lt;='财富模型'!$E$11*12,'Calc'!$W$17,'Calc'!$Y$17)))))))</x:f>
      </x:c>
      <x:c r="AU167" t="str">
        <x:f>IF(Calc!$AO$167&gt;'Calc'!$B$8,"",IF('Calc'!$E$17=1,0,MAX(Calc!$AU$166*(1+IF(Calc!$AO$167&lt;='财富模型'!$E$11*12,'财富模型'!$E$10,'财富模型'!$E$12)/12)-IF('Calc'!$E$17=1,0,IF(Calc!$AO$167&lt;='财富模型'!$E$11*12,'Calc'!$W$17,'Calc'!$Y$17)),0)))</x:f>
      </x:c>
    </x:row>
    <x:row r="168">
      <x:c r="A168" t="n">
        <x:v>147</x:v>
      </x:c>
      <x:c r="B168" t="str">
        <x:f>IF(Calc!$A$168&gt;'Calc'!$B$8,"",MAX(Calc!$B$167*(1+'财富模型'!$E$6/12)+('Calc'!$B$5-'财富模型'!$E$5-(IF('Calc'!$E$12=1,'财富模型'!$E$9,'财富模型'!$M$4+IF(Calc!$A$168&lt;='财富模型'!$E$11*12,'Calc'!$W$12,'Calc'!$Y$12)-(IF('Calc'!$E$12=1,0,MIN(Calc!$C$167*(1+'财富模型'!$E$20/12)+'Calc'!$B$6,IF(Calc!$A$168&lt;='财富模型'!$E$11*12,'Calc'!$W$12,'Calc'!$Y$12))))))),0))</x:f>
      </x:c>
      <x:c r="C168" t="str">
        <x:f>IF(Calc!$A$168&gt;'Calc'!$B$8,"",MAX(Calc!$C$167*(1+'财富模型'!$E$20/12)+'Calc'!$B$6-(IF('Calc'!$E$12=1,0,MIN(Calc!$C$167*(1+'财富模型'!$E$20/12)+'Calc'!$B$6,IF(Calc!$A$168&lt;='财富模型'!$E$11*12,'Calc'!$W$12,'Calc'!$Y$12)))),0))</x:f>
      </x:c>
      <x:c r="D168" t="str">
        <x:f>IF(Calc!$A$168&gt;'Calc'!$B$8,"",IF('Calc'!$E$12=1,'财富模型'!$E$9,'财富模型'!$M$4+IF(Calc!$A$168&lt;='财富模型'!$E$11*12,'Calc'!$W$12,'Calc'!$Y$12)-(IF('Calc'!$E$12=1,0,MIN(Calc!$C$167*(1+'财富模型'!$E$20/12)+'Calc'!$B$6,IF(Calc!$A$168&lt;='财富模型'!$E$11*12,'Calc'!$W$12,'Calc'!$Y$12))))))</x:f>
      </x:c>
      <x:c r="E168" t="str">
        <x:f>IF(Calc!$A$168&gt;'Calc'!$B$8,"",IF('Calc'!$E$12=1,0,MIN(Calc!$C$167*(1+'财富模型'!$E$20/12)+'Calc'!$B$6,IF(Calc!$A$168&lt;='财富模型'!$E$11*12,'Calc'!$W$12,'Calc'!$Y$12))))</x:f>
      </x:c>
      <x:c r="F168" t="str">
        <x:f>IF(Calc!$A$168&gt;'Calc'!$B$8,"",'Calc'!$B$5-'财富模型'!$E$5-(IF('Calc'!$E$12=1,'财富模型'!$E$9,'财富模型'!$M$4+IF(Calc!$A$168&lt;='财富模型'!$E$11*12,'Calc'!$W$12,'Calc'!$Y$12)-(IF('Calc'!$E$12=1,0,MIN(Calc!$C$167*(1+'财富模型'!$E$20/12)+'Calc'!$B$6,IF(Calc!$A$168&lt;='财富模型'!$E$11*12,'Calc'!$W$12,'Calc'!$Y$12)))))))</x:f>
      </x:c>
      <x:c r="G168" t="str">
        <x:f>IF(Calc!$A$168&gt;'Calc'!$B$8,"",IF('Calc'!$E$12=1,0,MAX(Calc!$G$167*(1+IF(Calc!$A$168&lt;='财富模型'!$E$11*12,'财富模型'!$E$10,'财富模型'!$E$12)/12)-IF('Calc'!$E$12=1,0,IF(Calc!$A$168&lt;='财富模型'!$E$11*12,'Calc'!$W$12,'Calc'!$Y$12)),0)))</x:f>
      </x:c>
      <x:c r="I168" t="n">
        <x:v>147</x:v>
      </x:c>
      <x:c r="J168" t="str">
        <x:f>IF(Calc!$I$168&gt;'Calc'!$B$8,"",MAX(Calc!$J$167*(1+'财富模型'!$E$6/12)+('Calc'!$B$5-'财富模型'!$E$5-(IF('Calc'!$E$13=1,'财富模型'!$E$9,'财富模型'!$M$5+IF(Calc!$I$168&lt;='财富模型'!$E$11*12,'Calc'!$W$13,'Calc'!$Y$13)-(IF('Calc'!$E$13=1,0,MIN(Calc!$K$167*(1+'财富模型'!$E$20/12)+'Calc'!$B$6,IF(Calc!$I$168&lt;='财富模型'!$E$11*12,'Calc'!$W$13,'Calc'!$Y$13))))))),0))</x:f>
      </x:c>
      <x:c r="K168" t="str">
        <x:f>IF(Calc!$I$168&gt;'Calc'!$B$8,"",MAX(Calc!$K$167*(1+'财富模型'!$E$20/12)+'Calc'!$B$6-(IF('Calc'!$E$13=1,0,MIN(Calc!$K$167*(1+'财富模型'!$E$20/12)+'Calc'!$B$6,IF(Calc!$I$168&lt;='财富模型'!$E$11*12,'Calc'!$W$13,'Calc'!$Y$13)))),0))</x:f>
      </x:c>
      <x:c r="L168" t="str">
        <x:f>IF(Calc!$I$168&gt;'Calc'!$B$8,"",IF('Calc'!$E$13=1,'财富模型'!$E$9,'财富模型'!$M$5+IF(Calc!$I$168&lt;='财富模型'!$E$11*12,'Calc'!$W$13,'Calc'!$Y$13)-(IF('Calc'!$E$13=1,0,MIN(Calc!$K$167*(1+'财富模型'!$E$20/12)+'Calc'!$B$6,IF(Calc!$I$168&lt;='财富模型'!$E$11*12,'Calc'!$W$13,'Calc'!$Y$13))))))</x:f>
      </x:c>
      <x:c r="M168" t="str">
        <x:f>IF(Calc!$I$168&gt;'Calc'!$B$8,"",IF('Calc'!$E$13=1,0,MIN(Calc!$K$167*(1+'财富模型'!$E$20/12)+'Calc'!$B$6,IF(Calc!$I$168&lt;='财富模型'!$E$11*12,'Calc'!$W$13,'Calc'!$Y$13))))</x:f>
      </x:c>
      <x:c r="N168" t="str">
        <x:f>IF(Calc!$I$168&gt;'Calc'!$B$8,"",'Calc'!$B$5-'财富模型'!$E$5-(IF('Calc'!$E$13=1,'财富模型'!$E$9,'财富模型'!$M$5+IF(Calc!$I$168&lt;='财富模型'!$E$11*12,'Calc'!$W$13,'Calc'!$Y$13)-(IF('Calc'!$E$13=1,0,MIN(Calc!$K$167*(1+'财富模型'!$E$20/12)+'Calc'!$B$6,IF(Calc!$I$168&lt;='财富模型'!$E$11*12,'Calc'!$W$13,'Calc'!$Y$13)))))))</x:f>
      </x:c>
      <x:c r="O168" t="str">
        <x:f>IF(Calc!$I$168&gt;'Calc'!$B$8,"",IF('Calc'!$E$13=1,0,MAX(Calc!$O$167*(1+IF(Calc!$I$168&lt;='财富模型'!$E$11*12,'财富模型'!$E$10,'财富模型'!$E$12)/12)-IF('Calc'!$E$13=1,0,IF(Calc!$I$168&lt;='财富模型'!$E$11*12,'Calc'!$W$13,'Calc'!$Y$13)),0)))</x:f>
      </x:c>
      <x:c r="Q168" t="n">
        <x:v>147</x:v>
      </x:c>
      <x:c r="R168" t="str">
        <x:f>IF(Calc!$Q$168&gt;'Calc'!$B$8,"",MAX(Calc!$R$167*(1+'财富模型'!$E$6/12)+('Calc'!$B$5-'财富模型'!$E$5-(IF('Calc'!$E$14=1,'财富模型'!$E$9,'财富模型'!$M$6+IF(Calc!$Q$168&lt;='财富模型'!$E$11*12,'Calc'!$W$14,'Calc'!$Y$14)-(IF('Calc'!$E$14=1,0,MIN(Calc!$S$167*(1+'财富模型'!$E$20/12)+'Calc'!$B$6,IF(Calc!$Q$168&lt;='财富模型'!$E$11*12,'Calc'!$W$14,'Calc'!$Y$14))))))),0))</x:f>
      </x:c>
      <x:c r="S168" t="str">
        <x:f>IF(Calc!$Q$168&gt;'Calc'!$B$8,"",MAX(Calc!$S$167*(1+'财富模型'!$E$20/12)+'Calc'!$B$6-(IF('Calc'!$E$14=1,0,MIN(Calc!$S$167*(1+'财富模型'!$E$20/12)+'Calc'!$B$6,IF(Calc!$Q$168&lt;='财富模型'!$E$11*12,'Calc'!$W$14,'Calc'!$Y$14)))),0))</x:f>
      </x:c>
      <x:c r="T168" t="str">
        <x:f>IF(Calc!$Q$168&gt;'Calc'!$B$8,"",IF('Calc'!$E$14=1,'财富模型'!$E$9,'财富模型'!$M$6+IF(Calc!$Q$168&lt;='财富模型'!$E$11*12,'Calc'!$W$14,'Calc'!$Y$14)-(IF('Calc'!$E$14=1,0,MIN(Calc!$S$167*(1+'财富模型'!$E$20/12)+'Calc'!$B$6,IF(Calc!$Q$168&lt;='财富模型'!$E$11*12,'Calc'!$W$14,'Calc'!$Y$14))))))</x:f>
      </x:c>
      <x:c r="U168" t="str">
        <x:f>IF(Calc!$Q$168&gt;'Calc'!$B$8,"",IF('Calc'!$E$14=1,0,MIN(Calc!$S$167*(1+'财富模型'!$E$20/12)+'Calc'!$B$6,IF(Calc!$Q$168&lt;='财富模型'!$E$11*12,'Calc'!$W$14,'Calc'!$Y$14))))</x:f>
      </x:c>
      <x:c r="V168" t="str">
        <x:f>IF(Calc!$Q$168&gt;'Calc'!$B$8,"",'Calc'!$B$5-'财富模型'!$E$5-(IF('Calc'!$E$14=1,'财富模型'!$E$9,'财富模型'!$M$6+IF(Calc!$Q$168&lt;='财富模型'!$E$11*12,'Calc'!$W$14,'Calc'!$Y$14)-(IF('Calc'!$E$14=1,0,MIN(Calc!$S$167*(1+'财富模型'!$E$20/12)+'Calc'!$B$6,IF(Calc!$Q$168&lt;='财富模型'!$E$11*12,'Calc'!$W$14,'Calc'!$Y$14)))))))</x:f>
      </x:c>
      <x:c r="W168" t="str">
        <x:f>IF(Calc!$Q$168&gt;'Calc'!$B$8,"",IF('Calc'!$E$14=1,0,MAX(Calc!$W$167*(1+IF(Calc!$Q$168&lt;='财富模型'!$E$11*12,'财富模型'!$E$10,'财富模型'!$E$12)/12)-IF('Calc'!$E$14=1,0,IF(Calc!$Q$168&lt;='财富模型'!$E$11*12,'Calc'!$W$14,'Calc'!$Y$14)),0)))</x:f>
      </x:c>
      <x:c r="Y168" t="n">
        <x:v>147</x:v>
      </x:c>
      <x:c r="Z168" t="str">
        <x:f>IF(Calc!$Y$168&gt;'Calc'!$B$8,"",MAX(Calc!$Z$167*(1+'财富模型'!$E$6/12)+('Calc'!$B$5-'财富模型'!$E$5-(IF('Calc'!$E$15=1,'财富模型'!$E$9,'财富模型'!$M$7+IF(Calc!$Y$168&lt;='财富模型'!$E$11*12,'Calc'!$W$15,'Calc'!$Y$15)-(IF('Calc'!$E$15=1,0,MIN(Calc!$AA$167*(1+'财富模型'!$E$20/12)+'Calc'!$B$6,IF(Calc!$Y$168&lt;='财富模型'!$E$11*12,'Calc'!$W$15,'Calc'!$Y$15))))))),0))</x:f>
      </x:c>
      <x:c r="AA168" t="str">
        <x:f>IF(Calc!$Y$168&gt;'Calc'!$B$8,"",MAX(Calc!$AA$167*(1+'财富模型'!$E$20/12)+'Calc'!$B$6-(IF('Calc'!$E$15=1,0,MIN(Calc!$AA$167*(1+'财富模型'!$E$20/12)+'Calc'!$B$6,IF(Calc!$Y$168&lt;='财富模型'!$E$11*12,'Calc'!$W$15,'Calc'!$Y$15)))),0))</x:f>
      </x:c>
      <x:c r="AB168" t="str">
        <x:f>IF(Calc!$Y$168&gt;'Calc'!$B$8,"",IF('Calc'!$E$15=1,'财富模型'!$E$9,'财富模型'!$M$7+IF(Calc!$Y$168&lt;='财富模型'!$E$11*12,'Calc'!$W$15,'Calc'!$Y$15)-(IF('Calc'!$E$15=1,0,MIN(Calc!$AA$167*(1+'财富模型'!$E$20/12)+'Calc'!$B$6,IF(Calc!$Y$168&lt;='财富模型'!$E$11*12,'Calc'!$W$15,'Calc'!$Y$15))))))</x:f>
      </x:c>
      <x:c r="AC168" t="str">
        <x:f>IF(Calc!$Y$168&gt;'Calc'!$B$8,"",IF('Calc'!$E$15=1,0,MIN(Calc!$AA$167*(1+'财富模型'!$E$20/12)+'Calc'!$B$6,IF(Calc!$Y$168&lt;='财富模型'!$E$11*12,'Calc'!$W$15,'Calc'!$Y$15))))</x:f>
      </x:c>
      <x:c r="AD168" t="str">
        <x:f>IF(Calc!$Y$168&gt;'Calc'!$B$8,"",'Calc'!$B$5-'财富模型'!$E$5-(IF('Calc'!$E$15=1,'财富模型'!$E$9,'财富模型'!$M$7+IF(Calc!$Y$168&lt;='财富模型'!$E$11*12,'Calc'!$W$15,'Calc'!$Y$15)-(IF('Calc'!$E$15=1,0,MIN(Calc!$AA$167*(1+'财富模型'!$E$20/12)+'Calc'!$B$6,IF(Calc!$Y$168&lt;='财富模型'!$E$11*12,'Calc'!$W$15,'Calc'!$Y$15)))))))</x:f>
      </x:c>
      <x:c r="AE168" t="str">
        <x:f>IF(Calc!$Y$168&gt;'Calc'!$B$8,"",IF('Calc'!$E$15=1,0,MAX(Calc!$AE$167*(1+IF(Calc!$Y$168&lt;='财富模型'!$E$11*12,'财富模型'!$E$10,'财富模型'!$E$12)/12)-IF('Calc'!$E$15=1,0,IF(Calc!$Y$168&lt;='财富模型'!$E$11*12,'Calc'!$W$15,'Calc'!$Y$15)),0)))</x:f>
      </x:c>
      <x:c r="AG168" t="n">
        <x:v>147</x:v>
      </x:c>
      <x:c r="AH168" t="str">
        <x:f>IF(Calc!$AG$168&gt;'Calc'!$B$8,"",MAX(Calc!$AH$167*(1+'财富模型'!$E$6/12)+('Calc'!$B$5-'财富模型'!$E$5-(IF('Calc'!$E$16=1,'财富模型'!$E$9,'财富模型'!$M$8+IF(Calc!$AG$168&lt;='财富模型'!$E$11*12,'Calc'!$W$16,'Calc'!$Y$16)-(IF('Calc'!$E$16=1,0,MIN(Calc!$AI$167*(1+'财富模型'!$E$20/12)+'Calc'!$B$6,IF(Calc!$AG$168&lt;='财富模型'!$E$11*12,'Calc'!$W$16,'Calc'!$Y$16))))))),0))</x:f>
      </x:c>
      <x:c r="AI168" t="str">
        <x:f>IF(Calc!$AG$168&gt;'Calc'!$B$8,"",MAX(Calc!$AI$167*(1+'财富模型'!$E$20/12)+'Calc'!$B$6-(IF('Calc'!$E$16=1,0,MIN(Calc!$AI$167*(1+'财富模型'!$E$20/12)+'Calc'!$B$6,IF(Calc!$AG$168&lt;='财富模型'!$E$11*12,'Calc'!$W$16,'Calc'!$Y$16)))),0))</x:f>
      </x:c>
      <x:c r="AJ168" t="str">
        <x:f>IF(Calc!$AG$168&gt;'Calc'!$B$8,"",IF('Calc'!$E$16=1,'财富模型'!$E$9,'财富模型'!$M$8+IF(Calc!$AG$168&lt;='财富模型'!$E$11*12,'Calc'!$W$16,'Calc'!$Y$16)-(IF('Calc'!$E$16=1,0,MIN(Calc!$AI$167*(1+'财富模型'!$E$20/12)+'Calc'!$B$6,IF(Calc!$AG$168&lt;='财富模型'!$E$11*12,'Calc'!$W$16,'Calc'!$Y$16))))))</x:f>
      </x:c>
      <x:c r="AK168" t="str">
        <x:f>IF(Calc!$AG$168&gt;'Calc'!$B$8,"",IF('Calc'!$E$16=1,0,MIN(Calc!$AI$167*(1+'财富模型'!$E$20/12)+'Calc'!$B$6,IF(Calc!$AG$168&lt;='财富模型'!$E$11*12,'Calc'!$W$16,'Calc'!$Y$16))))</x:f>
      </x:c>
      <x:c r="AL168" t="str">
        <x:f>IF(Calc!$AG$168&gt;'Calc'!$B$8,"",'Calc'!$B$5-'财富模型'!$E$5-(IF('Calc'!$E$16=1,'财富模型'!$E$9,'财富模型'!$M$8+IF(Calc!$AG$168&lt;='财富模型'!$E$11*12,'Calc'!$W$16,'Calc'!$Y$16)-(IF('Calc'!$E$16=1,0,MIN(Calc!$AI$167*(1+'财富模型'!$E$20/12)+'Calc'!$B$6,IF(Calc!$AG$168&lt;='财富模型'!$E$11*12,'Calc'!$W$16,'Calc'!$Y$16)))))))</x:f>
      </x:c>
      <x:c r="AM168" t="str">
        <x:f>IF(Calc!$AG$168&gt;'Calc'!$B$8,"",IF('Calc'!$E$16=1,0,MAX(Calc!$AM$167*(1+IF(Calc!$AG$168&lt;='财富模型'!$E$11*12,'财富模型'!$E$10,'财富模型'!$E$12)/12)-IF('Calc'!$E$16=1,0,IF(Calc!$AG$168&lt;='财富模型'!$E$11*12,'Calc'!$W$16,'Calc'!$Y$16)),0)))</x:f>
      </x:c>
      <x:c r="AO168" t="n">
        <x:v>147</x:v>
      </x:c>
      <x:c r="AP168" t="str">
        <x:f>IF(Calc!$AO$168&gt;'Calc'!$B$8,"",MAX(Calc!$AP$167*(1+'财富模型'!$E$6/12)+('Calc'!$B$5-'财富模型'!$E$5-(IF('Calc'!$E$17=1,'财富模型'!$E$9,'财富模型'!$M$9+IF(Calc!$AO$168&lt;='财富模型'!$E$11*12,'Calc'!$W$17,'Calc'!$Y$17)-(IF('Calc'!$E$17=1,0,MIN(Calc!$AQ$167*(1+'财富模型'!$E$20/12)+'Calc'!$B$6,IF(Calc!$AO$168&lt;='财富模型'!$E$11*12,'Calc'!$W$17,'Calc'!$Y$17))))))),0))</x:f>
      </x:c>
      <x:c r="AQ168" t="str">
        <x:f>IF(Calc!$AO$168&gt;'Calc'!$B$8,"",MAX(Calc!$AQ$167*(1+'财富模型'!$E$20/12)+'Calc'!$B$6-(IF('Calc'!$E$17=1,0,MIN(Calc!$AQ$167*(1+'财富模型'!$E$20/12)+'Calc'!$B$6,IF(Calc!$AO$168&lt;='财富模型'!$E$11*12,'Calc'!$W$17,'Calc'!$Y$17)))),0))</x:f>
      </x:c>
      <x:c r="AR168" t="str">
        <x:f>IF(Calc!$AO$168&gt;'Calc'!$B$8,"",IF('Calc'!$E$17=1,'财富模型'!$E$9,'财富模型'!$M$9+IF(Calc!$AO$168&lt;='财富模型'!$E$11*12,'Calc'!$W$17,'Calc'!$Y$17)-(IF('Calc'!$E$17=1,0,MIN(Calc!$AQ$167*(1+'财富模型'!$E$20/12)+'Calc'!$B$6,IF(Calc!$AO$168&lt;='财富模型'!$E$11*12,'Calc'!$W$17,'Calc'!$Y$17))))))</x:f>
      </x:c>
      <x:c r="AS168" t="str">
        <x:f>IF(Calc!$AO$168&gt;'Calc'!$B$8,"",IF('Calc'!$E$17=1,0,MIN(Calc!$AQ$167*(1+'财富模型'!$E$20/12)+'Calc'!$B$6,IF(Calc!$AO$168&lt;='财富模型'!$E$11*12,'Calc'!$W$17,'Calc'!$Y$17))))</x:f>
      </x:c>
      <x:c r="AT168" t="str">
        <x:f>IF(Calc!$AO$168&gt;'Calc'!$B$8,"",'Calc'!$B$5-'财富模型'!$E$5-(IF('Calc'!$E$17=1,'财富模型'!$E$9,'财富模型'!$M$9+IF(Calc!$AO$168&lt;='财富模型'!$E$11*12,'Calc'!$W$17,'Calc'!$Y$17)-(IF('Calc'!$E$17=1,0,MIN(Calc!$AQ$167*(1+'财富模型'!$E$20/12)+'Calc'!$B$6,IF(Calc!$AO$168&lt;='财富模型'!$E$11*12,'Calc'!$W$17,'Calc'!$Y$17)))))))</x:f>
      </x:c>
      <x:c r="AU168" t="str">
        <x:f>IF(Calc!$AO$168&gt;'Calc'!$B$8,"",IF('Calc'!$E$17=1,0,MAX(Calc!$AU$167*(1+IF(Calc!$AO$168&lt;='财富模型'!$E$11*12,'财富模型'!$E$10,'财富模型'!$E$12)/12)-IF('Calc'!$E$17=1,0,IF(Calc!$AO$168&lt;='财富模型'!$E$11*12,'Calc'!$W$17,'Calc'!$Y$17)),0)))</x:f>
      </x:c>
    </x:row>
    <x:row r="169">
      <x:c r="A169" t="n">
        <x:v>148</x:v>
      </x:c>
      <x:c r="B169" t="str">
        <x:f>IF(Calc!$A$169&gt;'Calc'!$B$8,"",MAX(Calc!$B$168*(1+'财富模型'!$E$6/12)+('Calc'!$B$5-'财富模型'!$E$5-(IF('Calc'!$E$12=1,'财富模型'!$E$9,'财富模型'!$M$4+IF(Calc!$A$169&lt;='财富模型'!$E$11*12,'Calc'!$W$12,'Calc'!$Y$12)-(IF('Calc'!$E$12=1,0,MIN(Calc!$C$168*(1+'财富模型'!$E$20/12)+'Calc'!$B$6,IF(Calc!$A$169&lt;='财富模型'!$E$11*12,'Calc'!$W$12,'Calc'!$Y$12))))))),0))</x:f>
      </x:c>
      <x:c r="C169" t="str">
        <x:f>IF(Calc!$A$169&gt;'Calc'!$B$8,"",MAX(Calc!$C$168*(1+'财富模型'!$E$20/12)+'Calc'!$B$6-(IF('Calc'!$E$12=1,0,MIN(Calc!$C$168*(1+'财富模型'!$E$20/12)+'Calc'!$B$6,IF(Calc!$A$169&lt;='财富模型'!$E$11*12,'Calc'!$W$12,'Calc'!$Y$12)))),0))</x:f>
      </x:c>
      <x:c r="D169" t="str">
        <x:f>IF(Calc!$A$169&gt;'Calc'!$B$8,"",IF('Calc'!$E$12=1,'财富模型'!$E$9,'财富模型'!$M$4+IF(Calc!$A$169&lt;='财富模型'!$E$11*12,'Calc'!$W$12,'Calc'!$Y$12)-(IF('Calc'!$E$12=1,0,MIN(Calc!$C$168*(1+'财富模型'!$E$20/12)+'Calc'!$B$6,IF(Calc!$A$169&lt;='财富模型'!$E$11*12,'Calc'!$W$12,'Calc'!$Y$12))))))</x:f>
      </x:c>
      <x:c r="E169" t="str">
        <x:f>IF(Calc!$A$169&gt;'Calc'!$B$8,"",IF('Calc'!$E$12=1,0,MIN(Calc!$C$168*(1+'财富模型'!$E$20/12)+'Calc'!$B$6,IF(Calc!$A$169&lt;='财富模型'!$E$11*12,'Calc'!$W$12,'Calc'!$Y$12))))</x:f>
      </x:c>
      <x:c r="F169" t="str">
        <x:f>IF(Calc!$A$169&gt;'Calc'!$B$8,"",'Calc'!$B$5-'财富模型'!$E$5-(IF('Calc'!$E$12=1,'财富模型'!$E$9,'财富模型'!$M$4+IF(Calc!$A$169&lt;='财富模型'!$E$11*12,'Calc'!$W$12,'Calc'!$Y$12)-(IF('Calc'!$E$12=1,0,MIN(Calc!$C$168*(1+'财富模型'!$E$20/12)+'Calc'!$B$6,IF(Calc!$A$169&lt;='财富模型'!$E$11*12,'Calc'!$W$12,'Calc'!$Y$12)))))))</x:f>
      </x:c>
      <x:c r="G169" t="str">
        <x:f>IF(Calc!$A$169&gt;'Calc'!$B$8,"",IF('Calc'!$E$12=1,0,MAX(Calc!$G$168*(1+IF(Calc!$A$169&lt;='财富模型'!$E$11*12,'财富模型'!$E$10,'财富模型'!$E$12)/12)-IF('Calc'!$E$12=1,0,IF(Calc!$A$169&lt;='财富模型'!$E$11*12,'Calc'!$W$12,'Calc'!$Y$12)),0)))</x:f>
      </x:c>
      <x:c r="I169" t="n">
        <x:v>148</x:v>
      </x:c>
      <x:c r="J169" t="str">
        <x:f>IF(Calc!$I$169&gt;'Calc'!$B$8,"",MAX(Calc!$J$168*(1+'财富模型'!$E$6/12)+('Calc'!$B$5-'财富模型'!$E$5-(IF('Calc'!$E$13=1,'财富模型'!$E$9,'财富模型'!$M$5+IF(Calc!$I$169&lt;='财富模型'!$E$11*12,'Calc'!$W$13,'Calc'!$Y$13)-(IF('Calc'!$E$13=1,0,MIN(Calc!$K$168*(1+'财富模型'!$E$20/12)+'Calc'!$B$6,IF(Calc!$I$169&lt;='财富模型'!$E$11*12,'Calc'!$W$13,'Calc'!$Y$13))))))),0))</x:f>
      </x:c>
      <x:c r="K169" t="str">
        <x:f>IF(Calc!$I$169&gt;'Calc'!$B$8,"",MAX(Calc!$K$168*(1+'财富模型'!$E$20/12)+'Calc'!$B$6-(IF('Calc'!$E$13=1,0,MIN(Calc!$K$168*(1+'财富模型'!$E$20/12)+'Calc'!$B$6,IF(Calc!$I$169&lt;='财富模型'!$E$11*12,'Calc'!$W$13,'Calc'!$Y$13)))),0))</x:f>
      </x:c>
      <x:c r="L169" t="str">
        <x:f>IF(Calc!$I$169&gt;'Calc'!$B$8,"",IF('Calc'!$E$13=1,'财富模型'!$E$9,'财富模型'!$M$5+IF(Calc!$I$169&lt;='财富模型'!$E$11*12,'Calc'!$W$13,'Calc'!$Y$13)-(IF('Calc'!$E$13=1,0,MIN(Calc!$K$168*(1+'财富模型'!$E$20/12)+'Calc'!$B$6,IF(Calc!$I$169&lt;='财富模型'!$E$11*12,'Calc'!$W$13,'Calc'!$Y$13))))))</x:f>
      </x:c>
      <x:c r="M169" t="str">
        <x:f>IF(Calc!$I$169&gt;'Calc'!$B$8,"",IF('Calc'!$E$13=1,0,MIN(Calc!$K$168*(1+'财富模型'!$E$20/12)+'Calc'!$B$6,IF(Calc!$I$169&lt;='财富模型'!$E$11*12,'Calc'!$W$13,'Calc'!$Y$13))))</x:f>
      </x:c>
      <x:c r="N169" t="str">
        <x:f>IF(Calc!$I$169&gt;'Calc'!$B$8,"",'Calc'!$B$5-'财富模型'!$E$5-(IF('Calc'!$E$13=1,'财富模型'!$E$9,'财富模型'!$M$5+IF(Calc!$I$169&lt;='财富模型'!$E$11*12,'Calc'!$W$13,'Calc'!$Y$13)-(IF('Calc'!$E$13=1,0,MIN(Calc!$K$168*(1+'财富模型'!$E$20/12)+'Calc'!$B$6,IF(Calc!$I$169&lt;='财富模型'!$E$11*12,'Calc'!$W$13,'Calc'!$Y$13)))))))</x:f>
      </x:c>
      <x:c r="O169" t="str">
        <x:f>IF(Calc!$I$169&gt;'Calc'!$B$8,"",IF('Calc'!$E$13=1,0,MAX(Calc!$O$168*(1+IF(Calc!$I$169&lt;='财富模型'!$E$11*12,'财富模型'!$E$10,'财富模型'!$E$12)/12)-IF('Calc'!$E$13=1,0,IF(Calc!$I$169&lt;='财富模型'!$E$11*12,'Calc'!$W$13,'Calc'!$Y$13)),0)))</x:f>
      </x:c>
      <x:c r="Q169" t="n">
        <x:v>148</x:v>
      </x:c>
      <x:c r="R169" t="str">
        <x:f>IF(Calc!$Q$169&gt;'Calc'!$B$8,"",MAX(Calc!$R$168*(1+'财富模型'!$E$6/12)+('Calc'!$B$5-'财富模型'!$E$5-(IF('Calc'!$E$14=1,'财富模型'!$E$9,'财富模型'!$M$6+IF(Calc!$Q$169&lt;='财富模型'!$E$11*12,'Calc'!$W$14,'Calc'!$Y$14)-(IF('Calc'!$E$14=1,0,MIN(Calc!$S$168*(1+'财富模型'!$E$20/12)+'Calc'!$B$6,IF(Calc!$Q$169&lt;='财富模型'!$E$11*12,'Calc'!$W$14,'Calc'!$Y$14))))))),0))</x:f>
      </x:c>
      <x:c r="S169" t="str">
        <x:f>IF(Calc!$Q$169&gt;'Calc'!$B$8,"",MAX(Calc!$S$168*(1+'财富模型'!$E$20/12)+'Calc'!$B$6-(IF('Calc'!$E$14=1,0,MIN(Calc!$S$168*(1+'财富模型'!$E$20/12)+'Calc'!$B$6,IF(Calc!$Q$169&lt;='财富模型'!$E$11*12,'Calc'!$W$14,'Calc'!$Y$14)))),0))</x:f>
      </x:c>
      <x:c r="T169" t="str">
        <x:f>IF(Calc!$Q$169&gt;'Calc'!$B$8,"",IF('Calc'!$E$14=1,'财富模型'!$E$9,'财富模型'!$M$6+IF(Calc!$Q$169&lt;='财富模型'!$E$11*12,'Calc'!$W$14,'Calc'!$Y$14)-(IF('Calc'!$E$14=1,0,MIN(Calc!$S$168*(1+'财富模型'!$E$20/12)+'Calc'!$B$6,IF(Calc!$Q$169&lt;='财富模型'!$E$11*12,'Calc'!$W$14,'Calc'!$Y$14))))))</x:f>
      </x:c>
      <x:c r="U169" t="str">
        <x:f>IF(Calc!$Q$169&gt;'Calc'!$B$8,"",IF('Calc'!$E$14=1,0,MIN(Calc!$S$168*(1+'财富模型'!$E$20/12)+'Calc'!$B$6,IF(Calc!$Q$169&lt;='财富模型'!$E$11*12,'Calc'!$W$14,'Calc'!$Y$14))))</x:f>
      </x:c>
      <x:c r="V169" t="str">
        <x:f>IF(Calc!$Q$169&gt;'Calc'!$B$8,"",'Calc'!$B$5-'财富模型'!$E$5-(IF('Calc'!$E$14=1,'财富模型'!$E$9,'财富模型'!$M$6+IF(Calc!$Q$169&lt;='财富模型'!$E$11*12,'Calc'!$W$14,'Calc'!$Y$14)-(IF('Calc'!$E$14=1,0,MIN(Calc!$S$168*(1+'财富模型'!$E$20/12)+'Calc'!$B$6,IF(Calc!$Q$169&lt;='财富模型'!$E$11*12,'Calc'!$W$14,'Calc'!$Y$14)))))))</x:f>
      </x:c>
      <x:c r="W169" t="str">
        <x:f>IF(Calc!$Q$169&gt;'Calc'!$B$8,"",IF('Calc'!$E$14=1,0,MAX(Calc!$W$168*(1+IF(Calc!$Q$169&lt;='财富模型'!$E$11*12,'财富模型'!$E$10,'财富模型'!$E$12)/12)-IF('Calc'!$E$14=1,0,IF(Calc!$Q$169&lt;='财富模型'!$E$11*12,'Calc'!$W$14,'Calc'!$Y$14)),0)))</x:f>
      </x:c>
      <x:c r="Y169" t="n">
        <x:v>148</x:v>
      </x:c>
      <x:c r="Z169" t="str">
        <x:f>IF(Calc!$Y$169&gt;'Calc'!$B$8,"",MAX(Calc!$Z$168*(1+'财富模型'!$E$6/12)+('Calc'!$B$5-'财富模型'!$E$5-(IF('Calc'!$E$15=1,'财富模型'!$E$9,'财富模型'!$M$7+IF(Calc!$Y$169&lt;='财富模型'!$E$11*12,'Calc'!$W$15,'Calc'!$Y$15)-(IF('Calc'!$E$15=1,0,MIN(Calc!$AA$168*(1+'财富模型'!$E$20/12)+'Calc'!$B$6,IF(Calc!$Y$169&lt;='财富模型'!$E$11*12,'Calc'!$W$15,'Calc'!$Y$15))))))),0))</x:f>
      </x:c>
      <x:c r="AA169" t="str">
        <x:f>IF(Calc!$Y$169&gt;'Calc'!$B$8,"",MAX(Calc!$AA$168*(1+'财富模型'!$E$20/12)+'Calc'!$B$6-(IF('Calc'!$E$15=1,0,MIN(Calc!$AA$168*(1+'财富模型'!$E$20/12)+'Calc'!$B$6,IF(Calc!$Y$169&lt;='财富模型'!$E$11*12,'Calc'!$W$15,'Calc'!$Y$15)))),0))</x:f>
      </x:c>
      <x:c r="AB169" t="str">
        <x:f>IF(Calc!$Y$169&gt;'Calc'!$B$8,"",IF('Calc'!$E$15=1,'财富模型'!$E$9,'财富模型'!$M$7+IF(Calc!$Y$169&lt;='财富模型'!$E$11*12,'Calc'!$W$15,'Calc'!$Y$15)-(IF('Calc'!$E$15=1,0,MIN(Calc!$AA$168*(1+'财富模型'!$E$20/12)+'Calc'!$B$6,IF(Calc!$Y$169&lt;='财富模型'!$E$11*12,'Calc'!$W$15,'Calc'!$Y$15))))))</x:f>
      </x:c>
      <x:c r="AC169" t="str">
        <x:f>IF(Calc!$Y$169&gt;'Calc'!$B$8,"",IF('Calc'!$E$15=1,0,MIN(Calc!$AA$168*(1+'财富模型'!$E$20/12)+'Calc'!$B$6,IF(Calc!$Y$169&lt;='财富模型'!$E$11*12,'Calc'!$W$15,'Calc'!$Y$15))))</x:f>
      </x:c>
      <x:c r="AD169" t="str">
        <x:f>IF(Calc!$Y$169&gt;'Calc'!$B$8,"",'Calc'!$B$5-'财富模型'!$E$5-(IF('Calc'!$E$15=1,'财富模型'!$E$9,'财富模型'!$M$7+IF(Calc!$Y$169&lt;='财富模型'!$E$11*12,'Calc'!$W$15,'Calc'!$Y$15)-(IF('Calc'!$E$15=1,0,MIN(Calc!$AA$168*(1+'财富模型'!$E$20/12)+'Calc'!$B$6,IF(Calc!$Y$169&lt;='财富模型'!$E$11*12,'Calc'!$W$15,'Calc'!$Y$15)))))))</x:f>
      </x:c>
      <x:c r="AE169" t="str">
        <x:f>IF(Calc!$Y$169&gt;'Calc'!$B$8,"",IF('Calc'!$E$15=1,0,MAX(Calc!$AE$168*(1+IF(Calc!$Y$169&lt;='财富模型'!$E$11*12,'财富模型'!$E$10,'财富模型'!$E$12)/12)-IF('Calc'!$E$15=1,0,IF(Calc!$Y$169&lt;='财富模型'!$E$11*12,'Calc'!$W$15,'Calc'!$Y$15)),0)))</x:f>
      </x:c>
      <x:c r="AG169" t="n">
        <x:v>148</x:v>
      </x:c>
      <x:c r="AH169" t="str">
        <x:f>IF(Calc!$AG$169&gt;'Calc'!$B$8,"",MAX(Calc!$AH$168*(1+'财富模型'!$E$6/12)+('Calc'!$B$5-'财富模型'!$E$5-(IF('Calc'!$E$16=1,'财富模型'!$E$9,'财富模型'!$M$8+IF(Calc!$AG$169&lt;='财富模型'!$E$11*12,'Calc'!$W$16,'Calc'!$Y$16)-(IF('Calc'!$E$16=1,0,MIN(Calc!$AI$168*(1+'财富模型'!$E$20/12)+'Calc'!$B$6,IF(Calc!$AG$169&lt;='财富模型'!$E$11*12,'Calc'!$W$16,'Calc'!$Y$16))))))),0))</x:f>
      </x:c>
      <x:c r="AI169" t="str">
        <x:f>IF(Calc!$AG$169&gt;'Calc'!$B$8,"",MAX(Calc!$AI$168*(1+'财富模型'!$E$20/12)+'Calc'!$B$6-(IF('Calc'!$E$16=1,0,MIN(Calc!$AI$168*(1+'财富模型'!$E$20/12)+'Calc'!$B$6,IF(Calc!$AG$169&lt;='财富模型'!$E$11*12,'Calc'!$W$16,'Calc'!$Y$16)))),0))</x:f>
      </x:c>
      <x:c r="AJ169" t="str">
        <x:f>IF(Calc!$AG$169&gt;'Calc'!$B$8,"",IF('Calc'!$E$16=1,'财富模型'!$E$9,'财富模型'!$M$8+IF(Calc!$AG$169&lt;='财富模型'!$E$11*12,'Calc'!$W$16,'Calc'!$Y$16)-(IF('Calc'!$E$16=1,0,MIN(Calc!$AI$168*(1+'财富模型'!$E$20/12)+'Calc'!$B$6,IF(Calc!$AG$169&lt;='财富模型'!$E$11*12,'Calc'!$W$16,'Calc'!$Y$16))))))</x:f>
      </x:c>
      <x:c r="AK169" t="str">
        <x:f>IF(Calc!$AG$169&gt;'Calc'!$B$8,"",IF('Calc'!$E$16=1,0,MIN(Calc!$AI$168*(1+'财富模型'!$E$20/12)+'Calc'!$B$6,IF(Calc!$AG$169&lt;='财富模型'!$E$11*12,'Calc'!$W$16,'Calc'!$Y$16))))</x:f>
      </x:c>
      <x:c r="AL169" t="str">
        <x:f>IF(Calc!$AG$169&gt;'Calc'!$B$8,"",'Calc'!$B$5-'财富模型'!$E$5-(IF('Calc'!$E$16=1,'财富模型'!$E$9,'财富模型'!$M$8+IF(Calc!$AG$169&lt;='财富模型'!$E$11*12,'Calc'!$W$16,'Calc'!$Y$16)-(IF('Calc'!$E$16=1,0,MIN(Calc!$AI$168*(1+'财富模型'!$E$20/12)+'Calc'!$B$6,IF(Calc!$AG$169&lt;='财富模型'!$E$11*12,'Calc'!$W$16,'Calc'!$Y$16)))))))</x:f>
      </x:c>
      <x:c r="AM169" t="str">
        <x:f>IF(Calc!$AG$169&gt;'Calc'!$B$8,"",IF('Calc'!$E$16=1,0,MAX(Calc!$AM$168*(1+IF(Calc!$AG$169&lt;='财富模型'!$E$11*12,'财富模型'!$E$10,'财富模型'!$E$12)/12)-IF('Calc'!$E$16=1,0,IF(Calc!$AG$169&lt;='财富模型'!$E$11*12,'Calc'!$W$16,'Calc'!$Y$16)),0)))</x:f>
      </x:c>
      <x:c r="AO169" t="n">
        <x:v>148</x:v>
      </x:c>
      <x:c r="AP169" t="str">
        <x:f>IF(Calc!$AO$169&gt;'Calc'!$B$8,"",MAX(Calc!$AP$168*(1+'财富模型'!$E$6/12)+('Calc'!$B$5-'财富模型'!$E$5-(IF('Calc'!$E$17=1,'财富模型'!$E$9,'财富模型'!$M$9+IF(Calc!$AO$169&lt;='财富模型'!$E$11*12,'Calc'!$W$17,'Calc'!$Y$17)-(IF('Calc'!$E$17=1,0,MIN(Calc!$AQ$168*(1+'财富模型'!$E$20/12)+'Calc'!$B$6,IF(Calc!$AO$169&lt;='财富模型'!$E$11*12,'Calc'!$W$17,'Calc'!$Y$17))))))),0))</x:f>
      </x:c>
      <x:c r="AQ169" t="str">
        <x:f>IF(Calc!$AO$169&gt;'Calc'!$B$8,"",MAX(Calc!$AQ$168*(1+'财富模型'!$E$20/12)+'Calc'!$B$6-(IF('Calc'!$E$17=1,0,MIN(Calc!$AQ$168*(1+'财富模型'!$E$20/12)+'Calc'!$B$6,IF(Calc!$AO$169&lt;='财富模型'!$E$11*12,'Calc'!$W$17,'Calc'!$Y$17)))),0))</x:f>
      </x:c>
      <x:c r="AR169" t="str">
        <x:f>IF(Calc!$AO$169&gt;'Calc'!$B$8,"",IF('Calc'!$E$17=1,'财富模型'!$E$9,'财富模型'!$M$9+IF(Calc!$AO$169&lt;='财富模型'!$E$11*12,'Calc'!$W$17,'Calc'!$Y$17)-(IF('Calc'!$E$17=1,0,MIN(Calc!$AQ$168*(1+'财富模型'!$E$20/12)+'Calc'!$B$6,IF(Calc!$AO$169&lt;='财富模型'!$E$11*12,'Calc'!$W$17,'Calc'!$Y$17))))))</x:f>
      </x:c>
      <x:c r="AS169" t="str">
        <x:f>IF(Calc!$AO$169&gt;'Calc'!$B$8,"",IF('Calc'!$E$17=1,0,MIN(Calc!$AQ$168*(1+'财富模型'!$E$20/12)+'Calc'!$B$6,IF(Calc!$AO$169&lt;='财富模型'!$E$11*12,'Calc'!$W$17,'Calc'!$Y$17))))</x:f>
      </x:c>
      <x:c r="AT169" t="str">
        <x:f>IF(Calc!$AO$169&gt;'Calc'!$B$8,"",'Calc'!$B$5-'财富模型'!$E$5-(IF('Calc'!$E$17=1,'财富模型'!$E$9,'财富模型'!$M$9+IF(Calc!$AO$169&lt;='财富模型'!$E$11*12,'Calc'!$W$17,'Calc'!$Y$17)-(IF('Calc'!$E$17=1,0,MIN(Calc!$AQ$168*(1+'财富模型'!$E$20/12)+'Calc'!$B$6,IF(Calc!$AO$169&lt;='财富模型'!$E$11*12,'Calc'!$W$17,'Calc'!$Y$17)))))))</x:f>
      </x:c>
      <x:c r="AU169" t="str">
        <x:f>IF(Calc!$AO$169&gt;'Calc'!$B$8,"",IF('Calc'!$E$17=1,0,MAX(Calc!$AU$168*(1+IF(Calc!$AO$169&lt;='财富模型'!$E$11*12,'财富模型'!$E$10,'财富模型'!$E$12)/12)-IF('Calc'!$E$17=1,0,IF(Calc!$AO$169&lt;='财富模型'!$E$11*12,'Calc'!$W$17,'Calc'!$Y$17)),0)))</x:f>
      </x:c>
    </x:row>
    <x:row r="170">
      <x:c r="A170" t="n">
        <x:v>149</x:v>
      </x:c>
      <x:c r="B170" t="str">
        <x:f>IF(Calc!$A$170&gt;'Calc'!$B$8,"",MAX(Calc!$B$169*(1+'财富模型'!$E$6/12)+('Calc'!$B$5-'财富模型'!$E$5-(IF('Calc'!$E$12=1,'财富模型'!$E$9,'财富模型'!$M$4+IF(Calc!$A$170&lt;='财富模型'!$E$11*12,'Calc'!$W$12,'Calc'!$Y$12)-(IF('Calc'!$E$12=1,0,MIN(Calc!$C$169*(1+'财富模型'!$E$20/12)+'Calc'!$B$6,IF(Calc!$A$170&lt;='财富模型'!$E$11*12,'Calc'!$W$12,'Calc'!$Y$12))))))),0))</x:f>
      </x:c>
      <x:c r="C170" t="str">
        <x:f>IF(Calc!$A$170&gt;'Calc'!$B$8,"",MAX(Calc!$C$169*(1+'财富模型'!$E$20/12)+'Calc'!$B$6-(IF('Calc'!$E$12=1,0,MIN(Calc!$C$169*(1+'财富模型'!$E$20/12)+'Calc'!$B$6,IF(Calc!$A$170&lt;='财富模型'!$E$11*12,'Calc'!$W$12,'Calc'!$Y$12)))),0))</x:f>
      </x:c>
      <x:c r="D170" t="str">
        <x:f>IF(Calc!$A$170&gt;'Calc'!$B$8,"",IF('Calc'!$E$12=1,'财富模型'!$E$9,'财富模型'!$M$4+IF(Calc!$A$170&lt;='财富模型'!$E$11*12,'Calc'!$W$12,'Calc'!$Y$12)-(IF('Calc'!$E$12=1,0,MIN(Calc!$C$169*(1+'财富模型'!$E$20/12)+'Calc'!$B$6,IF(Calc!$A$170&lt;='财富模型'!$E$11*12,'Calc'!$W$12,'Calc'!$Y$12))))))</x:f>
      </x:c>
      <x:c r="E170" t="str">
        <x:f>IF(Calc!$A$170&gt;'Calc'!$B$8,"",IF('Calc'!$E$12=1,0,MIN(Calc!$C$169*(1+'财富模型'!$E$20/12)+'Calc'!$B$6,IF(Calc!$A$170&lt;='财富模型'!$E$11*12,'Calc'!$W$12,'Calc'!$Y$12))))</x:f>
      </x:c>
      <x:c r="F170" t="str">
        <x:f>IF(Calc!$A$170&gt;'Calc'!$B$8,"",'Calc'!$B$5-'财富模型'!$E$5-(IF('Calc'!$E$12=1,'财富模型'!$E$9,'财富模型'!$M$4+IF(Calc!$A$170&lt;='财富模型'!$E$11*12,'Calc'!$W$12,'Calc'!$Y$12)-(IF('Calc'!$E$12=1,0,MIN(Calc!$C$169*(1+'财富模型'!$E$20/12)+'Calc'!$B$6,IF(Calc!$A$170&lt;='财富模型'!$E$11*12,'Calc'!$W$12,'Calc'!$Y$12)))))))</x:f>
      </x:c>
      <x:c r="G170" t="str">
        <x:f>IF(Calc!$A$170&gt;'Calc'!$B$8,"",IF('Calc'!$E$12=1,0,MAX(Calc!$G$169*(1+IF(Calc!$A$170&lt;='财富模型'!$E$11*12,'财富模型'!$E$10,'财富模型'!$E$12)/12)-IF('Calc'!$E$12=1,0,IF(Calc!$A$170&lt;='财富模型'!$E$11*12,'Calc'!$W$12,'Calc'!$Y$12)),0)))</x:f>
      </x:c>
      <x:c r="I170" t="n">
        <x:v>149</x:v>
      </x:c>
      <x:c r="J170" t="str">
        <x:f>IF(Calc!$I$170&gt;'Calc'!$B$8,"",MAX(Calc!$J$169*(1+'财富模型'!$E$6/12)+('Calc'!$B$5-'财富模型'!$E$5-(IF('Calc'!$E$13=1,'财富模型'!$E$9,'财富模型'!$M$5+IF(Calc!$I$170&lt;='财富模型'!$E$11*12,'Calc'!$W$13,'Calc'!$Y$13)-(IF('Calc'!$E$13=1,0,MIN(Calc!$K$169*(1+'财富模型'!$E$20/12)+'Calc'!$B$6,IF(Calc!$I$170&lt;='财富模型'!$E$11*12,'Calc'!$W$13,'Calc'!$Y$13))))))),0))</x:f>
      </x:c>
      <x:c r="K170" t="str">
        <x:f>IF(Calc!$I$170&gt;'Calc'!$B$8,"",MAX(Calc!$K$169*(1+'财富模型'!$E$20/12)+'Calc'!$B$6-(IF('Calc'!$E$13=1,0,MIN(Calc!$K$169*(1+'财富模型'!$E$20/12)+'Calc'!$B$6,IF(Calc!$I$170&lt;='财富模型'!$E$11*12,'Calc'!$W$13,'Calc'!$Y$13)))),0))</x:f>
      </x:c>
      <x:c r="L170" t="str">
        <x:f>IF(Calc!$I$170&gt;'Calc'!$B$8,"",IF('Calc'!$E$13=1,'财富模型'!$E$9,'财富模型'!$M$5+IF(Calc!$I$170&lt;='财富模型'!$E$11*12,'Calc'!$W$13,'Calc'!$Y$13)-(IF('Calc'!$E$13=1,0,MIN(Calc!$K$169*(1+'财富模型'!$E$20/12)+'Calc'!$B$6,IF(Calc!$I$170&lt;='财富模型'!$E$11*12,'Calc'!$W$13,'Calc'!$Y$13))))))</x:f>
      </x:c>
      <x:c r="M170" t="str">
        <x:f>IF(Calc!$I$170&gt;'Calc'!$B$8,"",IF('Calc'!$E$13=1,0,MIN(Calc!$K$169*(1+'财富模型'!$E$20/12)+'Calc'!$B$6,IF(Calc!$I$170&lt;='财富模型'!$E$11*12,'Calc'!$W$13,'Calc'!$Y$13))))</x:f>
      </x:c>
      <x:c r="N170" t="str">
        <x:f>IF(Calc!$I$170&gt;'Calc'!$B$8,"",'Calc'!$B$5-'财富模型'!$E$5-(IF('Calc'!$E$13=1,'财富模型'!$E$9,'财富模型'!$M$5+IF(Calc!$I$170&lt;='财富模型'!$E$11*12,'Calc'!$W$13,'Calc'!$Y$13)-(IF('Calc'!$E$13=1,0,MIN(Calc!$K$169*(1+'财富模型'!$E$20/12)+'Calc'!$B$6,IF(Calc!$I$170&lt;='财富模型'!$E$11*12,'Calc'!$W$13,'Calc'!$Y$13)))))))</x:f>
      </x:c>
      <x:c r="O170" t="str">
        <x:f>IF(Calc!$I$170&gt;'Calc'!$B$8,"",IF('Calc'!$E$13=1,0,MAX(Calc!$O$169*(1+IF(Calc!$I$170&lt;='财富模型'!$E$11*12,'财富模型'!$E$10,'财富模型'!$E$12)/12)-IF('Calc'!$E$13=1,0,IF(Calc!$I$170&lt;='财富模型'!$E$11*12,'Calc'!$W$13,'Calc'!$Y$13)),0)))</x:f>
      </x:c>
      <x:c r="Q170" t="n">
        <x:v>149</x:v>
      </x:c>
      <x:c r="R170" t="str">
        <x:f>IF(Calc!$Q$170&gt;'Calc'!$B$8,"",MAX(Calc!$R$169*(1+'财富模型'!$E$6/12)+('Calc'!$B$5-'财富模型'!$E$5-(IF('Calc'!$E$14=1,'财富模型'!$E$9,'财富模型'!$M$6+IF(Calc!$Q$170&lt;='财富模型'!$E$11*12,'Calc'!$W$14,'Calc'!$Y$14)-(IF('Calc'!$E$14=1,0,MIN(Calc!$S$169*(1+'财富模型'!$E$20/12)+'Calc'!$B$6,IF(Calc!$Q$170&lt;='财富模型'!$E$11*12,'Calc'!$W$14,'Calc'!$Y$14))))))),0))</x:f>
      </x:c>
      <x:c r="S170" t="str">
        <x:f>IF(Calc!$Q$170&gt;'Calc'!$B$8,"",MAX(Calc!$S$169*(1+'财富模型'!$E$20/12)+'Calc'!$B$6-(IF('Calc'!$E$14=1,0,MIN(Calc!$S$169*(1+'财富模型'!$E$20/12)+'Calc'!$B$6,IF(Calc!$Q$170&lt;='财富模型'!$E$11*12,'Calc'!$W$14,'Calc'!$Y$14)))),0))</x:f>
      </x:c>
      <x:c r="T170" t="str">
        <x:f>IF(Calc!$Q$170&gt;'Calc'!$B$8,"",IF('Calc'!$E$14=1,'财富模型'!$E$9,'财富模型'!$M$6+IF(Calc!$Q$170&lt;='财富模型'!$E$11*12,'Calc'!$W$14,'Calc'!$Y$14)-(IF('Calc'!$E$14=1,0,MIN(Calc!$S$169*(1+'财富模型'!$E$20/12)+'Calc'!$B$6,IF(Calc!$Q$170&lt;='财富模型'!$E$11*12,'Calc'!$W$14,'Calc'!$Y$14))))))</x:f>
      </x:c>
      <x:c r="U170" t="str">
        <x:f>IF(Calc!$Q$170&gt;'Calc'!$B$8,"",IF('Calc'!$E$14=1,0,MIN(Calc!$S$169*(1+'财富模型'!$E$20/12)+'Calc'!$B$6,IF(Calc!$Q$170&lt;='财富模型'!$E$11*12,'Calc'!$W$14,'Calc'!$Y$14))))</x:f>
      </x:c>
      <x:c r="V170" t="str">
        <x:f>IF(Calc!$Q$170&gt;'Calc'!$B$8,"",'Calc'!$B$5-'财富模型'!$E$5-(IF('Calc'!$E$14=1,'财富模型'!$E$9,'财富模型'!$M$6+IF(Calc!$Q$170&lt;='财富模型'!$E$11*12,'Calc'!$W$14,'Calc'!$Y$14)-(IF('Calc'!$E$14=1,0,MIN(Calc!$S$169*(1+'财富模型'!$E$20/12)+'Calc'!$B$6,IF(Calc!$Q$170&lt;='财富模型'!$E$11*12,'Calc'!$W$14,'Calc'!$Y$14)))))))</x:f>
      </x:c>
      <x:c r="W170" t="str">
        <x:f>IF(Calc!$Q$170&gt;'Calc'!$B$8,"",IF('Calc'!$E$14=1,0,MAX(Calc!$W$169*(1+IF(Calc!$Q$170&lt;='财富模型'!$E$11*12,'财富模型'!$E$10,'财富模型'!$E$12)/12)-IF('Calc'!$E$14=1,0,IF(Calc!$Q$170&lt;='财富模型'!$E$11*12,'Calc'!$W$14,'Calc'!$Y$14)),0)))</x:f>
      </x:c>
      <x:c r="Y170" t="n">
        <x:v>149</x:v>
      </x:c>
      <x:c r="Z170" t="str">
        <x:f>IF(Calc!$Y$170&gt;'Calc'!$B$8,"",MAX(Calc!$Z$169*(1+'财富模型'!$E$6/12)+('Calc'!$B$5-'财富模型'!$E$5-(IF('Calc'!$E$15=1,'财富模型'!$E$9,'财富模型'!$M$7+IF(Calc!$Y$170&lt;='财富模型'!$E$11*12,'Calc'!$W$15,'Calc'!$Y$15)-(IF('Calc'!$E$15=1,0,MIN(Calc!$AA$169*(1+'财富模型'!$E$20/12)+'Calc'!$B$6,IF(Calc!$Y$170&lt;='财富模型'!$E$11*12,'Calc'!$W$15,'Calc'!$Y$15))))))),0))</x:f>
      </x:c>
      <x:c r="AA170" t="str">
        <x:f>IF(Calc!$Y$170&gt;'Calc'!$B$8,"",MAX(Calc!$AA$169*(1+'财富模型'!$E$20/12)+'Calc'!$B$6-(IF('Calc'!$E$15=1,0,MIN(Calc!$AA$169*(1+'财富模型'!$E$20/12)+'Calc'!$B$6,IF(Calc!$Y$170&lt;='财富模型'!$E$11*12,'Calc'!$W$15,'Calc'!$Y$15)))),0))</x:f>
      </x:c>
      <x:c r="AB170" t="str">
        <x:f>IF(Calc!$Y$170&gt;'Calc'!$B$8,"",IF('Calc'!$E$15=1,'财富模型'!$E$9,'财富模型'!$M$7+IF(Calc!$Y$170&lt;='财富模型'!$E$11*12,'Calc'!$W$15,'Calc'!$Y$15)-(IF('Calc'!$E$15=1,0,MIN(Calc!$AA$169*(1+'财富模型'!$E$20/12)+'Calc'!$B$6,IF(Calc!$Y$170&lt;='财富模型'!$E$11*12,'Calc'!$W$15,'Calc'!$Y$15))))))</x:f>
      </x:c>
      <x:c r="AC170" t="str">
        <x:f>IF(Calc!$Y$170&gt;'Calc'!$B$8,"",IF('Calc'!$E$15=1,0,MIN(Calc!$AA$169*(1+'财富模型'!$E$20/12)+'Calc'!$B$6,IF(Calc!$Y$170&lt;='财富模型'!$E$11*12,'Calc'!$W$15,'Calc'!$Y$15))))</x:f>
      </x:c>
      <x:c r="AD170" t="str">
        <x:f>IF(Calc!$Y$170&gt;'Calc'!$B$8,"",'Calc'!$B$5-'财富模型'!$E$5-(IF('Calc'!$E$15=1,'财富模型'!$E$9,'财富模型'!$M$7+IF(Calc!$Y$170&lt;='财富模型'!$E$11*12,'Calc'!$W$15,'Calc'!$Y$15)-(IF('Calc'!$E$15=1,0,MIN(Calc!$AA$169*(1+'财富模型'!$E$20/12)+'Calc'!$B$6,IF(Calc!$Y$170&lt;='财富模型'!$E$11*12,'Calc'!$W$15,'Calc'!$Y$15)))))))</x:f>
      </x:c>
      <x:c r="AE170" t="str">
        <x:f>IF(Calc!$Y$170&gt;'Calc'!$B$8,"",IF('Calc'!$E$15=1,0,MAX(Calc!$AE$169*(1+IF(Calc!$Y$170&lt;='财富模型'!$E$11*12,'财富模型'!$E$10,'财富模型'!$E$12)/12)-IF('Calc'!$E$15=1,0,IF(Calc!$Y$170&lt;='财富模型'!$E$11*12,'Calc'!$W$15,'Calc'!$Y$15)),0)))</x:f>
      </x:c>
      <x:c r="AG170" t="n">
        <x:v>149</x:v>
      </x:c>
      <x:c r="AH170" t="str">
        <x:f>IF(Calc!$AG$170&gt;'Calc'!$B$8,"",MAX(Calc!$AH$169*(1+'财富模型'!$E$6/12)+('Calc'!$B$5-'财富模型'!$E$5-(IF('Calc'!$E$16=1,'财富模型'!$E$9,'财富模型'!$M$8+IF(Calc!$AG$170&lt;='财富模型'!$E$11*12,'Calc'!$W$16,'Calc'!$Y$16)-(IF('Calc'!$E$16=1,0,MIN(Calc!$AI$169*(1+'财富模型'!$E$20/12)+'Calc'!$B$6,IF(Calc!$AG$170&lt;='财富模型'!$E$11*12,'Calc'!$W$16,'Calc'!$Y$16))))))),0))</x:f>
      </x:c>
      <x:c r="AI170" t="str">
        <x:f>IF(Calc!$AG$170&gt;'Calc'!$B$8,"",MAX(Calc!$AI$169*(1+'财富模型'!$E$20/12)+'Calc'!$B$6-(IF('Calc'!$E$16=1,0,MIN(Calc!$AI$169*(1+'财富模型'!$E$20/12)+'Calc'!$B$6,IF(Calc!$AG$170&lt;='财富模型'!$E$11*12,'Calc'!$W$16,'Calc'!$Y$16)))),0))</x:f>
      </x:c>
      <x:c r="AJ170" t="str">
        <x:f>IF(Calc!$AG$170&gt;'Calc'!$B$8,"",IF('Calc'!$E$16=1,'财富模型'!$E$9,'财富模型'!$M$8+IF(Calc!$AG$170&lt;='财富模型'!$E$11*12,'Calc'!$W$16,'Calc'!$Y$16)-(IF('Calc'!$E$16=1,0,MIN(Calc!$AI$169*(1+'财富模型'!$E$20/12)+'Calc'!$B$6,IF(Calc!$AG$170&lt;='财富模型'!$E$11*12,'Calc'!$W$16,'Calc'!$Y$16))))))</x:f>
      </x:c>
      <x:c r="AK170" t="str">
        <x:f>IF(Calc!$AG$170&gt;'Calc'!$B$8,"",IF('Calc'!$E$16=1,0,MIN(Calc!$AI$169*(1+'财富模型'!$E$20/12)+'Calc'!$B$6,IF(Calc!$AG$170&lt;='财富模型'!$E$11*12,'Calc'!$W$16,'Calc'!$Y$16))))</x:f>
      </x:c>
      <x:c r="AL170" t="str">
        <x:f>IF(Calc!$AG$170&gt;'Calc'!$B$8,"",'Calc'!$B$5-'财富模型'!$E$5-(IF('Calc'!$E$16=1,'财富模型'!$E$9,'财富模型'!$M$8+IF(Calc!$AG$170&lt;='财富模型'!$E$11*12,'Calc'!$W$16,'Calc'!$Y$16)-(IF('Calc'!$E$16=1,0,MIN(Calc!$AI$169*(1+'财富模型'!$E$20/12)+'Calc'!$B$6,IF(Calc!$AG$170&lt;='财富模型'!$E$11*12,'Calc'!$W$16,'Calc'!$Y$16)))))))</x:f>
      </x:c>
      <x:c r="AM170" t="str">
        <x:f>IF(Calc!$AG$170&gt;'Calc'!$B$8,"",IF('Calc'!$E$16=1,0,MAX(Calc!$AM$169*(1+IF(Calc!$AG$170&lt;='财富模型'!$E$11*12,'财富模型'!$E$10,'财富模型'!$E$12)/12)-IF('Calc'!$E$16=1,0,IF(Calc!$AG$170&lt;='财富模型'!$E$11*12,'Calc'!$W$16,'Calc'!$Y$16)),0)))</x:f>
      </x:c>
      <x:c r="AO170" t="n">
        <x:v>149</x:v>
      </x:c>
      <x:c r="AP170" t="str">
        <x:f>IF(Calc!$AO$170&gt;'Calc'!$B$8,"",MAX(Calc!$AP$169*(1+'财富模型'!$E$6/12)+('Calc'!$B$5-'财富模型'!$E$5-(IF('Calc'!$E$17=1,'财富模型'!$E$9,'财富模型'!$M$9+IF(Calc!$AO$170&lt;='财富模型'!$E$11*12,'Calc'!$W$17,'Calc'!$Y$17)-(IF('Calc'!$E$17=1,0,MIN(Calc!$AQ$169*(1+'财富模型'!$E$20/12)+'Calc'!$B$6,IF(Calc!$AO$170&lt;='财富模型'!$E$11*12,'Calc'!$W$17,'Calc'!$Y$17))))))),0))</x:f>
      </x:c>
      <x:c r="AQ170" t="str">
        <x:f>IF(Calc!$AO$170&gt;'Calc'!$B$8,"",MAX(Calc!$AQ$169*(1+'财富模型'!$E$20/12)+'Calc'!$B$6-(IF('Calc'!$E$17=1,0,MIN(Calc!$AQ$169*(1+'财富模型'!$E$20/12)+'Calc'!$B$6,IF(Calc!$AO$170&lt;='财富模型'!$E$11*12,'Calc'!$W$17,'Calc'!$Y$17)))),0))</x:f>
      </x:c>
      <x:c r="AR170" t="str">
        <x:f>IF(Calc!$AO$170&gt;'Calc'!$B$8,"",IF('Calc'!$E$17=1,'财富模型'!$E$9,'财富模型'!$M$9+IF(Calc!$AO$170&lt;='财富模型'!$E$11*12,'Calc'!$W$17,'Calc'!$Y$17)-(IF('Calc'!$E$17=1,0,MIN(Calc!$AQ$169*(1+'财富模型'!$E$20/12)+'Calc'!$B$6,IF(Calc!$AO$170&lt;='财富模型'!$E$11*12,'Calc'!$W$17,'Calc'!$Y$17))))))</x:f>
      </x:c>
      <x:c r="AS170" t="str">
        <x:f>IF(Calc!$AO$170&gt;'Calc'!$B$8,"",IF('Calc'!$E$17=1,0,MIN(Calc!$AQ$169*(1+'财富模型'!$E$20/12)+'Calc'!$B$6,IF(Calc!$AO$170&lt;='财富模型'!$E$11*12,'Calc'!$W$17,'Calc'!$Y$17))))</x:f>
      </x:c>
      <x:c r="AT170" t="str">
        <x:f>IF(Calc!$AO$170&gt;'Calc'!$B$8,"",'Calc'!$B$5-'财富模型'!$E$5-(IF('Calc'!$E$17=1,'财富模型'!$E$9,'财富模型'!$M$9+IF(Calc!$AO$170&lt;='财富模型'!$E$11*12,'Calc'!$W$17,'Calc'!$Y$17)-(IF('Calc'!$E$17=1,0,MIN(Calc!$AQ$169*(1+'财富模型'!$E$20/12)+'Calc'!$B$6,IF(Calc!$AO$170&lt;='财富模型'!$E$11*12,'Calc'!$W$17,'Calc'!$Y$17)))))))</x:f>
      </x:c>
      <x:c r="AU170" t="str">
        <x:f>IF(Calc!$AO$170&gt;'Calc'!$B$8,"",IF('Calc'!$E$17=1,0,MAX(Calc!$AU$169*(1+IF(Calc!$AO$170&lt;='财富模型'!$E$11*12,'财富模型'!$E$10,'财富模型'!$E$12)/12)-IF('Calc'!$E$17=1,0,IF(Calc!$AO$170&lt;='财富模型'!$E$11*12,'Calc'!$W$17,'Calc'!$Y$17)),0)))</x:f>
      </x:c>
    </x:row>
    <x:row r="171">
      <x:c r="A171" t="n">
        <x:v>150</x:v>
      </x:c>
      <x:c r="B171" t="str">
        <x:f>IF(Calc!$A$171&gt;'Calc'!$B$8,"",MAX(Calc!$B$170*(1+'财富模型'!$E$6/12)+('Calc'!$B$5-'财富模型'!$E$5-(IF('Calc'!$E$12=1,'财富模型'!$E$9,'财富模型'!$M$4+IF(Calc!$A$171&lt;='财富模型'!$E$11*12,'Calc'!$W$12,'Calc'!$Y$12)-(IF('Calc'!$E$12=1,0,MIN(Calc!$C$170*(1+'财富模型'!$E$20/12)+'Calc'!$B$6,IF(Calc!$A$171&lt;='财富模型'!$E$11*12,'Calc'!$W$12,'Calc'!$Y$12))))))),0))</x:f>
      </x:c>
      <x:c r="C171" t="str">
        <x:f>IF(Calc!$A$171&gt;'Calc'!$B$8,"",MAX(Calc!$C$170*(1+'财富模型'!$E$20/12)+'Calc'!$B$6-(IF('Calc'!$E$12=1,0,MIN(Calc!$C$170*(1+'财富模型'!$E$20/12)+'Calc'!$B$6,IF(Calc!$A$171&lt;='财富模型'!$E$11*12,'Calc'!$W$12,'Calc'!$Y$12)))),0))</x:f>
      </x:c>
      <x:c r="D171" t="str">
        <x:f>IF(Calc!$A$171&gt;'Calc'!$B$8,"",IF('Calc'!$E$12=1,'财富模型'!$E$9,'财富模型'!$M$4+IF(Calc!$A$171&lt;='财富模型'!$E$11*12,'Calc'!$W$12,'Calc'!$Y$12)-(IF('Calc'!$E$12=1,0,MIN(Calc!$C$170*(1+'财富模型'!$E$20/12)+'Calc'!$B$6,IF(Calc!$A$171&lt;='财富模型'!$E$11*12,'Calc'!$W$12,'Calc'!$Y$12))))))</x:f>
      </x:c>
      <x:c r="E171" t="str">
        <x:f>IF(Calc!$A$171&gt;'Calc'!$B$8,"",IF('Calc'!$E$12=1,0,MIN(Calc!$C$170*(1+'财富模型'!$E$20/12)+'Calc'!$B$6,IF(Calc!$A$171&lt;='财富模型'!$E$11*12,'Calc'!$W$12,'Calc'!$Y$12))))</x:f>
      </x:c>
      <x:c r="F171" t="str">
        <x:f>IF(Calc!$A$171&gt;'Calc'!$B$8,"",'Calc'!$B$5-'财富模型'!$E$5-(IF('Calc'!$E$12=1,'财富模型'!$E$9,'财富模型'!$M$4+IF(Calc!$A$171&lt;='财富模型'!$E$11*12,'Calc'!$W$12,'Calc'!$Y$12)-(IF('Calc'!$E$12=1,0,MIN(Calc!$C$170*(1+'财富模型'!$E$20/12)+'Calc'!$B$6,IF(Calc!$A$171&lt;='财富模型'!$E$11*12,'Calc'!$W$12,'Calc'!$Y$12)))))))</x:f>
      </x:c>
      <x:c r="G171" t="str">
        <x:f>IF(Calc!$A$171&gt;'Calc'!$B$8,"",IF('Calc'!$E$12=1,0,MAX(Calc!$G$170*(1+IF(Calc!$A$171&lt;='财富模型'!$E$11*12,'财富模型'!$E$10,'财富模型'!$E$12)/12)-IF('Calc'!$E$12=1,0,IF(Calc!$A$171&lt;='财富模型'!$E$11*12,'Calc'!$W$12,'Calc'!$Y$12)),0)))</x:f>
      </x:c>
      <x:c r="I171" t="n">
        <x:v>150</x:v>
      </x:c>
      <x:c r="J171" t="str">
        <x:f>IF(Calc!$I$171&gt;'Calc'!$B$8,"",MAX(Calc!$J$170*(1+'财富模型'!$E$6/12)+('Calc'!$B$5-'财富模型'!$E$5-(IF('Calc'!$E$13=1,'财富模型'!$E$9,'财富模型'!$M$5+IF(Calc!$I$171&lt;='财富模型'!$E$11*12,'Calc'!$W$13,'Calc'!$Y$13)-(IF('Calc'!$E$13=1,0,MIN(Calc!$K$170*(1+'财富模型'!$E$20/12)+'Calc'!$B$6,IF(Calc!$I$171&lt;='财富模型'!$E$11*12,'Calc'!$W$13,'Calc'!$Y$13))))))),0))</x:f>
      </x:c>
      <x:c r="K171" t="str">
        <x:f>IF(Calc!$I$171&gt;'Calc'!$B$8,"",MAX(Calc!$K$170*(1+'财富模型'!$E$20/12)+'Calc'!$B$6-(IF('Calc'!$E$13=1,0,MIN(Calc!$K$170*(1+'财富模型'!$E$20/12)+'Calc'!$B$6,IF(Calc!$I$171&lt;='财富模型'!$E$11*12,'Calc'!$W$13,'Calc'!$Y$13)))),0))</x:f>
      </x:c>
      <x:c r="L171" t="str">
        <x:f>IF(Calc!$I$171&gt;'Calc'!$B$8,"",IF('Calc'!$E$13=1,'财富模型'!$E$9,'财富模型'!$M$5+IF(Calc!$I$171&lt;='财富模型'!$E$11*12,'Calc'!$W$13,'Calc'!$Y$13)-(IF('Calc'!$E$13=1,0,MIN(Calc!$K$170*(1+'财富模型'!$E$20/12)+'Calc'!$B$6,IF(Calc!$I$171&lt;='财富模型'!$E$11*12,'Calc'!$W$13,'Calc'!$Y$13))))))</x:f>
      </x:c>
      <x:c r="M171" t="str">
        <x:f>IF(Calc!$I$171&gt;'Calc'!$B$8,"",IF('Calc'!$E$13=1,0,MIN(Calc!$K$170*(1+'财富模型'!$E$20/12)+'Calc'!$B$6,IF(Calc!$I$171&lt;='财富模型'!$E$11*12,'Calc'!$W$13,'Calc'!$Y$13))))</x:f>
      </x:c>
      <x:c r="N171" t="str">
        <x:f>IF(Calc!$I$171&gt;'Calc'!$B$8,"",'Calc'!$B$5-'财富模型'!$E$5-(IF('Calc'!$E$13=1,'财富模型'!$E$9,'财富模型'!$M$5+IF(Calc!$I$171&lt;='财富模型'!$E$11*12,'Calc'!$W$13,'Calc'!$Y$13)-(IF('Calc'!$E$13=1,0,MIN(Calc!$K$170*(1+'财富模型'!$E$20/12)+'Calc'!$B$6,IF(Calc!$I$171&lt;='财富模型'!$E$11*12,'Calc'!$W$13,'Calc'!$Y$13)))))))</x:f>
      </x:c>
      <x:c r="O171" t="str">
        <x:f>IF(Calc!$I$171&gt;'Calc'!$B$8,"",IF('Calc'!$E$13=1,0,MAX(Calc!$O$170*(1+IF(Calc!$I$171&lt;='财富模型'!$E$11*12,'财富模型'!$E$10,'财富模型'!$E$12)/12)-IF('Calc'!$E$13=1,0,IF(Calc!$I$171&lt;='财富模型'!$E$11*12,'Calc'!$W$13,'Calc'!$Y$13)),0)))</x:f>
      </x:c>
      <x:c r="Q171" t="n">
        <x:v>150</x:v>
      </x:c>
      <x:c r="R171" t="str">
        <x:f>IF(Calc!$Q$171&gt;'Calc'!$B$8,"",MAX(Calc!$R$170*(1+'财富模型'!$E$6/12)+('Calc'!$B$5-'财富模型'!$E$5-(IF('Calc'!$E$14=1,'财富模型'!$E$9,'财富模型'!$M$6+IF(Calc!$Q$171&lt;='财富模型'!$E$11*12,'Calc'!$W$14,'Calc'!$Y$14)-(IF('Calc'!$E$14=1,0,MIN(Calc!$S$170*(1+'财富模型'!$E$20/12)+'Calc'!$B$6,IF(Calc!$Q$171&lt;='财富模型'!$E$11*12,'Calc'!$W$14,'Calc'!$Y$14))))))),0))</x:f>
      </x:c>
      <x:c r="S171" t="str">
        <x:f>IF(Calc!$Q$171&gt;'Calc'!$B$8,"",MAX(Calc!$S$170*(1+'财富模型'!$E$20/12)+'Calc'!$B$6-(IF('Calc'!$E$14=1,0,MIN(Calc!$S$170*(1+'财富模型'!$E$20/12)+'Calc'!$B$6,IF(Calc!$Q$171&lt;='财富模型'!$E$11*12,'Calc'!$W$14,'Calc'!$Y$14)))),0))</x:f>
      </x:c>
      <x:c r="T171" t="str">
        <x:f>IF(Calc!$Q$171&gt;'Calc'!$B$8,"",IF('Calc'!$E$14=1,'财富模型'!$E$9,'财富模型'!$M$6+IF(Calc!$Q$171&lt;='财富模型'!$E$11*12,'Calc'!$W$14,'Calc'!$Y$14)-(IF('Calc'!$E$14=1,0,MIN(Calc!$S$170*(1+'财富模型'!$E$20/12)+'Calc'!$B$6,IF(Calc!$Q$171&lt;='财富模型'!$E$11*12,'Calc'!$W$14,'Calc'!$Y$14))))))</x:f>
      </x:c>
      <x:c r="U171" t="str">
        <x:f>IF(Calc!$Q$171&gt;'Calc'!$B$8,"",IF('Calc'!$E$14=1,0,MIN(Calc!$S$170*(1+'财富模型'!$E$20/12)+'Calc'!$B$6,IF(Calc!$Q$171&lt;='财富模型'!$E$11*12,'Calc'!$W$14,'Calc'!$Y$14))))</x:f>
      </x:c>
      <x:c r="V171" t="str">
        <x:f>IF(Calc!$Q$171&gt;'Calc'!$B$8,"",'Calc'!$B$5-'财富模型'!$E$5-(IF('Calc'!$E$14=1,'财富模型'!$E$9,'财富模型'!$M$6+IF(Calc!$Q$171&lt;='财富模型'!$E$11*12,'Calc'!$W$14,'Calc'!$Y$14)-(IF('Calc'!$E$14=1,0,MIN(Calc!$S$170*(1+'财富模型'!$E$20/12)+'Calc'!$B$6,IF(Calc!$Q$171&lt;='财富模型'!$E$11*12,'Calc'!$W$14,'Calc'!$Y$14)))))))</x:f>
      </x:c>
      <x:c r="W171" t="str">
        <x:f>IF(Calc!$Q$171&gt;'Calc'!$B$8,"",IF('Calc'!$E$14=1,0,MAX(Calc!$W$170*(1+IF(Calc!$Q$171&lt;='财富模型'!$E$11*12,'财富模型'!$E$10,'财富模型'!$E$12)/12)-IF('Calc'!$E$14=1,0,IF(Calc!$Q$171&lt;='财富模型'!$E$11*12,'Calc'!$W$14,'Calc'!$Y$14)),0)))</x:f>
      </x:c>
      <x:c r="Y171" t="n">
        <x:v>150</x:v>
      </x:c>
      <x:c r="Z171" t="str">
        <x:f>IF(Calc!$Y$171&gt;'Calc'!$B$8,"",MAX(Calc!$Z$170*(1+'财富模型'!$E$6/12)+('Calc'!$B$5-'财富模型'!$E$5-(IF('Calc'!$E$15=1,'财富模型'!$E$9,'财富模型'!$M$7+IF(Calc!$Y$171&lt;='财富模型'!$E$11*12,'Calc'!$W$15,'Calc'!$Y$15)-(IF('Calc'!$E$15=1,0,MIN(Calc!$AA$170*(1+'财富模型'!$E$20/12)+'Calc'!$B$6,IF(Calc!$Y$171&lt;='财富模型'!$E$11*12,'Calc'!$W$15,'Calc'!$Y$15))))))),0))</x:f>
      </x:c>
      <x:c r="AA171" t="str">
        <x:f>IF(Calc!$Y$171&gt;'Calc'!$B$8,"",MAX(Calc!$AA$170*(1+'财富模型'!$E$20/12)+'Calc'!$B$6-(IF('Calc'!$E$15=1,0,MIN(Calc!$AA$170*(1+'财富模型'!$E$20/12)+'Calc'!$B$6,IF(Calc!$Y$171&lt;='财富模型'!$E$11*12,'Calc'!$W$15,'Calc'!$Y$15)))),0))</x:f>
      </x:c>
      <x:c r="AB171" t="str">
        <x:f>IF(Calc!$Y$171&gt;'Calc'!$B$8,"",IF('Calc'!$E$15=1,'财富模型'!$E$9,'财富模型'!$M$7+IF(Calc!$Y$171&lt;='财富模型'!$E$11*12,'Calc'!$W$15,'Calc'!$Y$15)-(IF('Calc'!$E$15=1,0,MIN(Calc!$AA$170*(1+'财富模型'!$E$20/12)+'Calc'!$B$6,IF(Calc!$Y$171&lt;='财富模型'!$E$11*12,'Calc'!$W$15,'Calc'!$Y$15))))))</x:f>
      </x:c>
      <x:c r="AC171" t="str">
        <x:f>IF(Calc!$Y$171&gt;'Calc'!$B$8,"",IF('Calc'!$E$15=1,0,MIN(Calc!$AA$170*(1+'财富模型'!$E$20/12)+'Calc'!$B$6,IF(Calc!$Y$171&lt;='财富模型'!$E$11*12,'Calc'!$W$15,'Calc'!$Y$15))))</x:f>
      </x:c>
      <x:c r="AD171" t="str">
        <x:f>IF(Calc!$Y$171&gt;'Calc'!$B$8,"",'Calc'!$B$5-'财富模型'!$E$5-(IF('Calc'!$E$15=1,'财富模型'!$E$9,'财富模型'!$M$7+IF(Calc!$Y$171&lt;='财富模型'!$E$11*12,'Calc'!$W$15,'Calc'!$Y$15)-(IF('Calc'!$E$15=1,0,MIN(Calc!$AA$170*(1+'财富模型'!$E$20/12)+'Calc'!$B$6,IF(Calc!$Y$171&lt;='财富模型'!$E$11*12,'Calc'!$W$15,'Calc'!$Y$15)))))))</x:f>
      </x:c>
      <x:c r="AE171" t="str">
        <x:f>IF(Calc!$Y$171&gt;'Calc'!$B$8,"",IF('Calc'!$E$15=1,0,MAX(Calc!$AE$170*(1+IF(Calc!$Y$171&lt;='财富模型'!$E$11*12,'财富模型'!$E$10,'财富模型'!$E$12)/12)-IF('Calc'!$E$15=1,0,IF(Calc!$Y$171&lt;='财富模型'!$E$11*12,'Calc'!$W$15,'Calc'!$Y$15)),0)))</x:f>
      </x:c>
      <x:c r="AG171" t="n">
        <x:v>150</x:v>
      </x:c>
      <x:c r="AH171" t="str">
        <x:f>IF(Calc!$AG$171&gt;'Calc'!$B$8,"",MAX(Calc!$AH$170*(1+'财富模型'!$E$6/12)+('Calc'!$B$5-'财富模型'!$E$5-(IF('Calc'!$E$16=1,'财富模型'!$E$9,'财富模型'!$M$8+IF(Calc!$AG$171&lt;='财富模型'!$E$11*12,'Calc'!$W$16,'Calc'!$Y$16)-(IF('Calc'!$E$16=1,0,MIN(Calc!$AI$170*(1+'财富模型'!$E$20/12)+'Calc'!$B$6,IF(Calc!$AG$171&lt;='财富模型'!$E$11*12,'Calc'!$W$16,'Calc'!$Y$16))))))),0))</x:f>
      </x:c>
      <x:c r="AI171" t="str">
        <x:f>IF(Calc!$AG$171&gt;'Calc'!$B$8,"",MAX(Calc!$AI$170*(1+'财富模型'!$E$20/12)+'Calc'!$B$6-(IF('Calc'!$E$16=1,0,MIN(Calc!$AI$170*(1+'财富模型'!$E$20/12)+'Calc'!$B$6,IF(Calc!$AG$171&lt;='财富模型'!$E$11*12,'Calc'!$W$16,'Calc'!$Y$16)))),0))</x:f>
      </x:c>
      <x:c r="AJ171" t="str">
        <x:f>IF(Calc!$AG$171&gt;'Calc'!$B$8,"",IF('Calc'!$E$16=1,'财富模型'!$E$9,'财富模型'!$M$8+IF(Calc!$AG$171&lt;='财富模型'!$E$11*12,'Calc'!$W$16,'Calc'!$Y$16)-(IF('Calc'!$E$16=1,0,MIN(Calc!$AI$170*(1+'财富模型'!$E$20/12)+'Calc'!$B$6,IF(Calc!$AG$171&lt;='财富模型'!$E$11*12,'Calc'!$W$16,'Calc'!$Y$16))))))</x:f>
      </x:c>
      <x:c r="AK171" t="str">
        <x:f>IF(Calc!$AG$171&gt;'Calc'!$B$8,"",IF('Calc'!$E$16=1,0,MIN(Calc!$AI$170*(1+'财富模型'!$E$20/12)+'Calc'!$B$6,IF(Calc!$AG$171&lt;='财富模型'!$E$11*12,'Calc'!$W$16,'Calc'!$Y$16))))</x:f>
      </x:c>
      <x:c r="AL171" t="str">
        <x:f>IF(Calc!$AG$171&gt;'Calc'!$B$8,"",'Calc'!$B$5-'财富模型'!$E$5-(IF('Calc'!$E$16=1,'财富模型'!$E$9,'财富模型'!$M$8+IF(Calc!$AG$171&lt;='财富模型'!$E$11*12,'Calc'!$W$16,'Calc'!$Y$16)-(IF('Calc'!$E$16=1,0,MIN(Calc!$AI$170*(1+'财富模型'!$E$20/12)+'Calc'!$B$6,IF(Calc!$AG$171&lt;='财富模型'!$E$11*12,'Calc'!$W$16,'Calc'!$Y$16)))))))</x:f>
      </x:c>
      <x:c r="AM171" t="str">
        <x:f>IF(Calc!$AG$171&gt;'Calc'!$B$8,"",IF('Calc'!$E$16=1,0,MAX(Calc!$AM$170*(1+IF(Calc!$AG$171&lt;='财富模型'!$E$11*12,'财富模型'!$E$10,'财富模型'!$E$12)/12)-IF('Calc'!$E$16=1,0,IF(Calc!$AG$171&lt;='财富模型'!$E$11*12,'Calc'!$W$16,'Calc'!$Y$16)),0)))</x:f>
      </x:c>
      <x:c r="AO171" t="n">
        <x:v>150</x:v>
      </x:c>
      <x:c r="AP171" t="str">
        <x:f>IF(Calc!$AO$171&gt;'Calc'!$B$8,"",MAX(Calc!$AP$170*(1+'财富模型'!$E$6/12)+('Calc'!$B$5-'财富模型'!$E$5-(IF('Calc'!$E$17=1,'财富模型'!$E$9,'财富模型'!$M$9+IF(Calc!$AO$171&lt;='财富模型'!$E$11*12,'Calc'!$W$17,'Calc'!$Y$17)-(IF('Calc'!$E$17=1,0,MIN(Calc!$AQ$170*(1+'财富模型'!$E$20/12)+'Calc'!$B$6,IF(Calc!$AO$171&lt;='财富模型'!$E$11*12,'Calc'!$W$17,'Calc'!$Y$17))))))),0))</x:f>
      </x:c>
      <x:c r="AQ171" t="str">
        <x:f>IF(Calc!$AO$171&gt;'Calc'!$B$8,"",MAX(Calc!$AQ$170*(1+'财富模型'!$E$20/12)+'Calc'!$B$6-(IF('Calc'!$E$17=1,0,MIN(Calc!$AQ$170*(1+'财富模型'!$E$20/12)+'Calc'!$B$6,IF(Calc!$AO$171&lt;='财富模型'!$E$11*12,'Calc'!$W$17,'Calc'!$Y$17)))),0))</x:f>
      </x:c>
      <x:c r="AR171" t="str">
        <x:f>IF(Calc!$AO$171&gt;'Calc'!$B$8,"",IF('Calc'!$E$17=1,'财富模型'!$E$9,'财富模型'!$M$9+IF(Calc!$AO$171&lt;='财富模型'!$E$11*12,'Calc'!$W$17,'Calc'!$Y$17)-(IF('Calc'!$E$17=1,0,MIN(Calc!$AQ$170*(1+'财富模型'!$E$20/12)+'Calc'!$B$6,IF(Calc!$AO$171&lt;='财富模型'!$E$11*12,'Calc'!$W$17,'Calc'!$Y$17))))))</x:f>
      </x:c>
      <x:c r="AS171" t="str">
        <x:f>IF(Calc!$AO$171&gt;'Calc'!$B$8,"",IF('Calc'!$E$17=1,0,MIN(Calc!$AQ$170*(1+'财富模型'!$E$20/12)+'Calc'!$B$6,IF(Calc!$AO$171&lt;='财富模型'!$E$11*12,'Calc'!$W$17,'Calc'!$Y$17))))</x:f>
      </x:c>
      <x:c r="AT171" t="str">
        <x:f>IF(Calc!$AO$171&gt;'Calc'!$B$8,"",'Calc'!$B$5-'财富模型'!$E$5-(IF('Calc'!$E$17=1,'财富模型'!$E$9,'财富模型'!$M$9+IF(Calc!$AO$171&lt;='财富模型'!$E$11*12,'Calc'!$W$17,'Calc'!$Y$17)-(IF('Calc'!$E$17=1,0,MIN(Calc!$AQ$170*(1+'财富模型'!$E$20/12)+'Calc'!$B$6,IF(Calc!$AO$171&lt;='财富模型'!$E$11*12,'Calc'!$W$17,'Calc'!$Y$17)))))))</x:f>
      </x:c>
      <x:c r="AU171" t="str">
        <x:f>IF(Calc!$AO$171&gt;'Calc'!$B$8,"",IF('Calc'!$E$17=1,0,MAX(Calc!$AU$170*(1+IF(Calc!$AO$171&lt;='财富模型'!$E$11*12,'财富模型'!$E$10,'财富模型'!$E$12)/12)-IF('Calc'!$E$17=1,0,IF(Calc!$AO$171&lt;='财富模型'!$E$11*12,'Calc'!$W$17,'Calc'!$Y$17)),0)))</x:f>
      </x:c>
    </x:row>
    <x:row r="172">
      <x:c r="A172" t="n">
        <x:v>151</x:v>
      </x:c>
      <x:c r="B172" t="str">
        <x:f>IF(Calc!$A$172&gt;'Calc'!$B$8,"",MAX(Calc!$B$171*(1+'财富模型'!$E$6/12)+('Calc'!$B$5-'财富模型'!$E$5-(IF('Calc'!$E$12=1,'财富模型'!$E$9,'财富模型'!$M$4+IF(Calc!$A$172&lt;='财富模型'!$E$11*12,'Calc'!$W$12,'Calc'!$Y$12)-(IF('Calc'!$E$12=1,0,MIN(Calc!$C$171*(1+'财富模型'!$E$20/12)+'Calc'!$B$6,IF(Calc!$A$172&lt;='财富模型'!$E$11*12,'Calc'!$W$12,'Calc'!$Y$12))))))),0))</x:f>
      </x:c>
      <x:c r="C172" t="str">
        <x:f>IF(Calc!$A$172&gt;'Calc'!$B$8,"",MAX(Calc!$C$171*(1+'财富模型'!$E$20/12)+'Calc'!$B$6-(IF('Calc'!$E$12=1,0,MIN(Calc!$C$171*(1+'财富模型'!$E$20/12)+'Calc'!$B$6,IF(Calc!$A$172&lt;='财富模型'!$E$11*12,'Calc'!$W$12,'Calc'!$Y$12)))),0))</x:f>
      </x:c>
      <x:c r="D172" t="str">
        <x:f>IF(Calc!$A$172&gt;'Calc'!$B$8,"",IF('Calc'!$E$12=1,'财富模型'!$E$9,'财富模型'!$M$4+IF(Calc!$A$172&lt;='财富模型'!$E$11*12,'Calc'!$W$12,'Calc'!$Y$12)-(IF('Calc'!$E$12=1,0,MIN(Calc!$C$171*(1+'财富模型'!$E$20/12)+'Calc'!$B$6,IF(Calc!$A$172&lt;='财富模型'!$E$11*12,'Calc'!$W$12,'Calc'!$Y$12))))))</x:f>
      </x:c>
      <x:c r="E172" t="str">
        <x:f>IF(Calc!$A$172&gt;'Calc'!$B$8,"",IF('Calc'!$E$12=1,0,MIN(Calc!$C$171*(1+'财富模型'!$E$20/12)+'Calc'!$B$6,IF(Calc!$A$172&lt;='财富模型'!$E$11*12,'Calc'!$W$12,'Calc'!$Y$12))))</x:f>
      </x:c>
      <x:c r="F172" t="str">
        <x:f>IF(Calc!$A$172&gt;'Calc'!$B$8,"",'Calc'!$B$5-'财富模型'!$E$5-(IF('Calc'!$E$12=1,'财富模型'!$E$9,'财富模型'!$M$4+IF(Calc!$A$172&lt;='财富模型'!$E$11*12,'Calc'!$W$12,'Calc'!$Y$12)-(IF('Calc'!$E$12=1,0,MIN(Calc!$C$171*(1+'财富模型'!$E$20/12)+'Calc'!$B$6,IF(Calc!$A$172&lt;='财富模型'!$E$11*12,'Calc'!$W$12,'Calc'!$Y$12)))))))</x:f>
      </x:c>
      <x:c r="G172" t="str">
        <x:f>IF(Calc!$A$172&gt;'Calc'!$B$8,"",IF('Calc'!$E$12=1,0,MAX(Calc!$G$171*(1+IF(Calc!$A$172&lt;='财富模型'!$E$11*12,'财富模型'!$E$10,'财富模型'!$E$12)/12)-IF('Calc'!$E$12=1,0,IF(Calc!$A$172&lt;='财富模型'!$E$11*12,'Calc'!$W$12,'Calc'!$Y$12)),0)))</x:f>
      </x:c>
      <x:c r="I172" t="n">
        <x:v>151</x:v>
      </x:c>
      <x:c r="J172" t="str">
        <x:f>IF(Calc!$I$172&gt;'Calc'!$B$8,"",MAX(Calc!$J$171*(1+'财富模型'!$E$6/12)+('Calc'!$B$5-'财富模型'!$E$5-(IF('Calc'!$E$13=1,'财富模型'!$E$9,'财富模型'!$M$5+IF(Calc!$I$172&lt;='财富模型'!$E$11*12,'Calc'!$W$13,'Calc'!$Y$13)-(IF('Calc'!$E$13=1,0,MIN(Calc!$K$171*(1+'财富模型'!$E$20/12)+'Calc'!$B$6,IF(Calc!$I$172&lt;='财富模型'!$E$11*12,'Calc'!$W$13,'Calc'!$Y$13))))))),0))</x:f>
      </x:c>
      <x:c r="K172" t="str">
        <x:f>IF(Calc!$I$172&gt;'Calc'!$B$8,"",MAX(Calc!$K$171*(1+'财富模型'!$E$20/12)+'Calc'!$B$6-(IF('Calc'!$E$13=1,0,MIN(Calc!$K$171*(1+'财富模型'!$E$20/12)+'Calc'!$B$6,IF(Calc!$I$172&lt;='财富模型'!$E$11*12,'Calc'!$W$13,'Calc'!$Y$13)))),0))</x:f>
      </x:c>
      <x:c r="L172" t="str">
        <x:f>IF(Calc!$I$172&gt;'Calc'!$B$8,"",IF('Calc'!$E$13=1,'财富模型'!$E$9,'财富模型'!$M$5+IF(Calc!$I$172&lt;='财富模型'!$E$11*12,'Calc'!$W$13,'Calc'!$Y$13)-(IF('Calc'!$E$13=1,0,MIN(Calc!$K$171*(1+'财富模型'!$E$20/12)+'Calc'!$B$6,IF(Calc!$I$172&lt;='财富模型'!$E$11*12,'Calc'!$W$13,'Calc'!$Y$13))))))</x:f>
      </x:c>
      <x:c r="M172" t="str">
        <x:f>IF(Calc!$I$172&gt;'Calc'!$B$8,"",IF('Calc'!$E$13=1,0,MIN(Calc!$K$171*(1+'财富模型'!$E$20/12)+'Calc'!$B$6,IF(Calc!$I$172&lt;='财富模型'!$E$11*12,'Calc'!$W$13,'Calc'!$Y$13))))</x:f>
      </x:c>
      <x:c r="N172" t="str">
        <x:f>IF(Calc!$I$172&gt;'Calc'!$B$8,"",'Calc'!$B$5-'财富模型'!$E$5-(IF('Calc'!$E$13=1,'财富模型'!$E$9,'财富模型'!$M$5+IF(Calc!$I$172&lt;='财富模型'!$E$11*12,'Calc'!$W$13,'Calc'!$Y$13)-(IF('Calc'!$E$13=1,0,MIN(Calc!$K$171*(1+'财富模型'!$E$20/12)+'Calc'!$B$6,IF(Calc!$I$172&lt;='财富模型'!$E$11*12,'Calc'!$W$13,'Calc'!$Y$13)))))))</x:f>
      </x:c>
      <x:c r="O172" t="str">
        <x:f>IF(Calc!$I$172&gt;'Calc'!$B$8,"",IF('Calc'!$E$13=1,0,MAX(Calc!$O$171*(1+IF(Calc!$I$172&lt;='财富模型'!$E$11*12,'财富模型'!$E$10,'财富模型'!$E$12)/12)-IF('Calc'!$E$13=1,0,IF(Calc!$I$172&lt;='财富模型'!$E$11*12,'Calc'!$W$13,'Calc'!$Y$13)),0)))</x:f>
      </x:c>
      <x:c r="Q172" t="n">
        <x:v>151</x:v>
      </x:c>
      <x:c r="R172" t="str">
        <x:f>IF(Calc!$Q$172&gt;'Calc'!$B$8,"",MAX(Calc!$R$171*(1+'财富模型'!$E$6/12)+('Calc'!$B$5-'财富模型'!$E$5-(IF('Calc'!$E$14=1,'财富模型'!$E$9,'财富模型'!$M$6+IF(Calc!$Q$172&lt;='财富模型'!$E$11*12,'Calc'!$W$14,'Calc'!$Y$14)-(IF('Calc'!$E$14=1,0,MIN(Calc!$S$171*(1+'财富模型'!$E$20/12)+'Calc'!$B$6,IF(Calc!$Q$172&lt;='财富模型'!$E$11*12,'Calc'!$W$14,'Calc'!$Y$14))))))),0))</x:f>
      </x:c>
      <x:c r="S172" t="str">
        <x:f>IF(Calc!$Q$172&gt;'Calc'!$B$8,"",MAX(Calc!$S$171*(1+'财富模型'!$E$20/12)+'Calc'!$B$6-(IF('Calc'!$E$14=1,0,MIN(Calc!$S$171*(1+'财富模型'!$E$20/12)+'Calc'!$B$6,IF(Calc!$Q$172&lt;='财富模型'!$E$11*12,'Calc'!$W$14,'Calc'!$Y$14)))),0))</x:f>
      </x:c>
      <x:c r="T172" t="str">
        <x:f>IF(Calc!$Q$172&gt;'Calc'!$B$8,"",IF('Calc'!$E$14=1,'财富模型'!$E$9,'财富模型'!$M$6+IF(Calc!$Q$172&lt;='财富模型'!$E$11*12,'Calc'!$W$14,'Calc'!$Y$14)-(IF('Calc'!$E$14=1,0,MIN(Calc!$S$171*(1+'财富模型'!$E$20/12)+'Calc'!$B$6,IF(Calc!$Q$172&lt;='财富模型'!$E$11*12,'Calc'!$W$14,'Calc'!$Y$14))))))</x:f>
      </x:c>
      <x:c r="U172" t="str">
        <x:f>IF(Calc!$Q$172&gt;'Calc'!$B$8,"",IF('Calc'!$E$14=1,0,MIN(Calc!$S$171*(1+'财富模型'!$E$20/12)+'Calc'!$B$6,IF(Calc!$Q$172&lt;='财富模型'!$E$11*12,'Calc'!$W$14,'Calc'!$Y$14))))</x:f>
      </x:c>
      <x:c r="V172" t="str">
        <x:f>IF(Calc!$Q$172&gt;'Calc'!$B$8,"",'Calc'!$B$5-'财富模型'!$E$5-(IF('Calc'!$E$14=1,'财富模型'!$E$9,'财富模型'!$M$6+IF(Calc!$Q$172&lt;='财富模型'!$E$11*12,'Calc'!$W$14,'Calc'!$Y$14)-(IF('Calc'!$E$14=1,0,MIN(Calc!$S$171*(1+'财富模型'!$E$20/12)+'Calc'!$B$6,IF(Calc!$Q$172&lt;='财富模型'!$E$11*12,'Calc'!$W$14,'Calc'!$Y$14)))))))</x:f>
      </x:c>
      <x:c r="W172" t="str">
        <x:f>IF(Calc!$Q$172&gt;'Calc'!$B$8,"",IF('Calc'!$E$14=1,0,MAX(Calc!$W$171*(1+IF(Calc!$Q$172&lt;='财富模型'!$E$11*12,'财富模型'!$E$10,'财富模型'!$E$12)/12)-IF('Calc'!$E$14=1,0,IF(Calc!$Q$172&lt;='财富模型'!$E$11*12,'Calc'!$W$14,'Calc'!$Y$14)),0)))</x:f>
      </x:c>
      <x:c r="Y172" t="n">
        <x:v>151</x:v>
      </x:c>
      <x:c r="Z172" t="str">
        <x:f>IF(Calc!$Y$172&gt;'Calc'!$B$8,"",MAX(Calc!$Z$171*(1+'财富模型'!$E$6/12)+('Calc'!$B$5-'财富模型'!$E$5-(IF('Calc'!$E$15=1,'财富模型'!$E$9,'财富模型'!$M$7+IF(Calc!$Y$172&lt;='财富模型'!$E$11*12,'Calc'!$W$15,'Calc'!$Y$15)-(IF('Calc'!$E$15=1,0,MIN(Calc!$AA$171*(1+'财富模型'!$E$20/12)+'Calc'!$B$6,IF(Calc!$Y$172&lt;='财富模型'!$E$11*12,'Calc'!$W$15,'Calc'!$Y$15))))))),0))</x:f>
      </x:c>
      <x:c r="AA172" t="str">
        <x:f>IF(Calc!$Y$172&gt;'Calc'!$B$8,"",MAX(Calc!$AA$171*(1+'财富模型'!$E$20/12)+'Calc'!$B$6-(IF('Calc'!$E$15=1,0,MIN(Calc!$AA$171*(1+'财富模型'!$E$20/12)+'Calc'!$B$6,IF(Calc!$Y$172&lt;='财富模型'!$E$11*12,'Calc'!$W$15,'Calc'!$Y$15)))),0))</x:f>
      </x:c>
      <x:c r="AB172" t="str">
        <x:f>IF(Calc!$Y$172&gt;'Calc'!$B$8,"",IF('Calc'!$E$15=1,'财富模型'!$E$9,'财富模型'!$M$7+IF(Calc!$Y$172&lt;='财富模型'!$E$11*12,'Calc'!$W$15,'Calc'!$Y$15)-(IF('Calc'!$E$15=1,0,MIN(Calc!$AA$171*(1+'财富模型'!$E$20/12)+'Calc'!$B$6,IF(Calc!$Y$172&lt;='财富模型'!$E$11*12,'Calc'!$W$15,'Calc'!$Y$15))))))</x:f>
      </x:c>
      <x:c r="AC172" t="str">
        <x:f>IF(Calc!$Y$172&gt;'Calc'!$B$8,"",IF('Calc'!$E$15=1,0,MIN(Calc!$AA$171*(1+'财富模型'!$E$20/12)+'Calc'!$B$6,IF(Calc!$Y$172&lt;='财富模型'!$E$11*12,'Calc'!$W$15,'Calc'!$Y$15))))</x:f>
      </x:c>
      <x:c r="AD172" t="str">
        <x:f>IF(Calc!$Y$172&gt;'Calc'!$B$8,"",'Calc'!$B$5-'财富模型'!$E$5-(IF('Calc'!$E$15=1,'财富模型'!$E$9,'财富模型'!$M$7+IF(Calc!$Y$172&lt;='财富模型'!$E$11*12,'Calc'!$W$15,'Calc'!$Y$15)-(IF('Calc'!$E$15=1,0,MIN(Calc!$AA$171*(1+'财富模型'!$E$20/12)+'Calc'!$B$6,IF(Calc!$Y$172&lt;='财富模型'!$E$11*12,'Calc'!$W$15,'Calc'!$Y$15)))))))</x:f>
      </x:c>
      <x:c r="AE172" t="str">
        <x:f>IF(Calc!$Y$172&gt;'Calc'!$B$8,"",IF('Calc'!$E$15=1,0,MAX(Calc!$AE$171*(1+IF(Calc!$Y$172&lt;='财富模型'!$E$11*12,'财富模型'!$E$10,'财富模型'!$E$12)/12)-IF('Calc'!$E$15=1,0,IF(Calc!$Y$172&lt;='财富模型'!$E$11*12,'Calc'!$W$15,'Calc'!$Y$15)),0)))</x:f>
      </x:c>
      <x:c r="AG172" t="n">
        <x:v>151</x:v>
      </x:c>
      <x:c r="AH172" t="str">
        <x:f>IF(Calc!$AG$172&gt;'Calc'!$B$8,"",MAX(Calc!$AH$171*(1+'财富模型'!$E$6/12)+('Calc'!$B$5-'财富模型'!$E$5-(IF('Calc'!$E$16=1,'财富模型'!$E$9,'财富模型'!$M$8+IF(Calc!$AG$172&lt;='财富模型'!$E$11*12,'Calc'!$W$16,'Calc'!$Y$16)-(IF('Calc'!$E$16=1,0,MIN(Calc!$AI$171*(1+'财富模型'!$E$20/12)+'Calc'!$B$6,IF(Calc!$AG$172&lt;='财富模型'!$E$11*12,'Calc'!$W$16,'Calc'!$Y$16))))))),0))</x:f>
      </x:c>
      <x:c r="AI172" t="str">
        <x:f>IF(Calc!$AG$172&gt;'Calc'!$B$8,"",MAX(Calc!$AI$171*(1+'财富模型'!$E$20/12)+'Calc'!$B$6-(IF('Calc'!$E$16=1,0,MIN(Calc!$AI$171*(1+'财富模型'!$E$20/12)+'Calc'!$B$6,IF(Calc!$AG$172&lt;='财富模型'!$E$11*12,'Calc'!$W$16,'Calc'!$Y$16)))),0))</x:f>
      </x:c>
      <x:c r="AJ172" t="str">
        <x:f>IF(Calc!$AG$172&gt;'Calc'!$B$8,"",IF('Calc'!$E$16=1,'财富模型'!$E$9,'财富模型'!$M$8+IF(Calc!$AG$172&lt;='财富模型'!$E$11*12,'Calc'!$W$16,'Calc'!$Y$16)-(IF('Calc'!$E$16=1,0,MIN(Calc!$AI$171*(1+'财富模型'!$E$20/12)+'Calc'!$B$6,IF(Calc!$AG$172&lt;='财富模型'!$E$11*12,'Calc'!$W$16,'Calc'!$Y$16))))))</x:f>
      </x:c>
      <x:c r="AK172" t="str">
        <x:f>IF(Calc!$AG$172&gt;'Calc'!$B$8,"",IF('Calc'!$E$16=1,0,MIN(Calc!$AI$171*(1+'财富模型'!$E$20/12)+'Calc'!$B$6,IF(Calc!$AG$172&lt;='财富模型'!$E$11*12,'Calc'!$W$16,'Calc'!$Y$16))))</x:f>
      </x:c>
      <x:c r="AL172" t="str">
        <x:f>IF(Calc!$AG$172&gt;'Calc'!$B$8,"",'Calc'!$B$5-'财富模型'!$E$5-(IF('Calc'!$E$16=1,'财富模型'!$E$9,'财富模型'!$M$8+IF(Calc!$AG$172&lt;='财富模型'!$E$11*12,'Calc'!$W$16,'Calc'!$Y$16)-(IF('Calc'!$E$16=1,0,MIN(Calc!$AI$171*(1+'财富模型'!$E$20/12)+'Calc'!$B$6,IF(Calc!$AG$172&lt;='财富模型'!$E$11*12,'Calc'!$W$16,'Calc'!$Y$16)))))))</x:f>
      </x:c>
      <x:c r="AM172" t="str">
        <x:f>IF(Calc!$AG$172&gt;'Calc'!$B$8,"",IF('Calc'!$E$16=1,0,MAX(Calc!$AM$171*(1+IF(Calc!$AG$172&lt;='财富模型'!$E$11*12,'财富模型'!$E$10,'财富模型'!$E$12)/12)-IF('Calc'!$E$16=1,0,IF(Calc!$AG$172&lt;='财富模型'!$E$11*12,'Calc'!$W$16,'Calc'!$Y$16)),0)))</x:f>
      </x:c>
      <x:c r="AO172" t="n">
        <x:v>151</x:v>
      </x:c>
      <x:c r="AP172" t="str">
        <x:f>IF(Calc!$AO$172&gt;'Calc'!$B$8,"",MAX(Calc!$AP$171*(1+'财富模型'!$E$6/12)+('Calc'!$B$5-'财富模型'!$E$5-(IF('Calc'!$E$17=1,'财富模型'!$E$9,'财富模型'!$M$9+IF(Calc!$AO$172&lt;='财富模型'!$E$11*12,'Calc'!$W$17,'Calc'!$Y$17)-(IF('Calc'!$E$17=1,0,MIN(Calc!$AQ$171*(1+'财富模型'!$E$20/12)+'Calc'!$B$6,IF(Calc!$AO$172&lt;='财富模型'!$E$11*12,'Calc'!$W$17,'Calc'!$Y$17))))))),0))</x:f>
      </x:c>
      <x:c r="AQ172" t="str">
        <x:f>IF(Calc!$AO$172&gt;'Calc'!$B$8,"",MAX(Calc!$AQ$171*(1+'财富模型'!$E$20/12)+'Calc'!$B$6-(IF('Calc'!$E$17=1,0,MIN(Calc!$AQ$171*(1+'财富模型'!$E$20/12)+'Calc'!$B$6,IF(Calc!$AO$172&lt;='财富模型'!$E$11*12,'Calc'!$W$17,'Calc'!$Y$17)))),0))</x:f>
      </x:c>
      <x:c r="AR172" t="str">
        <x:f>IF(Calc!$AO$172&gt;'Calc'!$B$8,"",IF('Calc'!$E$17=1,'财富模型'!$E$9,'财富模型'!$M$9+IF(Calc!$AO$172&lt;='财富模型'!$E$11*12,'Calc'!$W$17,'Calc'!$Y$17)-(IF('Calc'!$E$17=1,0,MIN(Calc!$AQ$171*(1+'财富模型'!$E$20/12)+'Calc'!$B$6,IF(Calc!$AO$172&lt;='财富模型'!$E$11*12,'Calc'!$W$17,'Calc'!$Y$17))))))</x:f>
      </x:c>
      <x:c r="AS172" t="str">
        <x:f>IF(Calc!$AO$172&gt;'Calc'!$B$8,"",IF('Calc'!$E$17=1,0,MIN(Calc!$AQ$171*(1+'财富模型'!$E$20/12)+'Calc'!$B$6,IF(Calc!$AO$172&lt;='财富模型'!$E$11*12,'Calc'!$W$17,'Calc'!$Y$17))))</x:f>
      </x:c>
      <x:c r="AT172" t="str">
        <x:f>IF(Calc!$AO$172&gt;'Calc'!$B$8,"",'Calc'!$B$5-'财富模型'!$E$5-(IF('Calc'!$E$17=1,'财富模型'!$E$9,'财富模型'!$M$9+IF(Calc!$AO$172&lt;='财富模型'!$E$11*12,'Calc'!$W$17,'Calc'!$Y$17)-(IF('Calc'!$E$17=1,0,MIN(Calc!$AQ$171*(1+'财富模型'!$E$20/12)+'Calc'!$B$6,IF(Calc!$AO$172&lt;='财富模型'!$E$11*12,'Calc'!$W$17,'Calc'!$Y$17)))))))</x:f>
      </x:c>
      <x:c r="AU172" t="str">
        <x:f>IF(Calc!$AO$172&gt;'Calc'!$B$8,"",IF('Calc'!$E$17=1,0,MAX(Calc!$AU$171*(1+IF(Calc!$AO$172&lt;='财富模型'!$E$11*12,'财富模型'!$E$10,'财富模型'!$E$12)/12)-IF('Calc'!$E$17=1,0,IF(Calc!$AO$172&lt;='财富模型'!$E$11*12,'Calc'!$W$17,'Calc'!$Y$17)),0)))</x:f>
      </x:c>
    </x:row>
    <x:row r="173">
      <x:c r="A173" t="n">
        <x:v>152</x:v>
      </x:c>
      <x:c r="B173" t="str">
        <x:f>IF(Calc!$A$173&gt;'Calc'!$B$8,"",MAX(Calc!$B$172*(1+'财富模型'!$E$6/12)+('Calc'!$B$5-'财富模型'!$E$5-(IF('Calc'!$E$12=1,'财富模型'!$E$9,'财富模型'!$M$4+IF(Calc!$A$173&lt;='财富模型'!$E$11*12,'Calc'!$W$12,'Calc'!$Y$12)-(IF('Calc'!$E$12=1,0,MIN(Calc!$C$172*(1+'财富模型'!$E$20/12)+'Calc'!$B$6,IF(Calc!$A$173&lt;='财富模型'!$E$11*12,'Calc'!$W$12,'Calc'!$Y$12))))))),0))</x:f>
      </x:c>
      <x:c r="C173" t="str">
        <x:f>IF(Calc!$A$173&gt;'Calc'!$B$8,"",MAX(Calc!$C$172*(1+'财富模型'!$E$20/12)+'Calc'!$B$6-(IF('Calc'!$E$12=1,0,MIN(Calc!$C$172*(1+'财富模型'!$E$20/12)+'Calc'!$B$6,IF(Calc!$A$173&lt;='财富模型'!$E$11*12,'Calc'!$W$12,'Calc'!$Y$12)))),0))</x:f>
      </x:c>
      <x:c r="D173" t="str">
        <x:f>IF(Calc!$A$173&gt;'Calc'!$B$8,"",IF('Calc'!$E$12=1,'财富模型'!$E$9,'财富模型'!$M$4+IF(Calc!$A$173&lt;='财富模型'!$E$11*12,'Calc'!$W$12,'Calc'!$Y$12)-(IF('Calc'!$E$12=1,0,MIN(Calc!$C$172*(1+'财富模型'!$E$20/12)+'Calc'!$B$6,IF(Calc!$A$173&lt;='财富模型'!$E$11*12,'Calc'!$W$12,'Calc'!$Y$12))))))</x:f>
      </x:c>
      <x:c r="E173" t="str">
        <x:f>IF(Calc!$A$173&gt;'Calc'!$B$8,"",IF('Calc'!$E$12=1,0,MIN(Calc!$C$172*(1+'财富模型'!$E$20/12)+'Calc'!$B$6,IF(Calc!$A$173&lt;='财富模型'!$E$11*12,'Calc'!$W$12,'Calc'!$Y$12))))</x:f>
      </x:c>
      <x:c r="F173" t="str">
        <x:f>IF(Calc!$A$173&gt;'Calc'!$B$8,"",'Calc'!$B$5-'财富模型'!$E$5-(IF('Calc'!$E$12=1,'财富模型'!$E$9,'财富模型'!$M$4+IF(Calc!$A$173&lt;='财富模型'!$E$11*12,'Calc'!$W$12,'Calc'!$Y$12)-(IF('Calc'!$E$12=1,0,MIN(Calc!$C$172*(1+'财富模型'!$E$20/12)+'Calc'!$B$6,IF(Calc!$A$173&lt;='财富模型'!$E$11*12,'Calc'!$W$12,'Calc'!$Y$12)))))))</x:f>
      </x:c>
      <x:c r="G173" t="str">
        <x:f>IF(Calc!$A$173&gt;'Calc'!$B$8,"",IF('Calc'!$E$12=1,0,MAX(Calc!$G$172*(1+IF(Calc!$A$173&lt;='财富模型'!$E$11*12,'财富模型'!$E$10,'财富模型'!$E$12)/12)-IF('Calc'!$E$12=1,0,IF(Calc!$A$173&lt;='财富模型'!$E$11*12,'Calc'!$W$12,'Calc'!$Y$12)),0)))</x:f>
      </x:c>
      <x:c r="I173" t="n">
        <x:v>152</x:v>
      </x:c>
      <x:c r="J173" t="str">
        <x:f>IF(Calc!$I$173&gt;'Calc'!$B$8,"",MAX(Calc!$J$172*(1+'财富模型'!$E$6/12)+('Calc'!$B$5-'财富模型'!$E$5-(IF('Calc'!$E$13=1,'财富模型'!$E$9,'财富模型'!$M$5+IF(Calc!$I$173&lt;='财富模型'!$E$11*12,'Calc'!$W$13,'Calc'!$Y$13)-(IF('Calc'!$E$13=1,0,MIN(Calc!$K$172*(1+'财富模型'!$E$20/12)+'Calc'!$B$6,IF(Calc!$I$173&lt;='财富模型'!$E$11*12,'Calc'!$W$13,'Calc'!$Y$13))))))),0))</x:f>
      </x:c>
      <x:c r="K173" t="str">
        <x:f>IF(Calc!$I$173&gt;'Calc'!$B$8,"",MAX(Calc!$K$172*(1+'财富模型'!$E$20/12)+'Calc'!$B$6-(IF('Calc'!$E$13=1,0,MIN(Calc!$K$172*(1+'财富模型'!$E$20/12)+'Calc'!$B$6,IF(Calc!$I$173&lt;='财富模型'!$E$11*12,'Calc'!$W$13,'Calc'!$Y$13)))),0))</x:f>
      </x:c>
      <x:c r="L173" t="str">
        <x:f>IF(Calc!$I$173&gt;'Calc'!$B$8,"",IF('Calc'!$E$13=1,'财富模型'!$E$9,'财富模型'!$M$5+IF(Calc!$I$173&lt;='财富模型'!$E$11*12,'Calc'!$W$13,'Calc'!$Y$13)-(IF('Calc'!$E$13=1,0,MIN(Calc!$K$172*(1+'财富模型'!$E$20/12)+'Calc'!$B$6,IF(Calc!$I$173&lt;='财富模型'!$E$11*12,'Calc'!$W$13,'Calc'!$Y$13))))))</x:f>
      </x:c>
      <x:c r="M173" t="str">
        <x:f>IF(Calc!$I$173&gt;'Calc'!$B$8,"",IF('Calc'!$E$13=1,0,MIN(Calc!$K$172*(1+'财富模型'!$E$20/12)+'Calc'!$B$6,IF(Calc!$I$173&lt;='财富模型'!$E$11*12,'Calc'!$W$13,'Calc'!$Y$13))))</x:f>
      </x:c>
      <x:c r="N173" t="str">
        <x:f>IF(Calc!$I$173&gt;'Calc'!$B$8,"",'Calc'!$B$5-'财富模型'!$E$5-(IF('Calc'!$E$13=1,'财富模型'!$E$9,'财富模型'!$M$5+IF(Calc!$I$173&lt;='财富模型'!$E$11*12,'Calc'!$W$13,'Calc'!$Y$13)-(IF('Calc'!$E$13=1,0,MIN(Calc!$K$172*(1+'财富模型'!$E$20/12)+'Calc'!$B$6,IF(Calc!$I$173&lt;='财富模型'!$E$11*12,'Calc'!$W$13,'Calc'!$Y$13)))))))</x:f>
      </x:c>
      <x:c r="O173" t="str">
        <x:f>IF(Calc!$I$173&gt;'Calc'!$B$8,"",IF('Calc'!$E$13=1,0,MAX(Calc!$O$172*(1+IF(Calc!$I$173&lt;='财富模型'!$E$11*12,'财富模型'!$E$10,'财富模型'!$E$12)/12)-IF('Calc'!$E$13=1,0,IF(Calc!$I$173&lt;='财富模型'!$E$11*12,'Calc'!$W$13,'Calc'!$Y$13)),0)))</x:f>
      </x:c>
      <x:c r="Q173" t="n">
        <x:v>152</x:v>
      </x:c>
      <x:c r="R173" t="str">
        <x:f>IF(Calc!$Q$173&gt;'Calc'!$B$8,"",MAX(Calc!$R$172*(1+'财富模型'!$E$6/12)+('Calc'!$B$5-'财富模型'!$E$5-(IF('Calc'!$E$14=1,'财富模型'!$E$9,'财富模型'!$M$6+IF(Calc!$Q$173&lt;='财富模型'!$E$11*12,'Calc'!$W$14,'Calc'!$Y$14)-(IF('Calc'!$E$14=1,0,MIN(Calc!$S$172*(1+'财富模型'!$E$20/12)+'Calc'!$B$6,IF(Calc!$Q$173&lt;='财富模型'!$E$11*12,'Calc'!$W$14,'Calc'!$Y$14))))))),0))</x:f>
      </x:c>
      <x:c r="S173" t="str">
        <x:f>IF(Calc!$Q$173&gt;'Calc'!$B$8,"",MAX(Calc!$S$172*(1+'财富模型'!$E$20/12)+'Calc'!$B$6-(IF('Calc'!$E$14=1,0,MIN(Calc!$S$172*(1+'财富模型'!$E$20/12)+'Calc'!$B$6,IF(Calc!$Q$173&lt;='财富模型'!$E$11*12,'Calc'!$W$14,'Calc'!$Y$14)))),0))</x:f>
      </x:c>
      <x:c r="T173" t="str">
        <x:f>IF(Calc!$Q$173&gt;'Calc'!$B$8,"",IF('Calc'!$E$14=1,'财富模型'!$E$9,'财富模型'!$M$6+IF(Calc!$Q$173&lt;='财富模型'!$E$11*12,'Calc'!$W$14,'Calc'!$Y$14)-(IF('Calc'!$E$14=1,0,MIN(Calc!$S$172*(1+'财富模型'!$E$20/12)+'Calc'!$B$6,IF(Calc!$Q$173&lt;='财富模型'!$E$11*12,'Calc'!$W$14,'Calc'!$Y$14))))))</x:f>
      </x:c>
      <x:c r="U173" t="str">
        <x:f>IF(Calc!$Q$173&gt;'Calc'!$B$8,"",IF('Calc'!$E$14=1,0,MIN(Calc!$S$172*(1+'财富模型'!$E$20/12)+'Calc'!$B$6,IF(Calc!$Q$173&lt;='财富模型'!$E$11*12,'Calc'!$W$14,'Calc'!$Y$14))))</x:f>
      </x:c>
      <x:c r="V173" t="str">
        <x:f>IF(Calc!$Q$173&gt;'Calc'!$B$8,"",'Calc'!$B$5-'财富模型'!$E$5-(IF('Calc'!$E$14=1,'财富模型'!$E$9,'财富模型'!$M$6+IF(Calc!$Q$173&lt;='财富模型'!$E$11*12,'Calc'!$W$14,'Calc'!$Y$14)-(IF('Calc'!$E$14=1,0,MIN(Calc!$S$172*(1+'财富模型'!$E$20/12)+'Calc'!$B$6,IF(Calc!$Q$173&lt;='财富模型'!$E$11*12,'Calc'!$W$14,'Calc'!$Y$14)))))))</x:f>
      </x:c>
      <x:c r="W173" t="str">
        <x:f>IF(Calc!$Q$173&gt;'Calc'!$B$8,"",IF('Calc'!$E$14=1,0,MAX(Calc!$W$172*(1+IF(Calc!$Q$173&lt;='财富模型'!$E$11*12,'财富模型'!$E$10,'财富模型'!$E$12)/12)-IF('Calc'!$E$14=1,0,IF(Calc!$Q$173&lt;='财富模型'!$E$11*12,'Calc'!$W$14,'Calc'!$Y$14)),0)))</x:f>
      </x:c>
      <x:c r="Y173" t="n">
        <x:v>152</x:v>
      </x:c>
      <x:c r="Z173" t="str">
        <x:f>IF(Calc!$Y$173&gt;'Calc'!$B$8,"",MAX(Calc!$Z$172*(1+'财富模型'!$E$6/12)+('Calc'!$B$5-'财富模型'!$E$5-(IF('Calc'!$E$15=1,'财富模型'!$E$9,'财富模型'!$M$7+IF(Calc!$Y$173&lt;='财富模型'!$E$11*12,'Calc'!$W$15,'Calc'!$Y$15)-(IF('Calc'!$E$15=1,0,MIN(Calc!$AA$172*(1+'财富模型'!$E$20/12)+'Calc'!$B$6,IF(Calc!$Y$173&lt;='财富模型'!$E$11*12,'Calc'!$W$15,'Calc'!$Y$15))))))),0))</x:f>
      </x:c>
      <x:c r="AA173" t="str">
        <x:f>IF(Calc!$Y$173&gt;'Calc'!$B$8,"",MAX(Calc!$AA$172*(1+'财富模型'!$E$20/12)+'Calc'!$B$6-(IF('Calc'!$E$15=1,0,MIN(Calc!$AA$172*(1+'财富模型'!$E$20/12)+'Calc'!$B$6,IF(Calc!$Y$173&lt;='财富模型'!$E$11*12,'Calc'!$W$15,'Calc'!$Y$15)))),0))</x:f>
      </x:c>
      <x:c r="AB173" t="str">
        <x:f>IF(Calc!$Y$173&gt;'Calc'!$B$8,"",IF('Calc'!$E$15=1,'财富模型'!$E$9,'财富模型'!$M$7+IF(Calc!$Y$173&lt;='财富模型'!$E$11*12,'Calc'!$W$15,'Calc'!$Y$15)-(IF('Calc'!$E$15=1,0,MIN(Calc!$AA$172*(1+'财富模型'!$E$20/12)+'Calc'!$B$6,IF(Calc!$Y$173&lt;='财富模型'!$E$11*12,'Calc'!$W$15,'Calc'!$Y$15))))))</x:f>
      </x:c>
      <x:c r="AC173" t="str">
        <x:f>IF(Calc!$Y$173&gt;'Calc'!$B$8,"",IF('Calc'!$E$15=1,0,MIN(Calc!$AA$172*(1+'财富模型'!$E$20/12)+'Calc'!$B$6,IF(Calc!$Y$173&lt;='财富模型'!$E$11*12,'Calc'!$W$15,'Calc'!$Y$15))))</x:f>
      </x:c>
      <x:c r="AD173" t="str">
        <x:f>IF(Calc!$Y$173&gt;'Calc'!$B$8,"",'Calc'!$B$5-'财富模型'!$E$5-(IF('Calc'!$E$15=1,'财富模型'!$E$9,'财富模型'!$M$7+IF(Calc!$Y$173&lt;='财富模型'!$E$11*12,'Calc'!$W$15,'Calc'!$Y$15)-(IF('Calc'!$E$15=1,0,MIN(Calc!$AA$172*(1+'财富模型'!$E$20/12)+'Calc'!$B$6,IF(Calc!$Y$173&lt;='财富模型'!$E$11*12,'Calc'!$W$15,'Calc'!$Y$15)))))))</x:f>
      </x:c>
      <x:c r="AE173" t="str">
        <x:f>IF(Calc!$Y$173&gt;'Calc'!$B$8,"",IF('Calc'!$E$15=1,0,MAX(Calc!$AE$172*(1+IF(Calc!$Y$173&lt;='财富模型'!$E$11*12,'财富模型'!$E$10,'财富模型'!$E$12)/12)-IF('Calc'!$E$15=1,0,IF(Calc!$Y$173&lt;='财富模型'!$E$11*12,'Calc'!$W$15,'Calc'!$Y$15)),0)))</x:f>
      </x:c>
      <x:c r="AG173" t="n">
        <x:v>152</x:v>
      </x:c>
      <x:c r="AH173" t="str">
        <x:f>IF(Calc!$AG$173&gt;'Calc'!$B$8,"",MAX(Calc!$AH$172*(1+'财富模型'!$E$6/12)+('Calc'!$B$5-'财富模型'!$E$5-(IF('Calc'!$E$16=1,'财富模型'!$E$9,'财富模型'!$M$8+IF(Calc!$AG$173&lt;='财富模型'!$E$11*12,'Calc'!$W$16,'Calc'!$Y$16)-(IF('Calc'!$E$16=1,0,MIN(Calc!$AI$172*(1+'财富模型'!$E$20/12)+'Calc'!$B$6,IF(Calc!$AG$173&lt;='财富模型'!$E$11*12,'Calc'!$W$16,'Calc'!$Y$16))))))),0))</x:f>
      </x:c>
      <x:c r="AI173" t="str">
        <x:f>IF(Calc!$AG$173&gt;'Calc'!$B$8,"",MAX(Calc!$AI$172*(1+'财富模型'!$E$20/12)+'Calc'!$B$6-(IF('Calc'!$E$16=1,0,MIN(Calc!$AI$172*(1+'财富模型'!$E$20/12)+'Calc'!$B$6,IF(Calc!$AG$173&lt;='财富模型'!$E$11*12,'Calc'!$W$16,'Calc'!$Y$16)))),0))</x:f>
      </x:c>
      <x:c r="AJ173" t="str">
        <x:f>IF(Calc!$AG$173&gt;'Calc'!$B$8,"",IF('Calc'!$E$16=1,'财富模型'!$E$9,'财富模型'!$M$8+IF(Calc!$AG$173&lt;='财富模型'!$E$11*12,'Calc'!$W$16,'Calc'!$Y$16)-(IF('Calc'!$E$16=1,0,MIN(Calc!$AI$172*(1+'财富模型'!$E$20/12)+'Calc'!$B$6,IF(Calc!$AG$173&lt;='财富模型'!$E$11*12,'Calc'!$W$16,'Calc'!$Y$16))))))</x:f>
      </x:c>
      <x:c r="AK173" t="str">
        <x:f>IF(Calc!$AG$173&gt;'Calc'!$B$8,"",IF('Calc'!$E$16=1,0,MIN(Calc!$AI$172*(1+'财富模型'!$E$20/12)+'Calc'!$B$6,IF(Calc!$AG$173&lt;='财富模型'!$E$11*12,'Calc'!$W$16,'Calc'!$Y$16))))</x:f>
      </x:c>
      <x:c r="AL173" t="str">
        <x:f>IF(Calc!$AG$173&gt;'Calc'!$B$8,"",'Calc'!$B$5-'财富模型'!$E$5-(IF('Calc'!$E$16=1,'财富模型'!$E$9,'财富模型'!$M$8+IF(Calc!$AG$173&lt;='财富模型'!$E$11*12,'Calc'!$W$16,'Calc'!$Y$16)-(IF('Calc'!$E$16=1,0,MIN(Calc!$AI$172*(1+'财富模型'!$E$20/12)+'Calc'!$B$6,IF(Calc!$AG$173&lt;='财富模型'!$E$11*12,'Calc'!$W$16,'Calc'!$Y$16)))))))</x:f>
      </x:c>
      <x:c r="AM173" t="str">
        <x:f>IF(Calc!$AG$173&gt;'Calc'!$B$8,"",IF('Calc'!$E$16=1,0,MAX(Calc!$AM$172*(1+IF(Calc!$AG$173&lt;='财富模型'!$E$11*12,'财富模型'!$E$10,'财富模型'!$E$12)/12)-IF('Calc'!$E$16=1,0,IF(Calc!$AG$173&lt;='财富模型'!$E$11*12,'Calc'!$W$16,'Calc'!$Y$16)),0)))</x:f>
      </x:c>
      <x:c r="AO173" t="n">
        <x:v>152</x:v>
      </x:c>
      <x:c r="AP173" t="str">
        <x:f>IF(Calc!$AO$173&gt;'Calc'!$B$8,"",MAX(Calc!$AP$172*(1+'财富模型'!$E$6/12)+('Calc'!$B$5-'财富模型'!$E$5-(IF('Calc'!$E$17=1,'财富模型'!$E$9,'财富模型'!$M$9+IF(Calc!$AO$173&lt;='财富模型'!$E$11*12,'Calc'!$W$17,'Calc'!$Y$17)-(IF('Calc'!$E$17=1,0,MIN(Calc!$AQ$172*(1+'财富模型'!$E$20/12)+'Calc'!$B$6,IF(Calc!$AO$173&lt;='财富模型'!$E$11*12,'Calc'!$W$17,'Calc'!$Y$17))))))),0))</x:f>
      </x:c>
      <x:c r="AQ173" t="str">
        <x:f>IF(Calc!$AO$173&gt;'Calc'!$B$8,"",MAX(Calc!$AQ$172*(1+'财富模型'!$E$20/12)+'Calc'!$B$6-(IF('Calc'!$E$17=1,0,MIN(Calc!$AQ$172*(1+'财富模型'!$E$20/12)+'Calc'!$B$6,IF(Calc!$AO$173&lt;='财富模型'!$E$11*12,'Calc'!$W$17,'Calc'!$Y$17)))),0))</x:f>
      </x:c>
      <x:c r="AR173" t="str">
        <x:f>IF(Calc!$AO$173&gt;'Calc'!$B$8,"",IF('Calc'!$E$17=1,'财富模型'!$E$9,'财富模型'!$M$9+IF(Calc!$AO$173&lt;='财富模型'!$E$11*12,'Calc'!$W$17,'Calc'!$Y$17)-(IF('Calc'!$E$17=1,0,MIN(Calc!$AQ$172*(1+'财富模型'!$E$20/12)+'Calc'!$B$6,IF(Calc!$AO$173&lt;='财富模型'!$E$11*12,'Calc'!$W$17,'Calc'!$Y$17))))))</x:f>
      </x:c>
      <x:c r="AS173" t="str">
        <x:f>IF(Calc!$AO$173&gt;'Calc'!$B$8,"",IF('Calc'!$E$17=1,0,MIN(Calc!$AQ$172*(1+'财富模型'!$E$20/12)+'Calc'!$B$6,IF(Calc!$AO$173&lt;='财富模型'!$E$11*12,'Calc'!$W$17,'Calc'!$Y$17))))</x:f>
      </x:c>
      <x:c r="AT173" t="str">
        <x:f>IF(Calc!$AO$173&gt;'Calc'!$B$8,"",'Calc'!$B$5-'财富模型'!$E$5-(IF('Calc'!$E$17=1,'财富模型'!$E$9,'财富模型'!$M$9+IF(Calc!$AO$173&lt;='财富模型'!$E$11*12,'Calc'!$W$17,'Calc'!$Y$17)-(IF('Calc'!$E$17=1,0,MIN(Calc!$AQ$172*(1+'财富模型'!$E$20/12)+'Calc'!$B$6,IF(Calc!$AO$173&lt;='财富模型'!$E$11*12,'Calc'!$W$17,'Calc'!$Y$17)))))))</x:f>
      </x:c>
      <x:c r="AU173" t="str">
        <x:f>IF(Calc!$AO$173&gt;'Calc'!$B$8,"",IF('Calc'!$E$17=1,0,MAX(Calc!$AU$172*(1+IF(Calc!$AO$173&lt;='财富模型'!$E$11*12,'财富模型'!$E$10,'财富模型'!$E$12)/12)-IF('Calc'!$E$17=1,0,IF(Calc!$AO$173&lt;='财富模型'!$E$11*12,'Calc'!$W$17,'Calc'!$Y$17)),0)))</x:f>
      </x:c>
    </x:row>
    <x:row r="174">
      <x:c r="A174" t="n">
        <x:v>153</x:v>
      </x:c>
      <x:c r="B174" t="str">
        <x:f>IF(Calc!$A$174&gt;'Calc'!$B$8,"",MAX(Calc!$B$173*(1+'财富模型'!$E$6/12)+('Calc'!$B$5-'财富模型'!$E$5-(IF('Calc'!$E$12=1,'财富模型'!$E$9,'财富模型'!$M$4+IF(Calc!$A$174&lt;='财富模型'!$E$11*12,'Calc'!$W$12,'Calc'!$Y$12)-(IF('Calc'!$E$12=1,0,MIN(Calc!$C$173*(1+'财富模型'!$E$20/12)+'Calc'!$B$6,IF(Calc!$A$174&lt;='财富模型'!$E$11*12,'Calc'!$W$12,'Calc'!$Y$12))))))),0))</x:f>
      </x:c>
      <x:c r="C174" t="str">
        <x:f>IF(Calc!$A$174&gt;'Calc'!$B$8,"",MAX(Calc!$C$173*(1+'财富模型'!$E$20/12)+'Calc'!$B$6-(IF('Calc'!$E$12=1,0,MIN(Calc!$C$173*(1+'财富模型'!$E$20/12)+'Calc'!$B$6,IF(Calc!$A$174&lt;='财富模型'!$E$11*12,'Calc'!$W$12,'Calc'!$Y$12)))),0))</x:f>
      </x:c>
      <x:c r="D174" t="str">
        <x:f>IF(Calc!$A$174&gt;'Calc'!$B$8,"",IF('Calc'!$E$12=1,'财富模型'!$E$9,'财富模型'!$M$4+IF(Calc!$A$174&lt;='财富模型'!$E$11*12,'Calc'!$W$12,'Calc'!$Y$12)-(IF('Calc'!$E$12=1,0,MIN(Calc!$C$173*(1+'财富模型'!$E$20/12)+'Calc'!$B$6,IF(Calc!$A$174&lt;='财富模型'!$E$11*12,'Calc'!$W$12,'Calc'!$Y$12))))))</x:f>
      </x:c>
      <x:c r="E174" t="str">
        <x:f>IF(Calc!$A$174&gt;'Calc'!$B$8,"",IF('Calc'!$E$12=1,0,MIN(Calc!$C$173*(1+'财富模型'!$E$20/12)+'Calc'!$B$6,IF(Calc!$A$174&lt;='财富模型'!$E$11*12,'Calc'!$W$12,'Calc'!$Y$12))))</x:f>
      </x:c>
      <x:c r="F174" t="str">
        <x:f>IF(Calc!$A$174&gt;'Calc'!$B$8,"",'Calc'!$B$5-'财富模型'!$E$5-(IF('Calc'!$E$12=1,'财富模型'!$E$9,'财富模型'!$M$4+IF(Calc!$A$174&lt;='财富模型'!$E$11*12,'Calc'!$W$12,'Calc'!$Y$12)-(IF('Calc'!$E$12=1,0,MIN(Calc!$C$173*(1+'财富模型'!$E$20/12)+'Calc'!$B$6,IF(Calc!$A$174&lt;='财富模型'!$E$11*12,'Calc'!$W$12,'Calc'!$Y$12)))))))</x:f>
      </x:c>
      <x:c r="G174" t="str">
        <x:f>IF(Calc!$A$174&gt;'Calc'!$B$8,"",IF('Calc'!$E$12=1,0,MAX(Calc!$G$173*(1+IF(Calc!$A$174&lt;='财富模型'!$E$11*12,'财富模型'!$E$10,'财富模型'!$E$12)/12)-IF('Calc'!$E$12=1,0,IF(Calc!$A$174&lt;='财富模型'!$E$11*12,'Calc'!$W$12,'Calc'!$Y$12)),0)))</x:f>
      </x:c>
      <x:c r="I174" t="n">
        <x:v>153</x:v>
      </x:c>
      <x:c r="J174" t="str">
        <x:f>IF(Calc!$I$174&gt;'Calc'!$B$8,"",MAX(Calc!$J$173*(1+'财富模型'!$E$6/12)+('Calc'!$B$5-'财富模型'!$E$5-(IF('Calc'!$E$13=1,'财富模型'!$E$9,'财富模型'!$M$5+IF(Calc!$I$174&lt;='财富模型'!$E$11*12,'Calc'!$W$13,'Calc'!$Y$13)-(IF('Calc'!$E$13=1,0,MIN(Calc!$K$173*(1+'财富模型'!$E$20/12)+'Calc'!$B$6,IF(Calc!$I$174&lt;='财富模型'!$E$11*12,'Calc'!$W$13,'Calc'!$Y$13))))))),0))</x:f>
      </x:c>
      <x:c r="K174" t="str">
        <x:f>IF(Calc!$I$174&gt;'Calc'!$B$8,"",MAX(Calc!$K$173*(1+'财富模型'!$E$20/12)+'Calc'!$B$6-(IF('Calc'!$E$13=1,0,MIN(Calc!$K$173*(1+'财富模型'!$E$20/12)+'Calc'!$B$6,IF(Calc!$I$174&lt;='财富模型'!$E$11*12,'Calc'!$W$13,'Calc'!$Y$13)))),0))</x:f>
      </x:c>
      <x:c r="L174" t="str">
        <x:f>IF(Calc!$I$174&gt;'Calc'!$B$8,"",IF('Calc'!$E$13=1,'财富模型'!$E$9,'财富模型'!$M$5+IF(Calc!$I$174&lt;='财富模型'!$E$11*12,'Calc'!$W$13,'Calc'!$Y$13)-(IF('Calc'!$E$13=1,0,MIN(Calc!$K$173*(1+'财富模型'!$E$20/12)+'Calc'!$B$6,IF(Calc!$I$174&lt;='财富模型'!$E$11*12,'Calc'!$W$13,'Calc'!$Y$13))))))</x:f>
      </x:c>
      <x:c r="M174" t="str">
        <x:f>IF(Calc!$I$174&gt;'Calc'!$B$8,"",IF('Calc'!$E$13=1,0,MIN(Calc!$K$173*(1+'财富模型'!$E$20/12)+'Calc'!$B$6,IF(Calc!$I$174&lt;='财富模型'!$E$11*12,'Calc'!$W$13,'Calc'!$Y$13))))</x:f>
      </x:c>
      <x:c r="N174" t="str">
        <x:f>IF(Calc!$I$174&gt;'Calc'!$B$8,"",'Calc'!$B$5-'财富模型'!$E$5-(IF('Calc'!$E$13=1,'财富模型'!$E$9,'财富模型'!$M$5+IF(Calc!$I$174&lt;='财富模型'!$E$11*12,'Calc'!$W$13,'Calc'!$Y$13)-(IF('Calc'!$E$13=1,0,MIN(Calc!$K$173*(1+'财富模型'!$E$20/12)+'Calc'!$B$6,IF(Calc!$I$174&lt;='财富模型'!$E$11*12,'Calc'!$W$13,'Calc'!$Y$13)))))))</x:f>
      </x:c>
      <x:c r="O174" t="str">
        <x:f>IF(Calc!$I$174&gt;'Calc'!$B$8,"",IF('Calc'!$E$13=1,0,MAX(Calc!$O$173*(1+IF(Calc!$I$174&lt;='财富模型'!$E$11*12,'财富模型'!$E$10,'财富模型'!$E$12)/12)-IF('Calc'!$E$13=1,0,IF(Calc!$I$174&lt;='财富模型'!$E$11*12,'Calc'!$W$13,'Calc'!$Y$13)),0)))</x:f>
      </x:c>
      <x:c r="Q174" t="n">
        <x:v>153</x:v>
      </x:c>
      <x:c r="R174" t="str">
        <x:f>IF(Calc!$Q$174&gt;'Calc'!$B$8,"",MAX(Calc!$R$173*(1+'财富模型'!$E$6/12)+('Calc'!$B$5-'财富模型'!$E$5-(IF('Calc'!$E$14=1,'财富模型'!$E$9,'财富模型'!$M$6+IF(Calc!$Q$174&lt;='财富模型'!$E$11*12,'Calc'!$W$14,'Calc'!$Y$14)-(IF('Calc'!$E$14=1,0,MIN(Calc!$S$173*(1+'财富模型'!$E$20/12)+'Calc'!$B$6,IF(Calc!$Q$174&lt;='财富模型'!$E$11*12,'Calc'!$W$14,'Calc'!$Y$14))))))),0))</x:f>
      </x:c>
      <x:c r="S174" t="str">
        <x:f>IF(Calc!$Q$174&gt;'Calc'!$B$8,"",MAX(Calc!$S$173*(1+'财富模型'!$E$20/12)+'Calc'!$B$6-(IF('Calc'!$E$14=1,0,MIN(Calc!$S$173*(1+'财富模型'!$E$20/12)+'Calc'!$B$6,IF(Calc!$Q$174&lt;='财富模型'!$E$11*12,'Calc'!$W$14,'Calc'!$Y$14)))),0))</x:f>
      </x:c>
      <x:c r="T174" t="str">
        <x:f>IF(Calc!$Q$174&gt;'Calc'!$B$8,"",IF('Calc'!$E$14=1,'财富模型'!$E$9,'财富模型'!$M$6+IF(Calc!$Q$174&lt;='财富模型'!$E$11*12,'Calc'!$W$14,'Calc'!$Y$14)-(IF('Calc'!$E$14=1,0,MIN(Calc!$S$173*(1+'财富模型'!$E$20/12)+'Calc'!$B$6,IF(Calc!$Q$174&lt;='财富模型'!$E$11*12,'Calc'!$W$14,'Calc'!$Y$14))))))</x:f>
      </x:c>
      <x:c r="U174" t="str">
        <x:f>IF(Calc!$Q$174&gt;'Calc'!$B$8,"",IF('Calc'!$E$14=1,0,MIN(Calc!$S$173*(1+'财富模型'!$E$20/12)+'Calc'!$B$6,IF(Calc!$Q$174&lt;='财富模型'!$E$11*12,'Calc'!$W$14,'Calc'!$Y$14))))</x:f>
      </x:c>
      <x:c r="V174" t="str">
        <x:f>IF(Calc!$Q$174&gt;'Calc'!$B$8,"",'Calc'!$B$5-'财富模型'!$E$5-(IF('Calc'!$E$14=1,'财富模型'!$E$9,'财富模型'!$M$6+IF(Calc!$Q$174&lt;='财富模型'!$E$11*12,'Calc'!$W$14,'Calc'!$Y$14)-(IF('Calc'!$E$14=1,0,MIN(Calc!$S$173*(1+'财富模型'!$E$20/12)+'Calc'!$B$6,IF(Calc!$Q$174&lt;='财富模型'!$E$11*12,'Calc'!$W$14,'Calc'!$Y$14)))))))</x:f>
      </x:c>
      <x:c r="W174" t="str">
        <x:f>IF(Calc!$Q$174&gt;'Calc'!$B$8,"",IF('Calc'!$E$14=1,0,MAX(Calc!$W$173*(1+IF(Calc!$Q$174&lt;='财富模型'!$E$11*12,'财富模型'!$E$10,'财富模型'!$E$12)/12)-IF('Calc'!$E$14=1,0,IF(Calc!$Q$174&lt;='财富模型'!$E$11*12,'Calc'!$W$14,'Calc'!$Y$14)),0)))</x:f>
      </x:c>
      <x:c r="Y174" t="n">
        <x:v>153</x:v>
      </x:c>
      <x:c r="Z174" t="str">
        <x:f>IF(Calc!$Y$174&gt;'Calc'!$B$8,"",MAX(Calc!$Z$173*(1+'财富模型'!$E$6/12)+('Calc'!$B$5-'财富模型'!$E$5-(IF('Calc'!$E$15=1,'财富模型'!$E$9,'财富模型'!$M$7+IF(Calc!$Y$174&lt;='财富模型'!$E$11*12,'Calc'!$W$15,'Calc'!$Y$15)-(IF('Calc'!$E$15=1,0,MIN(Calc!$AA$173*(1+'财富模型'!$E$20/12)+'Calc'!$B$6,IF(Calc!$Y$174&lt;='财富模型'!$E$11*12,'Calc'!$W$15,'Calc'!$Y$15))))))),0))</x:f>
      </x:c>
      <x:c r="AA174" t="str">
        <x:f>IF(Calc!$Y$174&gt;'Calc'!$B$8,"",MAX(Calc!$AA$173*(1+'财富模型'!$E$20/12)+'Calc'!$B$6-(IF('Calc'!$E$15=1,0,MIN(Calc!$AA$173*(1+'财富模型'!$E$20/12)+'Calc'!$B$6,IF(Calc!$Y$174&lt;='财富模型'!$E$11*12,'Calc'!$W$15,'Calc'!$Y$15)))),0))</x:f>
      </x:c>
      <x:c r="AB174" t="str">
        <x:f>IF(Calc!$Y$174&gt;'Calc'!$B$8,"",IF('Calc'!$E$15=1,'财富模型'!$E$9,'财富模型'!$M$7+IF(Calc!$Y$174&lt;='财富模型'!$E$11*12,'Calc'!$W$15,'Calc'!$Y$15)-(IF('Calc'!$E$15=1,0,MIN(Calc!$AA$173*(1+'财富模型'!$E$20/12)+'Calc'!$B$6,IF(Calc!$Y$174&lt;='财富模型'!$E$11*12,'Calc'!$W$15,'Calc'!$Y$15))))))</x:f>
      </x:c>
      <x:c r="AC174" t="str">
        <x:f>IF(Calc!$Y$174&gt;'Calc'!$B$8,"",IF('Calc'!$E$15=1,0,MIN(Calc!$AA$173*(1+'财富模型'!$E$20/12)+'Calc'!$B$6,IF(Calc!$Y$174&lt;='财富模型'!$E$11*12,'Calc'!$W$15,'Calc'!$Y$15))))</x:f>
      </x:c>
      <x:c r="AD174" t="str">
        <x:f>IF(Calc!$Y$174&gt;'Calc'!$B$8,"",'Calc'!$B$5-'财富模型'!$E$5-(IF('Calc'!$E$15=1,'财富模型'!$E$9,'财富模型'!$M$7+IF(Calc!$Y$174&lt;='财富模型'!$E$11*12,'Calc'!$W$15,'Calc'!$Y$15)-(IF('Calc'!$E$15=1,0,MIN(Calc!$AA$173*(1+'财富模型'!$E$20/12)+'Calc'!$B$6,IF(Calc!$Y$174&lt;='财富模型'!$E$11*12,'Calc'!$W$15,'Calc'!$Y$15)))))))</x:f>
      </x:c>
      <x:c r="AE174" t="str">
        <x:f>IF(Calc!$Y$174&gt;'Calc'!$B$8,"",IF('Calc'!$E$15=1,0,MAX(Calc!$AE$173*(1+IF(Calc!$Y$174&lt;='财富模型'!$E$11*12,'财富模型'!$E$10,'财富模型'!$E$12)/12)-IF('Calc'!$E$15=1,0,IF(Calc!$Y$174&lt;='财富模型'!$E$11*12,'Calc'!$W$15,'Calc'!$Y$15)),0)))</x:f>
      </x:c>
      <x:c r="AG174" t="n">
        <x:v>153</x:v>
      </x:c>
      <x:c r="AH174" t="str">
        <x:f>IF(Calc!$AG$174&gt;'Calc'!$B$8,"",MAX(Calc!$AH$173*(1+'财富模型'!$E$6/12)+('Calc'!$B$5-'财富模型'!$E$5-(IF('Calc'!$E$16=1,'财富模型'!$E$9,'财富模型'!$M$8+IF(Calc!$AG$174&lt;='财富模型'!$E$11*12,'Calc'!$W$16,'Calc'!$Y$16)-(IF('Calc'!$E$16=1,0,MIN(Calc!$AI$173*(1+'财富模型'!$E$20/12)+'Calc'!$B$6,IF(Calc!$AG$174&lt;='财富模型'!$E$11*12,'Calc'!$W$16,'Calc'!$Y$16))))))),0))</x:f>
      </x:c>
      <x:c r="AI174" t="str">
        <x:f>IF(Calc!$AG$174&gt;'Calc'!$B$8,"",MAX(Calc!$AI$173*(1+'财富模型'!$E$20/12)+'Calc'!$B$6-(IF('Calc'!$E$16=1,0,MIN(Calc!$AI$173*(1+'财富模型'!$E$20/12)+'Calc'!$B$6,IF(Calc!$AG$174&lt;='财富模型'!$E$11*12,'Calc'!$W$16,'Calc'!$Y$16)))),0))</x:f>
      </x:c>
      <x:c r="AJ174" t="str">
        <x:f>IF(Calc!$AG$174&gt;'Calc'!$B$8,"",IF('Calc'!$E$16=1,'财富模型'!$E$9,'财富模型'!$M$8+IF(Calc!$AG$174&lt;='财富模型'!$E$11*12,'Calc'!$W$16,'Calc'!$Y$16)-(IF('Calc'!$E$16=1,0,MIN(Calc!$AI$173*(1+'财富模型'!$E$20/12)+'Calc'!$B$6,IF(Calc!$AG$174&lt;='财富模型'!$E$11*12,'Calc'!$W$16,'Calc'!$Y$16))))))</x:f>
      </x:c>
      <x:c r="AK174" t="str">
        <x:f>IF(Calc!$AG$174&gt;'Calc'!$B$8,"",IF('Calc'!$E$16=1,0,MIN(Calc!$AI$173*(1+'财富模型'!$E$20/12)+'Calc'!$B$6,IF(Calc!$AG$174&lt;='财富模型'!$E$11*12,'Calc'!$W$16,'Calc'!$Y$16))))</x:f>
      </x:c>
      <x:c r="AL174" t="str">
        <x:f>IF(Calc!$AG$174&gt;'Calc'!$B$8,"",'Calc'!$B$5-'财富模型'!$E$5-(IF('Calc'!$E$16=1,'财富模型'!$E$9,'财富模型'!$M$8+IF(Calc!$AG$174&lt;='财富模型'!$E$11*12,'Calc'!$W$16,'Calc'!$Y$16)-(IF('Calc'!$E$16=1,0,MIN(Calc!$AI$173*(1+'财富模型'!$E$20/12)+'Calc'!$B$6,IF(Calc!$AG$174&lt;='财富模型'!$E$11*12,'Calc'!$W$16,'Calc'!$Y$16)))))))</x:f>
      </x:c>
      <x:c r="AM174" t="str">
        <x:f>IF(Calc!$AG$174&gt;'Calc'!$B$8,"",IF('Calc'!$E$16=1,0,MAX(Calc!$AM$173*(1+IF(Calc!$AG$174&lt;='财富模型'!$E$11*12,'财富模型'!$E$10,'财富模型'!$E$12)/12)-IF('Calc'!$E$16=1,0,IF(Calc!$AG$174&lt;='财富模型'!$E$11*12,'Calc'!$W$16,'Calc'!$Y$16)),0)))</x:f>
      </x:c>
      <x:c r="AO174" t="n">
        <x:v>153</x:v>
      </x:c>
      <x:c r="AP174" t="str">
        <x:f>IF(Calc!$AO$174&gt;'Calc'!$B$8,"",MAX(Calc!$AP$173*(1+'财富模型'!$E$6/12)+('Calc'!$B$5-'财富模型'!$E$5-(IF('Calc'!$E$17=1,'财富模型'!$E$9,'财富模型'!$M$9+IF(Calc!$AO$174&lt;='财富模型'!$E$11*12,'Calc'!$W$17,'Calc'!$Y$17)-(IF('Calc'!$E$17=1,0,MIN(Calc!$AQ$173*(1+'财富模型'!$E$20/12)+'Calc'!$B$6,IF(Calc!$AO$174&lt;='财富模型'!$E$11*12,'Calc'!$W$17,'Calc'!$Y$17))))))),0))</x:f>
      </x:c>
      <x:c r="AQ174" t="str">
        <x:f>IF(Calc!$AO$174&gt;'Calc'!$B$8,"",MAX(Calc!$AQ$173*(1+'财富模型'!$E$20/12)+'Calc'!$B$6-(IF('Calc'!$E$17=1,0,MIN(Calc!$AQ$173*(1+'财富模型'!$E$20/12)+'Calc'!$B$6,IF(Calc!$AO$174&lt;='财富模型'!$E$11*12,'Calc'!$W$17,'Calc'!$Y$17)))),0))</x:f>
      </x:c>
      <x:c r="AR174" t="str">
        <x:f>IF(Calc!$AO$174&gt;'Calc'!$B$8,"",IF('Calc'!$E$17=1,'财富模型'!$E$9,'财富模型'!$M$9+IF(Calc!$AO$174&lt;='财富模型'!$E$11*12,'Calc'!$W$17,'Calc'!$Y$17)-(IF('Calc'!$E$17=1,0,MIN(Calc!$AQ$173*(1+'财富模型'!$E$20/12)+'Calc'!$B$6,IF(Calc!$AO$174&lt;='财富模型'!$E$11*12,'Calc'!$W$17,'Calc'!$Y$17))))))</x:f>
      </x:c>
      <x:c r="AS174" t="str">
        <x:f>IF(Calc!$AO$174&gt;'Calc'!$B$8,"",IF('Calc'!$E$17=1,0,MIN(Calc!$AQ$173*(1+'财富模型'!$E$20/12)+'Calc'!$B$6,IF(Calc!$AO$174&lt;='财富模型'!$E$11*12,'Calc'!$W$17,'Calc'!$Y$17))))</x:f>
      </x:c>
      <x:c r="AT174" t="str">
        <x:f>IF(Calc!$AO$174&gt;'Calc'!$B$8,"",'Calc'!$B$5-'财富模型'!$E$5-(IF('Calc'!$E$17=1,'财富模型'!$E$9,'财富模型'!$M$9+IF(Calc!$AO$174&lt;='财富模型'!$E$11*12,'Calc'!$W$17,'Calc'!$Y$17)-(IF('Calc'!$E$17=1,0,MIN(Calc!$AQ$173*(1+'财富模型'!$E$20/12)+'Calc'!$B$6,IF(Calc!$AO$174&lt;='财富模型'!$E$11*12,'Calc'!$W$17,'Calc'!$Y$17)))))))</x:f>
      </x:c>
      <x:c r="AU174" t="str">
        <x:f>IF(Calc!$AO$174&gt;'Calc'!$B$8,"",IF('Calc'!$E$17=1,0,MAX(Calc!$AU$173*(1+IF(Calc!$AO$174&lt;='财富模型'!$E$11*12,'财富模型'!$E$10,'财富模型'!$E$12)/12)-IF('Calc'!$E$17=1,0,IF(Calc!$AO$174&lt;='财富模型'!$E$11*12,'Calc'!$W$17,'Calc'!$Y$17)),0)))</x:f>
      </x:c>
    </x:row>
    <x:row r="175">
      <x:c r="A175" t="n">
        <x:v>154</x:v>
      </x:c>
      <x:c r="B175" t="str">
        <x:f>IF(Calc!$A$175&gt;'Calc'!$B$8,"",MAX(Calc!$B$174*(1+'财富模型'!$E$6/12)+('Calc'!$B$5-'财富模型'!$E$5-(IF('Calc'!$E$12=1,'财富模型'!$E$9,'财富模型'!$M$4+IF(Calc!$A$175&lt;='财富模型'!$E$11*12,'Calc'!$W$12,'Calc'!$Y$12)-(IF('Calc'!$E$12=1,0,MIN(Calc!$C$174*(1+'财富模型'!$E$20/12)+'Calc'!$B$6,IF(Calc!$A$175&lt;='财富模型'!$E$11*12,'Calc'!$W$12,'Calc'!$Y$12))))))),0))</x:f>
      </x:c>
      <x:c r="C175" t="str">
        <x:f>IF(Calc!$A$175&gt;'Calc'!$B$8,"",MAX(Calc!$C$174*(1+'财富模型'!$E$20/12)+'Calc'!$B$6-(IF('Calc'!$E$12=1,0,MIN(Calc!$C$174*(1+'财富模型'!$E$20/12)+'Calc'!$B$6,IF(Calc!$A$175&lt;='财富模型'!$E$11*12,'Calc'!$W$12,'Calc'!$Y$12)))),0))</x:f>
      </x:c>
      <x:c r="D175" t="str">
        <x:f>IF(Calc!$A$175&gt;'Calc'!$B$8,"",IF('Calc'!$E$12=1,'财富模型'!$E$9,'财富模型'!$M$4+IF(Calc!$A$175&lt;='财富模型'!$E$11*12,'Calc'!$W$12,'Calc'!$Y$12)-(IF('Calc'!$E$12=1,0,MIN(Calc!$C$174*(1+'财富模型'!$E$20/12)+'Calc'!$B$6,IF(Calc!$A$175&lt;='财富模型'!$E$11*12,'Calc'!$W$12,'Calc'!$Y$12))))))</x:f>
      </x:c>
      <x:c r="E175" t="str">
        <x:f>IF(Calc!$A$175&gt;'Calc'!$B$8,"",IF('Calc'!$E$12=1,0,MIN(Calc!$C$174*(1+'财富模型'!$E$20/12)+'Calc'!$B$6,IF(Calc!$A$175&lt;='财富模型'!$E$11*12,'Calc'!$W$12,'Calc'!$Y$12))))</x:f>
      </x:c>
      <x:c r="F175" t="str">
        <x:f>IF(Calc!$A$175&gt;'Calc'!$B$8,"",'Calc'!$B$5-'财富模型'!$E$5-(IF('Calc'!$E$12=1,'财富模型'!$E$9,'财富模型'!$M$4+IF(Calc!$A$175&lt;='财富模型'!$E$11*12,'Calc'!$W$12,'Calc'!$Y$12)-(IF('Calc'!$E$12=1,0,MIN(Calc!$C$174*(1+'财富模型'!$E$20/12)+'Calc'!$B$6,IF(Calc!$A$175&lt;='财富模型'!$E$11*12,'Calc'!$W$12,'Calc'!$Y$12)))))))</x:f>
      </x:c>
      <x:c r="G175" t="str">
        <x:f>IF(Calc!$A$175&gt;'Calc'!$B$8,"",IF('Calc'!$E$12=1,0,MAX(Calc!$G$174*(1+IF(Calc!$A$175&lt;='财富模型'!$E$11*12,'财富模型'!$E$10,'财富模型'!$E$12)/12)-IF('Calc'!$E$12=1,0,IF(Calc!$A$175&lt;='财富模型'!$E$11*12,'Calc'!$W$12,'Calc'!$Y$12)),0)))</x:f>
      </x:c>
      <x:c r="I175" t="n">
        <x:v>154</x:v>
      </x:c>
      <x:c r="J175" t="str">
        <x:f>IF(Calc!$I$175&gt;'Calc'!$B$8,"",MAX(Calc!$J$174*(1+'财富模型'!$E$6/12)+('Calc'!$B$5-'财富模型'!$E$5-(IF('Calc'!$E$13=1,'财富模型'!$E$9,'财富模型'!$M$5+IF(Calc!$I$175&lt;='财富模型'!$E$11*12,'Calc'!$W$13,'Calc'!$Y$13)-(IF('Calc'!$E$13=1,0,MIN(Calc!$K$174*(1+'财富模型'!$E$20/12)+'Calc'!$B$6,IF(Calc!$I$175&lt;='财富模型'!$E$11*12,'Calc'!$W$13,'Calc'!$Y$13))))))),0))</x:f>
      </x:c>
      <x:c r="K175" t="str">
        <x:f>IF(Calc!$I$175&gt;'Calc'!$B$8,"",MAX(Calc!$K$174*(1+'财富模型'!$E$20/12)+'Calc'!$B$6-(IF('Calc'!$E$13=1,0,MIN(Calc!$K$174*(1+'财富模型'!$E$20/12)+'Calc'!$B$6,IF(Calc!$I$175&lt;='财富模型'!$E$11*12,'Calc'!$W$13,'Calc'!$Y$13)))),0))</x:f>
      </x:c>
      <x:c r="L175" t="str">
        <x:f>IF(Calc!$I$175&gt;'Calc'!$B$8,"",IF('Calc'!$E$13=1,'财富模型'!$E$9,'财富模型'!$M$5+IF(Calc!$I$175&lt;='财富模型'!$E$11*12,'Calc'!$W$13,'Calc'!$Y$13)-(IF('Calc'!$E$13=1,0,MIN(Calc!$K$174*(1+'财富模型'!$E$20/12)+'Calc'!$B$6,IF(Calc!$I$175&lt;='财富模型'!$E$11*12,'Calc'!$W$13,'Calc'!$Y$13))))))</x:f>
      </x:c>
      <x:c r="M175" t="str">
        <x:f>IF(Calc!$I$175&gt;'Calc'!$B$8,"",IF('Calc'!$E$13=1,0,MIN(Calc!$K$174*(1+'财富模型'!$E$20/12)+'Calc'!$B$6,IF(Calc!$I$175&lt;='财富模型'!$E$11*12,'Calc'!$W$13,'Calc'!$Y$13))))</x:f>
      </x:c>
      <x:c r="N175" t="str">
        <x:f>IF(Calc!$I$175&gt;'Calc'!$B$8,"",'Calc'!$B$5-'财富模型'!$E$5-(IF('Calc'!$E$13=1,'财富模型'!$E$9,'财富模型'!$M$5+IF(Calc!$I$175&lt;='财富模型'!$E$11*12,'Calc'!$W$13,'Calc'!$Y$13)-(IF('Calc'!$E$13=1,0,MIN(Calc!$K$174*(1+'财富模型'!$E$20/12)+'Calc'!$B$6,IF(Calc!$I$175&lt;='财富模型'!$E$11*12,'Calc'!$W$13,'Calc'!$Y$13)))))))</x:f>
      </x:c>
      <x:c r="O175" t="str">
        <x:f>IF(Calc!$I$175&gt;'Calc'!$B$8,"",IF('Calc'!$E$13=1,0,MAX(Calc!$O$174*(1+IF(Calc!$I$175&lt;='财富模型'!$E$11*12,'财富模型'!$E$10,'财富模型'!$E$12)/12)-IF('Calc'!$E$13=1,0,IF(Calc!$I$175&lt;='财富模型'!$E$11*12,'Calc'!$W$13,'Calc'!$Y$13)),0)))</x:f>
      </x:c>
      <x:c r="Q175" t="n">
        <x:v>154</x:v>
      </x:c>
      <x:c r="R175" t="str">
        <x:f>IF(Calc!$Q$175&gt;'Calc'!$B$8,"",MAX(Calc!$R$174*(1+'财富模型'!$E$6/12)+('Calc'!$B$5-'财富模型'!$E$5-(IF('Calc'!$E$14=1,'财富模型'!$E$9,'财富模型'!$M$6+IF(Calc!$Q$175&lt;='财富模型'!$E$11*12,'Calc'!$W$14,'Calc'!$Y$14)-(IF('Calc'!$E$14=1,0,MIN(Calc!$S$174*(1+'财富模型'!$E$20/12)+'Calc'!$B$6,IF(Calc!$Q$175&lt;='财富模型'!$E$11*12,'Calc'!$W$14,'Calc'!$Y$14))))))),0))</x:f>
      </x:c>
      <x:c r="S175" t="str">
        <x:f>IF(Calc!$Q$175&gt;'Calc'!$B$8,"",MAX(Calc!$S$174*(1+'财富模型'!$E$20/12)+'Calc'!$B$6-(IF('Calc'!$E$14=1,0,MIN(Calc!$S$174*(1+'财富模型'!$E$20/12)+'Calc'!$B$6,IF(Calc!$Q$175&lt;='财富模型'!$E$11*12,'Calc'!$W$14,'Calc'!$Y$14)))),0))</x:f>
      </x:c>
      <x:c r="T175" t="str">
        <x:f>IF(Calc!$Q$175&gt;'Calc'!$B$8,"",IF('Calc'!$E$14=1,'财富模型'!$E$9,'财富模型'!$M$6+IF(Calc!$Q$175&lt;='财富模型'!$E$11*12,'Calc'!$W$14,'Calc'!$Y$14)-(IF('Calc'!$E$14=1,0,MIN(Calc!$S$174*(1+'财富模型'!$E$20/12)+'Calc'!$B$6,IF(Calc!$Q$175&lt;='财富模型'!$E$11*12,'Calc'!$W$14,'Calc'!$Y$14))))))</x:f>
      </x:c>
      <x:c r="U175" t="str">
        <x:f>IF(Calc!$Q$175&gt;'Calc'!$B$8,"",IF('Calc'!$E$14=1,0,MIN(Calc!$S$174*(1+'财富模型'!$E$20/12)+'Calc'!$B$6,IF(Calc!$Q$175&lt;='财富模型'!$E$11*12,'Calc'!$W$14,'Calc'!$Y$14))))</x:f>
      </x:c>
      <x:c r="V175" t="str">
        <x:f>IF(Calc!$Q$175&gt;'Calc'!$B$8,"",'Calc'!$B$5-'财富模型'!$E$5-(IF('Calc'!$E$14=1,'财富模型'!$E$9,'财富模型'!$M$6+IF(Calc!$Q$175&lt;='财富模型'!$E$11*12,'Calc'!$W$14,'Calc'!$Y$14)-(IF('Calc'!$E$14=1,0,MIN(Calc!$S$174*(1+'财富模型'!$E$20/12)+'Calc'!$B$6,IF(Calc!$Q$175&lt;='财富模型'!$E$11*12,'Calc'!$W$14,'Calc'!$Y$14)))))))</x:f>
      </x:c>
      <x:c r="W175" t="str">
        <x:f>IF(Calc!$Q$175&gt;'Calc'!$B$8,"",IF('Calc'!$E$14=1,0,MAX(Calc!$W$174*(1+IF(Calc!$Q$175&lt;='财富模型'!$E$11*12,'财富模型'!$E$10,'财富模型'!$E$12)/12)-IF('Calc'!$E$14=1,0,IF(Calc!$Q$175&lt;='财富模型'!$E$11*12,'Calc'!$W$14,'Calc'!$Y$14)),0)))</x:f>
      </x:c>
      <x:c r="Y175" t="n">
        <x:v>154</x:v>
      </x:c>
      <x:c r="Z175" t="str">
        <x:f>IF(Calc!$Y$175&gt;'Calc'!$B$8,"",MAX(Calc!$Z$174*(1+'财富模型'!$E$6/12)+('Calc'!$B$5-'财富模型'!$E$5-(IF('Calc'!$E$15=1,'财富模型'!$E$9,'财富模型'!$M$7+IF(Calc!$Y$175&lt;='财富模型'!$E$11*12,'Calc'!$W$15,'Calc'!$Y$15)-(IF('Calc'!$E$15=1,0,MIN(Calc!$AA$174*(1+'财富模型'!$E$20/12)+'Calc'!$B$6,IF(Calc!$Y$175&lt;='财富模型'!$E$11*12,'Calc'!$W$15,'Calc'!$Y$15))))))),0))</x:f>
      </x:c>
      <x:c r="AA175" t="str">
        <x:f>IF(Calc!$Y$175&gt;'Calc'!$B$8,"",MAX(Calc!$AA$174*(1+'财富模型'!$E$20/12)+'Calc'!$B$6-(IF('Calc'!$E$15=1,0,MIN(Calc!$AA$174*(1+'财富模型'!$E$20/12)+'Calc'!$B$6,IF(Calc!$Y$175&lt;='财富模型'!$E$11*12,'Calc'!$W$15,'Calc'!$Y$15)))),0))</x:f>
      </x:c>
      <x:c r="AB175" t="str">
        <x:f>IF(Calc!$Y$175&gt;'Calc'!$B$8,"",IF('Calc'!$E$15=1,'财富模型'!$E$9,'财富模型'!$M$7+IF(Calc!$Y$175&lt;='财富模型'!$E$11*12,'Calc'!$W$15,'Calc'!$Y$15)-(IF('Calc'!$E$15=1,0,MIN(Calc!$AA$174*(1+'财富模型'!$E$20/12)+'Calc'!$B$6,IF(Calc!$Y$175&lt;='财富模型'!$E$11*12,'Calc'!$W$15,'Calc'!$Y$15))))))</x:f>
      </x:c>
      <x:c r="AC175" t="str">
        <x:f>IF(Calc!$Y$175&gt;'Calc'!$B$8,"",IF('Calc'!$E$15=1,0,MIN(Calc!$AA$174*(1+'财富模型'!$E$20/12)+'Calc'!$B$6,IF(Calc!$Y$175&lt;='财富模型'!$E$11*12,'Calc'!$W$15,'Calc'!$Y$15))))</x:f>
      </x:c>
      <x:c r="AD175" t="str">
        <x:f>IF(Calc!$Y$175&gt;'Calc'!$B$8,"",'Calc'!$B$5-'财富模型'!$E$5-(IF('Calc'!$E$15=1,'财富模型'!$E$9,'财富模型'!$M$7+IF(Calc!$Y$175&lt;='财富模型'!$E$11*12,'Calc'!$W$15,'Calc'!$Y$15)-(IF('Calc'!$E$15=1,0,MIN(Calc!$AA$174*(1+'财富模型'!$E$20/12)+'Calc'!$B$6,IF(Calc!$Y$175&lt;='财富模型'!$E$11*12,'Calc'!$W$15,'Calc'!$Y$15)))))))</x:f>
      </x:c>
      <x:c r="AE175" t="str">
        <x:f>IF(Calc!$Y$175&gt;'Calc'!$B$8,"",IF('Calc'!$E$15=1,0,MAX(Calc!$AE$174*(1+IF(Calc!$Y$175&lt;='财富模型'!$E$11*12,'财富模型'!$E$10,'财富模型'!$E$12)/12)-IF('Calc'!$E$15=1,0,IF(Calc!$Y$175&lt;='财富模型'!$E$11*12,'Calc'!$W$15,'Calc'!$Y$15)),0)))</x:f>
      </x:c>
      <x:c r="AG175" t="n">
        <x:v>154</x:v>
      </x:c>
      <x:c r="AH175" t="str">
        <x:f>IF(Calc!$AG$175&gt;'Calc'!$B$8,"",MAX(Calc!$AH$174*(1+'财富模型'!$E$6/12)+('Calc'!$B$5-'财富模型'!$E$5-(IF('Calc'!$E$16=1,'财富模型'!$E$9,'财富模型'!$M$8+IF(Calc!$AG$175&lt;='财富模型'!$E$11*12,'Calc'!$W$16,'Calc'!$Y$16)-(IF('Calc'!$E$16=1,0,MIN(Calc!$AI$174*(1+'财富模型'!$E$20/12)+'Calc'!$B$6,IF(Calc!$AG$175&lt;='财富模型'!$E$11*12,'Calc'!$W$16,'Calc'!$Y$16))))))),0))</x:f>
      </x:c>
      <x:c r="AI175" t="str">
        <x:f>IF(Calc!$AG$175&gt;'Calc'!$B$8,"",MAX(Calc!$AI$174*(1+'财富模型'!$E$20/12)+'Calc'!$B$6-(IF('Calc'!$E$16=1,0,MIN(Calc!$AI$174*(1+'财富模型'!$E$20/12)+'Calc'!$B$6,IF(Calc!$AG$175&lt;='财富模型'!$E$11*12,'Calc'!$W$16,'Calc'!$Y$16)))),0))</x:f>
      </x:c>
      <x:c r="AJ175" t="str">
        <x:f>IF(Calc!$AG$175&gt;'Calc'!$B$8,"",IF('Calc'!$E$16=1,'财富模型'!$E$9,'财富模型'!$M$8+IF(Calc!$AG$175&lt;='财富模型'!$E$11*12,'Calc'!$W$16,'Calc'!$Y$16)-(IF('Calc'!$E$16=1,0,MIN(Calc!$AI$174*(1+'财富模型'!$E$20/12)+'Calc'!$B$6,IF(Calc!$AG$175&lt;='财富模型'!$E$11*12,'Calc'!$W$16,'Calc'!$Y$16))))))</x:f>
      </x:c>
      <x:c r="AK175" t="str">
        <x:f>IF(Calc!$AG$175&gt;'Calc'!$B$8,"",IF('Calc'!$E$16=1,0,MIN(Calc!$AI$174*(1+'财富模型'!$E$20/12)+'Calc'!$B$6,IF(Calc!$AG$175&lt;='财富模型'!$E$11*12,'Calc'!$W$16,'Calc'!$Y$16))))</x:f>
      </x:c>
      <x:c r="AL175" t="str">
        <x:f>IF(Calc!$AG$175&gt;'Calc'!$B$8,"",'Calc'!$B$5-'财富模型'!$E$5-(IF('Calc'!$E$16=1,'财富模型'!$E$9,'财富模型'!$M$8+IF(Calc!$AG$175&lt;='财富模型'!$E$11*12,'Calc'!$W$16,'Calc'!$Y$16)-(IF('Calc'!$E$16=1,0,MIN(Calc!$AI$174*(1+'财富模型'!$E$20/12)+'Calc'!$B$6,IF(Calc!$AG$175&lt;='财富模型'!$E$11*12,'Calc'!$W$16,'Calc'!$Y$16)))))))</x:f>
      </x:c>
      <x:c r="AM175" t="str">
        <x:f>IF(Calc!$AG$175&gt;'Calc'!$B$8,"",IF('Calc'!$E$16=1,0,MAX(Calc!$AM$174*(1+IF(Calc!$AG$175&lt;='财富模型'!$E$11*12,'财富模型'!$E$10,'财富模型'!$E$12)/12)-IF('Calc'!$E$16=1,0,IF(Calc!$AG$175&lt;='财富模型'!$E$11*12,'Calc'!$W$16,'Calc'!$Y$16)),0)))</x:f>
      </x:c>
      <x:c r="AO175" t="n">
        <x:v>154</x:v>
      </x:c>
      <x:c r="AP175" t="str">
        <x:f>IF(Calc!$AO$175&gt;'Calc'!$B$8,"",MAX(Calc!$AP$174*(1+'财富模型'!$E$6/12)+('Calc'!$B$5-'财富模型'!$E$5-(IF('Calc'!$E$17=1,'财富模型'!$E$9,'财富模型'!$M$9+IF(Calc!$AO$175&lt;='财富模型'!$E$11*12,'Calc'!$W$17,'Calc'!$Y$17)-(IF('Calc'!$E$17=1,0,MIN(Calc!$AQ$174*(1+'财富模型'!$E$20/12)+'Calc'!$B$6,IF(Calc!$AO$175&lt;='财富模型'!$E$11*12,'Calc'!$W$17,'Calc'!$Y$17))))))),0))</x:f>
      </x:c>
      <x:c r="AQ175" t="str">
        <x:f>IF(Calc!$AO$175&gt;'Calc'!$B$8,"",MAX(Calc!$AQ$174*(1+'财富模型'!$E$20/12)+'Calc'!$B$6-(IF('Calc'!$E$17=1,0,MIN(Calc!$AQ$174*(1+'财富模型'!$E$20/12)+'Calc'!$B$6,IF(Calc!$AO$175&lt;='财富模型'!$E$11*12,'Calc'!$W$17,'Calc'!$Y$17)))),0))</x:f>
      </x:c>
      <x:c r="AR175" t="str">
        <x:f>IF(Calc!$AO$175&gt;'Calc'!$B$8,"",IF('Calc'!$E$17=1,'财富模型'!$E$9,'财富模型'!$M$9+IF(Calc!$AO$175&lt;='财富模型'!$E$11*12,'Calc'!$W$17,'Calc'!$Y$17)-(IF('Calc'!$E$17=1,0,MIN(Calc!$AQ$174*(1+'财富模型'!$E$20/12)+'Calc'!$B$6,IF(Calc!$AO$175&lt;='财富模型'!$E$11*12,'Calc'!$W$17,'Calc'!$Y$17))))))</x:f>
      </x:c>
      <x:c r="AS175" t="str">
        <x:f>IF(Calc!$AO$175&gt;'Calc'!$B$8,"",IF('Calc'!$E$17=1,0,MIN(Calc!$AQ$174*(1+'财富模型'!$E$20/12)+'Calc'!$B$6,IF(Calc!$AO$175&lt;='财富模型'!$E$11*12,'Calc'!$W$17,'Calc'!$Y$17))))</x:f>
      </x:c>
      <x:c r="AT175" t="str">
        <x:f>IF(Calc!$AO$175&gt;'Calc'!$B$8,"",'Calc'!$B$5-'财富模型'!$E$5-(IF('Calc'!$E$17=1,'财富模型'!$E$9,'财富模型'!$M$9+IF(Calc!$AO$175&lt;='财富模型'!$E$11*12,'Calc'!$W$17,'Calc'!$Y$17)-(IF('Calc'!$E$17=1,0,MIN(Calc!$AQ$174*(1+'财富模型'!$E$20/12)+'Calc'!$B$6,IF(Calc!$AO$175&lt;='财富模型'!$E$11*12,'Calc'!$W$17,'Calc'!$Y$17)))))))</x:f>
      </x:c>
      <x:c r="AU175" t="str">
        <x:f>IF(Calc!$AO$175&gt;'Calc'!$B$8,"",IF('Calc'!$E$17=1,0,MAX(Calc!$AU$174*(1+IF(Calc!$AO$175&lt;='财富模型'!$E$11*12,'财富模型'!$E$10,'财富模型'!$E$12)/12)-IF('Calc'!$E$17=1,0,IF(Calc!$AO$175&lt;='财富模型'!$E$11*12,'Calc'!$W$17,'Calc'!$Y$17)),0)))</x:f>
      </x:c>
    </x:row>
    <x:row r="176">
      <x:c r="A176" t="n">
        <x:v>155</x:v>
      </x:c>
      <x:c r="B176" t="str">
        <x:f>IF(Calc!$A$176&gt;'Calc'!$B$8,"",MAX(Calc!$B$175*(1+'财富模型'!$E$6/12)+('Calc'!$B$5-'财富模型'!$E$5-(IF('Calc'!$E$12=1,'财富模型'!$E$9,'财富模型'!$M$4+IF(Calc!$A$176&lt;='财富模型'!$E$11*12,'Calc'!$W$12,'Calc'!$Y$12)-(IF('Calc'!$E$12=1,0,MIN(Calc!$C$175*(1+'财富模型'!$E$20/12)+'Calc'!$B$6,IF(Calc!$A$176&lt;='财富模型'!$E$11*12,'Calc'!$W$12,'Calc'!$Y$12))))))),0))</x:f>
      </x:c>
      <x:c r="C176" t="str">
        <x:f>IF(Calc!$A$176&gt;'Calc'!$B$8,"",MAX(Calc!$C$175*(1+'财富模型'!$E$20/12)+'Calc'!$B$6-(IF('Calc'!$E$12=1,0,MIN(Calc!$C$175*(1+'财富模型'!$E$20/12)+'Calc'!$B$6,IF(Calc!$A$176&lt;='财富模型'!$E$11*12,'Calc'!$W$12,'Calc'!$Y$12)))),0))</x:f>
      </x:c>
      <x:c r="D176" t="str">
        <x:f>IF(Calc!$A$176&gt;'Calc'!$B$8,"",IF('Calc'!$E$12=1,'财富模型'!$E$9,'财富模型'!$M$4+IF(Calc!$A$176&lt;='财富模型'!$E$11*12,'Calc'!$W$12,'Calc'!$Y$12)-(IF('Calc'!$E$12=1,0,MIN(Calc!$C$175*(1+'财富模型'!$E$20/12)+'Calc'!$B$6,IF(Calc!$A$176&lt;='财富模型'!$E$11*12,'Calc'!$W$12,'Calc'!$Y$12))))))</x:f>
      </x:c>
      <x:c r="E176" t="str">
        <x:f>IF(Calc!$A$176&gt;'Calc'!$B$8,"",IF('Calc'!$E$12=1,0,MIN(Calc!$C$175*(1+'财富模型'!$E$20/12)+'Calc'!$B$6,IF(Calc!$A$176&lt;='财富模型'!$E$11*12,'Calc'!$W$12,'Calc'!$Y$12))))</x:f>
      </x:c>
      <x:c r="F176" t="str">
        <x:f>IF(Calc!$A$176&gt;'Calc'!$B$8,"",'Calc'!$B$5-'财富模型'!$E$5-(IF('Calc'!$E$12=1,'财富模型'!$E$9,'财富模型'!$M$4+IF(Calc!$A$176&lt;='财富模型'!$E$11*12,'Calc'!$W$12,'Calc'!$Y$12)-(IF('Calc'!$E$12=1,0,MIN(Calc!$C$175*(1+'财富模型'!$E$20/12)+'Calc'!$B$6,IF(Calc!$A$176&lt;='财富模型'!$E$11*12,'Calc'!$W$12,'Calc'!$Y$12)))))))</x:f>
      </x:c>
      <x:c r="G176" t="str">
        <x:f>IF(Calc!$A$176&gt;'Calc'!$B$8,"",IF('Calc'!$E$12=1,0,MAX(Calc!$G$175*(1+IF(Calc!$A$176&lt;='财富模型'!$E$11*12,'财富模型'!$E$10,'财富模型'!$E$12)/12)-IF('Calc'!$E$12=1,0,IF(Calc!$A$176&lt;='财富模型'!$E$11*12,'Calc'!$W$12,'Calc'!$Y$12)),0)))</x:f>
      </x:c>
      <x:c r="I176" t="n">
        <x:v>155</x:v>
      </x:c>
      <x:c r="J176" t="str">
        <x:f>IF(Calc!$I$176&gt;'Calc'!$B$8,"",MAX(Calc!$J$175*(1+'财富模型'!$E$6/12)+('Calc'!$B$5-'财富模型'!$E$5-(IF('Calc'!$E$13=1,'财富模型'!$E$9,'财富模型'!$M$5+IF(Calc!$I$176&lt;='财富模型'!$E$11*12,'Calc'!$W$13,'Calc'!$Y$13)-(IF('Calc'!$E$13=1,0,MIN(Calc!$K$175*(1+'财富模型'!$E$20/12)+'Calc'!$B$6,IF(Calc!$I$176&lt;='财富模型'!$E$11*12,'Calc'!$W$13,'Calc'!$Y$13))))))),0))</x:f>
      </x:c>
      <x:c r="K176" t="str">
        <x:f>IF(Calc!$I$176&gt;'Calc'!$B$8,"",MAX(Calc!$K$175*(1+'财富模型'!$E$20/12)+'Calc'!$B$6-(IF('Calc'!$E$13=1,0,MIN(Calc!$K$175*(1+'财富模型'!$E$20/12)+'Calc'!$B$6,IF(Calc!$I$176&lt;='财富模型'!$E$11*12,'Calc'!$W$13,'Calc'!$Y$13)))),0))</x:f>
      </x:c>
      <x:c r="L176" t="str">
        <x:f>IF(Calc!$I$176&gt;'Calc'!$B$8,"",IF('Calc'!$E$13=1,'财富模型'!$E$9,'财富模型'!$M$5+IF(Calc!$I$176&lt;='财富模型'!$E$11*12,'Calc'!$W$13,'Calc'!$Y$13)-(IF('Calc'!$E$13=1,0,MIN(Calc!$K$175*(1+'财富模型'!$E$20/12)+'Calc'!$B$6,IF(Calc!$I$176&lt;='财富模型'!$E$11*12,'Calc'!$W$13,'Calc'!$Y$13))))))</x:f>
      </x:c>
      <x:c r="M176" t="str">
        <x:f>IF(Calc!$I$176&gt;'Calc'!$B$8,"",IF('Calc'!$E$13=1,0,MIN(Calc!$K$175*(1+'财富模型'!$E$20/12)+'Calc'!$B$6,IF(Calc!$I$176&lt;='财富模型'!$E$11*12,'Calc'!$W$13,'Calc'!$Y$13))))</x:f>
      </x:c>
      <x:c r="N176" t="str">
        <x:f>IF(Calc!$I$176&gt;'Calc'!$B$8,"",'Calc'!$B$5-'财富模型'!$E$5-(IF('Calc'!$E$13=1,'财富模型'!$E$9,'财富模型'!$M$5+IF(Calc!$I$176&lt;='财富模型'!$E$11*12,'Calc'!$W$13,'Calc'!$Y$13)-(IF('Calc'!$E$13=1,0,MIN(Calc!$K$175*(1+'财富模型'!$E$20/12)+'Calc'!$B$6,IF(Calc!$I$176&lt;='财富模型'!$E$11*12,'Calc'!$W$13,'Calc'!$Y$13)))))))</x:f>
      </x:c>
      <x:c r="O176" t="str">
        <x:f>IF(Calc!$I$176&gt;'Calc'!$B$8,"",IF('Calc'!$E$13=1,0,MAX(Calc!$O$175*(1+IF(Calc!$I$176&lt;='财富模型'!$E$11*12,'财富模型'!$E$10,'财富模型'!$E$12)/12)-IF('Calc'!$E$13=1,0,IF(Calc!$I$176&lt;='财富模型'!$E$11*12,'Calc'!$W$13,'Calc'!$Y$13)),0)))</x:f>
      </x:c>
      <x:c r="Q176" t="n">
        <x:v>155</x:v>
      </x:c>
      <x:c r="R176" t="str">
        <x:f>IF(Calc!$Q$176&gt;'Calc'!$B$8,"",MAX(Calc!$R$175*(1+'财富模型'!$E$6/12)+('Calc'!$B$5-'财富模型'!$E$5-(IF('Calc'!$E$14=1,'财富模型'!$E$9,'财富模型'!$M$6+IF(Calc!$Q$176&lt;='财富模型'!$E$11*12,'Calc'!$W$14,'Calc'!$Y$14)-(IF('Calc'!$E$14=1,0,MIN(Calc!$S$175*(1+'财富模型'!$E$20/12)+'Calc'!$B$6,IF(Calc!$Q$176&lt;='财富模型'!$E$11*12,'Calc'!$W$14,'Calc'!$Y$14))))))),0))</x:f>
      </x:c>
      <x:c r="S176" t="str">
        <x:f>IF(Calc!$Q$176&gt;'Calc'!$B$8,"",MAX(Calc!$S$175*(1+'财富模型'!$E$20/12)+'Calc'!$B$6-(IF('Calc'!$E$14=1,0,MIN(Calc!$S$175*(1+'财富模型'!$E$20/12)+'Calc'!$B$6,IF(Calc!$Q$176&lt;='财富模型'!$E$11*12,'Calc'!$W$14,'Calc'!$Y$14)))),0))</x:f>
      </x:c>
      <x:c r="T176" t="str">
        <x:f>IF(Calc!$Q$176&gt;'Calc'!$B$8,"",IF('Calc'!$E$14=1,'财富模型'!$E$9,'财富模型'!$M$6+IF(Calc!$Q$176&lt;='财富模型'!$E$11*12,'Calc'!$W$14,'Calc'!$Y$14)-(IF('Calc'!$E$14=1,0,MIN(Calc!$S$175*(1+'财富模型'!$E$20/12)+'Calc'!$B$6,IF(Calc!$Q$176&lt;='财富模型'!$E$11*12,'Calc'!$W$14,'Calc'!$Y$14))))))</x:f>
      </x:c>
      <x:c r="U176" t="str">
        <x:f>IF(Calc!$Q$176&gt;'Calc'!$B$8,"",IF('Calc'!$E$14=1,0,MIN(Calc!$S$175*(1+'财富模型'!$E$20/12)+'Calc'!$B$6,IF(Calc!$Q$176&lt;='财富模型'!$E$11*12,'Calc'!$W$14,'Calc'!$Y$14))))</x:f>
      </x:c>
      <x:c r="V176" t="str">
        <x:f>IF(Calc!$Q$176&gt;'Calc'!$B$8,"",'Calc'!$B$5-'财富模型'!$E$5-(IF('Calc'!$E$14=1,'财富模型'!$E$9,'财富模型'!$M$6+IF(Calc!$Q$176&lt;='财富模型'!$E$11*12,'Calc'!$W$14,'Calc'!$Y$14)-(IF('Calc'!$E$14=1,0,MIN(Calc!$S$175*(1+'财富模型'!$E$20/12)+'Calc'!$B$6,IF(Calc!$Q$176&lt;='财富模型'!$E$11*12,'Calc'!$W$14,'Calc'!$Y$14)))))))</x:f>
      </x:c>
      <x:c r="W176" t="str">
        <x:f>IF(Calc!$Q$176&gt;'Calc'!$B$8,"",IF('Calc'!$E$14=1,0,MAX(Calc!$W$175*(1+IF(Calc!$Q$176&lt;='财富模型'!$E$11*12,'财富模型'!$E$10,'财富模型'!$E$12)/12)-IF('Calc'!$E$14=1,0,IF(Calc!$Q$176&lt;='财富模型'!$E$11*12,'Calc'!$W$14,'Calc'!$Y$14)),0)))</x:f>
      </x:c>
      <x:c r="Y176" t="n">
        <x:v>155</x:v>
      </x:c>
      <x:c r="Z176" t="str">
        <x:f>IF(Calc!$Y$176&gt;'Calc'!$B$8,"",MAX(Calc!$Z$175*(1+'财富模型'!$E$6/12)+('Calc'!$B$5-'财富模型'!$E$5-(IF('Calc'!$E$15=1,'财富模型'!$E$9,'财富模型'!$M$7+IF(Calc!$Y$176&lt;='财富模型'!$E$11*12,'Calc'!$W$15,'Calc'!$Y$15)-(IF('Calc'!$E$15=1,0,MIN(Calc!$AA$175*(1+'财富模型'!$E$20/12)+'Calc'!$B$6,IF(Calc!$Y$176&lt;='财富模型'!$E$11*12,'Calc'!$W$15,'Calc'!$Y$15))))))),0))</x:f>
      </x:c>
      <x:c r="AA176" t="str">
        <x:f>IF(Calc!$Y$176&gt;'Calc'!$B$8,"",MAX(Calc!$AA$175*(1+'财富模型'!$E$20/12)+'Calc'!$B$6-(IF('Calc'!$E$15=1,0,MIN(Calc!$AA$175*(1+'财富模型'!$E$20/12)+'Calc'!$B$6,IF(Calc!$Y$176&lt;='财富模型'!$E$11*12,'Calc'!$W$15,'Calc'!$Y$15)))),0))</x:f>
      </x:c>
      <x:c r="AB176" t="str">
        <x:f>IF(Calc!$Y$176&gt;'Calc'!$B$8,"",IF('Calc'!$E$15=1,'财富模型'!$E$9,'财富模型'!$M$7+IF(Calc!$Y$176&lt;='财富模型'!$E$11*12,'Calc'!$W$15,'Calc'!$Y$15)-(IF('Calc'!$E$15=1,0,MIN(Calc!$AA$175*(1+'财富模型'!$E$20/12)+'Calc'!$B$6,IF(Calc!$Y$176&lt;='财富模型'!$E$11*12,'Calc'!$W$15,'Calc'!$Y$15))))))</x:f>
      </x:c>
      <x:c r="AC176" t="str">
        <x:f>IF(Calc!$Y$176&gt;'Calc'!$B$8,"",IF('Calc'!$E$15=1,0,MIN(Calc!$AA$175*(1+'财富模型'!$E$20/12)+'Calc'!$B$6,IF(Calc!$Y$176&lt;='财富模型'!$E$11*12,'Calc'!$W$15,'Calc'!$Y$15))))</x:f>
      </x:c>
      <x:c r="AD176" t="str">
        <x:f>IF(Calc!$Y$176&gt;'Calc'!$B$8,"",'Calc'!$B$5-'财富模型'!$E$5-(IF('Calc'!$E$15=1,'财富模型'!$E$9,'财富模型'!$M$7+IF(Calc!$Y$176&lt;='财富模型'!$E$11*12,'Calc'!$W$15,'Calc'!$Y$15)-(IF('Calc'!$E$15=1,0,MIN(Calc!$AA$175*(1+'财富模型'!$E$20/12)+'Calc'!$B$6,IF(Calc!$Y$176&lt;='财富模型'!$E$11*12,'Calc'!$W$15,'Calc'!$Y$15)))))))</x:f>
      </x:c>
      <x:c r="AE176" t="str">
        <x:f>IF(Calc!$Y$176&gt;'Calc'!$B$8,"",IF('Calc'!$E$15=1,0,MAX(Calc!$AE$175*(1+IF(Calc!$Y$176&lt;='财富模型'!$E$11*12,'财富模型'!$E$10,'财富模型'!$E$12)/12)-IF('Calc'!$E$15=1,0,IF(Calc!$Y$176&lt;='财富模型'!$E$11*12,'Calc'!$W$15,'Calc'!$Y$15)),0)))</x:f>
      </x:c>
      <x:c r="AG176" t="n">
        <x:v>155</x:v>
      </x:c>
      <x:c r="AH176" t="str">
        <x:f>IF(Calc!$AG$176&gt;'Calc'!$B$8,"",MAX(Calc!$AH$175*(1+'财富模型'!$E$6/12)+('Calc'!$B$5-'财富模型'!$E$5-(IF('Calc'!$E$16=1,'财富模型'!$E$9,'财富模型'!$M$8+IF(Calc!$AG$176&lt;='财富模型'!$E$11*12,'Calc'!$W$16,'Calc'!$Y$16)-(IF('Calc'!$E$16=1,0,MIN(Calc!$AI$175*(1+'财富模型'!$E$20/12)+'Calc'!$B$6,IF(Calc!$AG$176&lt;='财富模型'!$E$11*12,'Calc'!$W$16,'Calc'!$Y$16))))))),0))</x:f>
      </x:c>
      <x:c r="AI176" t="str">
        <x:f>IF(Calc!$AG$176&gt;'Calc'!$B$8,"",MAX(Calc!$AI$175*(1+'财富模型'!$E$20/12)+'Calc'!$B$6-(IF('Calc'!$E$16=1,0,MIN(Calc!$AI$175*(1+'财富模型'!$E$20/12)+'Calc'!$B$6,IF(Calc!$AG$176&lt;='财富模型'!$E$11*12,'Calc'!$W$16,'Calc'!$Y$16)))),0))</x:f>
      </x:c>
      <x:c r="AJ176" t="str">
        <x:f>IF(Calc!$AG$176&gt;'Calc'!$B$8,"",IF('Calc'!$E$16=1,'财富模型'!$E$9,'财富模型'!$M$8+IF(Calc!$AG$176&lt;='财富模型'!$E$11*12,'Calc'!$W$16,'Calc'!$Y$16)-(IF('Calc'!$E$16=1,0,MIN(Calc!$AI$175*(1+'财富模型'!$E$20/12)+'Calc'!$B$6,IF(Calc!$AG$176&lt;='财富模型'!$E$11*12,'Calc'!$W$16,'Calc'!$Y$16))))))</x:f>
      </x:c>
      <x:c r="AK176" t="str">
        <x:f>IF(Calc!$AG$176&gt;'Calc'!$B$8,"",IF('Calc'!$E$16=1,0,MIN(Calc!$AI$175*(1+'财富模型'!$E$20/12)+'Calc'!$B$6,IF(Calc!$AG$176&lt;='财富模型'!$E$11*12,'Calc'!$W$16,'Calc'!$Y$16))))</x:f>
      </x:c>
      <x:c r="AL176" t="str">
        <x:f>IF(Calc!$AG$176&gt;'Calc'!$B$8,"",'Calc'!$B$5-'财富模型'!$E$5-(IF('Calc'!$E$16=1,'财富模型'!$E$9,'财富模型'!$M$8+IF(Calc!$AG$176&lt;='财富模型'!$E$11*12,'Calc'!$W$16,'Calc'!$Y$16)-(IF('Calc'!$E$16=1,0,MIN(Calc!$AI$175*(1+'财富模型'!$E$20/12)+'Calc'!$B$6,IF(Calc!$AG$176&lt;='财富模型'!$E$11*12,'Calc'!$W$16,'Calc'!$Y$16)))))))</x:f>
      </x:c>
      <x:c r="AM176" t="str">
        <x:f>IF(Calc!$AG$176&gt;'Calc'!$B$8,"",IF('Calc'!$E$16=1,0,MAX(Calc!$AM$175*(1+IF(Calc!$AG$176&lt;='财富模型'!$E$11*12,'财富模型'!$E$10,'财富模型'!$E$12)/12)-IF('Calc'!$E$16=1,0,IF(Calc!$AG$176&lt;='财富模型'!$E$11*12,'Calc'!$W$16,'Calc'!$Y$16)),0)))</x:f>
      </x:c>
      <x:c r="AO176" t="n">
        <x:v>155</x:v>
      </x:c>
      <x:c r="AP176" t="str">
        <x:f>IF(Calc!$AO$176&gt;'Calc'!$B$8,"",MAX(Calc!$AP$175*(1+'财富模型'!$E$6/12)+('Calc'!$B$5-'财富模型'!$E$5-(IF('Calc'!$E$17=1,'财富模型'!$E$9,'财富模型'!$M$9+IF(Calc!$AO$176&lt;='财富模型'!$E$11*12,'Calc'!$W$17,'Calc'!$Y$17)-(IF('Calc'!$E$17=1,0,MIN(Calc!$AQ$175*(1+'财富模型'!$E$20/12)+'Calc'!$B$6,IF(Calc!$AO$176&lt;='财富模型'!$E$11*12,'Calc'!$W$17,'Calc'!$Y$17))))))),0))</x:f>
      </x:c>
      <x:c r="AQ176" t="str">
        <x:f>IF(Calc!$AO$176&gt;'Calc'!$B$8,"",MAX(Calc!$AQ$175*(1+'财富模型'!$E$20/12)+'Calc'!$B$6-(IF('Calc'!$E$17=1,0,MIN(Calc!$AQ$175*(1+'财富模型'!$E$20/12)+'Calc'!$B$6,IF(Calc!$AO$176&lt;='财富模型'!$E$11*12,'Calc'!$W$17,'Calc'!$Y$17)))),0))</x:f>
      </x:c>
      <x:c r="AR176" t="str">
        <x:f>IF(Calc!$AO$176&gt;'Calc'!$B$8,"",IF('Calc'!$E$17=1,'财富模型'!$E$9,'财富模型'!$M$9+IF(Calc!$AO$176&lt;='财富模型'!$E$11*12,'Calc'!$W$17,'Calc'!$Y$17)-(IF('Calc'!$E$17=1,0,MIN(Calc!$AQ$175*(1+'财富模型'!$E$20/12)+'Calc'!$B$6,IF(Calc!$AO$176&lt;='财富模型'!$E$11*12,'Calc'!$W$17,'Calc'!$Y$17))))))</x:f>
      </x:c>
      <x:c r="AS176" t="str">
        <x:f>IF(Calc!$AO$176&gt;'Calc'!$B$8,"",IF('Calc'!$E$17=1,0,MIN(Calc!$AQ$175*(1+'财富模型'!$E$20/12)+'Calc'!$B$6,IF(Calc!$AO$176&lt;='财富模型'!$E$11*12,'Calc'!$W$17,'Calc'!$Y$17))))</x:f>
      </x:c>
      <x:c r="AT176" t="str">
        <x:f>IF(Calc!$AO$176&gt;'Calc'!$B$8,"",'Calc'!$B$5-'财富模型'!$E$5-(IF('Calc'!$E$17=1,'财富模型'!$E$9,'财富模型'!$M$9+IF(Calc!$AO$176&lt;='财富模型'!$E$11*12,'Calc'!$W$17,'Calc'!$Y$17)-(IF('Calc'!$E$17=1,0,MIN(Calc!$AQ$175*(1+'财富模型'!$E$20/12)+'Calc'!$B$6,IF(Calc!$AO$176&lt;='财富模型'!$E$11*12,'Calc'!$W$17,'Calc'!$Y$17)))))))</x:f>
      </x:c>
      <x:c r="AU176" t="str">
        <x:f>IF(Calc!$AO$176&gt;'Calc'!$B$8,"",IF('Calc'!$E$17=1,0,MAX(Calc!$AU$175*(1+IF(Calc!$AO$176&lt;='财富模型'!$E$11*12,'财富模型'!$E$10,'财富模型'!$E$12)/12)-IF('Calc'!$E$17=1,0,IF(Calc!$AO$176&lt;='财富模型'!$E$11*12,'Calc'!$W$17,'Calc'!$Y$17)),0)))</x:f>
      </x:c>
    </x:row>
    <x:row r="177">
      <x:c r="A177" t="n">
        <x:v>156</x:v>
      </x:c>
      <x:c r="B177" t="str">
        <x:f>IF(Calc!$A$177&gt;'Calc'!$B$8,"",MAX(Calc!$B$176*(1+'财富模型'!$E$6/12)+('Calc'!$B$5-'财富模型'!$E$5-(IF('Calc'!$E$12=1,'财富模型'!$E$9,'财富模型'!$M$4+IF(Calc!$A$177&lt;='财富模型'!$E$11*12,'Calc'!$W$12,'Calc'!$Y$12)-(IF('Calc'!$E$12=1,0,MIN(Calc!$C$176*(1+'财富模型'!$E$20/12)+'Calc'!$B$6,IF(Calc!$A$177&lt;='财富模型'!$E$11*12,'Calc'!$W$12,'Calc'!$Y$12))))))),0))</x:f>
      </x:c>
      <x:c r="C177" t="str">
        <x:f>IF(Calc!$A$177&gt;'Calc'!$B$8,"",MAX(Calc!$C$176*(1+'财富模型'!$E$20/12)+'Calc'!$B$6-(IF('Calc'!$E$12=1,0,MIN(Calc!$C$176*(1+'财富模型'!$E$20/12)+'Calc'!$B$6,IF(Calc!$A$177&lt;='财富模型'!$E$11*12,'Calc'!$W$12,'Calc'!$Y$12)))),0))</x:f>
      </x:c>
      <x:c r="D177" t="str">
        <x:f>IF(Calc!$A$177&gt;'Calc'!$B$8,"",IF('Calc'!$E$12=1,'财富模型'!$E$9,'财富模型'!$M$4+IF(Calc!$A$177&lt;='财富模型'!$E$11*12,'Calc'!$W$12,'Calc'!$Y$12)-(IF('Calc'!$E$12=1,0,MIN(Calc!$C$176*(1+'财富模型'!$E$20/12)+'Calc'!$B$6,IF(Calc!$A$177&lt;='财富模型'!$E$11*12,'Calc'!$W$12,'Calc'!$Y$12))))))</x:f>
      </x:c>
      <x:c r="E177" t="str">
        <x:f>IF(Calc!$A$177&gt;'Calc'!$B$8,"",IF('Calc'!$E$12=1,0,MIN(Calc!$C$176*(1+'财富模型'!$E$20/12)+'Calc'!$B$6,IF(Calc!$A$177&lt;='财富模型'!$E$11*12,'Calc'!$W$12,'Calc'!$Y$12))))</x:f>
      </x:c>
      <x:c r="F177" t="str">
        <x:f>IF(Calc!$A$177&gt;'Calc'!$B$8,"",'Calc'!$B$5-'财富模型'!$E$5-(IF('Calc'!$E$12=1,'财富模型'!$E$9,'财富模型'!$M$4+IF(Calc!$A$177&lt;='财富模型'!$E$11*12,'Calc'!$W$12,'Calc'!$Y$12)-(IF('Calc'!$E$12=1,0,MIN(Calc!$C$176*(1+'财富模型'!$E$20/12)+'Calc'!$B$6,IF(Calc!$A$177&lt;='财富模型'!$E$11*12,'Calc'!$W$12,'Calc'!$Y$12)))))))</x:f>
      </x:c>
      <x:c r="G177" t="str">
        <x:f>IF(Calc!$A$177&gt;'Calc'!$B$8,"",IF('Calc'!$E$12=1,0,MAX(Calc!$G$176*(1+IF(Calc!$A$177&lt;='财富模型'!$E$11*12,'财富模型'!$E$10,'财富模型'!$E$12)/12)-IF('Calc'!$E$12=1,0,IF(Calc!$A$177&lt;='财富模型'!$E$11*12,'Calc'!$W$12,'Calc'!$Y$12)),0)))</x:f>
      </x:c>
      <x:c r="I177" t="n">
        <x:v>156</x:v>
      </x:c>
      <x:c r="J177" t="str">
        <x:f>IF(Calc!$I$177&gt;'Calc'!$B$8,"",MAX(Calc!$J$176*(1+'财富模型'!$E$6/12)+('Calc'!$B$5-'财富模型'!$E$5-(IF('Calc'!$E$13=1,'财富模型'!$E$9,'财富模型'!$M$5+IF(Calc!$I$177&lt;='财富模型'!$E$11*12,'Calc'!$W$13,'Calc'!$Y$13)-(IF('Calc'!$E$13=1,0,MIN(Calc!$K$176*(1+'财富模型'!$E$20/12)+'Calc'!$B$6,IF(Calc!$I$177&lt;='财富模型'!$E$11*12,'Calc'!$W$13,'Calc'!$Y$13))))))),0))</x:f>
      </x:c>
      <x:c r="K177" t="str">
        <x:f>IF(Calc!$I$177&gt;'Calc'!$B$8,"",MAX(Calc!$K$176*(1+'财富模型'!$E$20/12)+'Calc'!$B$6-(IF('Calc'!$E$13=1,0,MIN(Calc!$K$176*(1+'财富模型'!$E$20/12)+'Calc'!$B$6,IF(Calc!$I$177&lt;='财富模型'!$E$11*12,'Calc'!$W$13,'Calc'!$Y$13)))),0))</x:f>
      </x:c>
      <x:c r="L177" t="str">
        <x:f>IF(Calc!$I$177&gt;'Calc'!$B$8,"",IF('Calc'!$E$13=1,'财富模型'!$E$9,'财富模型'!$M$5+IF(Calc!$I$177&lt;='财富模型'!$E$11*12,'Calc'!$W$13,'Calc'!$Y$13)-(IF('Calc'!$E$13=1,0,MIN(Calc!$K$176*(1+'财富模型'!$E$20/12)+'Calc'!$B$6,IF(Calc!$I$177&lt;='财富模型'!$E$11*12,'Calc'!$W$13,'Calc'!$Y$13))))))</x:f>
      </x:c>
      <x:c r="M177" t="str">
        <x:f>IF(Calc!$I$177&gt;'Calc'!$B$8,"",IF('Calc'!$E$13=1,0,MIN(Calc!$K$176*(1+'财富模型'!$E$20/12)+'Calc'!$B$6,IF(Calc!$I$177&lt;='财富模型'!$E$11*12,'Calc'!$W$13,'Calc'!$Y$13))))</x:f>
      </x:c>
      <x:c r="N177" t="str">
        <x:f>IF(Calc!$I$177&gt;'Calc'!$B$8,"",'Calc'!$B$5-'财富模型'!$E$5-(IF('Calc'!$E$13=1,'财富模型'!$E$9,'财富模型'!$M$5+IF(Calc!$I$177&lt;='财富模型'!$E$11*12,'Calc'!$W$13,'Calc'!$Y$13)-(IF('Calc'!$E$13=1,0,MIN(Calc!$K$176*(1+'财富模型'!$E$20/12)+'Calc'!$B$6,IF(Calc!$I$177&lt;='财富模型'!$E$11*12,'Calc'!$W$13,'Calc'!$Y$13)))))))</x:f>
      </x:c>
      <x:c r="O177" t="str">
        <x:f>IF(Calc!$I$177&gt;'Calc'!$B$8,"",IF('Calc'!$E$13=1,0,MAX(Calc!$O$176*(1+IF(Calc!$I$177&lt;='财富模型'!$E$11*12,'财富模型'!$E$10,'财富模型'!$E$12)/12)-IF('Calc'!$E$13=1,0,IF(Calc!$I$177&lt;='财富模型'!$E$11*12,'Calc'!$W$13,'Calc'!$Y$13)),0)))</x:f>
      </x:c>
      <x:c r="Q177" t="n">
        <x:v>156</x:v>
      </x:c>
      <x:c r="R177" t="str">
        <x:f>IF(Calc!$Q$177&gt;'Calc'!$B$8,"",MAX(Calc!$R$176*(1+'财富模型'!$E$6/12)+('Calc'!$B$5-'财富模型'!$E$5-(IF('Calc'!$E$14=1,'财富模型'!$E$9,'财富模型'!$M$6+IF(Calc!$Q$177&lt;='财富模型'!$E$11*12,'Calc'!$W$14,'Calc'!$Y$14)-(IF('Calc'!$E$14=1,0,MIN(Calc!$S$176*(1+'财富模型'!$E$20/12)+'Calc'!$B$6,IF(Calc!$Q$177&lt;='财富模型'!$E$11*12,'Calc'!$W$14,'Calc'!$Y$14))))))),0))</x:f>
      </x:c>
      <x:c r="S177" t="str">
        <x:f>IF(Calc!$Q$177&gt;'Calc'!$B$8,"",MAX(Calc!$S$176*(1+'财富模型'!$E$20/12)+'Calc'!$B$6-(IF('Calc'!$E$14=1,0,MIN(Calc!$S$176*(1+'财富模型'!$E$20/12)+'Calc'!$B$6,IF(Calc!$Q$177&lt;='财富模型'!$E$11*12,'Calc'!$W$14,'Calc'!$Y$14)))),0))</x:f>
      </x:c>
      <x:c r="T177" t="str">
        <x:f>IF(Calc!$Q$177&gt;'Calc'!$B$8,"",IF('Calc'!$E$14=1,'财富模型'!$E$9,'财富模型'!$M$6+IF(Calc!$Q$177&lt;='财富模型'!$E$11*12,'Calc'!$W$14,'Calc'!$Y$14)-(IF('Calc'!$E$14=1,0,MIN(Calc!$S$176*(1+'财富模型'!$E$20/12)+'Calc'!$B$6,IF(Calc!$Q$177&lt;='财富模型'!$E$11*12,'Calc'!$W$14,'Calc'!$Y$14))))))</x:f>
      </x:c>
      <x:c r="U177" t="str">
        <x:f>IF(Calc!$Q$177&gt;'Calc'!$B$8,"",IF('Calc'!$E$14=1,0,MIN(Calc!$S$176*(1+'财富模型'!$E$20/12)+'Calc'!$B$6,IF(Calc!$Q$177&lt;='财富模型'!$E$11*12,'Calc'!$W$14,'Calc'!$Y$14))))</x:f>
      </x:c>
      <x:c r="V177" t="str">
        <x:f>IF(Calc!$Q$177&gt;'Calc'!$B$8,"",'Calc'!$B$5-'财富模型'!$E$5-(IF('Calc'!$E$14=1,'财富模型'!$E$9,'财富模型'!$M$6+IF(Calc!$Q$177&lt;='财富模型'!$E$11*12,'Calc'!$W$14,'Calc'!$Y$14)-(IF('Calc'!$E$14=1,0,MIN(Calc!$S$176*(1+'财富模型'!$E$20/12)+'Calc'!$B$6,IF(Calc!$Q$177&lt;='财富模型'!$E$11*12,'Calc'!$W$14,'Calc'!$Y$14)))))))</x:f>
      </x:c>
      <x:c r="W177" t="str">
        <x:f>IF(Calc!$Q$177&gt;'Calc'!$B$8,"",IF('Calc'!$E$14=1,0,MAX(Calc!$W$176*(1+IF(Calc!$Q$177&lt;='财富模型'!$E$11*12,'财富模型'!$E$10,'财富模型'!$E$12)/12)-IF('Calc'!$E$14=1,0,IF(Calc!$Q$177&lt;='财富模型'!$E$11*12,'Calc'!$W$14,'Calc'!$Y$14)),0)))</x:f>
      </x:c>
      <x:c r="Y177" t="n">
        <x:v>156</x:v>
      </x:c>
      <x:c r="Z177" t="str">
        <x:f>IF(Calc!$Y$177&gt;'Calc'!$B$8,"",MAX(Calc!$Z$176*(1+'财富模型'!$E$6/12)+('Calc'!$B$5-'财富模型'!$E$5-(IF('Calc'!$E$15=1,'财富模型'!$E$9,'财富模型'!$M$7+IF(Calc!$Y$177&lt;='财富模型'!$E$11*12,'Calc'!$W$15,'Calc'!$Y$15)-(IF('Calc'!$E$15=1,0,MIN(Calc!$AA$176*(1+'财富模型'!$E$20/12)+'Calc'!$B$6,IF(Calc!$Y$177&lt;='财富模型'!$E$11*12,'Calc'!$W$15,'Calc'!$Y$15))))))),0))</x:f>
      </x:c>
      <x:c r="AA177" t="str">
        <x:f>IF(Calc!$Y$177&gt;'Calc'!$B$8,"",MAX(Calc!$AA$176*(1+'财富模型'!$E$20/12)+'Calc'!$B$6-(IF('Calc'!$E$15=1,0,MIN(Calc!$AA$176*(1+'财富模型'!$E$20/12)+'Calc'!$B$6,IF(Calc!$Y$177&lt;='财富模型'!$E$11*12,'Calc'!$W$15,'Calc'!$Y$15)))),0))</x:f>
      </x:c>
      <x:c r="AB177" t="str">
        <x:f>IF(Calc!$Y$177&gt;'Calc'!$B$8,"",IF('Calc'!$E$15=1,'财富模型'!$E$9,'财富模型'!$M$7+IF(Calc!$Y$177&lt;='财富模型'!$E$11*12,'Calc'!$W$15,'Calc'!$Y$15)-(IF('Calc'!$E$15=1,0,MIN(Calc!$AA$176*(1+'财富模型'!$E$20/12)+'Calc'!$B$6,IF(Calc!$Y$177&lt;='财富模型'!$E$11*12,'Calc'!$W$15,'Calc'!$Y$15))))))</x:f>
      </x:c>
      <x:c r="AC177" t="str">
        <x:f>IF(Calc!$Y$177&gt;'Calc'!$B$8,"",IF('Calc'!$E$15=1,0,MIN(Calc!$AA$176*(1+'财富模型'!$E$20/12)+'Calc'!$B$6,IF(Calc!$Y$177&lt;='财富模型'!$E$11*12,'Calc'!$W$15,'Calc'!$Y$15))))</x:f>
      </x:c>
      <x:c r="AD177" t="str">
        <x:f>IF(Calc!$Y$177&gt;'Calc'!$B$8,"",'Calc'!$B$5-'财富模型'!$E$5-(IF('Calc'!$E$15=1,'财富模型'!$E$9,'财富模型'!$M$7+IF(Calc!$Y$177&lt;='财富模型'!$E$11*12,'Calc'!$W$15,'Calc'!$Y$15)-(IF('Calc'!$E$15=1,0,MIN(Calc!$AA$176*(1+'财富模型'!$E$20/12)+'Calc'!$B$6,IF(Calc!$Y$177&lt;='财富模型'!$E$11*12,'Calc'!$W$15,'Calc'!$Y$15)))))))</x:f>
      </x:c>
      <x:c r="AE177" t="str">
        <x:f>IF(Calc!$Y$177&gt;'Calc'!$B$8,"",IF('Calc'!$E$15=1,0,MAX(Calc!$AE$176*(1+IF(Calc!$Y$177&lt;='财富模型'!$E$11*12,'财富模型'!$E$10,'财富模型'!$E$12)/12)-IF('Calc'!$E$15=1,0,IF(Calc!$Y$177&lt;='财富模型'!$E$11*12,'Calc'!$W$15,'Calc'!$Y$15)),0)))</x:f>
      </x:c>
      <x:c r="AG177" t="n">
        <x:v>156</x:v>
      </x:c>
      <x:c r="AH177" t="str">
        <x:f>IF(Calc!$AG$177&gt;'Calc'!$B$8,"",MAX(Calc!$AH$176*(1+'财富模型'!$E$6/12)+('Calc'!$B$5-'财富模型'!$E$5-(IF('Calc'!$E$16=1,'财富模型'!$E$9,'财富模型'!$M$8+IF(Calc!$AG$177&lt;='财富模型'!$E$11*12,'Calc'!$W$16,'Calc'!$Y$16)-(IF('Calc'!$E$16=1,0,MIN(Calc!$AI$176*(1+'财富模型'!$E$20/12)+'Calc'!$B$6,IF(Calc!$AG$177&lt;='财富模型'!$E$11*12,'Calc'!$W$16,'Calc'!$Y$16))))))),0))</x:f>
      </x:c>
      <x:c r="AI177" t="str">
        <x:f>IF(Calc!$AG$177&gt;'Calc'!$B$8,"",MAX(Calc!$AI$176*(1+'财富模型'!$E$20/12)+'Calc'!$B$6-(IF('Calc'!$E$16=1,0,MIN(Calc!$AI$176*(1+'财富模型'!$E$20/12)+'Calc'!$B$6,IF(Calc!$AG$177&lt;='财富模型'!$E$11*12,'Calc'!$W$16,'Calc'!$Y$16)))),0))</x:f>
      </x:c>
      <x:c r="AJ177" t="str">
        <x:f>IF(Calc!$AG$177&gt;'Calc'!$B$8,"",IF('Calc'!$E$16=1,'财富模型'!$E$9,'财富模型'!$M$8+IF(Calc!$AG$177&lt;='财富模型'!$E$11*12,'Calc'!$W$16,'Calc'!$Y$16)-(IF('Calc'!$E$16=1,0,MIN(Calc!$AI$176*(1+'财富模型'!$E$20/12)+'Calc'!$B$6,IF(Calc!$AG$177&lt;='财富模型'!$E$11*12,'Calc'!$W$16,'Calc'!$Y$16))))))</x:f>
      </x:c>
      <x:c r="AK177" t="str">
        <x:f>IF(Calc!$AG$177&gt;'Calc'!$B$8,"",IF('Calc'!$E$16=1,0,MIN(Calc!$AI$176*(1+'财富模型'!$E$20/12)+'Calc'!$B$6,IF(Calc!$AG$177&lt;='财富模型'!$E$11*12,'Calc'!$W$16,'Calc'!$Y$16))))</x:f>
      </x:c>
      <x:c r="AL177" t="str">
        <x:f>IF(Calc!$AG$177&gt;'Calc'!$B$8,"",'Calc'!$B$5-'财富模型'!$E$5-(IF('Calc'!$E$16=1,'财富模型'!$E$9,'财富模型'!$M$8+IF(Calc!$AG$177&lt;='财富模型'!$E$11*12,'Calc'!$W$16,'Calc'!$Y$16)-(IF('Calc'!$E$16=1,0,MIN(Calc!$AI$176*(1+'财富模型'!$E$20/12)+'Calc'!$B$6,IF(Calc!$AG$177&lt;='财富模型'!$E$11*12,'Calc'!$W$16,'Calc'!$Y$16)))))))</x:f>
      </x:c>
      <x:c r="AM177" t="str">
        <x:f>IF(Calc!$AG$177&gt;'Calc'!$B$8,"",IF('Calc'!$E$16=1,0,MAX(Calc!$AM$176*(1+IF(Calc!$AG$177&lt;='财富模型'!$E$11*12,'财富模型'!$E$10,'财富模型'!$E$12)/12)-IF('Calc'!$E$16=1,0,IF(Calc!$AG$177&lt;='财富模型'!$E$11*12,'Calc'!$W$16,'Calc'!$Y$16)),0)))</x:f>
      </x:c>
      <x:c r="AO177" t="n">
        <x:v>156</x:v>
      </x:c>
      <x:c r="AP177" t="str">
        <x:f>IF(Calc!$AO$177&gt;'Calc'!$B$8,"",MAX(Calc!$AP$176*(1+'财富模型'!$E$6/12)+('Calc'!$B$5-'财富模型'!$E$5-(IF('Calc'!$E$17=1,'财富模型'!$E$9,'财富模型'!$M$9+IF(Calc!$AO$177&lt;='财富模型'!$E$11*12,'Calc'!$W$17,'Calc'!$Y$17)-(IF('Calc'!$E$17=1,0,MIN(Calc!$AQ$176*(1+'财富模型'!$E$20/12)+'Calc'!$B$6,IF(Calc!$AO$177&lt;='财富模型'!$E$11*12,'Calc'!$W$17,'Calc'!$Y$17))))))),0))</x:f>
      </x:c>
      <x:c r="AQ177" t="str">
        <x:f>IF(Calc!$AO$177&gt;'Calc'!$B$8,"",MAX(Calc!$AQ$176*(1+'财富模型'!$E$20/12)+'Calc'!$B$6-(IF('Calc'!$E$17=1,0,MIN(Calc!$AQ$176*(1+'财富模型'!$E$20/12)+'Calc'!$B$6,IF(Calc!$AO$177&lt;='财富模型'!$E$11*12,'Calc'!$W$17,'Calc'!$Y$17)))),0))</x:f>
      </x:c>
      <x:c r="AR177" t="str">
        <x:f>IF(Calc!$AO$177&gt;'Calc'!$B$8,"",IF('Calc'!$E$17=1,'财富模型'!$E$9,'财富模型'!$M$9+IF(Calc!$AO$177&lt;='财富模型'!$E$11*12,'Calc'!$W$17,'Calc'!$Y$17)-(IF('Calc'!$E$17=1,0,MIN(Calc!$AQ$176*(1+'财富模型'!$E$20/12)+'Calc'!$B$6,IF(Calc!$AO$177&lt;='财富模型'!$E$11*12,'Calc'!$W$17,'Calc'!$Y$17))))))</x:f>
      </x:c>
      <x:c r="AS177" t="str">
        <x:f>IF(Calc!$AO$177&gt;'Calc'!$B$8,"",IF('Calc'!$E$17=1,0,MIN(Calc!$AQ$176*(1+'财富模型'!$E$20/12)+'Calc'!$B$6,IF(Calc!$AO$177&lt;='财富模型'!$E$11*12,'Calc'!$W$17,'Calc'!$Y$17))))</x:f>
      </x:c>
      <x:c r="AT177" t="str">
        <x:f>IF(Calc!$AO$177&gt;'Calc'!$B$8,"",'Calc'!$B$5-'财富模型'!$E$5-(IF('Calc'!$E$17=1,'财富模型'!$E$9,'财富模型'!$M$9+IF(Calc!$AO$177&lt;='财富模型'!$E$11*12,'Calc'!$W$17,'Calc'!$Y$17)-(IF('Calc'!$E$17=1,0,MIN(Calc!$AQ$176*(1+'财富模型'!$E$20/12)+'Calc'!$B$6,IF(Calc!$AO$177&lt;='财富模型'!$E$11*12,'Calc'!$W$17,'Calc'!$Y$17)))))))</x:f>
      </x:c>
      <x:c r="AU177" t="str">
        <x:f>IF(Calc!$AO$177&gt;'Calc'!$B$8,"",IF('Calc'!$E$17=1,0,MAX(Calc!$AU$176*(1+IF(Calc!$AO$177&lt;='财富模型'!$E$11*12,'财富模型'!$E$10,'财富模型'!$E$12)/12)-IF('Calc'!$E$17=1,0,IF(Calc!$AO$177&lt;='财富模型'!$E$11*12,'Calc'!$W$17,'Calc'!$Y$17)),0)))</x:f>
      </x:c>
    </x:row>
    <x:row r="178">
      <x:c r="A178" t="n">
        <x:v>157</x:v>
      </x:c>
      <x:c r="B178" t="str">
        <x:f>IF(Calc!$A$178&gt;'Calc'!$B$8,"",MAX(Calc!$B$177*(1+'财富模型'!$E$6/12)+('Calc'!$B$5-'财富模型'!$E$5-(IF('Calc'!$E$12=1,'财富模型'!$E$9,'财富模型'!$M$4+IF(Calc!$A$178&lt;='财富模型'!$E$11*12,'Calc'!$W$12,'Calc'!$Y$12)-(IF('Calc'!$E$12=1,0,MIN(Calc!$C$177*(1+'财富模型'!$E$20/12)+'Calc'!$B$6,IF(Calc!$A$178&lt;='财富模型'!$E$11*12,'Calc'!$W$12,'Calc'!$Y$12))))))),0))</x:f>
      </x:c>
      <x:c r="C178" t="str">
        <x:f>IF(Calc!$A$178&gt;'Calc'!$B$8,"",MAX(Calc!$C$177*(1+'财富模型'!$E$20/12)+'Calc'!$B$6-(IF('Calc'!$E$12=1,0,MIN(Calc!$C$177*(1+'财富模型'!$E$20/12)+'Calc'!$B$6,IF(Calc!$A$178&lt;='财富模型'!$E$11*12,'Calc'!$W$12,'Calc'!$Y$12)))),0))</x:f>
      </x:c>
      <x:c r="D178" t="str">
        <x:f>IF(Calc!$A$178&gt;'Calc'!$B$8,"",IF('Calc'!$E$12=1,'财富模型'!$E$9,'财富模型'!$M$4+IF(Calc!$A$178&lt;='财富模型'!$E$11*12,'Calc'!$W$12,'Calc'!$Y$12)-(IF('Calc'!$E$12=1,0,MIN(Calc!$C$177*(1+'财富模型'!$E$20/12)+'Calc'!$B$6,IF(Calc!$A$178&lt;='财富模型'!$E$11*12,'Calc'!$W$12,'Calc'!$Y$12))))))</x:f>
      </x:c>
      <x:c r="E178" t="str">
        <x:f>IF(Calc!$A$178&gt;'Calc'!$B$8,"",IF('Calc'!$E$12=1,0,MIN(Calc!$C$177*(1+'财富模型'!$E$20/12)+'Calc'!$B$6,IF(Calc!$A$178&lt;='财富模型'!$E$11*12,'Calc'!$W$12,'Calc'!$Y$12))))</x:f>
      </x:c>
      <x:c r="F178" t="str">
        <x:f>IF(Calc!$A$178&gt;'Calc'!$B$8,"",'Calc'!$B$5-'财富模型'!$E$5-(IF('Calc'!$E$12=1,'财富模型'!$E$9,'财富模型'!$M$4+IF(Calc!$A$178&lt;='财富模型'!$E$11*12,'Calc'!$W$12,'Calc'!$Y$12)-(IF('Calc'!$E$12=1,0,MIN(Calc!$C$177*(1+'财富模型'!$E$20/12)+'Calc'!$B$6,IF(Calc!$A$178&lt;='财富模型'!$E$11*12,'Calc'!$W$12,'Calc'!$Y$12)))))))</x:f>
      </x:c>
      <x:c r="G178" t="str">
        <x:f>IF(Calc!$A$178&gt;'Calc'!$B$8,"",IF('Calc'!$E$12=1,0,MAX(Calc!$G$177*(1+IF(Calc!$A$178&lt;='财富模型'!$E$11*12,'财富模型'!$E$10,'财富模型'!$E$12)/12)-IF('Calc'!$E$12=1,0,IF(Calc!$A$178&lt;='财富模型'!$E$11*12,'Calc'!$W$12,'Calc'!$Y$12)),0)))</x:f>
      </x:c>
      <x:c r="I178" t="n">
        <x:v>157</x:v>
      </x:c>
      <x:c r="J178" t="str">
        <x:f>IF(Calc!$I$178&gt;'Calc'!$B$8,"",MAX(Calc!$J$177*(1+'财富模型'!$E$6/12)+('Calc'!$B$5-'财富模型'!$E$5-(IF('Calc'!$E$13=1,'财富模型'!$E$9,'财富模型'!$M$5+IF(Calc!$I$178&lt;='财富模型'!$E$11*12,'Calc'!$W$13,'Calc'!$Y$13)-(IF('Calc'!$E$13=1,0,MIN(Calc!$K$177*(1+'财富模型'!$E$20/12)+'Calc'!$B$6,IF(Calc!$I$178&lt;='财富模型'!$E$11*12,'Calc'!$W$13,'Calc'!$Y$13))))))),0))</x:f>
      </x:c>
      <x:c r="K178" t="str">
        <x:f>IF(Calc!$I$178&gt;'Calc'!$B$8,"",MAX(Calc!$K$177*(1+'财富模型'!$E$20/12)+'Calc'!$B$6-(IF('Calc'!$E$13=1,0,MIN(Calc!$K$177*(1+'财富模型'!$E$20/12)+'Calc'!$B$6,IF(Calc!$I$178&lt;='财富模型'!$E$11*12,'Calc'!$W$13,'Calc'!$Y$13)))),0))</x:f>
      </x:c>
      <x:c r="L178" t="str">
        <x:f>IF(Calc!$I$178&gt;'Calc'!$B$8,"",IF('Calc'!$E$13=1,'财富模型'!$E$9,'财富模型'!$M$5+IF(Calc!$I$178&lt;='财富模型'!$E$11*12,'Calc'!$W$13,'Calc'!$Y$13)-(IF('Calc'!$E$13=1,0,MIN(Calc!$K$177*(1+'财富模型'!$E$20/12)+'Calc'!$B$6,IF(Calc!$I$178&lt;='财富模型'!$E$11*12,'Calc'!$W$13,'Calc'!$Y$13))))))</x:f>
      </x:c>
      <x:c r="M178" t="str">
        <x:f>IF(Calc!$I$178&gt;'Calc'!$B$8,"",IF('Calc'!$E$13=1,0,MIN(Calc!$K$177*(1+'财富模型'!$E$20/12)+'Calc'!$B$6,IF(Calc!$I$178&lt;='财富模型'!$E$11*12,'Calc'!$W$13,'Calc'!$Y$13))))</x:f>
      </x:c>
      <x:c r="N178" t="str">
        <x:f>IF(Calc!$I$178&gt;'Calc'!$B$8,"",'Calc'!$B$5-'财富模型'!$E$5-(IF('Calc'!$E$13=1,'财富模型'!$E$9,'财富模型'!$M$5+IF(Calc!$I$178&lt;='财富模型'!$E$11*12,'Calc'!$W$13,'Calc'!$Y$13)-(IF('Calc'!$E$13=1,0,MIN(Calc!$K$177*(1+'财富模型'!$E$20/12)+'Calc'!$B$6,IF(Calc!$I$178&lt;='财富模型'!$E$11*12,'Calc'!$W$13,'Calc'!$Y$13)))))))</x:f>
      </x:c>
      <x:c r="O178" t="str">
        <x:f>IF(Calc!$I$178&gt;'Calc'!$B$8,"",IF('Calc'!$E$13=1,0,MAX(Calc!$O$177*(1+IF(Calc!$I$178&lt;='财富模型'!$E$11*12,'财富模型'!$E$10,'财富模型'!$E$12)/12)-IF('Calc'!$E$13=1,0,IF(Calc!$I$178&lt;='财富模型'!$E$11*12,'Calc'!$W$13,'Calc'!$Y$13)),0)))</x:f>
      </x:c>
      <x:c r="Q178" t="n">
        <x:v>157</x:v>
      </x:c>
      <x:c r="R178" t="str">
        <x:f>IF(Calc!$Q$178&gt;'Calc'!$B$8,"",MAX(Calc!$R$177*(1+'财富模型'!$E$6/12)+('Calc'!$B$5-'财富模型'!$E$5-(IF('Calc'!$E$14=1,'财富模型'!$E$9,'财富模型'!$M$6+IF(Calc!$Q$178&lt;='财富模型'!$E$11*12,'Calc'!$W$14,'Calc'!$Y$14)-(IF('Calc'!$E$14=1,0,MIN(Calc!$S$177*(1+'财富模型'!$E$20/12)+'Calc'!$B$6,IF(Calc!$Q$178&lt;='财富模型'!$E$11*12,'Calc'!$W$14,'Calc'!$Y$14))))))),0))</x:f>
      </x:c>
      <x:c r="S178" t="str">
        <x:f>IF(Calc!$Q$178&gt;'Calc'!$B$8,"",MAX(Calc!$S$177*(1+'财富模型'!$E$20/12)+'Calc'!$B$6-(IF('Calc'!$E$14=1,0,MIN(Calc!$S$177*(1+'财富模型'!$E$20/12)+'Calc'!$B$6,IF(Calc!$Q$178&lt;='财富模型'!$E$11*12,'Calc'!$W$14,'Calc'!$Y$14)))),0))</x:f>
      </x:c>
      <x:c r="T178" t="str">
        <x:f>IF(Calc!$Q$178&gt;'Calc'!$B$8,"",IF('Calc'!$E$14=1,'财富模型'!$E$9,'财富模型'!$M$6+IF(Calc!$Q$178&lt;='财富模型'!$E$11*12,'Calc'!$W$14,'Calc'!$Y$14)-(IF('Calc'!$E$14=1,0,MIN(Calc!$S$177*(1+'财富模型'!$E$20/12)+'Calc'!$B$6,IF(Calc!$Q$178&lt;='财富模型'!$E$11*12,'Calc'!$W$14,'Calc'!$Y$14))))))</x:f>
      </x:c>
      <x:c r="U178" t="str">
        <x:f>IF(Calc!$Q$178&gt;'Calc'!$B$8,"",IF('Calc'!$E$14=1,0,MIN(Calc!$S$177*(1+'财富模型'!$E$20/12)+'Calc'!$B$6,IF(Calc!$Q$178&lt;='财富模型'!$E$11*12,'Calc'!$W$14,'Calc'!$Y$14))))</x:f>
      </x:c>
      <x:c r="V178" t="str">
        <x:f>IF(Calc!$Q$178&gt;'Calc'!$B$8,"",'Calc'!$B$5-'财富模型'!$E$5-(IF('Calc'!$E$14=1,'财富模型'!$E$9,'财富模型'!$M$6+IF(Calc!$Q$178&lt;='财富模型'!$E$11*12,'Calc'!$W$14,'Calc'!$Y$14)-(IF('Calc'!$E$14=1,0,MIN(Calc!$S$177*(1+'财富模型'!$E$20/12)+'Calc'!$B$6,IF(Calc!$Q$178&lt;='财富模型'!$E$11*12,'Calc'!$W$14,'Calc'!$Y$14)))))))</x:f>
      </x:c>
      <x:c r="W178" t="str">
        <x:f>IF(Calc!$Q$178&gt;'Calc'!$B$8,"",IF('Calc'!$E$14=1,0,MAX(Calc!$W$177*(1+IF(Calc!$Q$178&lt;='财富模型'!$E$11*12,'财富模型'!$E$10,'财富模型'!$E$12)/12)-IF('Calc'!$E$14=1,0,IF(Calc!$Q$178&lt;='财富模型'!$E$11*12,'Calc'!$W$14,'Calc'!$Y$14)),0)))</x:f>
      </x:c>
      <x:c r="Y178" t="n">
        <x:v>157</x:v>
      </x:c>
      <x:c r="Z178" t="str">
        <x:f>IF(Calc!$Y$178&gt;'Calc'!$B$8,"",MAX(Calc!$Z$177*(1+'财富模型'!$E$6/12)+('Calc'!$B$5-'财富模型'!$E$5-(IF('Calc'!$E$15=1,'财富模型'!$E$9,'财富模型'!$M$7+IF(Calc!$Y$178&lt;='财富模型'!$E$11*12,'Calc'!$W$15,'Calc'!$Y$15)-(IF('Calc'!$E$15=1,0,MIN(Calc!$AA$177*(1+'财富模型'!$E$20/12)+'Calc'!$B$6,IF(Calc!$Y$178&lt;='财富模型'!$E$11*12,'Calc'!$W$15,'Calc'!$Y$15))))))),0))</x:f>
      </x:c>
      <x:c r="AA178" t="str">
        <x:f>IF(Calc!$Y$178&gt;'Calc'!$B$8,"",MAX(Calc!$AA$177*(1+'财富模型'!$E$20/12)+'Calc'!$B$6-(IF('Calc'!$E$15=1,0,MIN(Calc!$AA$177*(1+'财富模型'!$E$20/12)+'Calc'!$B$6,IF(Calc!$Y$178&lt;='财富模型'!$E$11*12,'Calc'!$W$15,'Calc'!$Y$15)))),0))</x:f>
      </x:c>
      <x:c r="AB178" t="str">
        <x:f>IF(Calc!$Y$178&gt;'Calc'!$B$8,"",IF('Calc'!$E$15=1,'财富模型'!$E$9,'财富模型'!$M$7+IF(Calc!$Y$178&lt;='财富模型'!$E$11*12,'Calc'!$W$15,'Calc'!$Y$15)-(IF('Calc'!$E$15=1,0,MIN(Calc!$AA$177*(1+'财富模型'!$E$20/12)+'Calc'!$B$6,IF(Calc!$Y$178&lt;='财富模型'!$E$11*12,'Calc'!$W$15,'Calc'!$Y$15))))))</x:f>
      </x:c>
      <x:c r="AC178" t="str">
        <x:f>IF(Calc!$Y$178&gt;'Calc'!$B$8,"",IF('Calc'!$E$15=1,0,MIN(Calc!$AA$177*(1+'财富模型'!$E$20/12)+'Calc'!$B$6,IF(Calc!$Y$178&lt;='财富模型'!$E$11*12,'Calc'!$W$15,'Calc'!$Y$15))))</x:f>
      </x:c>
      <x:c r="AD178" t="str">
        <x:f>IF(Calc!$Y$178&gt;'Calc'!$B$8,"",'Calc'!$B$5-'财富模型'!$E$5-(IF('Calc'!$E$15=1,'财富模型'!$E$9,'财富模型'!$M$7+IF(Calc!$Y$178&lt;='财富模型'!$E$11*12,'Calc'!$W$15,'Calc'!$Y$15)-(IF('Calc'!$E$15=1,0,MIN(Calc!$AA$177*(1+'财富模型'!$E$20/12)+'Calc'!$B$6,IF(Calc!$Y$178&lt;='财富模型'!$E$11*12,'Calc'!$W$15,'Calc'!$Y$15)))))))</x:f>
      </x:c>
      <x:c r="AE178" t="str">
        <x:f>IF(Calc!$Y$178&gt;'Calc'!$B$8,"",IF('Calc'!$E$15=1,0,MAX(Calc!$AE$177*(1+IF(Calc!$Y$178&lt;='财富模型'!$E$11*12,'财富模型'!$E$10,'财富模型'!$E$12)/12)-IF('Calc'!$E$15=1,0,IF(Calc!$Y$178&lt;='财富模型'!$E$11*12,'Calc'!$W$15,'Calc'!$Y$15)),0)))</x:f>
      </x:c>
      <x:c r="AG178" t="n">
        <x:v>157</x:v>
      </x:c>
      <x:c r="AH178" t="str">
        <x:f>IF(Calc!$AG$178&gt;'Calc'!$B$8,"",MAX(Calc!$AH$177*(1+'财富模型'!$E$6/12)+('Calc'!$B$5-'财富模型'!$E$5-(IF('Calc'!$E$16=1,'财富模型'!$E$9,'财富模型'!$M$8+IF(Calc!$AG$178&lt;='财富模型'!$E$11*12,'Calc'!$W$16,'Calc'!$Y$16)-(IF('Calc'!$E$16=1,0,MIN(Calc!$AI$177*(1+'财富模型'!$E$20/12)+'Calc'!$B$6,IF(Calc!$AG$178&lt;='财富模型'!$E$11*12,'Calc'!$W$16,'Calc'!$Y$16))))))),0))</x:f>
      </x:c>
      <x:c r="AI178" t="str">
        <x:f>IF(Calc!$AG$178&gt;'Calc'!$B$8,"",MAX(Calc!$AI$177*(1+'财富模型'!$E$20/12)+'Calc'!$B$6-(IF('Calc'!$E$16=1,0,MIN(Calc!$AI$177*(1+'财富模型'!$E$20/12)+'Calc'!$B$6,IF(Calc!$AG$178&lt;='财富模型'!$E$11*12,'Calc'!$W$16,'Calc'!$Y$16)))),0))</x:f>
      </x:c>
      <x:c r="AJ178" t="str">
        <x:f>IF(Calc!$AG$178&gt;'Calc'!$B$8,"",IF('Calc'!$E$16=1,'财富模型'!$E$9,'财富模型'!$M$8+IF(Calc!$AG$178&lt;='财富模型'!$E$11*12,'Calc'!$W$16,'Calc'!$Y$16)-(IF('Calc'!$E$16=1,0,MIN(Calc!$AI$177*(1+'财富模型'!$E$20/12)+'Calc'!$B$6,IF(Calc!$AG$178&lt;='财富模型'!$E$11*12,'Calc'!$W$16,'Calc'!$Y$16))))))</x:f>
      </x:c>
      <x:c r="AK178" t="str">
        <x:f>IF(Calc!$AG$178&gt;'Calc'!$B$8,"",IF('Calc'!$E$16=1,0,MIN(Calc!$AI$177*(1+'财富模型'!$E$20/12)+'Calc'!$B$6,IF(Calc!$AG$178&lt;='财富模型'!$E$11*12,'Calc'!$W$16,'Calc'!$Y$16))))</x:f>
      </x:c>
      <x:c r="AL178" t="str">
        <x:f>IF(Calc!$AG$178&gt;'Calc'!$B$8,"",'Calc'!$B$5-'财富模型'!$E$5-(IF('Calc'!$E$16=1,'财富模型'!$E$9,'财富模型'!$M$8+IF(Calc!$AG$178&lt;='财富模型'!$E$11*12,'Calc'!$W$16,'Calc'!$Y$16)-(IF('Calc'!$E$16=1,0,MIN(Calc!$AI$177*(1+'财富模型'!$E$20/12)+'Calc'!$B$6,IF(Calc!$AG$178&lt;='财富模型'!$E$11*12,'Calc'!$W$16,'Calc'!$Y$16)))))))</x:f>
      </x:c>
      <x:c r="AM178" t="str">
        <x:f>IF(Calc!$AG$178&gt;'Calc'!$B$8,"",IF('Calc'!$E$16=1,0,MAX(Calc!$AM$177*(1+IF(Calc!$AG$178&lt;='财富模型'!$E$11*12,'财富模型'!$E$10,'财富模型'!$E$12)/12)-IF('Calc'!$E$16=1,0,IF(Calc!$AG$178&lt;='财富模型'!$E$11*12,'Calc'!$W$16,'Calc'!$Y$16)),0)))</x:f>
      </x:c>
      <x:c r="AO178" t="n">
        <x:v>157</x:v>
      </x:c>
      <x:c r="AP178" t="str">
        <x:f>IF(Calc!$AO$178&gt;'Calc'!$B$8,"",MAX(Calc!$AP$177*(1+'财富模型'!$E$6/12)+('Calc'!$B$5-'财富模型'!$E$5-(IF('Calc'!$E$17=1,'财富模型'!$E$9,'财富模型'!$M$9+IF(Calc!$AO$178&lt;='财富模型'!$E$11*12,'Calc'!$W$17,'Calc'!$Y$17)-(IF('Calc'!$E$17=1,0,MIN(Calc!$AQ$177*(1+'财富模型'!$E$20/12)+'Calc'!$B$6,IF(Calc!$AO$178&lt;='财富模型'!$E$11*12,'Calc'!$W$17,'Calc'!$Y$17))))))),0))</x:f>
      </x:c>
      <x:c r="AQ178" t="str">
        <x:f>IF(Calc!$AO$178&gt;'Calc'!$B$8,"",MAX(Calc!$AQ$177*(1+'财富模型'!$E$20/12)+'Calc'!$B$6-(IF('Calc'!$E$17=1,0,MIN(Calc!$AQ$177*(1+'财富模型'!$E$20/12)+'Calc'!$B$6,IF(Calc!$AO$178&lt;='财富模型'!$E$11*12,'Calc'!$W$17,'Calc'!$Y$17)))),0))</x:f>
      </x:c>
      <x:c r="AR178" t="str">
        <x:f>IF(Calc!$AO$178&gt;'Calc'!$B$8,"",IF('Calc'!$E$17=1,'财富模型'!$E$9,'财富模型'!$M$9+IF(Calc!$AO$178&lt;='财富模型'!$E$11*12,'Calc'!$W$17,'Calc'!$Y$17)-(IF('Calc'!$E$17=1,0,MIN(Calc!$AQ$177*(1+'财富模型'!$E$20/12)+'Calc'!$B$6,IF(Calc!$AO$178&lt;='财富模型'!$E$11*12,'Calc'!$W$17,'Calc'!$Y$17))))))</x:f>
      </x:c>
      <x:c r="AS178" t="str">
        <x:f>IF(Calc!$AO$178&gt;'Calc'!$B$8,"",IF('Calc'!$E$17=1,0,MIN(Calc!$AQ$177*(1+'财富模型'!$E$20/12)+'Calc'!$B$6,IF(Calc!$AO$178&lt;='财富模型'!$E$11*12,'Calc'!$W$17,'Calc'!$Y$17))))</x:f>
      </x:c>
      <x:c r="AT178" t="str">
        <x:f>IF(Calc!$AO$178&gt;'Calc'!$B$8,"",'Calc'!$B$5-'财富模型'!$E$5-(IF('Calc'!$E$17=1,'财富模型'!$E$9,'财富模型'!$M$9+IF(Calc!$AO$178&lt;='财富模型'!$E$11*12,'Calc'!$W$17,'Calc'!$Y$17)-(IF('Calc'!$E$17=1,0,MIN(Calc!$AQ$177*(1+'财富模型'!$E$20/12)+'Calc'!$B$6,IF(Calc!$AO$178&lt;='财富模型'!$E$11*12,'Calc'!$W$17,'Calc'!$Y$17)))))))</x:f>
      </x:c>
      <x:c r="AU178" t="str">
        <x:f>IF(Calc!$AO$178&gt;'Calc'!$B$8,"",IF('Calc'!$E$17=1,0,MAX(Calc!$AU$177*(1+IF(Calc!$AO$178&lt;='财富模型'!$E$11*12,'财富模型'!$E$10,'财富模型'!$E$12)/12)-IF('Calc'!$E$17=1,0,IF(Calc!$AO$178&lt;='财富模型'!$E$11*12,'Calc'!$W$17,'Calc'!$Y$17)),0)))</x:f>
      </x:c>
    </x:row>
    <x:row r="179">
      <x:c r="A179" t="n">
        <x:v>158</x:v>
      </x:c>
      <x:c r="B179" t="str">
        <x:f>IF(Calc!$A$179&gt;'Calc'!$B$8,"",MAX(Calc!$B$178*(1+'财富模型'!$E$6/12)+('Calc'!$B$5-'财富模型'!$E$5-(IF('Calc'!$E$12=1,'财富模型'!$E$9,'财富模型'!$M$4+IF(Calc!$A$179&lt;='财富模型'!$E$11*12,'Calc'!$W$12,'Calc'!$Y$12)-(IF('Calc'!$E$12=1,0,MIN(Calc!$C$178*(1+'财富模型'!$E$20/12)+'Calc'!$B$6,IF(Calc!$A$179&lt;='财富模型'!$E$11*12,'Calc'!$W$12,'Calc'!$Y$12))))))),0))</x:f>
      </x:c>
      <x:c r="C179" t="str">
        <x:f>IF(Calc!$A$179&gt;'Calc'!$B$8,"",MAX(Calc!$C$178*(1+'财富模型'!$E$20/12)+'Calc'!$B$6-(IF('Calc'!$E$12=1,0,MIN(Calc!$C$178*(1+'财富模型'!$E$20/12)+'Calc'!$B$6,IF(Calc!$A$179&lt;='财富模型'!$E$11*12,'Calc'!$W$12,'Calc'!$Y$12)))),0))</x:f>
      </x:c>
      <x:c r="D179" t="str">
        <x:f>IF(Calc!$A$179&gt;'Calc'!$B$8,"",IF('Calc'!$E$12=1,'财富模型'!$E$9,'财富模型'!$M$4+IF(Calc!$A$179&lt;='财富模型'!$E$11*12,'Calc'!$W$12,'Calc'!$Y$12)-(IF('Calc'!$E$12=1,0,MIN(Calc!$C$178*(1+'财富模型'!$E$20/12)+'Calc'!$B$6,IF(Calc!$A$179&lt;='财富模型'!$E$11*12,'Calc'!$W$12,'Calc'!$Y$12))))))</x:f>
      </x:c>
      <x:c r="E179" t="str">
        <x:f>IF(Calc!$A$179&gt;'Calc'!$B$8,"",IF('Calc'!$E$12=1,0,MIN(Calc!$C$178*(1+'财富模型'!$E$20/12)+'Calc'!$B$6,IF(Calc!$A$179&lt;='财富模型'!$E$11*12,'Calc'!$W$12,'Calc'!$Y$12))))</x:f>
      </x:c>
      <x:c r="F179" t="str">
        <x:f>IF(Calc!$A$179&gt;'Calc'!$B$8,"",'Calc'!$B$5-'财富模型'!$E$5-(IF('Calc'!$E$12=1,'财富模型'!$E$9,'财富模型'!$M$4+IF(Calc!$A$179&lt;='财富模型'!$E$11*12,'Calc'!$W$12,'Calc'!$Y$12)-(IF('Calc'!$E$12=1,0,MIN(Calc!$C$178*(1+'财富模型'!$E$20/12)+'Calc'!$B$6,IF(Calc!$A$179&lt;='财富模型'!$E$11*12,'Calc'!$W$12,'Calc'!$Y$12)))))))</x:f>
      </x:c>
      <x:c r="G179" t="str">
        <x:f>IF(Calc!$A$179&gt;'Calc'!$B$8,"",IF('Calc'!$E$12=1,0,MAX(Calc!$G$178*(1+IF(Calc!$A$179&lt;='财富模型'!$E$11*12,'财富模型'!$E$10,'财富模型'!$E$12)/12)-IF('Calc'!$E$12=1,0,IF(Calc!$A$179&lt;='财富模型'!$E$11*12,'Calc'!$W$12,'Calc'!$Y$12)),0)))</x:f>
      </x:c>
      <x:c r="I179" t="n">
        <x:v>158</x:v>
      </x:c>
      <x:c r="J179" t="str">
        <x:f>IF(Calc!$I$179&gt;'Calc'!$B$8,"",MAX(Calc!$J$178*(1+'财富模型'!$E$6/12)+('Calc'!$B$5-'财富模型'!$E$5-(IF('Calc'!$E$13=1,'财富模型'!$E$9,'财富模型'!$M$5+IF(Calc!$I$179&lt;='财富模型'!$E$11*12,'Calc'!$W$13,'Calc'!$Y$13)-(IF('Calc'!$E$13=1,0,MIN(Calc!$K$178*(1+'财富模型'!$E$20/12)+'Calc'!$B$6,IF(Calc!$I$179&lt;='财富模型'!$E$11*12,'Calc'!$W$13,'Calc'!$Y$13))))))),0))</x:f>
      </x:c>
      <x:c r="K179" t="str">
        <x:f>IF(Calc!$I$179&gt;'Calc'!$B$8,"",MAX(Calc!$K$178*(1+'财富模型'!$E$20/12)+'Calc'!$B$6-(IF('Calc'!$E$13=1,0,MIN(Calc!$K$178*(1+'财富模型'!$E$20/12)+'Calc'!$B$6,IF(Calc!$I$179&lt;='财富模型'!$E$11*12,'Calc'!$W$13,'Calc'!$Y$13)))),0))</x:f>
      </x:c>
      <x:c r="L179" t="str">
        <x:f>IF(Calc!$I$179&gt;'Calc'!$B$8,"",IF('Calc'!$E$13=1,'财富模型'!$E$9,'财富模型'!$M$5+IF(Calc!$I$179&lt;='财富模型'!$E$11*12,'Calc'!$W$13,'Calc'!$Y$13)-(IF('Calc'!$E$13=1,0,MIN(Calc!$K$178*(1+'财富模型'!$E$20/12)+'Calc'!$B$6,IF(Calc!$I$179&lt;='财富模型'!$E$11*12,'Calc'!$W$13,'Calc'!$Y$13))))))</x:f>
      </x:c>
      <x:c r="M179" t="str">
        <x:f>IF(Calc!$I$179&gt;'Calc'!$B$8,"",IF('Calc'!$E$13=1,0,MIN(Calc!$K$178*(1+'财富模型'!$E$20/12)+'Calc'!$B$6,IF(Calc!$I$179&lt;='财富模型'!$E$11*12,'Calc'!$W$13,'Calc'!$Y$13))))</x:f>
      </x:c>
      <x:c r="N179" t="str">
        <x:f>IF(Calc!$I$179&gt;'Calc'!$B$8,"",'Calc'!$B$5-'财富模型'!$E$5-(IF('Calc'!$E$13=1,'财富模型'!$E$9,'财富模型'!$M$5+IF(Calc!$I$179&lt;='财富模型'!$E$11*12,'Calc'!$W$13,'Calc'!$Y$13)-(IF('Calc'!$E$13=1,0,MIN(Calc!$K$178*(1+'财富模型'!$E$20/12)+'Calc'!$B$6,IF(Calc!$I$179&lt;='财富模型'!$E$11*12,'Calc'!$W$13,'Calc'!$Y$13)))))))</x:f>
      </x:c>
      <x:c r="O179" t="str">
        <x:f>IF(Calc!$I$179&gt;'Calc'!$B$8,"",IF('Calc'!$E$13=1,0,MAX(Calc!$O$178*(1+IF(Calc!$I$179&lt;='财富模型'!$E$11*12,'财富模型'!$E$10,'财富模型'!$E$12)/12)-IF('Calc'!$E$13=1,0,IF(Calc!$I$179&lt;='财富模型'!$E$11*12,'Calc'!$W$13,'Calc'!$Y$13)),0)))</x:f>
      </x:c>
      <x:c r="Q179" t="n">
        <x:v>158</x:v>
      </x:c>
      <x:c r="R179" t="str">
        <x:f>IF(Calc!$Q$179&gt;'Calc'!$B$8,"",MAX(Calc!$R$178*(1+'财富模型'!$E$6/12)+('Calc'!$B$5-'财富模型'!$E$5-(IF('Calc'!$E$14=1,'财富模型'!$E$9,'财富模型'!$M$6+IF(Calc!$Q$179&lt;='财富模型'!$E$11*12,'Calc'!$W$14,'Calc'!$Y$14)-(IF('Calc'!$E$14=1,0,MIN(Calc!$S$178*(1+'财富模型'!$E$20/12)+'Calc'!$B$6,IF(Calc!$Q$179&lt;='财富模型'!$E$11*12,'Calc'!$W$14,'Calc'!$Y$14))))))),0))</x:f>
      </x:c>
      <x:c r="S179" t="str">
        <x:f>IF(Calc!$Q$179&gt;'Calc'!$B$8,"",MAX(Calc!$S$178*(1+'财富模型'!$E$20/12)+'Calc'!$B$6-(IF('Calc'!$E$14=1,0,MIN(Calc!$S$178*(1+'财富模型'!$E$20/12)+'Calc'!$B$6,IF(Calc!$Q$179&lt;='财富模型'!$E$11*12,'Calc'!$W$14,'Calc'!$Y$14)))),0))</x:f>
      </x:c>
      <x:c r="T179" t="str">
        <x:f>IF(Calc!$Q$179&gt;'Calc'!$B$8,"",IF('Calc'!$E$14=1,'财富模型'!$E$9,'财富模型'!$M$6+IF(Calc!$Q$179&lt;='财富模型'!$E$11*12,'Calc'!$W$14,'Calc'!$Y$14)-(IF('Calc'!$E$14=1,0,MIN(Calc!$S$178*(1+'财富模型'!$E$20/12)+'Calc'!$B$6,IF(Calc!$Q$179&lt;='财富模型'!$E$11*12,'Calc'!$W$14,'Calc'!$Y$14))))))</x:f>
      </x:c>
      <x:c r="U179" t="str">
        <x:f>IF(Calc!$Q$179&gt;'Calc'!$B$8,"",IF('Calc'!$E$14=1,0,MIN(Calc!$S$178*(1+'财富模型'!$E$20/12)+'Calc'!$B$6,IF(Calc!$Q$179&lt;='财富模型'!$E$11*12,'Calc'!$W$14,'Calc'!$Y$14))))</x:f>
      </x:c>
      <x:c r="V179" t="str">
        <x:f>IF(Calc!$Q$179&gt;'Calc'!$B$8,"",'Calc'!$B$5-'财富模型'!$E$5-(IF('Calc'!$E$14=1,'财富模型'!$E$9,'财富模型'!$M$6+IF(Calc!$Q$179&lt;='财富模型'!$E$11*12,'Calc'!$W$14,'Calc'!$Y$14)-(IF('Calc'!$E$14=1,0,MIN(Calc!$S$178*(1+'财富模型'!$E$20/12)+'Calc'!$B$6,IF(Calc!$Q$179&lt;='财富模型'!$E$11*12,'Calc'!$W$14,'Calc'!$Y$14)))))))</x:f>
      </x:c>
      <x:c r="W179" t="str">
        <x:f>IF(Calc!$Q$179&gt;'Calc'!$B$8,"",IF('Calc'!$E$14=1,0,MAX(Calc!$W$178*(1+IF(Calc!$Q$179&lt;='财富模型'!$E$11*12,'财富模型'!$E$10,'财富模型'!$E$12)/12)-IF('Calc'!$E$14=1,0,IF(Calc!$Q$179&lt;='财富模型'!$E$11*12,'Calc'!$W$14,'Calc'!$Y$14)),0)))</x:f>
      </x:c>
      <x:c r="Y179" t="n">
        <x:v>158</x:v>
      </x:c>
      <x:c r="Z179" t="str">
        <x:f>IF(Calc!$Y$179&gt;'Calc'!$B$8,"",MAX(Calc!$Z$178*(1+'财富模型'!$E$6/12)+('Calc'!$B$5-'财富模型'!$E$5-(IF('Calc'!$E$15=1,'财富模型'!$E$9,'财富模型'!$M$7+IF(Calc!$Y$179&lt;='财富模型'!$E$11*12,'Calc'!$W$15,'Calc'!$Y$15)-(IF('Calc'!$E$15=1,0,MIN(Calc!$AA$178*(1+'财富模型'!$E$20/12)+'Calc'!$B$6,IF(Calc!$Y$179&lt;='财富模型'!$E$11*12,'Calc'!$W$15,'Calc'!$Y$15))))))),0))</x:f>
      </x:c>
      <x:c r="AA179" t="str">
        <x:f>IF(Calc!$Y$179&gt;'Calc'!$B$8,"",MAX(Calc!$AA$178*(1+'财富模型'!$E$20/12)+'Calc'!$B$6-(IF('Calc'!$E$15=1,0,MIN(Calc!$AA$178*(1+'财富模型'!$E$20/12)+'Calc'!$B$6,IF(Calc!$Y$179&lt;='财富模型'!$E$11*12,'Calc'!$W$15,'Calc'!$Y$15)))),0))</x:f>
      </x:c>
      <x:c r="AB179" t="str">
        <x:f>IF(Calc!$Y$179&gt;'Calc'!$B$8,"",IF('Calc'!$E$15=1,'财富模型'!$E$9,'财富模型'!$M$7+IF(Calc!$Y$179&lt;='财富模型'!$E$11*12,'Calc'!$W$15,'Calc'!$Y$15)-(IF('Calc'!$E$15=1,0,MIN(Calc!$AA$178*(1+'财富模型'!$E$20/12)+'Calc'!$B$6,IF(Calc!$Y$179&lt;='财富模型'!$E$11*12,'Calc'!$W$15,'Calc'!$Y$15))))))</x:f>
      </x:c>
      <x:c r="AC179" t="str">
        <x:f>IF(Calc!$Y$179&gt;'Calc'!$B$8,"",IF('Calc'!$E$15=1,0,MIN(Calc!$AA$178*(1+'财富模型'!$E$20/12)+'Calc'!$B$6,IF(Calc!$Y$179&lt;='财富模型'!$E$11*12,'Calc'!$W$15,'Calc'!$Y$15))))</x:f>
      </x:c>
      <x:c r="AD179" t="str">
        <x:f>IF(Calc!$Y$179&gt;'Calc'!$B$8,"",'Calc'!$B$5-'财富模型'!$E$5-(IF('Calc'!$E$15=1,'财富模型'!$E$9,'财富模型'!$M$7+IF(Calc!$Y$179&lt;='财富模型'!$E$11*12,'Calc'!$W$15,'Calc'!$Y$15)-(IF('Calc'!$E$15=1,0,MIN(Calc!$AA$178*(1+'财富模型'!$E$20/12)+'Calc'!$B$6,IF(Calc!$Y$179&lt;='财富模型'!$E$11*12,'Calc'!$W$15,'Calc'!$Y$15)))))))</x:f>
      </x:c>
      <x:c r="AE179" t="str">
        <x:f>IF(Calc!$Y$179&gt;'Calc'!$B$8,"",IF('Calc'!$E$15=1,0,MAX(Calc!$AE$178*(1+IF(Calc!$Y$179&lt;='财富模型'!$E$11*12,'财富模型'!$E$10,'财富模型'!$E$12)/12)-IF('Calc'!$E$15=1,0,IF(Calc!$Y$179&lt;='财富模型'!$E$11*12,'Calc'!$W$15,'Calc'!$Y$15)),0)))</x:f>
      </x:c>
      <x:c r="AG179" t="n">
        <x:v>158</x:v>
      </x:c>
      <x:c r="AH179" t="str">
        <x:f>IF(Calc!$AG$179&gt;'Calc'!$B$8,"",MAX(Calc!$AH$178*(1+'财富模型'!$E$6/12)+('Calc'!$B$5-'财富模型'!$E$5-(IF('Calc'!$E$16=1,'财富模型'!$E$9,'财富模型'!$M$8+IF(Calc!$AG$179&lt;='财富模型'!$E$11*12,'Calc'!$W$16,'Calc'!$Y$16)-(IF('Calc'!$E$16=1,0,MIN(Calc!$AI$178*(1+'财富模型'!$E$20/12)+'Calc'!$B$6,IF(Calc!$AG$179&lt;='财富模型'!$E$11*12,'Calc'!$W$16,'Calc'!$Y$16))))))),0))</x:f>
      </x:c>
      <x:c r="AI179" t="str">
        <x:f>IF(Calc!$AG$179&gt;'Calc'!$B$8,"",MAX(Calc!$AI$178*(1+'财富模型'!$E$20/12)+'Calc'!$B$6-(IF('Calc'!$E$16=1,0,MIN(Calc!$AI$178*(1+'财富模型'!$E$20/12)+'Calc'!$B$6,IF(Calc!$AG$179&lt;='财富模型'!$E$11*12,'Calc'!$W$16,'Calc'!$Y$16)))),0))</x:f>
      </x:c>
      <x:c r="AJ179" t="str">
        <x:f>IF(Calc!$AG$179&gt;'Calc'!$B$8,"",IF('Calc'!$E$16=1,'财富模型'!$E$9,'财富模型'!$M$8+IF(Calc!$AG$179&lt;='财富模型'!$E$11*12,'Calc'!$W$16,'Calc'!$Y$16)-(IF('Calc'!$E$16=1,0,MIN(Calc!$AI$178*(1+'财富模型'!$E$20/12)+'Calc'!$B$6,IF(Calc!$AG$179&lt;='财富模型'!$E$11*12,'Calc'!$W$16,'Calc'!$Y$16))))))</x:f>
      </x:c>
      <x:c r="AK179" t="str">
        <x:f>IF(Calc!$AG$179&gt;'Calc'!$B$8,"",IF('Calc'!$E$16=1,0,MIN(Calc!$AI$178*(1+'财富模型'!$E$20/12)+'Calc'!$B$6,IF(Calc!$AG$179&lt;='财富模型'!$E$11*12,'Calc'!$W$16,'Calc'!$Y$16))))</x:f>
      </x:c>
      <x:c r="AL179" t="str">
        <x:f>IF(Calc!$AG$179&gt;'Calc'!$B$8,"",'Calc'!$B$5-'财富模型'!$E$5-(IF('Calc'!$E$16=1,'财富模型'!$E$9,'财富模型'!$M$8+IF(Calc!$AG$179&lt;='财富模型'!$E$11*12,'Calc'!$W$16,'Calc'!$Y$16)-(IF('Calc'!$E$16=1,0,MIN(Calc!$AI$178*(1+'财富模型'!$E$20/12)+'Calc'!$B$6,IF(Calc!$AG$179&lt;='财富模型'!$E$11*12,'Calc'!$W$16,'Calc'!$Y$16)))))))</x:f>
      </x:c>
      <x:c r="AM179" t="str">
        <x:f>IF(Calc!$AG$179&gt;'Calc'!$B$8,"",IF('Calc'!$E$16=1,0,MAX(Calc!$AM$178*(1+IF(Calc!$AG$179&lt;='财富模型'!$E$11*12,'财富模型'!$E$10,'财富模型'!$E$12)/12)-IF('Calc'!$E$16=1,0,IF(Calc!$AG$179&lt;='财富模型'!$E$11*12,'Calc'!$W$16,'Calc'!$Y$16)),0)))</x:f>
      </x:c>
      <x:c r="AO179" t="n">
        <x:v>158</x:v>
      </x:c>
      <x:c r="AP179" t="str">
        <x:f>IF(Calc!$AO$179&gt;'Calc'!$B$8,"",MAX(Calc!$AP$178*(1+'财富模型'!$E$6/12)+('Calc'!$B$5-'财富模型'!$E$5-(IF('Calc'!$E$17=1,'财富模型'!$E$9,'财富模型'!$M$9+IF(Calc!$AO$179&lt;='财富模型'!$E$11*12,'Calc'!$W$17,'Calc'!$Y$17)-(IF('Calc'!$E$17=1,0,MIN(Calc!$AQ$178*(1+'财富模型'!$E$20/12)+'Calc'!$B$6,IF(Calc!$AO$179&lt;='财富模型'!$E$11*12,'Calc'!$W$17,'Calc'!$Y$17))))))),0))</x:f>
      </x:c>
      <x:c r="AQ179" t="str">
        <x:f>IF(Calc!$AO$179&gt;'Calc'!$B$8,"",MAX(Calc!$AQ$178*(1+'财富模型'!$E$20/12)+'Calc'!$B$6-(IF('Calc'!$E$17=1,0,MIN(Calc!$AQ$178*(1+'财富模型'!$E$20/12)+'Calc'!$B$6,IF(Calc!$AO$179&lt;='财富模型'!$E$11*12,'Calc'!$W$17,'Calc'!$Y$17)))),0))</x:f>
      </x:c>
      <x:c r="AR179" t="str">
        <x:f>IF(Calc!$AO$179&gt;'Calc'!$B$8,"",IF('Calc'!$E$17=1,'财富模型'!$E$9,'财富模型'!$M$9+IF(Calc!$AO$179&lt;='财富模型'!$E$11*12,'Calc'!$W$17,'Calc'!$Y$17)-(IF('Calc'!$E$17=1,0,MIN(Calc!$AQ$178*(1+'财富模型'!$E$20/12)+'Calc'!$B$6,IF(Calc!$AO$179&lt;='财富模型'!$E$11*12,'Calc'!$W$17,'Calc'!$Y$17))))))</x:f>
      </x:c>
      <x:c r="AS179" t="str">
        <x:f>IF(Calc!$AO$179&gt;'Calc'!$B$8,"",IF('Calc'!$E$17=1,0,MIN(Calc!$AQ$178*(1+'财富模型'!$E$20/12)+'Calc'!$B$6,IF(Calc!$AO$179&lt;='财富模型'!$E$11*12,'Calc'!$W$17,'Calc'!$Y$17))))</x:f>
      </x:c>
      <x:c r="AT179" t="str">
        <x:f>IF(Calc!$AO$179&gt;'Calc'!$B$8,"",'Calc'!$B$5-'财富模型'!$E$5-(IF('Calc'!$E$17=1,'财富模型'!$E$9,'财富模型'!$M$9+IF(Calc!$AO$179&lt;='财富模型'!$E$11*12,'Calc'!$W$17,'Calc'!$Y$17)-(IF('Calc'!$E$17=1,0,MIN(Calc!$AQ$178*(1+'财富模型'!$E$20/12)+'Calc'!$B$6,IF(Calc!$AO$179&lt;='财富模型'!$E$11*12,'Calc'!$W$17,'Calc'!$Y$17)))))))</x:f>
      </x:c>
      <x:c r="AU179" t="str">
        <x:f>IF(Calc!$AO$179&gt;'Calc'!$B$8,"",IF('Calc'!$E$17=1,0,MAX(Calc!$AU$178*(1+IF(Calc!$AO$179&lt;='财富模型'!$E$11*12,'财富模型'!$E$10,'财富模型'!$E$12)/12)-IF('Calc'!$E$17=1,0,IF(Calc!$AO$179&lt;='财富模型'!$E$11*12,'Calc'!$W$17,'Calc'!$Y$17)),0)))</x:f>
      </x:c>
    </x:row>
    <x:row r="180">
      <x:c r="A180" t="n">
        <x:v>159</x:v>
      </x:c>
      <x:c r="B180" t="str">
        <x:f>IF(Calc!$A$180&gt;'Calc'!$B$8,"",MAX(Calc!$B$179*(1+'财富模型'!$E$6/12)+('Calc'!$B$5-'财富模型'!$E$5-(IF('Calc'!$E$12=1,'财富模型'!$E$9,'财富模型'!$M$4+IF(Calc!$A$180&lt;='财富模型'!$E$11*12,'Calc'!$W$12,'Calc'!$Y$12)-(IF('Calc'!$E$12=1,0,MIN(Calc!$C$179*(1+'财富模型'!$E$20/12)+'Calc'!$B$6,IF(Calc!$A$180&lt;='财富模型'!$E$11*12,'Calc'!$W$12,'Calc'!$Y$12))))))),0))</x:f>
      </x:c>
      <x:c r="C180" t="str">
        <x:f>IF(Calc!$A$180&gt;'Calc'!$B$8,"",MAX(Calc!$C$179*(1+'财富模型'!$E$20/12)+'Calc'!$B$6-(IF('Calc'!$E$12=1,0,MIN(Calc!$C$179*(1+'财富模型'!$E$20/12)+'Calc'!$B$6,IF(Calc!$A$180&lt;='财富模型'!$E$11*12,'Calc'!$W$12,'Calc'!$Y$12)))),0))</x:f>
      </x:c>
      <x:c r="D180" t="str">
        <x:f>IF(Calc!$A$180&gt;'Calc'!$B$8,"",IF('Calc'!$E$12=1,'财富模型'!$E$9,'财富模型'!$M$4+IF(Calc!$A$180&lt;='财富模型'!$E$11*12,'Calc'!$W$12,'Calc'!$Y$12)-(IF('Calc'!$E$12=1,0,MIN(Calc!$C$179*(1+'财富模型'!$E$20/12)+'Calc'!$B$6,IF(Calc!$A$180&lt;='财富模型'!$E$11*12,'Calc'!$W$12,'Calc'!$Y$12))))))</x:f>
      </x:c>
      <x:c r="E180" t="str">
        <x:f>IF(Calc!$A$180&gt;'Calc'!$B$8,"",IF('Calc'!$E$12=1,0,MIN(Calc!$C$179*(1+'财富模型'!$E$20/12)+'Calc'!$B$6,IF(Calc!$A$180&lt;='财富模型'!$E$11*12,'Calc'!$W$12,'Calc'!$Y$12))))</x:f>
      </x:c>
      <x:c r="F180" t="str">
        <x:f>IF(Calc!$A$180&gt;'Calc'!$B$8,"",'Calc'!$B$5-'财富模型'!$E$5-(IF('Calc'!$E$12=1,'财富模型'!$E$9,'财富模型'!$M$4+IF(Calc!$A$180&lt;='财富模型'!$E$11*12,'Calc'!$W$12,'Calc'!$Y$12)-(IF('Calc'!$E$12=1,0,MIN(Calc!$C$179*(1+'财富模型'!$E$20/12)+'Calc'!$B$6,IF(Calc!$A$180&lt;='财富模型'!$E$11*12,'Calc'!$W$12,'Calc'!$Y$12)))))))</x:f>
      </x:c>
      <x:c r="G180" t="str">
        <x:f>IF(Calc!$A$180&gt;'Calc'!$B$8,"",IF('Calc'!$E$12=1,0,MAX(Calc!$G$179*(1+IF(Calc!$A$180&lt;='财富模型'!$E$11*12,'财富模型'!$E$10,'财富模型'!$E$12)/12)-IF('Calc'!$E$12=1,0,IF(Calc!$A$180&lt;='财富模型'!$E$11*12,'Calc'!$W$12,'Calc'!$Y$12)),0)))</x:f>
      </x:c>
      <x:c r="I180" t="n">
        <x:v>159</x:v>
      </x:c>
      <x:c r="J180" t="str">
        <x:f>IF(Calc!$I$180&gt;'Calc'!$B$8,"",MAX(Calc!$J$179*(1+'财富模型'!$E$6/12)+('Calc'!$B$5-'财富模型'!$E$5-(IF('Calc'!$E$13=1,'财富模型'!$E$9,'财富模型'!$M$5+IF(Calc!$I$180&lt;='财富模型'!$E$11*12,'Calc'!$W$13,'Calc'!$Y$13)-(IF('Calc'!$E$13=1,0,MIN(Calc!$K$179*(1+'财富模型'!$E$20/12)+'Calc'!$B$6,IF(Calc!$I$180&lt;='财富模型'!$E$11*12,'Calc'!$W$13,'Calc'!$Y$13))))))),0))</x:f>
      </x:c>
      <x:c r="K180" t="str">
        <x:f>IF(Calc!$I$180&gt;'Calc'!$B$8,"",MAX(Calc!$K$179*(1+'财富模型'!$E$20/12)+'Calc'!$B$6-(IF('Calc'!$E$13=1,0,MIN(Calc!$K$179*(1+'财富模型'!$E$20/12)+'Calc'!$B$6,IF(Calc!$I$180&lt;='财富模型'!$E$11*12,'Calc'!$W$13,'Calc'!$Y$13)))),0))</x:f>
      </x:c>
      <x:c r="L180" t="str">
        <x:f>IF(Calc!$I$180&gt;'Calc'!$B$8,"",IF('Calc'!$E$13=1,'财富模型'!$E$9,'财富模型'!$M$5+IF(Calc!$I$180&lt;='财富模型'!$E$11*12,'Calc'!$W$13,'Calc'!$Y$13)-(IF('Calc'!$E$13=1,0,MIN(Calc!$K$179*(1+'财富模型'!$E$20/12)+'Calc'!$B$6,IF(Calc!$I$180&lt;='财富模型'!$E$11*12,'Calc'!$W$13,'Calc'!$Y$13))))))</x:f>
      </x:c>
      <x:c r="M180" t="str">
        <x:f>IF(Calc!$I$180&gt;'Calc'!$B$8,"",IF('Calc'!$E$13=1,0,MIN(Calc!$K$179*(1+'财富模型'!$E$20/12)+'Calc'!$B$6,IF(Calc!$I$180&lt;='财富模型'!$E$11*12,'Calc'!$W$13,'Calc'!$Y$13))))</x:f>
      </x:c>
      <x:c r="N180" t="str">
        <x:f>IF(Calc!$I$180&gt;'Calc'!$B$8,"",'Calc'!$B$5-'财富模型'!$E$5-(IF('Calc'!$E$13=1,'财富模型'!$E$9,'财富模型'!$M$5+IF(Calc!$I$180&lt;='财富模型'!$E$11*12,'Calc'!$W$13,'Calc'!$Y$13)-(IF('Calc'!$E$13=1,0,MIN(Calc!$K$179*(1+'财富模型'!$E$20/12)+'Calc'!$B$6,IF(Calc!$I$180&lt;='财富模型'!$E$11*12,'Calc'!$W$13,'Calc'!$Y$13)))))))</x:f>
      </x:c>
      <x:c r="O180" t="str">
        <x:f>IF(Calc!$I$180&gt;'Calc'!$B$8,"",IF('Calc'!$E$13=1,0,MAX(Calc!$O$179*(1+IF(Calc!$I$180&lt;='财富模型'!$E$11*12,'财富模型'!$E$10,'财富模型'!$E$12)/12)-IF('Calc'!$E$13=1,0,IF(Calc!$I$180&lt;='财富模型'!$E$11*12,'Calc'!$W$13,'Calc'!$Y$13)),0)))</x:f>
      </x:c>
      <x:c r="Q180" t="n">
        <x:v>159</x:v>
      </x:c>
      <x:c r="R180" t="str">
        <x:f>IF(Calc!$Q$180&gt;'Calc'!$B$8,"",MAX(Calc!$R$179*(1+'财富模型'!$E$6/12)+('Calc'!$B$5-'财富模型'!$E$5-(IF('Calc'!$E$14=1,'财富模型'!$E$9,'财富模型'!$M$6+IF(Calc!$Q$180&lt;='财富模型'!$E$11*12,'Calc'!$W$14,'Calc'!$Y$14)-(IF('Calc'!$E$14=1,0,MIN(Calc!$S$179*(1+'财富模型'!$E$20/12)+'Calc'!$B$6,IF(Calc!$Q$180&lt;='财富模型'!$E$11*12,'Calc'!$W$14,'Calc'!$Y$14))))))),0))</x:f>
      </x:c>
      <x:c r="S180" t="str">
        <x:f>IF(Calc!$Q$180&gt;'Calc'!$B$8,"",MAX(Calc!$S$179*(1+'财富模型'!$E$20/12)+'Calc'!$B$6-(IF('Calc'!$E$14=1,0,MIN(Calc!$S$179*(1+'财富模型'!$E$20/12)+'Calc'!$B$6,IF(Calc!$Q$180&lt;='财富模型'!$E$11*12,'Calc'!$W$14,'Calc'!$Y$14)))),0))</x:f>
      </x:c>
      <x:c r="T180" t="str">
        <x:f>IF(Calc!$Q$180&gt;'Calc'!$B$8,"",IF('Calc'!$E$14=1,'财富模型'!$E$9,'财富模型'!$M$6+IF(Calc!$Q$180&lt;='财富模型'!$E$11*12,'Calc'!$W$14,'Calc'!$Y$14)-(IF('Calc'!$E$14=1,0,MIN(Calc!$S$179*(1+'财富模型'!$E$20/12)+'Calc'!$B$6,IF(Calc!$Q$180&lt;='财富模型'!$E$11*12,'Calc'!$W$14,'Calc'!$Y$14))))))</x:f>
      </x:c>
      <x:c r="U180" t="str">
        <x:f>IF(Calc!$Q$180&gt;'Calc'!$B$8,"",IF('Calc'!$E$14=1,0,MIN(Calc!$S$179*(1+'财富模型'!$E$20/12)+'Calc'!$B$6,IF(Calc!$Q$180&lt;='财富模型'!$E$11*12,'Calc'!$W$14,'Calc'!$Y$14))))</x:f>
      </x:c>
      <x:c r="V180" t="str">
        <x:f>IF(Calc!$Q$180&gt;'Calc'!$B$8,"",'Calc'!$B$5-'财富模型'!$E$5-(IF('Calc'!$E$14=1,'财富模型'!$E$9,'财富模型'!$M$6+IF(Calc!$Q$180&lt;='财富模型'!$E$11*12,'Calc'!$W$14,'Calc'!$Y$14)-(IF('Calc'!$E$14=1,0,MIN(Calc!$S$179*(1+'财富模型'!$E$20/12)+'Calc'!$B$6,IF(Calc!$Q$180&lt;='财富模型'!$E$11*12,'Calc'!$W$14,'Calc'!$Y$14)))))))</x:f>
      </x:c>
      <x:c r="W180" t="str">
        <x:f>IF(Calc!$Q$180&gt;'Calc'!$B$8,"",IF('Calc'!$E$14=1,0,MAX(Calc!$W$179*(1+IF(Calc!$Q$180&lt;='财富模型'!$E$11*12,'财富模型'!$E$10,'财富模型'!$E$12)/12)-IF('Calc'!$E$14=1,0,IF(Calc!$Q$180&lt;='财富模型'!$E$11*12,'Calc'!$W$14,'Calc'!$Y$14)),0)))</x:f>
      </x:c>
      <x:c r="Y180" t="n">
        <x:v>159</x:v>
      </x:c>
      <x:c r="Z180" t="str">
        <x:f>IF(Calc!$Y$180&gt;'Calc'!$B$8,"",MAX(Calc!$Z$179*(1+'财富模型'!$E$6/12)+('Calc'!$B$5-'财富模型'!$E$5-(IF('Calc'!$E$15=1,'财富模型'!$E$9,'财富模型'!$M$7+IF(Calc!$Y$180&lt;='财富模型'!$E$11*12,'Calc'!$W$15,'Calc'!$Y$15)-(IF('Calc'!$E$15=1,0,MIN(Calc!$AA$179*(1+'财富模型'!$E$20/12)+'Calc'!$B$6,IF(Calc!$Y$180&lt;='财富模型'!$E$11*12,'Calc'!$W$15,'Calc'!$Y$15))))))),0))</x:f>
      </x:c>
      <x:c r="AA180" t="str">
        <x:f>IF(Calc!$Y$180&gt;'Calc'!$B$8,"",MAX(Calc!$AA$179*(1+'财富模型'!$E$20/12)+'Calc'!$B$6-(IF('Calc'!$E$15=1,0,MIN(Calc!$AA$179*(1+'财富模型'!$E$20/12)+'Calc'!$B$6,IF(Calc!$Y$180&lt;='财富模型'!$E$11*12,'Calc'!$W$15,'Calc'!$Y$15)))),0))</x:f>
      </x:c>
      <x:c r="AB180" t="str">
        <x:f>IF(Calc!$Y$180&gt;'Calc'!$B$8,"",IF('Calc'!$E$15=1,'财富模型'!$E$9,'财富模型'!$M$7+IF(Calc!$Y$180&lt;='财富模型'!$E$11*12,'Calc'!$W$15,'Calc'!$Y$15)-(IF('Calc'!$E$15=1,0,MIN(Calc!$AA$179*(1+'财富模型'!$E$20/12)+'Calc'!$B$6,IF(Calc!$Y$180&lt;='财富模型'!$E$11*12,'Calc'!$W$15,'Calc'!$Y$15))))))</x:f>
      </x:c>
      <x:c r="AC180" t="str">
        <x:f>IF(Calc!$Y$180&gt;'Calc'!$B$8,"",IF('Calc'!$E$15=1,0,MIN(Calc!$AA$179*(1+'财富模型'!$E$20/12)+'Calc'!$B$6,IF(Calc!$Y$180&lt;='财富模型'!$E$11*12,'Calc'!$W$15,'Calc'!$Y$15))))</x:f>
      </x:c>
      <x:c r="AD180" t="str">
        <x:f>IF(Calc!$Y$180&gt;'Calc'!$B$8,"",'Calc'!$B$5-'财富模型'!$E$5-(IF('Calc'!$E$15=1,'财富模型'!$E$9,'财富模型'!$M$7+IF(Calc!$Y$180&lt;='财富模型'!$E$11*12,'Calc'!$W$15,'Calc'!$Y$15)-(IF('Calc'!$E$15=1,0,MIN(Calc!$AA$179*(1+'财富模型'!$E$20/12)+'Calc'!$B$6,IF(Calc!$Y$180&lt;='财富模型'!$E$11*12,'Calc'!$W$15,'Calc'!$Y$15)))))))</x:f>
      </x:c>
      <x:c r="AE180" t="str">
        <x:f>IF(Calc!$Y$180&gt;'Calc'!$B$8,"",IF('Calc'!$E$15=1,0,MAX(Calc!$AE$179*(1+IF(Calc!$Y$180&lt;='财富模型'!$E$11*12,'财富模型'!$E$10,'财富模型'!$E$12)/12)-IF('Calc'!$E$15=1,0,IF(Calc!$Y$180&lt;='财富模型'!$E$11*12,'Calc'!$W$15,'Calc'!$Y$15)),0)))</x:f>
      </x:c>
      <x:c r="AG180" t="n">
        <x:v>159</x:v>
      </x:c>
      <x:c r="AH180" t="str">
        <x:f>IF(Calc!$AG$180&gt;'Calc'!$B$8,"",MAX(Calc!$AH$179*(1+'财富模型'!$E$6/12)+('Calc'!$B$5-'财富模型'!$E$5-(IF('Calc'!$E$16=1,'财富模型'!$E$9,'财富模型'!$M$8+IF(Calc!$AG$180&lt;='财富模型'!$E$11*12,'Calc'!$W$16,'Calc'!$Y$16)-(IF('Calc'!$E$16=1,0,MIN(Calc!$AI$179*(1+'财富模型'!$E$20/12)+'Calc'!$B$6,IF(Calc!$AG$180&lt;='财富模型'!$E$11*12,'Calc'!$W$16,'Calc'!$Y$16))))))),0))</x:f>
      </x:c>
      <x:c r="AI180" t="str">
        <x:f>IF(Calc!$AG$180&gt;'Calc'!$B$8,"",MAX(Calc!$AI$179*(1+'财富模型'!$E$20/12)+'Calc'!$B$6-(IF('Calc'!$E$16=1,0,MIN(Calc!$AI$179*(1+'财富模型'!$E$20/12)+'Calc'!$B$6,IF(Calc!$AG$180&lt;='财富模型'!$E$11*12,'Calc'!$W$16,'Calc'!$Y$16)))),0))</x:f>
      </x:c>
      <x:c r="AJ180" t="str">
        <x:f>IF(Calc!$AG$180&gt;'Calc'!$B$8,"",IF('Calc'!$E$16=1,'财富模型'!$E$9,'财富模型'!$M$8+IF(Calc!$AG$180&lt;='财富模型'!$E$11*12,'Calc'!$W$16,'Calc'!$Y$16)-(IF('Calc'!$E$16=1,0,MIN(Calc!$AI$179*(1+'财富模型'!$E$20/12)+'Calc'!$B$6,IF(Calc!$AG$180&lt;='财富模型'!$E$11*12,'Calc'!$W$16,'Calc'!$Y$16))))))</x:f>
      </x:c>
      <x:c r="AK180" t="str">
        <x:f>IF(Calc!$AG$180&gt;'Calc'!$B$8,"",IF('Calc'!$E$16=1,0,MIN(Calc!$AI$179*(1+'财富模型'!$E$20/12)+'Calc'!$B$6,IF(Calc!$AG$180&lt;='财富模型'!$E$11*12,'Calc'!$W$16,'Calc'!$Y$16))))</x:f>
      </x:c>
      <x:c r="AL180" t="str">
        <x:f>IF(Calc!$AG$180&gt;'Calc'!$B$8,"",'Calc'!$B$5-'财富模型'!$E$5-(IF('Calc'!$E$16=1,'财富模型'!$E$9,'财富模型'!$M$8+IF(Calc!$AG$180&lt;='财富模型'!$E$11*12,'Calc'!$W$16,'Calc'!$Y$16)-(IF('Calc'!$E$16=1,0,MIN(Calc!$AI$179*(1+'财富模型'!$E$20/12)+'Calc'!$B$6,IF(Calc!$AG$180&lt;='财富模型'!$E$11*12,'Calc'!$W$16,'Calc'!$Y$16)))))))</x:f>
      </x:c>
      <x:c r="AM180" t="str">
        <x:f>IF(Calc!$AG$180&gt;'Calc'!$B$8,"",IF('Calc'!$E$16=1,0,MAX(Calc!$AM$179*(1+IF(Calc!$AG$180&lt;='财富模型'!$E$11*12,'财富模型'!$E$10,'财富模型'!$E$12)/12)-IF('Calc'!$E$16=1,0,IF(Calc!$AG$180&lt;='财富模型'!$E$11*12,'Calc'!$W$16,'Calc'!$Y$16)),0)))</x:f>
      </x:c>
      <x:c r="AO180" t="n">
        <x:v>159</x:v>
      </x:c>
      <x:c r="AP180" t="str">
        <x:f>IF(Calc!$AO$180&gt;'Calc'!$B$8,"",MAX(Calc!$AP$179*(1+'财富模型'!$E$6/12)+('Calc'!$B$5-'财富模型'!$E$5-(IF('Calc'!$E$17=1,'财富模型'!$E$9,'财富模型'!$M$9+IF(Calc!$AO$180&lt;='财富模型'!$E$11*12,'Calc'!$W$17,'Calc'!$Y$17)-(IF('Calc'!$E$17=1,0,MIN(Calc!$AQ$179*(1+'财富模型'!$E$20/12)+'Calc'!$B$6,IF(Calc!$AO$180&lt;='财富模型'!$E$11*12,'Calc'!$W$17,'Calc'!$Y$17))))))),0))</x:f>
      </x:c>
      <x:c r="AQ180" t="str">
        <x:f>IF(Calc!$AO$180&gt;'Calc'!$B$8,"",MAX(Calc!$AQ$179*(1+'财富模型'!$E$20/12)+'Calc'!$B$6-(IF('Calc'!$E$17=1,0,MIN(Calc!$AQ$179*(1+'财富模型'!$E$20/12)+'Calc'!$B$6,IF(Calc!$AO$180&lt;='财富模型'!$E$11*12,'Calc'!$W$17,'Calc'!$Y$17)))),0))</x:f>
      </x:c>
      <x:c r="AR180" t="str">
        <x:f>IF(Calc!$AO$180&gt;'Calc'!$B$8,"",IF('Calc'!$E$17=1,'财富模型'!$E$9,'财富模型'!$M$9+IF(Calc!$AO$180&lt;='财富模型'!$E$11*12,'Calc'!$W$17,'Calc'!$Y$17)-(IF('Calc'!$E$17=1,0,MIN(Calc!$AQ$179*(1+'财富模型'!$E$20/12)+'Calc'!$B$6,IF(Calc!$AO$180&lt;='财富模型'!$E$11*12,'Calc'!$W$17,'Calc'!$Y$17))))))</x:f>
      </x:c>
      <x:c r="AS180" t="str">
        <x:f>IF(Calc!$AO$180&gt;'Calc'!$B$8,"",IF('Calc'!$E$17=1,0,MIN(Calc!$AQ$179*(1+'财富模型'!$E$20/12)+'Calc'!$B$6,IF(Calc!$AO$180&lt;='财富模型'!$E$11*12,'Calc'!$W$17,'Calc'!$Y$17))))</x:f>
      </x:c>
      <x:c r="AT180" t="str">
        <x:f>IF(Calc!$AO$180&gt;'Calc'!$B$8,"",'Calc'!$B$5-'财富模型'!$E$5-(IF('Calc'!$E$17=1,'财富模型'!$E$9,'财富模型'!$M$9+IF(Calc!$AO$180&lt;='财富模型'!$E$11*12,'Calc'!$W$17,'Calc'!$Y$17)-(IF('Calc'!$E$17=1,0,MIN(Calc!$AQ$179*(1+'财富模型'!$E$20/12)+'Calc'!$B$6,IF(Calc!$AO$180&lt;='财富模型'!$E$11*12,'Calc'!$W$17,'Calc'!$Y$17)))))))</x:f>
      </x:c>
      <x:c r="AU180" t="str">
        <x:f>IF(Calc!$AO$180&gt;'Calc'!$B$8,"",IF('Calc'!$E$17=1,0,MAX(Calc!$AU$179*(1+IF(Calc!$AO$180&lt;='财富模型'!$E$11*12,'财富模型'!$E$10,'财富模型'!$E$12)/12)-IF('Calc'!$E$17=1,0,IF(Calc!$AO$180&lt;='财富模型'!$E$11*12,'Calc'!$W$17,'Calc'!$Y$17)),0)))</x:f>
      </x:c>
    </x:row>
    <x:row r="181">
      <x:c r="A181" t="n">
        <x:v>160</x:v>
      </x:c>
      <x:c r="B181" t="str">
        <x:f>IF(Calc!$A$181&gt;'Calc'!$B$8,"",MAX(Calc!$B$180*(1+'财富模型'!$E$6/12)+('Calc'!$B$5-'财富模型'!$E$5-(IF('Calc'!$E$12=1,'财富模型'!$E$9,'财富模型'!$M$4+IF(Calc!$A$181&lt;='财富模型'!$E$11*12,'Calc'!$W$12,'Calc'!$Y$12)-(IF('Calc'!$E$12=1,0,MIN(Calc!$C$180*(1+'财富模型'!$E$20/12)+'Calc'!$B$6,IF(Calc!$A$181&lt;='财富模型'!$E$11*12,'Calc'!$W$12,'Calc'!$Y$12))))))),0))</x:f>
      </x:c>
      <x:c r="C181" t="str">
        <x:f>IF(Calc!$A$181&gt;'Calc'!$B$8,"",MAX(Calc!$C$180*(1+'财富模型'!$E$20/12)+'Calc'!$B$6-(IF('Calc'!$E$12=1,0,MIN(Calc!$C$180*(1+'财富模型'!$E$20/12)+'Calc'!$B$6,IF(Calc!$A$181&lt;='财富模型'!$E$11*12,'Calc'!$W$12,'Calc'!$Y$12)))),0))</x:f>
      </x:c>
      <x:c r="D181" t="str">
        <x:f>IF(Calc!$A$181&gt;'Calc'!$B$8,"",IF('Calc'!$E$12=1,'财富模型'!$E$9,'财富模型'!$M$4+IF(Calc!$A$181&lt;='财富模型'!$E$11*12,'Calc'!$W$12,'Calc'!$Y$12)-(IF('Calc'!$E$12=1,0,MIN(Calc!$C$180*(1+'财富模型'!$E$20/12)+'Calc'!$B$6,IF(Calc!$A$181&lt;='财富模型'!$E$11*12,'Calc'!$W$12,'Calc'!$Y$12))))))</x:f>
      </x:c>
      <x:c r="E181" t="str">
        <x:f>IF(Calc!$A$181&gt;'Calc'!$B$8,"",IF('Calc'!$E$12=1,0,MIN(Calc!$C$180*(1+'财富模型'!$E$20/12)+'Calc'!$B$6,IF(Calc!$A$181&lt;='财富模型'!$E$11*12,'Calc'!$W$12,'Calc'!$Y$12))))</x:f>
      </x:c>
      <x:c r="F181" t="str">
        <x:f>IF(Calc!$A$181&gt;'Calc'!$B$8,"",'Calc'!$B$5-'财富模型'!$E$5-(IF('Calc'!$E$12=1,'财富模型'!$E$9,'财富模型'!$M$4+IF(Calc!$A$181&lt;='财富模型'!$E$11*12,'Calc'!$W$12,'Calc'!$Y$12)-(IF('Calc'!$E$12=1,0,MIN(Calc!$C$180*(1+'财富模型'!$E$20/12)+'Calc'!$B$6,IF(Calc!$A$181&lt;='财富模型'!$E$11*12,'Calc'!$W$12,'Calc'!$Y$12)))))))</x:f>
      </x:c>
      <x:c r="G181" t="str">
        <x:f>IF(Calc!$A$181&gt;'Calc'!$B$8,"",IF('Calc'!$E$12=1,0,MAX(Calc!$G$180*(1+IF(Calc!$A$181&lt;='财富模型'!$E$11*12,'财富模型'!$E$10,'财富模型'!$E$12)/12)-IF('Calc'!$E$12=1,0,IF(Calc!$A$181&lt;='财富模型'!$E$11*12,'Calc'!$W$12,'Calc'!$Y$12)),0)))</x:f>
      </x:c>
      <x:c r="I181" t="n">
        <x:v>160</x:v>
      </x:c>
      <x:c r="J181" t="str">
        <x:f>IF(Calc!$I$181&gt;'Calc'!$B$8,"",MAX(Calc!$J$180*(1+'财富模型'!$E$6/12)+('Calc'!$B$5-'财富模型'!$E$5-(IF('Calc'!$E$13=1,'财富模型'!$E$9,'财富模型'!$M$5+IF(Calc!$I$181&lt;='财富模型'!$E$11*12,'Calc'!$W$13,'Calc'!$Y$13)-(IF('Calc'!$E$13=1,0,MIN(Calc!$K$180*(1+'财富模型'!$E$20/12)+'Calc'!$B$6,IF(Calc!$I$181&lt;='财富模型'!$E$11*12,'Calc'!$W$13,'Calc'!$Y$13))))))),0))</x:f>
      </x:c>
      <x:c r="K181" t="str">
        <x:f>IF(Calc!$I$181&gt;'Calc'!$B$8,"",MAX(Calc!$K$180*(1+'财富模型'!$E$20/12)+'Calc'!$B$6-(IF('Calc'!$E$13=1,0,MIN(Calc!$K$180*(1+'财富模型'!$E$20/12)+'Calc'!$B$6,IF(Calc!$I$181&lt;='财富模型'!$E$11*12,'Calc'!$W$13,'Calc'!$Y$13)))),0))</x:f>
      </x:c>
      <x:c r="L181" t="str">
        <x:f>IF(Calc!$I$181&gt;'Calc'!$B$8,"",IF('Calc'!$E$13=1,'财富模型'!$E$9,'财富模型'!$M$5+IF(Calc!$I$181&lt;='财富模型'!$E$11*12,'Calc'!$W$13,'Calc'!$Y$13)-(IF('Calc'!$E$13=1,0,MIN(Calc!$K$180*(1+'财富模型'!$E$20/12)+'Calc'!$B$6,IF(Calc!$I$181&lt;='财富模型'!$E$11*12,'Calc'!$W$13,'Calc'!$Y$13))))))</x:f>
      </x:c>
      <x:c r="M181" t="str">
        <x:f>IF(Calc!$I$181&gt;'Calc'!$B$8,"",IF('Calc'!$E$13=1,0,MIN(Calc!$K$180*(1+'财富模型'!$E$20/12)+'Calc'!$B$6,IF(Calc!$I$181&lt;='财富模型'!$E$11*12,'Calc'!$W$13,'Calc'!$Y$13))))</x:f>
      </x:c>
      <x:c r="N181" t="str">
        <x:f>IF(Calc!$I$181&gt;'Calc'!$B$8,"",'Calc'!$B$5-'财富模型'!$E$5-(IF('Calc'!$E$13=1,'财富模型'!$E$9,'财富模型'!$M$5+IF(Calc!$I$181&lt;='财富模型'!$E$11*12,'Calc'!$W$13,'Calc'!$Y$13)-(IF('Calc'!$E$13=1,0,MIN(Calc!$K$180*(1+'财富模型'!$E$20/12)+'Calc'!$B$6,IF(Calc!$I$181&lt;='财富模型'!$E$11*12,'Calc'!$W$13,'Calc'!$Y$13)))))))</x:f>
      </x:c>
      <x:c r="O181" t="str">
        <x:f>IF(Calc!$I$181&gt;'Calc'!$B$8,"",IF('Calc'!$E$13=1,0,MAX(Calc!$O$180*(1+IF(Calc!$I$181&lt;='财富模型'!$E$11*12,'财富模型'!$E$10,'财富模型'!$E$12)/12)-IF('Calc'!$E$13=1,0,IF(Calc!$I$181&lt;='财富模型'!$E$11*12,'Calc'!$W$13,'Calc'!$Y$13)),0)))</x:f>
      </x:c>
      <x:c r="Q181" t="n">
        <x:v>160</x:v>
      </x:c>
      <x:c r="R181" t="str">
        <x:f>IF(Calc!$Q$181&gt;'Calc'!$B$8,"",MAX(Calc!$R$180*(1+'财富模型'!$E$6/12)+('Calc'!$B$5-'财富模型'!$E$5-(IF('Calc'!$E$14=1,'财富模型'!$E$9,'财富模型'!$M$6+IF(Calc!$Q$181&lt;='财富模型'!$E$11*12,'Calc'!$W$14,'Calc'!$Y$14)-(IF('Calc'!$E$14=1,0,MIN(Calc!$S$180*(1+'财富模型'!$E$20/12)+'Calc'!$B$6,IF(Calc!$Q$181&lt;='财富模型'!$E$11*12,'Calc'!$W$14,'Calc'!$Y$14))))))),0))</x:f>
      </x:c>
      <x:c r="S181" t="str">
        <x:f>IF(Calc!$Q$181&gt;'Calc'!$B$8,"",MAX(Calc!$S$180*(1+'财富模型'!$E$20/12)+'Calc'!$B$6-(IF('Calc'!$E$14=1,0,MIN(Calc!$S$180*(1+'财富模型'!$E$20/12)+'Calc'!$B$6,IF(Calc!$Q$181&lt;='财富模型'!$E$11*12,'Calc'!$W$14,'Calc'!$Y$14)))),0))</x:f>
      </x:c>
      <x:c r="T181" t="str">
        <x:f>IF(Calc!$Q$181&gt;'Calc'!$B$8,"",IF('Calc'!$E$14=1,'财富模型'!$E$9,'财富模型'!$M$6+IF(Calc!$Q$181&lt;='财富模型'!$E$11*12,'Calc'!$W$14,'Calc'!$Y$14)-(IF('Calc'!$E$14=1,0,MIN(Calc!$S$180*(1+'财富模型'!$E$20/12)+'Calc'!$B$6,IF(Calc!$Q$181&lt;='财富模型'!$E$11*12,'Calc'!$W$14,'Calc'!$Y$14))))))</x:f>
      </x:c>
      <x:c r="U181" t="str">
        <x:f>IF(Calc!$Q$181&gt;'Calc'!$B$8,"",IF('Calc'!$E$14=1,0,MIN(Calc!$S$180*(1+'财富模型'!$E$20/12)+'Calc'!$B$6,IF(Calc!$Q$181&lt;='财富模型'!$E$11*12,'Calc'!$W$14,'Calc'!$Y$14))))</x:f>
      </x:c>
      <x:c r="V181" t="str">
        <x:f>IF(Calc!$Q$181&gt;'Calc'!$B$8,"",'Calc'!$B$5-'财富模型'!$E$5-(IF('Calc'!$E$14=1,'财富模型'!$E$9,'财富模型'!$M$6+IF(Calc!$Q$181&lt;='财富模型'!$E$11*12,'Calc'!$W$14,'Calc'!$Y$14)-(IF('Calc'!$E$14=1,0,MIN(Calc!$S$180*(1+'财富模型'!$E$20/12)+'Calc'!$B$6,IF(Calc!$Q$181&lt;='财富模型'!$E$11*12,'Calc'!$W$14,'Calc'!$Y$14)))))))</x:f>
      </x:c>
      <x:c r="W181" t="str">
        <x:f>IF(Calc!$Q$181&gt;'Calc'!$B$8,"",IF('Calc'!$E$14=1,0,MAX(Calc!$W$180*(1+IF(Calc!$Q$181&lt;='财富模型'!$E$11*12,'财富模型'!$E$10,'财富模型'!$E$12)/12)-IF('Calc'!$E$14=1,0,IF(Calc!$Q$181&lt;='财富模型'!$E$11*12,'Calc'!$W$14,'Calc'!$Y$14)),0)))</x:f>
      </x:c>
      <x:c r="Y181" t="n">
        <x:v>160</x:v>
      </x:c>
      <x:c r="Z181" t="str">
        <x:f>IF(Calc!$Y$181&gt;'Calc'!$B$8,"",MAX(Calc!$Z$180*(1+'财富模型'!$E$6/12)+('Calc'!$B$5-'财富模型'!$E$5-(IF('Calc'!$E$15=1,'财富模型'!$E$9,'财富模型'!$M$7+IF(Calc!$Y$181&lt;='财富模型'!$E$11*12,'Calc'!$W$15,'Calc'!$Y$15)-(IF('Calc'!$E$15=1,0,MIN(Calc!$AA$180*(1+'财富模型'!$E$20/12)+'Calc'!$B$6,IF(Calc!$Y$181&lt;='财富模型'!$E$11*12,'Calc'!$W$15,'Calc'!$Y$15))))))),0))</x:f>
      </x:c>
      <x:c r="AA181" t="str">
        <x:f>IF(Calc!$Y$181&gt;'Calc'!$B$8,"",MAX(Calc!$AA$180*(1+'财富模型'!$E$20/12)+'Calc'!$B$6-(IF('Calc'!$E$15=1,0,MIN(Calc!$AA$180*(1+'财富模型'!$E$20/12)+'Calc'!$B$6,IF(Calc!$Y$181&lt;='财富模型'!$E$11*12,'Calc'!$W$15,'Calc'!$Y$15)))),0))</x:f>
      </x:c>
      <x:c r="AB181" t="str">
        <x:f>IF(Calc!$Y$181&gt;'Calc'!$B$8,"",IF('Calc'!$E$15=1,'财富模型'!$E$9,'财富模型'!$M$7+IF(Calc!$Y$181&lt;='财富模型'!$E$11*12,'Calc'!$W$15,'Calc'!$Y$15)-(IF('Calc'!$E$15=1,0,MIN(Calc!$AA$180*(1+'财富模型'!$E$20/12)+'Calc'!$B$6,IF(Calc!$Y$181&lt;='财富模型'!$E$11*12,'Calc'!$W$15,'Calc'!$Y$15))))))</x:f>
      </x:c>
      <x:c r="AC181" t="str">
        <x:f>IF(Calc!$Y$181&gt;'Calc'!$B$8,"",IF('Calc'!$E$15=1,0,MIN(Calc!$AA$180*(1+'财富模型'!$E$20/12)+'Calc'!$B$6,IF(Calc!$Y$181&lt;='财富模型'!$E$11*12,'Calc'!$W$15,'Calc'!$Y$15))))</x:f>
      </x:c>
      <x:c r="AD181" t="str">
        <x:f>IF(Calc!$Y$181&gt;'Calc'!$B$8,"",'Calc'!$B$5-'财富模型'!$E$5-(IF('Calc'!$E$15=1,'财富模型'!$E$9,'财富模型'!$M$7+IF(Calc!$Y$181&lt;='财富模型'!$E$11*12,'Calc'!$W$15,'Calc'!$Y$15)-(IF('Calc'!$E$15=1,0,MIN(Calc!$AA$180*(1+'财富模型'!$E$20/12)+'Calc'!$B$6,IF(Calc!$Y$181&lt;='财富模型'!$E$11*12,'Calc'!$W$15,'Calc'!$Y$15)))))))</x:f>
      </x:c>
      <x:c r="AE181" t="str">
        <x:f>IF(Calc!$Y$181&gt;'Calc'!$B$8,"",IF('Calc'!$E$15=1,0,MAX(Calc!$AE$180*(1+IF(Calc!$Y$181&lt;='财富模型'!$E$11*12,'财富模型'!$E$10,'财富模型'!$E$12)/12)-IF('Calc'!$E$15=1,0,IF(Calc!$Y$181&lt;='财富模型'!$E$11*12,'Calc'!$W$15,'Calc'!$Y$15)),0)))</x:f>
      </x:c>
      <x:c r="AG181" t="n">
        <x:v>160</x:v>
      </x:c>
      <x:c r="AH181" t="str">
        <x:f>IF(Calc!$AG$181&gt;'Calc'!$B$8,"",MAX(Calc!$AH$180*(1+'财富模型'!$E$6/12)+('Calc'!$B$5-'财富模型'!$E$5-(IF('Calc'!$E$16=1,'财富模型'!$E$9,'财富模型'!$M$8+IF(Calc!$AG$181&lt;='财富模型'!$E$11*12,'Calc'!$W$16,'Calc'!$Y$16)-(IF('Calc'!$E$16=1,0,MIN(Calc!$AI$180*(1+'财富模型'!$E$20/12)+'Calc'!$B$6,IF(Calc!$AG$181&lt;='财富模型'!$E$11*12,'Calc'!$W$16,'Calc'!$Y$16))))))),0))</x:f>
      </x:c>
      <x:c r="AI181" t="str">
        <x:f>IF(Calc!$AG$181&gt;'Calc'!$B$8,"",MAX(Calc!$AI$180*(1+'财富模型'!$E$20/12)+'Calc'!$B$6-(IF('Calc'!$E$16=1,0,MIN(Calc!$AI$180*(1+'财富模型'!$E$20/12)+'Calc'!$B$6,IF(Calc!$AG$181&lt;='财富模型'!$E$11*12,'Calc'!$W$16,'Calc'!$Y$16)))),0))</x:f>
      </x:c>
      <x:c r="AJ181" t="str">
        <x:f>IF(Calc!$AG$181&gt;'Calc'!$B$8,"",IF('Calc'!$E$16=1,'财富模型'!$E$9,'财富模型'!$M$8+IF(Calc!$AG$181&lt;='财富模型'!$E$11*12,'Calc'!$W$16,'Calc'!$Y$16)-(IF('Calc'!$E$16=1,0,MIN(Calc!$AI$180*(1+'财富模型'!$E$20/12)+'Calc'!$B$6,IF(Calc!$AG$181&lt;='财富模型'!$E$11*12,'Calc'!$W$16,'Calc'!$Y$16))))))</x:f>
      </x:c>
      <x:c r="AK181" t="str">
        <x:f>IF(Calc!$AG$181&gt;'Calc'!$B$8,"",IF('Calc'!$E$16=1,0,MIN(Calc!$AI$180*(1+'财富模型'!$E$20/12)+'Calc'!$B$6,IF(Calc!$AG$181&lt;='财富模型'!$E$11*12,'Calc'!$W$16,'Calc'!$Y$16))))</x:f>
      </x:c>
      <x:c r="AL181" t="str">
        <x:f>IF(Calc!$AG$181&gt;'Calc'!$B$8,"",'Calc'!$B$5-'财富模型'!$E$5-(IF('Calc'!$E$16=1,'财富模型'!$E$9,'财富模型'!$M$8+IF(Calc!$AG$181&lt;='财富模型'!$E$11*12,'Calc'!$W$16,'Calc'!$Y$16)-(IF('Calc'!$E$16=1,0,MIN(Calc!$AI$180*(1+'财富模型'!$E$20/12)+'Calc'!$B$6,IF(Calc!$AG$181&lt;='财富模型'!$E$11*12,'Calc'!$W$16,'Calc'!$Y$16)))))))</x:f>
      </x:c>
      <x:c r="AM181" t="str">
        <x:f>IF(Calc!$AG$181&gt;'Calc'!$B$8,"",IF('Calc'!$E$16=1,0,MAX(Calc!$AM$180*(1+IF(Calc!$AG$181&lt;='财富模型'!$E$11*12,'财富模型'!$E$10,'财富模型'!$E$12)/12)-IF('Calc'!$E$16=1,0,IF(Calc!$AG$181&lt;='财富模型'!$E$11*12,'Calc'!$W$16,'Calc'!$Y$16)),0)))</x:f>
      </x:c>
      <x:c r="AO181" t="n">
        <x:v>160</x:v>
      </x:c>
      <x:c r="AP181" t="str">
        <x:f>IF(Calc!$AO$181&gt;'Calc'!$B$8,"",MAX(Calc!$AP$180*(1+'财富模型'!$E$6/12)+('Calc'!$B$5-'财富模型'!$E$5-(IF('Calc'!$E$17=1,'财富模型'!$E$9,'财富模型'!$M$9+IF(Calc!$AO$181&lt;='财富模型'!$E$11*12,'Calc'!$W$17,'Calc'!$Y$17)-(IF('Calc'!$E$17=1,0,MIN(Calc!$AQ$180*(1+'财富模型'!$E$20/12)+'Calc'!$B$6,IF(Calc!$AO$181&lt;='财富模型'!$E$11*12,'Calc'!$W$17,'Calc'!$Y$17))))))),0))</x:f>
      </x:c>
      <x:c r="AQ181" t="str">
        <x:f>IF(Calc!$AO$181&gt;'Calc'!$B$8,"",MAX(Calc!$AQ$180*(1+'财富模型'!$E$20/12)+'Calc'!$B$6-(IF('Calc'!$E$17=1,0,MIN(Calc!$AQ$180*(1+'财富模型'!$E$20/12)+'Calc'!$B$6,IF(Calc!$AO$181&lt;='财富模型'!$E$11*12,'Calc'!$W$17,'Calc'!$Y$17)))),0))</x:f>
      </x:c>
      <x:c r="AR181" t="str">
        <x:f>IF(Calc!$AO$181&gt;'Calc'!$B$8,"",IF('Calc'!$E$17=1,'财富模型'!$E$9,'财富模型'!$M$9+IF(Calc!$AO$181&lt;='财富模型'!$E$11*12,'Calc'!$W$17,'Calc'!$Y$17)-(IF('Calc'!$E$17=1,0,MIN(Calc!$AQ$180*(1+'财富模型'!$E$20/12)+'Calc'!$B$6,IF(Calc!$AO$181&lt;='财富模型'!$E$11*12,'Calc'!$W$17,'Calc'!$Y$17))))))</x:f>
      </x:c>
      <x:c r="AS181" t="str">
        <x:f>IF(Calc!$AO$181&gt;'Calc'!$B$8,"",IF('Calc'!$E$17=1,0,MIN(Calc!$AQ$180*(1+'财富模型'!$E$20/12)+'Calc'!$B$6,IF(Calc!$AO$181&lt;='财富模型'!$E$11*12,'Calc'!$W$17,'Calc'!$Y$17))))</x:f>
      </x:c>
      <x:c r="AT181" t="str">
        <x:f>IF(Calc!$AO$181&gt;'Calc'!$B$8,"",'Calc'!$B$5-'财富模型'!$E$5-(IF('Calc'!$E$17=1,'财富模型'!$E$9,'财富模型'!$M$9+IF(Calc!$AO$181&lt;='财富模型'!$E$11*12,'Calc'!$W$17,'Calc'!$Y$17)-(IF('Calc'!$E$17=1,0,MIN(Calc!$AQ$180*(1+'财富模型'!$E$20/12)+'Calc'!$B$6,IF(Calc!$AO$181&lt;='财富模型'!$E$11*12,'Calc'!$W$17,'Calc'!$Y$17)))))))</x:f>
      </x:c>
      <x:c r="AU181" t="str">
        <x:f>IF(Calc!$AO$181&gt;'Calc'!$B$8,"",IF('Calc'!$E$17=1,0,MAX(Calc!$AU$180*(1+IF(Calc!$AO$181&lt;='财富模型'!$E$11*12,'财富模型'!$E$10,'财富模型'!$E$12)/12)-IF('Calc'!$E$17=1,0,IF(Calc!$AO$181&lt;='财富模型'!$E$11*12,'Calc'!$W$17,'Calc'!$Y$17)),0)))</x:f>
      </x:c>
    </x:row>
    <x:row r="182">
      <x:c r="A182" t="n">
        <x:v>161</x:v>
      </x:c>
      <x:c r="B182" t="str">
        <x:f>IF(Calc!$A$182&gt;'Calc'!$B$8,"",MAX(Calc!$B$181*(1+'财富模型'!$E$6/12)+('Calc'!$B$5-'财富模型'!$E$5-(IF('Calc'!$E$12=1,'财富模型'!$E$9,'财富模型'!$M$4+IF(Calc!$A$182&lt;='财富模型'!$E$11*12,'Calc'!$W$12,'Calc'!$Y$12)-(IF('Calc'!$E$12=1,0,MIN(Calc!$C$181*(1+'财富模型'!$E$20/12)+'Calc'!$B$6,IF(Calc!$A$182&lt;='财富模型'!$E$11*12,'Calc'!$W$12,'Calc'!$Y$12))))))),0))</x:f>
      </x:c>
      <x:c r="C182" t="str">
        <x:f>IF(Calc!$A$182&gt;'Calc'!$B$8,"",MAX(Calc!$C$181*(1+'财富模型'!$E$20/12)+'Calc'!$B$6-(IF('Calc'!$E$12=1,0,MIN(Calc!$C$181*(1+'财富模型'!$E$20/12)+'Calc'!$B$6,IF(Calc!$A$182&lt;='财富模型'!$E$11*12,'Calc'!$W$12,'Calc'!$Y$12)))),0))</x:f>
      </x:c>
      <x:c r="D182" t="str">
        <x:f>IF(Calc!$A$182&gt;'Calc'!$B$8,"",IF('Calc'!$E$12=1,'财富模型'!$E$9,'财富模型'!$M$4+IF(Calc!$A$182&lt;='财富模型'!$E$11*12,'Calc'!$W$12,'Calc'!$Y$12)-(IF('Calc'!$E$12=1,0,MIN(Calc!$C$181*(1+'财富模型'!$E$20/12)+'Calc'!$B$6,IF(Calc!$A$182&lt;='财富模型'!$E$11*12,'Calc'!$W$12,'Calc'!$Y$12))))))</x:f>
      </x:c>
      <x:c r="E182" t="str">
        <x:f>IF(Calc!$A$182&gt;'Calc'!$B$8,"",IF('Calc'!$E$12=1,0,MIN(Calc!$C$181*(1+'财富模型'!$E$20/12)+'Calc'!$B$6,IF(Calc!$A$182&lt;='财富模型'!$E$11*12,'Calc'!$W$12,'Calc'!$Y$12))))</x:f>
      </x:c>
      <x:c r="F182" t="str">
        <x:f>IF(Calc!$A$182&gt;'Calc'!$B$8,"",'Calc'!$B$5-'财富模型'!$E$5-(IF('Calc'!$E$12=1,'财富模型'!$E$9,'财富模型'!$M$4+IF(Calc!$A$182&lt;='财富模型'!$E$11*12,'Calc'!$W$12,'Calc'!$Y$12)-(IF('Calc'!$E$12=1,0,MIN(Calc!$C$181*(1+'财富模型'!$E$20/12)+'Calc'!$B$6,IF(Calc!$A$182&lt;='财富模型'!$E$11*12,'Calc'!$W$12,'Calc'!$Y$12)))))))</x:f>
      </x:c>
      <x:c r="G182" t="str">
        <x:f>IF(Calc!$A$182&gt;'Calc'!$B$8,"",IF('Calc'!$E$12=1,0,MAX(Calc!$G$181*(1+IF(Calc!$A$182&lt;='财富模型'!$E$11*12,'财富模型'!$E$10,'财富模型'!$E$12)/12)-IF('Calc'!$E$12=1,0,IF(Calc!$A$182&lt;='财富模型'!$E$11*12,'Calc'!$W$12,'Calc'!$Y$12)),0)))</x:f>
      </x:c>
      <x:c r="I182" t="n">
        <x:v>161</x:v>
      </x:c>
      <x:c r="J182" t="str">
        <x:f>IF(Calc!$I$182&gt;'Calc'!$B$8,"",MAX(Calc!$J$181*(1+'财富模型'!$E$6/12)+('Calc'!$B$5-'财富模型'!$E$5-(IF('Calc'!$E$13=1,'财富模型'!$E$9,'财富模型'!$M$5+IF(Calc!$I$182&lt;='财富模型'!$E$11*12,'Calc'!$W$13,'Calc'!$Y$13)-(IF('Calc'!$E$13=1,0,MIN(Calc!$K$181*(1+'财富模型'!$E$20/12)+'Calc'!$B$6,IF(Calc!$I$182&lt;='财富模型'!$E$11*12,'Calc'!$W$13,'Calc'!$Y$13))))))),0))</x:f>
      </x:c>
      <x:c r="K182" t="str">
        <x:f>IF(Calc!$I$182&gt;'Calc'!$B$8,"",MAX(Calc!$K$181*(1+'财富模型'!$E$20/12)+'Calc'!$B$6-(IF('Calc'!$E$13=1,0,MIN(Calc!$K$181*(1+'财富模型'!$E$20/12)+'Calc'!$B$6,IF(Calc!$I$182&lt;='财富模型'!$E$11*12,'Calc'!$W$13,'Calc'!$Y$13)))),0))</x:f>
      </x:c>
      <x:c r="L182" t="str">
        <x:f>IF(Calc!$I$182&gt;'Calc'!$B$8,"",IF('Calc'!$E$13=1,'财富模型'!$E$9,'财富模型'!$M$5+IF(Calc!$I$182&lt;='财富模型'!$E$11*12,'Calc'!$W$13,'Calc'!$Y$13)-(IF('Calc'!$E$13=1,0,MIN(Calc!$K$181*(1+'财富模型'!$E$20/12)+'Calc'!$B$6,IF(Calc!$I$182&lt;='财富模型'!$E$11*12,'Calc'!$W$13,'Calc'!$Y$13))))))</x:f>
      </x:c>
      <x:c r="M182" t="str">
        <x:f>IF(Calc!$I$182&gt;'Calc'!$B$8,"",IF('Calc'!$E$13=1,0,MIN(Calc!$K$181*(1+'财富模型'!$E$20/12)+'Calc'!$B$6,IF(Calc!$I$182&lt;='财富模型'!$E$11*12,'Calc'!$W$13,'Calc'!$Y$13))))</x:f>
      </x:c>
      <x:c r="N182" t="str">
        <x:f>IF(Calc!$I$182&gt;'Calc'!$B$8,"",'Calc'!$B$5-'财富模型'!$E$5-(IF('Calc'!$E$13=1,'财富模型'!$E$9,'财富模型'!$M$5+IF(Calc!$I$182&lt;='财富模型'!$E$11*12,'Calc'!$W$13,'Calc'!$Y$13)-(IF('Calc'!$E$13=1,0,MIN(Calc!$K$181*(1+'财富模型'!$E$20/12)+'Calc'!$B$6,IF(Calc!$I$182&lt;='财富模型'!$E$11*12,'Calc'!$W$13,'Calc'!$Y$13)))))))</x:f>
      </x:c>
      <x:c r="O182" t="str">
        <x:f>IF(Calc!$I$182&gt;'Calc'!$B$8,"",IF('Calc'!$E$13=1,0,MAX(Calc!$O$181*(1+IF(Calc!$I$182&lt;='财富模型'!$E$11*12,'财富模型'!$E$10,'财富模型'!$E$12)/12)-IF('Calc'!$E$13=1,0,IF(Calc!$I$182&lt;='财富模型'!$E$11*12,'Calc'!$W$13,'Calc'!$Y$13)),0)))</x:f>
      </x:c>
      <x:c r="Q182" t="n">
        <x:v>161</x:v>
      </x:c>
      <x:c r="R182" t="str">
        <x:f>IF(Calc!$Q$182&gt;'Calc'!$B$8,"",MAX(Calc!$R$181*(1+'财富模型'!$E$6/12)+('Calc'!$B$5-'财富模型'!$E$5-(IF('Calc'!$E$14=1,'财富模型'!$E$9,'财富模型'!$M$6+IF(Calc!$Q$182&lt;='财富模型'!$E$11*12,'Calc'!$W$14,'Calc'!$Y$14)-(IF('Calc'!$E$14=1,0,MIN(Calc!$S$181*(1+'财富模型'!$E$20/12)+'Calc'!$B$6,IF(Calc!$Q$182&lt;='财富模型'!$E$11*12,'Calc'!$W$14,'Calc'!$Y$14))))))),0))</x:f>
      </x:c>
      <x:c r="S182" t="str">
        <x:f>IF(Calc!$Q$182&gt;'Calc'!$B$8,"",MAX(Calc!$S$181*(1+'财富模型'!$E$20/12)+'Calc'!$B$6-(IF('Calc'!$E$14=1,0,MIN(Calc!$S$181*(1+'财富模型'!$E$20/12)+'Calc'!$B$6,IF(Calc!$Q$182&lt;='财富模型'!$E$11*12,'Calc'!$W$14,'Calc'!$Y$14)))),0))</x:f>
      </x:c>
      <x:c r="T182" t="str">
        <x:f>IF(Calc!$Q$182&gt;'Calc'!$B$8,"",IF('Calc'!$E$14=1,'财富模型'!$E$9,'财富模型'!$M$6+IF(Calc!$Q$182&lt;='财富模型'!$E$11*12,'Calc'!$W$14,'Calc'!$Y$14)-(IF('Calc'!$E$14=1,0,MIN(Calc!$S$181*(1+'财富模型'!$E$20/12)+'Calc'!$B$6,IF(Calc!$Q$182&lt;='财富模型'!$E$11*12,'Calc'!$W$14,'Calc'!$Y$14))))))</x:f>
      </x:c>
      <x:c r="U182" t="str">
        <x:f>IF(Calc!$Q$182&gt;'Calc'!$B$8,"",IF('Calc'!$E$14=1,0,MIN(Calc!$S$181*(1+'财富模型'!$E$20/12)+'Calc'!$B$6,IF(Calc!$Q$182&lt;='财富模型'!$E$11*12,'Calc'!$W$14,'Calc'!$Y$14))))</x:f>
      </x:c>
      <x:c r="V182" t="str">
        <x:f>IF(Calc!$Q$182&gt;'Calc'!$B$8,"",'Calc'!$B$5-'财富模型'!$E$5-(IF('Calc'!$E$14=1,'财富模型'!$E$9,'财富模型'!$M$6+IF(Calc!$Q$182&lt;='财富模型'!$E$11*12,'Calc'!$W$14,'Calc'!$Y$14)-(IF('Calc'!$E$14=1,0,MIN(Calc!$S$181*(1+'财富模型'!$E$20/12)+'Calc'!$B$6,IF(Calc!$Q$182&lt;='财富模型'!$E$11*12,'Calc'!$W$14,'Calc'!$Y$14)))))))</x:f>
      </x:c>
      <x:c r="W182" t="str">
        <x:f>IF(Calc!$Q$182&gt;'Calc'!$B$8,"",IF('Calc'!$E$14=1,0,MAX(Calc!$W$181*(1+IF(Calc!$Q$182&lt;='财富模型'!$E$11*12,'财富模型'!$E$10,'财富模型'!$E$12)/12)-IF('Calc'!$E$14=1,0,IF(Calc!$Q$182&lt;='财富模型'!$E$11*12,'Calc'!$W$14,'Calc'!$Y$14)),0)))</x:f>
      </x:c>
      <x:c r="Y182" t="n">
        <x:v>161</x:v>
      </x:c>
      <x:c r="Z182" t="str">
        <x:f>IF(Calc!$Y$182&gt;'Calc'!$B$8,"",MAX(Calc!$Z$181*(1+'财富模型'!$E$6/12)+('Calc'!$B$5-'财富模型'!$E$5-(IF('Calc'!$E$15=1,'财富模型'!$E$9,'财富模型'!$M$7+IF(Calc!$Y$182&lt;='财富模型'!$E$11*12,'Calc'!$W$15,'Calc'!$Y$15)-(IF('Calc'!$E$15=1,0,MIN(Calc!$AA$181*(1+'财富模型'!$E$20/12)+'Calc'!$B$6,IF(Calc!$Y$182&lt;='财富模型'!$E$11*12,'Calc'!$W$15,'Calc'!$Y$15))))))),0))</x:f>
      </x:c>
      <x:c r="AA182" t="str">
        <x:f>IF(Calc!$Y$182&gt;'Calc'!$B$8,"",MAX(Calc!$AA$181*(1+'财富模型'!$E$20/12)+'Calc'!$B$6-(IF('Calc'!$E$15=1,0,MIN(Calc!$AA$181*(1+'财富模型'!$E$20/12)+'Calc'!$B$6,IF(Calc!$Y$182&lt;='财富模型'!$E$11*12,'Calc'!$W$15,'Calc'!$Y$15)))),0))</x:f>
      </x:c>
      <x:c r="AB182" t="str">
        <x:f>IF(Calc!$Y$182&gt;'Calc'!$B$8,"",IF('Calc'!$E$15=1,'财富模型'!$E$9,'财富模型'!$M$7+IF(Calc!$Y$182&lt;='财富模型'!$E$11*12,'Calc'!$W$15,'Calc'!$Y$15)-(IF('Calc'!$E$15=1,0,MIN(Calc!$AA$181*(1+'财富模型'!$E$20/12)+'Calc'!$B$6,IF(Calc!$Y$182&lt;='财富模型'!$E$11*12,'Calc'!$W$15,'Calc'!$Y$15))))))</x:f>
      </x:c>
      <x:c r="AC182" t="str">
        <x:f>IF(Calc!$Y$182&gt;'Calc'!$B$8,"",IF('Calc'!$E$15=1,0,MIN(Calc!$AA$181*(1+'财富模型'!$E$20/12)+'Calc'!$B$6,IF(Calc!$Y$182&lt;='财富模型'!$E$11*12,'Calc'!$W$15,'Calc'!$Y$15))))</x:f>
      </x:c>
      <x:c r="AD182" t="str">
        <x:f>IF(Calc!$Y$182&gt;'Calc'!$B$8,"",'Calc'!$B$5-'财富模型'!$E$5-(IF('Calc'!$E$15=1,'财富模型'!$E$9,'财富模型'!$M$7+IF(Calc!$Y$182&lt;='财富模型'!$E$11*12,'Calc'!$W$15,'Calc'!$Y$15)-(IF('Calc'!$E$15=1,0,MIN(Calc!$AA$181*(1+'财富模型'!$E$20/12)+'Calc'!$B$6,IF(Calc!$Y$182&lt;='财富模型'!$E$11*12,'Calc'!$W$15,'Calc'!$Y$15)))))))</x:f>
      </x:c>
      <x:c r="AE182" t="str">
        <x:f>IF(Calc!$Y$182&gt;'Calc'!$B$8,"",IF('Calc'!$E$15=1,0,MAX(Calc!$AE$181*(1+IF(Calc!$Y$182&lt;='财富模型'!$E$11*12,'财富模型'!$E$10,'财富模型'!$E$12)/12)-IF('Calc'!$E$15=1,0,IF(Calc!$Y$182&lt;='财富模型'!$E$11*12,'Calc'!$W$15,'Calc'!$Y$15)),0)))</x:f>
      </x:c>
      <x:c r="AG182" t="n">
        <x:v>161</x:v>
      </x:c>
      <x:c r="AH182" t="str">
        <x:f>IF(Calc!$AG$182&gt;'Calc'!$B$8,"",MAX(Calc!$AH$181*(1+'财富模型'!$E$6/12)+('Calc'!$B$5-'财富模型'!$E$5-(IF('Calc'!$E$16=1,'财富模型'!$E$9,'财富模型'!$M$8+IF(Calc!$AG$182&lt;='财富模型'!$E$11*12,'Calc'!$W$16,'Calc'!$Y$16)-(IF('Calc'!$E$16=1,0,MIN(Calc!$AI$181*(1+'财富模型'!$E$20/12)+'Calc'!$B$6,IF(Calc!$AG$182&lt;='财富模型'!$E$11*12,'Calc'!$W$16,'Calc'!$Y$16))))))),0))</x:f>
      </x:c>
      <x:c r="AI182" t="str">
        <x:f>IF(Calc!$AG$182&gt;'Calc'!$B$8,"",MAX(Calc!$AI$181*(1+'财富模型'!$E$20/12)+'Calc'!$B$6-(IF('Calc'!$E$16=1,0,MIN(Calc!$AI$181*(1+'财富模型'!$E$20/12)+'Calc'!$B$6,IF(Calc!$AG$182&lt;='财富模型'!$E$11*12,'Calc'!$W$16,'Calc'!$Y$16)))),0))</x:f>
      </x:c>
      <x:c r="AJ182" t="str">
        <x:f>IF(Calc!$AG$182&gt;'Calc'!$B$8,"",IF('Calc'!$E$16=1,'财富模型'!$E$9,'财富模型'!$M$8+IF(Calc!$AG$182&lt;='财富模型'!$E$11*12,'Calc'!$W$16,'Calc'!$Y$16)-(IF('Calc'!$E$16=1,0,MIN(Calc!$AI$181*(1+'财富模型'!$E$20/12)+'Calc'!$B$6,IF(Calc!$AG$182&lt;='财富模型'!$E$11*12,'Calc'!$W$16,'Calc'!$Y$16))))))</x:f>
      </x:c>
      <x:c r="AK182" t="str">
        <x:f>IF(Calc!$AG$182&gt;'Calc'!$B$8,"",IF('Calc'!$E$16=1,0,MIN(Calc!$AI$181*(1+'财富模型'!$E$20/12)+'Calc'!$B$6,IF(Calc!$AG$182&lt;='财富模型'!$E$11*12,'Calc'!$W$16,'Calc'!$Y$16))))</x:f>
      </x:c>
      <x:c r="AL182" t="str">
        <x:f>IF(Calc!$AG$182&gt;'Calc'!$B$8,"",'Calc'!$B$5-'财富模型'!$E$5-(IF('Calc'!$E$16=1,'财富模型'!$E$9,'财富模型'!$M$8+IF(Calc!$AG$182&lt;='财富模型'!$E$11*12,'Calc'!$W$16,'Calc'!$Y$16)-(IF('Calc'!$E$16=1,0,MIN(Calc!$AI$181*(1+'财富模型'!$E$20/12)+'Calc'!$B$6,IF(Calc!$AG$182&lt;='财富模型'!$E$11*12,'Calc'!$W$16,'Calc'!$Y$16)))))))</x:f>
      </x:c>
      <x:c r="AM182" t="str">
        <x:f>IF(Calc!$AG$182&gt;'Calc'!$B$8,"",IF('Calc'!$E$16=1,0,MAX(Calc!$AM$181*(1+IF(Calc!$AG$182&lt;='财富模型'!$E$11*12,'财富模型'!$E$10,'财富模型'!$E$12)/12)-IF('Calc'!$E$16=1,0,IF(Calc!$AG$182&lt;='财富模型'!$E$11*12,'Calc'!$W$16,'Calc'!$Y$16)),0)))</x:f>
      </x:c>
      <x:c r="AO182" t="n">
        <x:v>161</x:v>
      </x:c>
      <x:c r="AP182" t="str">
        <x:f>IF(Calc!$AO$182&gt;'Calc'!$B$8,"",MAX(Calc!$AP$181*(1+'财富模型'!$E$6/12)+('Calc'!$B$5-'财富模型'!$E$5-(IF('Calc'!$E$17=1,'财富模型'!$E$9,'财富模型'!$M$9+IF(Calc!$AO$182&lt;='财富模型'!$E$11*12,'Calc'!$W$17,'Calc'!$Y$17)-(IF('Calc'!$E$17=1,0,MIN(Calc!$AQ$181*(1+'财富模型'!$E$20/12)+'Calc'!$B$6,IF(Calc!$AO$182&lt;='财富模型'!$E$11*12,'Calc'!$W$17,'Calc'!$Y$17))))))),0))</x:f>
      </x:c>
      <x:c r="AQ182" t="str">
        <x:f>IF(Calc!$AO$182&gt;'Calc'!$B$8,"",MAX(Calc!$AQ$181*(1+'财富模型'!$E$20/12)+'Calc'!$B$6-(IF('Calc'!$E$17=1,0,MIN(Calc!$AQ$181*(1+'财富模型'!$E$20/12)+'Calc'!$B$6,IF(Calc!$AO$182&lt;='财富模型'!$E$11*12,'Calc'!$W$17,'Calc'!$Y$17)))),0))</x:f>
      </x:c>
      <x:c r="AR182" t="str">
        <x:f>IF(Calc!$AO$182&gt;'Calc'!$B$8,"",IF('Calc'!$E$17=1,'财富模型'!$E$9,'财富模型'!$M$9+IF(Calc!$AO$182&lt;='财富模型'!$E$11*12,'Calc'!$W$17,'Calc'!$Y$17)-(IF('Calc'!$E$17=1,0,MIN(Calc!$AQ$181*(1+'财富模型'!$E$20/12)+'Calc'!$B$6,IF(Calc!$AO$182&lt;='财富模型'!$E$11*12,'Calc'!$W$17,'Calc'!$Y$17))))))</x:f>
      </x:c>
      <x:c r="AS182" t="str">
        <x:f>IF(Calc!$AO$182&gt;'Calc'!$B$8,"",IF('Calc'!$E$17=1,0,MIN(Calc!$AQ$181*(1+'财富模型'!$E$20/12)+'Calc'!$B$6,IF(Calc!$AO$182&lt;='财富模型'!$E$11*12,'Calc'!$W$17,'Calc'!$Y$17))))</x:f>
      </x:c>
      <x:c r="AT182" t="str">
        <x:f>IF(Calc!$AO$182&gt;'Calc'!$B$8,"",'Calc'!$B$5-'财富模型'!$E$5-(IF('Calc'!$E$17=1,'财富模型'!$E$9,'财富模型'!$M$9+IF(Calc!$AO$182&lt;='财富模型'!$E$11*12,'Calc'!$W$17,'Calc'!$Y$17)-(IF('Calc'!$E$17=1,0,MIN(Calc!$AQ$181*(1+'财富模型'!$E$20/12)+'Calc'!$B$6,IF(Calc!$AO$182&lt;='财富模型'!$E$11*12,'Calc'!$W$17,'Calc'!$Y$17)))))))</x:f>
      </x:c>
      <x:c r="AU182" t="str">
        <x:f>IF(Calc!$AO$182&gt;'Calc'!$B$8,"",IF('Calc'!$E$17=1,0,MAX(Calc!$AU$181*(1+IF(Calc!$AO$182&lt;='财富模型'!$E$11*12,'财富模型'!$E$10,'财富模型'!$E$12)/12)-IF('Calc'!$E$17=1,0,IF(Calc!$AO$182&lt;='财富模型'!$E$11*12,'Calc'!$W$17,'Calc'!$Y$17)),0)))</x:f>
      </x:c>
    </x:row>
    <x:row r="183">
      <x:c r="A183" t="n">
        <x:v>162</x:v>
      </x:c>
      <x:c r="B183" t="str">
        <x:f>IF(Calc!$A$183&gt;'Calc'!$B$8,"",MAX(Calc!$B$182*(1+'财富模型'!$E$6/12)+('Calc'!$B$5-'财富模型'!$E$5-(IF('Calc'!$E$12=1,'财富模型'!$E$9,'财富模型'!$M$4+IF(Calc!$A$183&lt;='财富模型'!$E$11*12,'Calc'!$W$12,'Calc'!$Y$12)-(IF('Calc'!$E$12=1,0,MIN(Calc!$C$182*(1+'财富模型'!$E$20/12)+'Calc'!$B$6,IF(Calc!$A$183&lt;='财富模型'!$E$11*12,'Calc'!$W$12,'Calc'!$Y$12))))))),0))</x:f>
      </x:c>
      <x:c r="C183" t="str">
        <x:f>IF(Calc!$A$183&gt;'Calc'!$B$8,"",MAX(Calc!$C$182*(1+'财富模型'!$E$20/12)+'Calc'!$B$6-(IF('Calc'!$E$12=1,0,MIN(Calc!$C$182*(1+'财富模型'!$E$20/12)+'Calc'!$B$6,IF(Calc!$A$183&lt;='财富模型'!$E$11*12,'Calc'!$W$12,'Calc'!$Y$12)))),0))</x:f>
      </x:c>
      <x:c r="D183" t="str">
        <x:f>IF(Calc!$A$183&gt;'Calc'!$B$8,"",IF('Calc'!$E$12=1,'财富模型'!$E$9,'财富模型'!$M$4+IF(Calc!$A$183&lt;='财富模型'!$E$11*12,'Calc'!$W$12,'Calc'!$Y$12)-(IF('Calc'!$E$12=1,0,MIN(Calc!$C$182*(1+'财富模型'!$E$20/12)+'Calc'!$B$6,IF(Calc!$A$183&lt;='财富模型'!$E$11*12,'Calc'!$W$12,'Calc'!$Y$12))))))</x:f>
      </x:c>
      <x:c r="E183" t="str">
        <x:f>IF(Calc!$A$183&gt;'Calc'!$B$8,"",IF('Calc'!$E$12=1,0,MIN(Calc!$C$182*(1+'财富模型'!$E$20/12)+'Calc'!$B$6,IF(Calc!$A$183&lt;='财富模型'!$E$11*12,'Calc'!$W$12,'Calc'!$Y$12))))</x:f>
      </x:c>
      <x:c r="F183" t="str">
        <x:f>IF(Calc!$A$183&gt;'Calc'!$B$8,"",'Calc'!$B$5-'财富模型'!$E$5-(IF('Calc'!$E$12=1,'财富模型'!$E$9,'财富模型'!$M$4+IF(Calc!$A$183&lt;='财富模型'!$E$11*12,'Calc'!$W$12,'Calc'!$Y$12)-(IF('Calc'!$E$12=1,0,MIN(Calc!$C$182*(1+'财富模型'!$E$20/12)+'Calc'!$B$6,IF(Calc!$A$183&lt;='财富模型'!$E$11*12,'Calc'!$W$12,'Calc'!$Y$12)))))))</x:f>
      </x:c>
      <x:c r="G183" t="str">
        <x:f>IF(Calc!$A$183&gt;'Calc'!$B$8,"",IF('Calc'!$E$12=1,0,MAX(Calc!$G$182*(1+IF(Calc!$A$183&lt;='财富模型'!$E$11*12,'财富模型'!$E$10,'财富模型'!$E$12)/12)-IF('Calc'!$E$12=1,0,IF(Calc!$A$183&lt;='财富模型'!$E$11*12,'Calc'!$W$12,'Calc'!$Y$12)),0)))</x:f>
      </x:c>
      <x:c r="I183" t="n">
        <x:v>162</x:v>
      </x:c>
      <x:c r="J183" t="str">
        <x:f>IF(Calc!$I$183&gt;'Calc'!$B$8,"",MAX(Calc!$J$182*(1+'财富模型'!$E$6/12)+('Calc'!$B$5-'财富模型'!$E$5-(IF('Calc'!$E$13=1,'财富模型'!$E$9,'财富模型'!$M$5+IF(Calc!$I$183&lt;='财富模型'!$E$11*12,'Calc'!$W$13,'Calc'!$Y$13)-(IF('Calc'!$E$13=1,0,MIN(Calc!$K$182*(1+'财富模型'!$E$20/12)+'Calc'!$B$6,IF(Calc!$I$183&lt;='财富模型'!$E$11*12,'Calc'!$W$13,'Calc'!$Y$13))))))),0))</x:f>
      </x:c>
      <x:c r="K183" t="str">
        <x:f>IF(Calc!$I$183&gt;'Calc'!$B$8,"",MAX(Calc!$K$182*(1+'财富模型'!$E$20/12)+'Calc'!$B$6-(IF('Calc'!$E$13=1,0,MIN(Calc!$K$182*(1+'财富模型'!$E$20/12)+'Calc'!$B$6,IF(Calc!$I$183&lt;='财富模型'!$E$11*12,'Calc'!$W$13,'Calc'!$Y$13)))),0))</x:f>
      </x:c>
      <x:c r="L183" t="str">
        <x:f>IF(Calc!$I$183&gt;'Calc'!$B$8,"",IF('Calc'!$E$13=1,'财富模型'!$E$9,'财富模型'!$M$5+IF(Calc!$I$183&lt;='财富模型'!$E$11*12,'Calc'!$W$13,'Calc'!$Y$13)-(IF('Calc'!$E$13=1,0,MIN(Calc!$K$182*(1+'财富模型'!$E$20/12)+'Calc'!$B$6,IF(Calc!$I$183&lt;='财富模型'!$E$11*12,'Calc'!$W$13,'Calc'!$Y$13))))))</x:f>
      </x:c>
      <x:c r="M183" t="str">
        <x:f>IF(Calc!$I$183&gt;'Calc'!$B$8,"",IF('Calc'!$E$13=1,0,MIN(Calc!$K$182*(1+'财富模型'!$E$20/12)+'Calc'!$B$6,IF(Calc!$I$183&lt;='财富模型'!$E$11*12,'Calc'!$W$13,'Calc'!$Y$13))))</x:f>
      </x:c>
      <x:c r="N183" t="str">
        <x:f>IF(Calc!$I$183&gt;'Calc'!$B$8,"",'Calc'!$B$5-'财富模型'!$E$5-(IF('Calc'!$E$13=1,'财富模型'!$E$9,'财富模型'!$M$5+IF(Calc!$I$183&lt;='财富模型'!$E$11*12,'Calc'!$W$13,'Calc'!$Y$13)-(IF('Calc'!$E$13=1,0,MIN(Calc!$K$182*(1+'财富模型'!$E$20/12)+'Calc'!$B$6,IF(Calc!$I$183&lt;='财富模型'!$E$11*12,'Calc'!$W$13,'Calc'!$Y$13)))))))</x:f>
      </x:c>
      <x:c r="O183" t="str">
        <x:f>IF(Calc!$I$183&gt;'Calc'!$B$8,"",IF('Calc'!$E$13=1,0,MAX(Calc!$O$182*(1+IF(Calc!$I$183&lt;='财富模型'!$E$11*12,'财富模型'!$E$10,'财富模型'!$E$12)/12)-IF('Calc'!$E$13=1,0,IF(Calc!$I$183&lt;='财富模型'!$E$11*12,'Calc'!$W$13,'Calc'!$Y$13)),0)))</x:f>
      </x:c>
      <x:c r="Q183" t="n">
        <x:v>162</x:v>
      </x:c>
      <x:c r="R183" t="str">
        <x:f>IF(Calc!$Q$183&gt;'Calc'!$B$8,"",MAX(Calc!$R$182*(1+'财富模型'!$E$6/12)+('Calc'!$B$5-'财富模型'!$E$5-(IF('Calc'!$E$14=1,'财富模型'!$E$9,'财富模型'!$M$6+IF(Calc!$Q$183&lt;='财富模型'!$E$11*12,'Calc'!$W$14,'Calc'!$Y$14)-(IF('Calc'!$E$14=1,0,MIN(Calc!$S$182*(1+'财富模型'!$E$20/12)+'Calc'!$B$6,IF(Calc!$Q$183&lt;='财富模型'!$E$11*12,'Calc'!$W$14,'Calc'!$Y$14))))))),0))</x:f>
      </x:c>
      <x:c r="S183" t="str">
        <x:f>IF(Calc!$Q$183&gt;'Calc'!$B$8,"",MAX(Calc!$S$182*(1+'财富模型'!$E$20/12)+'Calc'!$B$6-(IF('Calc'!$E$14=1,0,MIN(Calc!$S$182*(1+'财富模型'!$E$20/12)+'Calc'!$B$6,IF(Calc!$Q$183&lt;='财富模型'!$E$11*12,'Calc'!$W$14,'Calc'!$Y$14)))),0))</x:f>
      </x:c>
      <x:c r="T183" t="str">
        <x:f>IF(Calc!$Q$183&gt;'Calc'!$B$8,"",IF('Calc'!$E$14=1,'财富模型'!$E$9,'财富模型'!$M$6+IF(Calc!$Q$183&lt;='财富模型'!$E$11*12,'Calc'!$W$14,'Calc'!$Y$14)-(IF('Calc'!$E$14=1,0,MIN(Calc!$S$182*(1+'财富模型'!$E$20/12)+'Calc'!$B$6,IF(Calc!$Q$183&lt;='财富模型'!$E$11*12,'Calc'!$W$14,'Calc'!$Y$14))))))</x:f>
      </x:c>
      <x:c r="U183" t="str">
        <x:f>IF(Calc!$Q$183&gt;'Calc'!$B$8,"",IF('Calc'!$E$14=1,0,MIN(Calc!$S$182*(1+'财富模型'!$E$20/12)+'Calc'!$B$6,IF(Calc!$Q$183&lt;='财富模型'!$E$11*12,'Calc'!$W$14,'Calc'!$Y$14))))</x:f>
      </x:c>
      <x:c r="V183" t="str">
        <x:f>IF(Calc!$Q$183&gt;'Calc'!$B$8,"",'Calc'!$B$5-'财富模型'!$E$5-(IF('Calc'!$E$14=1,'财富模型'!$E$9,'财富模型'!$M$6+IF(Calc!$Q$183&lt;='财富模型'!$E$11*12,'Calc'!$W$14,'Calc'!$Y$14)-(IF('Calc'!$E$14=1,0,MIN(Calc!$S$182*(1+'财富模型'!$E$20/12)+'Calc'!$B$6,IF(Calc!$Q$183&lt;='财富模型'!$E$11*12,'Calc'!$W$14,'Calc'!$Y$14)))))))</x:f>
      </x:c>
      <x:c r="W183" t="str">
        <x:f>IF(Calc!$Q$183&gt;'Calc'!$B$8,"",IF('Calc'!$E$14=1,0,MAX(Calc!$W$182*(1+IF(Calc!$Q$183&lt;='财富模型'!$E$11*12,'财富模型'!$E$10,'财富模型'!$E$12)/12)-IF('Calc'!$E$14=1,0,IF(Calc!$Q$183&lt;='财富模型'!$E$11*12,'Calc'!$W$14,'Calc'!$Y$14)),0)))</x:f>
      </x:c>
      <x:c r="Y183" t="n">
        <x:v>162</x:v>
      </x:c>
      <x:c r="Z183" t="str">
        <x:f>IF(Calc!$Y$183&gt;'Calc'!$B$8,"",MAX(Calc!$Z$182*(1+'财富模型'!$E$6/12)+('Calc'!$B$5-'财富模型'!$E$5-(IF('Calc'!$E$15=1,'财富模型'!$E$9,'财富模型'!$M$7+IF(Calc!$Y$183&lt;='财富模型'!$E$11*12,'Calc'!$W$15,'Calc'!$Y$15)-(IF('Calc'!$E$15=1,0,MIN(Calc!$AA$182*(1+'财富模型'!$E$20/12)+'Calc'!$B$6,IF(Calc!$Y$183&lt;='财富模型'!$E$11*12,'Calc'!$W$15,'Calc'!$Y$15))))))),0))</x:f>
      </x:c>
      <x:c r="AA183" t="str">
        <x:f>IF(Calc!$Y$183&gt;'Calc'!$B$8,"",MAX(Calc!$AA$182*(1+'财富模型'!$E$20/12)+'Calc'!$B$6-(IF('Calc'!$E$15=1,0,MIN(Calc!$AA$182*(1+'财富模型'!$E$20/12)+'Calc'!$B$6,IF(Calc!$Y$183&lt;='财富模型'!$E$11*12,'Calc'!$W$15,'Calc'!$Y$15)))),0))</x:f>
      </x:c>
      <x:c r="AB183" t="str">
        <x:f>IF(Calc!$Y$183&gt;'Calc'!$B$8,"",IF('Calc'!$E$15=1,'财富模型'!$E$9,'财富模型'!$M$7+IF(Calc!$Y$183&lt;='财富模型'!$E$11*12,'Calc'!$W$15,'Calc'!$Y$15)-(IF('Calc'!$E$15=1,0,MIN(Calc!$AA$182*(1+'财富模型'!$E$20/12)+'Calc'!$B$6,IF(Calc!$Y$183&lt;='财富模型'!$E$11*12,'Calc'!$W$15,'Calc'!$Y$15))))))</x:f>
      </x:c>
      <x:c r="AC183" t="str">
        <x:f>IF(Calc!$Y$183&gt;'Calc'!$B$8,"",IF('Calc'!$E$15=1,0,MIN(Calc!$AA$182*(1+'财富模型'!$E$20/12)+'Calc'!$B$6,IF(Calc!$Y$183&lt;='财富模型'!$E$11*12,'Calc'!$W$15,'Calc'!$Y$15))))</x:f>
      </x:c>
      <x:c r="AD183" t="str">
        <x:f>IF(Calc!$Y$183&gt;'Calc'!$B$8,"",'Calc'!$B$5-'财富模型'!$E$5-(IF('Calc'!$E$15=1,'财富模型'!$E$9,'财富模型'!$M$7+IF(Calc!$Y$183&lt;='财富模型'!$E$11*12,'Calc'!$W$15,'Calc'!$Y$15)-(IF('Calc'!$E$15=1,0,MIN(Calc!$AA$182*(1+'财富模型'!$E$20/12)+'Calc'!$B$6,IF(Calc!$Y$183&lt;='财富模型'!$E$11*12,'Calc'!$W$15,'Calc'!$Y$15)))))))</x:f>
      </x:c>
      <x:c r="AE183" t="str">
        <x:f>IF(Calc!$Y$183&gt;'Calc'!$B$8,"",IF('Calc'!$E$15=1,0,MAX(Calc!$AE$182*(1+IF(Calc!$Y$183&lt;='财富模型'!$E$11*12,'财富模型'!$E$10,'财富模型'!$E$12)/12)-IF('Calc'!$E$15=1,0,IF(Calc!$Y$183&lt;='财富模型'!$E$11*12,'Calc'!$W$15,'Calc'!$Y$15)),0)))</x:f>
      </x:c>
      <x:c r="AG183" t="n">
        <x:v>162</x:v>
      </x:c>
      <x:c r="AH183" t="str">
        <x:f>IF(Calc!$AG$183&gt;'Calc'!$B$8,"",MAX(Calc!$AH$182*(1+'财富模型'!$E$6/12)+('Calc'!$B$5-'财富模型'!$E$5-(IF('Calc'!$E$16=1,'财富模型'!$E$9,'财富模型'!$M$8+IF(Calc!$AG$183&lt;='财富模型'!$E$11*12,'Calc'!$W$16,'Calc'!$Y$16)-(IF('Calc'!$E$16=1,0,MIN(Calc!$AI$182*(1+'财富模型'!$E$20/12)+'Calc'!$B$6,IF(Calc!$AG$183&lt;='财富模型'!$E$11*12,'Calc'!$W$16,'Calc'!$Y$16))))))),0))</x:f>
      </x:c>
      <x:c r="AI183" t="str">
        <x:f>IF(Calc!$AG$183&gt;'Calc'!$B$8,"",MAX(Calc!$AI$182*(1+'财富模型'!$E$20/12)+'Calc'!$B$6-(IF('Calc'!$E$16=1,0,MIN(Calc!$AI$182*(1+'财富模型'!$E$20/12)+'Calc'!$B$6,IF(Calc!$AG$183&lt;='财富模型'!$E$11*12,'Calc'!$W$16,'Calc'!$Y$16)))),0))</x:f>
      </x:c>
      <x:c r="AJ183" t="str">
        <x:f>IF(Calc!$AG$183&gt;'Calc'!$B$8,"",IF('Calc'!$E$16=1,'财富模型'!$E$9,'财富模型'!$M$8+IF(Calc!$AG$183&lt;='财富模型'!$E$11*12,'Calc'!$W$16,'Calc'!$Y$16)-(IF('Calc'!$E$16=1,0,MIN(Calc!$AI$182*(1+'财富模型'!$E$20/12)+'Calc'!$B$6,IF(Calc!$AG$183&lt;='财富模型'!$E$11*12,'Calc'!$W$16,'Calc'!$Y$16))))))</x:f>
      </x:c>
      <x:c r="AK183" t="str">
        <x:f>IF(Calc!$AG$183&gt;'Calc'!$B$8,"",IF('Calc'!$E$16=1,0,MIN(Calc!$AI$182*(1+'财富模型'!$E$20/12)+'Calc'!$B$6,IF(Calc!$AG$183&lt;='财富模型'!$E$11*12,'Calc'!$W$16,'Calc'!$Y$16))))</x:f>
      </x:c>
      <x:c r="AL183" t="str">
        <x:f>IF(Calc!$AG$183&gt;'Calc'!$B$8,"",'Calc'!$B$5-'财富模型'!$E$5-(IF('Calc'!$E$16=1,'财富模型'!$E$9,'财富模型'!$M$8+IF(Calc!$AG$183&lt;='财富模型'!$E$11*12,'Calc'!$W$16,'Calc'!$Y$16)-(IF('Calc'!$E$16=1,0,MIN(Calc!$AI$182*(1+'财富模型'!$E$20/12)+'Calc'!$B$6,IF(Calc!$AG$183&lt;='财富模型'!$E$11*12,'Calc'!$W$16,'Calc'!$Y$16)))))))</x:f>
      </x:c>
      <x:c r="AM183" t="str">
        <x:f>IF(Calc!$AG$183&gt;'Calc'!$B$8,"",IF('Calc'!$E$16=1,0,MAX(Calc!$AM$182*(1+IF(Calc!$AG$183&lt;='财富模型'!$E$11*12,'财富模型'!$E$10,'财富模型'!$E$12)/12)-IF('Calc'!$E$16=1,0,IF(Calc!$AG$183&lt;='财富模型'!$E$11*12,'Calc'!$W$16,'Calc'!$Y$16)),0)))</x:f>
      </x:c>
      <x:c r="AO183" t="n">
        <x:v>162</x:v>
      </x:c>
      <x:c r="AP183" t="str">
        <x:f>IF(Calc!$AO$183&gt;'Calc'!$B$8,"",MAX(Calc!$AP$182*(1+'财富模型'!$E$6/12)+('Calc'!$B$5-'财富模型'!$E$5-(IF('Calc'!$E$17=1,'财富模型'!$E$9,'财富模型'!$M$9+IF(Calc!$AO$183&lt;='财富模型'!$E$11*12,'Calc'!$W$17,'Calc'!$Y$17)-(IF('Calc'!$E$17=1,0,MIN(Calc!$AQ$182*(1+'财富模型'!$E$20/12)+'Calc'!$B$6,IF(Calc!$AO$183&lt;='财富模型'!$E$11*12,'Calc'!$W$17,'Calc'!$Y$17))))))),0))</x:f>
      </x:c>
      <x:c r="AQ183" t="str">
        <x:f>IF(Calc!$AO$183&gt;'Calc'!$B$8,"",MAX(Calc!$AQ$182*(1+'财富模型'!$E$20/12)+'Calc'!$B$6-(IF('Calc'!$E$17=1,0,MIN(Calc!$AQ$182*(1+'财富模型'!$E$20/12)+'Calc'!$B$6,IF(Calc!$AO$183&lt;='财富模型'!$E$11*12,'Calc'!$W$17,'Calc'!$Y$17)))),0))</x:f>
      </x:c>
      <x:c r="AR183" t="str">
        <x:f>IF(Calc!$AO$183&gt;'Calc'!$B$8,"",IF('Calc'!$E$17=1,'财富模型'!$E$9,'财富模型'!$M$9+IF(Calc!$AO$183&lt;='财富模型'!$E$11*12,'Calc'!$W$17,'Calc'!$Y$17)-(IF('Calc'!$E$17=1,0,MIN(Calc!$AQ$182*(1+'财富模型'!$E$20/12)+'Calc'!$B$6,IF(Calc!$AO$183&lt;='财富模型'!$E$11*12,'Calc'!$W$17,'Calc'!$Y$17))))))</x:f>
      </x:c>
      <x:c r="AS183" t="str">
        <x:f>IF(Calc!$AO$183&gt;'Calc'!$B$8,"",IF('Calc'!$E$17=1,0,MIN(Calc!$AQ$182*(1+'财富模型'!$E$20/12)+'Calc'!$B$6,IF(Calc!$AO$183&lt;='财富模型'!$E$11*12,'Calc'!$W$17,'Calc'!$Y$17))))</x:f>
      </x:c>
      <x:c r="AT183" t="str">
        <x:f>IF(Calc!$AO$183&gt;'Calc'!$B$8,"",'Calc'!$B$5-'财富模型'!$E$5-(IF('Calc'!$E$17=1,'财富模型'!$E$9,'财富模型'!$M$9+IF(Calc!$AO$183&lt;='财富模型'!$E$11*12,'Calc'!$W$17,'Calc'!$Y$17)-(IF('Calc'!$E$17=1,0,MIN(Calc!$AQ$182*(1+'财富模型'!$E$20/12)+'Calc'!$B$6,IF(Calc!$AO$183&lt;='财富模型'!$E$11*12,'Calc'!$W$17,'Calc'!$Y$17)))))))</x:f>
      </x:c>
      <x:c r="AU183" t="str">
        <x:f>IF(Calc!$AO$183&gt;'Calc'!$B$8,"",IF('Calc'!$E$17=1,0,MAX(Calc!$AU$182*(1+IF(Calc!$AO$183&lt;='财富模型'!$E$11*12,'财富模型'!$E$10,'财富模型'!$E$12)/12)-IF('Calc'!$E$17=1,0,IF(Calc!$AO$183&lt;='财富模型'!$E$11*12,'Calc'!$W$17,'Calc'!$Y$17)),0)))</x:f>
      </x:c>
    </x:row>
    <x:row r="184">
      <x:c r="A184" t="n">
        <x:v>163</x:v>
      </x:c>
      <x:c r="B184" t="str">
        <x:f>IF(Calc!$A$184&gt;'Calc'!$B$8,"",MAX(Calc!$B$183*(1+'财富模型'!$E$6/12)+('Calc'!$B$5-'财富模型'!$E$5-(IF('Calc'!$E$12=1,'财富模型'!$E$9,'财富模型'!$M$4+IF(Calc!$A$184&lt;='财富模型'!$E$11*12,'Calc'!$W$12,'Calc'!$Y$12)-(IF('Calc'!$E$12=1,0,MIN(Calc!$C$183*(1+'财富模型'!$E$20/12)+'Calc'!$B$6,IF(Calc!$A$184&lt;='财富模型'!$E$11*12,'Calc'!$W$12,'Calc'!$Y$12))))))),0))</x:f>
      </x:c>
      <x:c r="C184" t="str">
        <x:f>IF(Calc!$A$184&gt;'Calc'!$B$8,"",MAX(Calc!$C$183*(1+'财富模型'!$E$20/12)+'Calc'!$B$6-(IF('Calc'!$E$12=1,0,MIN(Calc!$C$183*(1+'财富模型'!$E$20/12)+'Calc'!$B$6,IF(Calc!$A$184&lt;='财富模型'!$E$11*12,'Calc'!$W$12,'Calc'!$Y$12)))),0))</x:f>
      </x:c>
      <x:c r="D184" t="str">
        <x:f>IF(Calc!$A$184&gt;'Calc'!$B$8,"",IF('Calc'!$E$12=1,'财富模型'!$E$9,'财富模型'!$M$4+IF(Calc!$A$184&lt;='财富模型'!$E$11*12,'Calc'!$W$12,'Calc'!$Y$12)-(IF('Calc'!$E$12=1,0,MIN(Calc!$C$183*(1+'财富模型'!$E$20/12)+'Calc'!$B$6,IF(Calc!$A$184&lt;='财富模型'!$E$11*12,'Calc'!$W$12,'Calc'!$Y$12))))))</x:f>
      </x:c>
      <x:c r="E184" t="str">
        <x:f>IF(Calc!$A$184&gt;'Calc'!$B$8,"",IF('Calc'!$E$12=1,0,MIN(Calc!$C$183*(1+'财富模型'!$E$20/12)+'Calc'!$B$6,IF(Calc!$A$184&lt;='财富模型'!$E$11*12,'Calc'!$W$12,'Calc'!$Y$12))))</x:f>
      </x:c>
      <x:c r="F184" t="str">
        <x:f>IF(Calc!$A$184&gt;'Calc'!$B$8,"",'Calc'!$B$5-'财富模型'!$E$5-(IF('Calc'!$E$12=1,'财富模型'!$E$9,'财富模型'!$M$4+IF(Calc!$A$184&lt;='财富模型'!$E$11*12,'Calc'!$W$12,'Calc'!$Y$12)-(IF('Calc'!$E$12=1,0,MIN(Calc!$C$183*(1+'财富模型'!$E$20/12)+'Calc'!$B$6,IF(Calc!$A$184&lt;='财富模型'!$E$11*12,'Calc'!$W$12,'Calc'!$Y$12)))))))</x:f>
      </x:c>
      <x:c r="G184" t="str">
        <x:f>IF(Calc!$A$184&gt;'Calc'!$B$8,"",IF('Calc'!$E$12=1,0,MAX(Calc!$G$183*(1+IF(Calc!$A$184&lt;='财富模型'!$E$11*12,'财富模型'!$E$10,'财富模型'!$E$12)/12)-IF('Calc'!$E$12=1,0,IF(Calc!$A$184&lt;='财富模型'!$E$11*12,'Calc'!$W$12,'Calc'!$Y$12)),0)))</x:f>
      </x:c>
      <x:c r="I184" t="n">
        <x:v>163</x:v>
      </x:c>
      <x:c r="J184" t="str">
        <x:f>IF(Calc!$I$184&gt;'Calc'!$B$8,"",MAX(Calc!$J$183*(1+'财富模型'!$E$6/12)+('Calc'!$B$5-'财富模型'!$E$5-(IF('Calc'!$E$13=1,'财富模型'!$E$9,'财富模型'!$M$5+IF(Calc!$I$184&lt;='财富模型'!$E$11*12,'Calc'!$W$13,'Calc'!$Y$13)-(IF('Calc'!$E$13=1,0,MIN(Calc!$K$183*(1+'财富模型'!$E$20/12)+'Calc'!$B$6,IF(Calc!$I$184&lt;='财富模型'!$E$11*12,'Calc'!$W$13,'Calc'!$Y$13))))))),0))</x:f>
      </x:c>
      <x:c r="K184" t="str">
        <x:f>IF(Calc!$I$184&gt;'Calc'!$B$8,"",MAX(Calc!$K$183*(1+'财富模型'!$E$20/12)+'Calc'!$B$6-(IF('Calc'!$E$13=1,0,MIN(Calc!$K$183*(1+'财富模型'!$E$20/12)+'Calc'!$B$6,IF(Calc!$I$184&lt;='财富模型'!$E$11*12,'Calc'!$W$13,'Calc'!$Y$13)))),0))</x:f>
      </x:c>
      <x:c r="L184" t="str">
        <x:f>IF(Calc!$I$184&gt;'Calc'!$B$8,"",IF('Calc'!$E$13=1,'财富模型'!$E$9,'财富模型'!$M$5+IF(Calc!$I$184&lt;='财富模型'!$E$11*12,'Calc'!$W$13,'Calc'!$Y$13)-(IF('Calc'!$E$13=1,0,MIN(Calc!$K$183*(1+'财富模型'!$E$20/12)+'Calc'!$B$6,IF(Calc!$I$184&lt;='财富模型'!$E$11*12,'Calc'!$W$13,'Calc'!$Y$13))))))</x:f>
      </x:c>
      <x:c r="M184" t="str">
        <x:f>IF(Calc!$I$184&gt;'Calc'!$B$8,"",IF('Calc'!$E$13=1,0,MIN(Calc!$K$183*(1+'财富模型'!$E$20/12)+'Calc'!$B$6,IF(Calc!$I$184&lt;='财富模型'!$E$11*12,'Calc'!$W$13,'Calc'!$Y$13))))</x:f>
      </x:c>
      <x:c r="N184" t="str">
        <x:f>IF(Calc!$I$184&gt;'Calc'!$B$8,"",'Calc'!$B$5-'财富模型'!$E$5-(IF('Calc'!$E$13=1,'财富模型'!$E$9,'财富模型'!$M$5+IF(Calc!$I$184&lt;='财富模型'!$E$11*12,'Calc'!$W$13,'Calc'!$Y$13)-(IF('Calc'!$E$13=1,0,MIN(Calc!$K$183*(1+'财富模型'!$E$20/12)+'Calc'!$B$6,IF(Calc!$I$184&lt;='财富模型'!$E$11*12,'Calc'!$W$13,'Calc'!$Y$13)))))))</x:f>
      </x:c>
      <x:c r="O184" t="str">
        <x:f>IF(Calc!$I$184&gt;'Calc'!$B$8,"",IF('Calc'!$E$13=1,0,MAX(Calc!$O$183*(1+IF(Calc!$I$184&lt;='财富模型'!$E$11*12,'财富模型'!$E$10,'财富模型'!$E$12)/12)-IF('Calc'!$E$13=1,0,IF(Calc!$I$184&lt;='财富模型'!$E$11*12,'Calc'!$W$13,'Calc'!$Y$13)),0)))</x:f>
      </x:c>
      <x:c r="Q184" t="n">
        <x:v>163</x:v>
      </x:c>
      <x:c r="R184" t="str">
        <x:f>IF(Calc!$Q$184&gt;'Calc'!$B$8,"",MAX(Calc!$R$183*(1+'财富模型'!$E$6/12)+('Calc'!$B$5-'财富模型'!$E$5-(IF('Calc'!$E$14=1,'财富模型'!$E$9,'财富模型'!$M$6+IF(Calc!$Q$184&lt;='财富模型'!$E$11*12,'Calc'!$W$14,'Calc'!$Y$14)-(IF('Calc'!$E$14=1,0,MIN(Calc!$S$183*(1+'财富模型'!$E$20/12)+'Calc'!$B$6,IF(Calc!$Q$184&lt;='财富模型'!$E$11*12,'Calc'!$W$14,'Calc'!$Y$14))))))),0))</x:f>
      </x:c>
      <x:c r="S184" t="str">
        <x:f>IF(Calc!$Q$184&gt;'Calc'!$B$8,"",MAX(Calc!$S$183*(1+'财富模型'!$E$20/12)+'Calc'!$B$6-(IF('Calc'!$E$14=1,0,MIN(Calc!$S$183*(1+'财富模型'!$E$20/12)+'Calc'!$B$6,IF(Calc!$Q$184&lt;='财富模型'!$E$11*12,'Calc'!$W$14,'Calc'!$Y$14)))),0))</x:f>
      </x:c>
      <x:c r="T184" t="str">
        <x:f>IF(Calc!$Q$184&gt;'Calc'!$B$8,"",IF('Calc'!$E$14=1,'财富模型'!$E$9,'财富模型'!$M$6+IF(Calc!$Q$184&lt;='财富模型'!$E$11*12,'Calc'!$W$14,'Calc'!$Y$14)-(IF('Calc'!$E$14=1,0,MIN(Calc!$S$183*(1+'财富模型'!$E$20/12)+'Calc'!$B$6,IF(Calc!$Q$184&lt;='财富模型'!$E$11*12,'Calc'!$W$14,'Calc'!$Y$14))))))</x:f>
      </x:c>
      <x:c r="U184" t="str">
        <x:f>IF(Calc!$Q$184&gt;'Calc'!$B$8,"",IF('Calc'!$E$14=1,0,MIN(Calc!$S$183*(1+'财富模型'!$E$20/12)+'Calc'!$B$6,IF(Calc!$Q$184&lt;='财富模型'!$E$11*12,'Calc'!$W$14,'Calc'!$Y$14))))</x:f>
      </x:c>
      <x:c r="V184" t="str">
        <x:f>IF(Calc!$Q$184&gt;'Calc'!$B$8,"",'Calc'!$B$5-'财富模型'!$E$5-(IF('Calc'!$E$14=1,'财富模型'!$E$9,'财富模型'!$M$6+IF(Calc!$Q$184&lt;='财富模型'!$E$11*12,'Calc'!$W$14,'Calc'!$Y$14)-(IF('Calc'!$E$14=1,0,MIN(Calc!$S$183*(1+'财富模型'!$E$20/12)+'Calc'!$B$6,IF(Calc!$Q$184&lt;='财富模型'!$E$11*12,'Calc'!$W$14,'Calc'!$Y$14)))))))</x:f>
      </x:c>
      <x:c r="W184" t="str">
        <x:f>IF(Calc!$Q$184&gt;'Calc'!$B$8,"",IF('Calc'!$E$14=1,0,MAX(Calc!$W$183*(1+IF(Calc!$Q$184&lt;='财富模型'!$E$11*12,'财富模型'!$E$10,'财富模型'!$E$12)/12)-IF('Calc'!$E$14=1,0,IF(Calc!$Q$184&lt;='财富模型'!$E$11*12,'Calc'!$W$14,'Calc'!$Y$14)),0)))</x:f>
      </x:c>
      <x:c r="Y184" t="n">
        <x:v>163</x:v>
      </x:c>
      <x:c r="Z184" t="str">
        <x:f>IF(Calc!$Y$184&gt;'Calc'!$B$8,"",MAX(Calc!$Z$183*(1+'财富模型'!$E$6/12)+('Calc'!$B$5-'财富模型'!$E$5-(IF('Calc'!$E$15=1,'财富模型'!$E$9,'财富模型'!$M$7+IF(Calc!$Y$184&lt;='财富模型'!$E$11*12,'Calc'!$W$15,'Calc'!$Y$15)-(IF('Calc'!$E$15=1,0,MIN(Calc!$AA$183*(1+'财富模型'!$E$20/12)+'Calc'!$B$6,IF(Calc!$Y$184&lt;='财富模型'!$E$11*12,'Calc'!$W$15,'Calc'!$Y$15))))))),0))</x:f>
      </x:c>
      <x:c r="AA184" t="str">
        <x:f>IF(Calc!$Y$184&gt;'Calc'!$B$8,"",MAX(Calc!$AA$183*(1+'财富模型'!$E$20/12)+'Calc'!$B$6-(IF('Calc'!$E$15=1,0,MIN(Calc!$AA$183*(1+'财富模型'!$E$20/12)+'Calc'!$B$6,IF(Calc!$Y$184&lt;='财富模型'!$E$11*12,'Calc'!$W$15,'Calc'!$Y$15)))),0))</x:f>
      </x:c>
      <x:c r="AB184" t="str">
        <x:f>IF(Calc!$Y$184&gt;'Calc'!$B$8,"",IF('Calc'!$E$15=1,'财富模型'!$E$9,'财富模型'!$M$7+IF(Calc!$Y$184&lt;='财富模型'!$E$11*12,'Calc'!$W$15,'Calc'!$Y$15)-(IF('Calc'!$E$15=1,0,MIN(Calc!$AA$183*(1+'财富模型'!$E$20/12)+'Calc'!$B$6,IF(Calc!$Y$184&lt;='财富模型'!$E$11*12,'Calc'!$W$15,'Calc'!$Y$15))))))</x:f>
      </x:c>
      <x:c r="AC184" t="str">
        <x:f>IF(Calc!$Y$184&gt;'Calc'!$B$8,"",IF('Calc'!$E$15=1,0,MIN(Calc!$AA$183*(1+'财富模型'!$E$20/12)+'Calc'!$B$6,IF(Calc!$Y$184&lt;='财富模型'!$E$11*12,'Calc'!$W$15,'Calc'!$Y$15))))</x:f>
      </x:c>
      <x:c r="AD184" t="str">
        <x:f>IF(Calc!$Y$184&gt;'Calc'!$B$8,"",'Calc'!$B$5-'财富模型'!$E$5-(IF('Calc'!$E$15=1,'财富模型'!$E$9,'财富模型'!$M$7+IF(Calc!$Y$184&lt;='财富模型'!$E$11*12,'Calc'!$W$15,'Calc'!$Y$15)-(IF('Calc'!$E$15=1,0,MIN(Calc!$AA$183*(1+'财富模型'!$E$20/12)+'Calc'!$B$6,IF(Calc!$Y$184&lt;='财富模型'!$E$11*12,'Calc'!$W$15,'Calc'!$Y$15)))))))</x:f>
      </x:c>
      <x:c r="AE184" t="str">
        <x:f>IF(Calc!$Y$184&gt;'Calc'!$B$8,"",IF('Calc'!$E$15=1,0,MAX(Calc!$AE$183*(1+IF(Calc!$Y$184&lt;='财富模型'!$E$11*12,'财富模型'!$E$10,'财富模型'!$E$12)/12)-IF('Calc'!$E$15=1,0,IF(Calc!$Y$184&lt;='财富模型'!$E$11*12,'Calc'!$W$15,'Calc'!$Y$15)),0)))</x:f>
      </x:c>
      <x:c r="AG184" t="n">
        <x:v>163</x:v>
      </x:c>
      <x:c r="AH184" t="str">
        <x:f>IF(Calc!$AG$184&gt;'Calc'!$B$8,"",MAX(Calc!$AH$183*(1+'财富模型'!$E$6/12)+('Calc'!$B$5-'财富模型'!$E$5-(IF('Calc'!$E$16=1,'财富模型'!$E$9,'财富模型'!$M$8+IF(Calc!$AG$184&lt;='财富模型'!$E$11*12,'Calc'!$W$16,'Calc'!$Y$16)-(IF('Calc'!$E$16=1,0,MIN(Calc!$AI$183*(1+'财富模型'!$E$20/12)+'Calc'!$B$6,IF(Calc!$AG$184&lt;='财富模型'!$E$11*12,'Calc'!$W$16,'Calc'!$Y$16))))))),0))</x:f>
      </x:c>
      <x:c r="AI184" t="str">
        <x:f>IF(Calc!$AG$184&gt;'Calc'!$B$8,"",MAX(Calc!$AI$183*(1+'财富模型'!$E$20/12)+'Calc'!$B$6-(IF('Calc'!$E$16=1,0,MIN(Calc!$AI$183*(1+'财富模型'!$E$20/12)+'Calc'!$B$6,IF(Calc!$AG$184&lt;='财富模型'!$E$11*12,'Calc'!$W$16,'Calc'!$Y$16)))),0))</x:f>
      </x:c>
      <x:c r="AJ184" t="str">
        <x:f>IF(Calc!$AG$184&gt;'Calc'!$B$8,"",IF('Calc'!$E$16=1,'财富模型'!$E$9,'财富模型'!$M$8+IF(Calc!$AG$184&lt;='财富模型'!$E$11*12,'Calc'!$W$16,'Calc'!$Y$16)-(IF('Calc'!$E$16=1,0,MIN(Calc!$AI$183*(1+'财富模型'!$E$20/12)+'Calc'!$B$6,IF(Calc!$AG$184&lt;='财富模型'!$E$11*12,'Calc'!$W$16,'Calc'!$Y$16))))))</x:f>
      </x:c>
      <x:c r="AK184" t="str">
        <x:f>IF(Calc!$AG$184&gt;'Calc'!$B$8,"",IF('Calc'!$E$16=1,0,MIN(Calc!$AI$183*(1+'财富模型'!$E$20/12)+'Calc'!$B$6,IF(Calc!$AG$184&lt;='财富模型'!$E$11*12,'Calc'!$W$16,'Calc'!$Y$16))))</x:f>
      </x:c>
      <x:c r="AL184" t="str">
        <x:f>IF(Calc!$AG$184&gt;'Calc'!$B$8,"",'Calc'!$B$5-'财富模型'!$E$5-(IF('Calc'!$E$16=1,'财富模型'!$E$9,'财富模型'!$M$8+IF(Calc!$AG$184&lt;='财富模型'!$E$11*12,'Calc'!$W$16,'Calc'!$Y$16)-(IF('Calc'!$E$16=1,0,MIN(Calc!$AI$183*(1+'财富模型'!$E$20/12)+'Calc'!$B$6,IF(Calc!$AG$184&lt;='财富模型'!$E$11*12,'Calc'!$W$16,'Calc'!$Y$16)))))))</x:f>
      </x:c>
      <x:c r="AM184" t="str">
        <x:f>IF(Calc!$AG$184&gt;'Calc'!$B$8,"",IF('Calc'!$E$16=1,0,MAX(Calc!$AM$183*(1+IF(Calc!$AG$184&lt;='财富模型'!$E$11*12,'财富模型'!$E$10,'财富模型'!$E$12)/12)-IF('Calc'!$E$16=1,0,IF(Calc!$AG$184&lt;='财富模型'!$E$11*12,'Calc'!$W$16,'Calc'!$Y$16)),0)))</x:f>
      </x:c>
      <x:c r="AO184" t="n">
        <x:v>163</x:v>
      </x:c>
      <x:c r="AP184" t="str">
        <x:f>IF(Calc!$AO$184&gt;'Calc'!$B$8,"",MAX(Calc!$AP$183*(1+'财富模型'!$E$6/12)+('Calc'!$B$5-'财富模型'!$E$5-(IF('Calc'!$E$17=1,'财富模型'!$E$9,'财富模型'!$M$9+IF(Calc!$AO$184&lt;='财富模型'!$E$11*12,'Calc'!$W$17,'Calc'!$Y$17)-(IF('Calc'!$E$17=1,0,MIN(Calc!$AQ$183*(1+'财富模型'!$E$20/12)+'Calc'!$B$6,IF(Calc!$AO$184&lt;='财富模型'!$E$11*12,'Calc'!$W$17,'Calc'!$Y$17))))))),0))</x:f>
      </x:c>
      <x:c r="AQ184" t="str">
        <x:f>IF(Calc!$AO$184&gt;'Calc'!$B$8,"",MAX(Calc!$AQ$183*(1+'财富模型'!$E$20/12)+'Calc'!$B$6-(IF('Calc'!$E$17=1,0,MIN(Calc!$AQ$183*(1+'财富模型'!$E$20/12)+'Calc'!$B$6,IF(Calc!$AO$184&lt;='财富模型'!$E$11*12,'Calc'!$W$17,'Calc'!$Y$17)))),0))</x:f>
      </x:c>
      <x:c r="AR184" t="str">
        <x:f>IF(Calc!$AO$184&gt;'Calc'!$B$8,"",IF('Calc'!$E$17=1,'财富模型'!$E$9,'财富模型'!$M$9+IF(Calc!$AO$184&lt;='财富模型'!$E$11*12,'Calc'!$W$17,'Calc'!$Y$17)-(IF('Calc'!$E$17=1,0,MIN(Calc!$AQ$183*(1+'财富模型'!$E$20/12)+'Calc'!$B$6,IF(Calc!$AO$184&lt;='财富模型'!$E$11*12,'Calc'!$W$17,'Calc'!$Y$17))))))</x:f>
      </x:c>
      <x:c r="AS184" t="str">
        <x:f>IF(Calc!$AO$184&gt;'Calc'!$B$8,"",IF('Calc'!$E$17=1,0,MIN(Calc!$AQ$183*(1+'财富模型'!$E$20/12)+'Calc'!$B$6,IF(Calc!$AO$184&lt;='财富模型'!$E$11*12,'Calc'!$W$17,'Calc'!$Y$17))))</x:f>
      </x:c>
      <x:c r="AT184" t="str">
        <x:f>IF(Calc!$AO$184&gt;'Calc'!$B$8,"",'Calc'!$B$5-'财富模型'!$E$5-(IF('Calc'!$E$17=1,'财富模型'!$E$9,'财富模型'!$M$9+IF(Calc!$AO$184&lt;='财富模型'!$E$11*12,'Calc'!$W$17,'Calc'!$Y$17)-(IF('Calc'!$E$17=1,0,MIN(Calc!$AQ$183*(1+'财富模型'!$E$20/12)+'Calc'!$B$6,IF(Calc!$AO$184&lt;='财富模型'!$E$11*12,'Calc'!$W$17,'Calc'!$Y$17)))))))</x:f>
      </x:c>
      <x:c r="AU184" t="str">
        <x:f>IF(Calc!$AO$184&gt;'Calc'!$B$8,"",IF('Calc'!$E$17=1,0,MAX(Calc!$AU$183*(1+IF(Calc!$AO$184&lt;='财富模型'!$E$11*12,'财富模型'!$E$10,'财富模型'!$E$12)/12)-IF('Calc'!$E$17=1,0,IF(Calc!$AO$184&lt;='财富模型'!$E$11*12,'Calc'!$W$17,'Calc'!$Y$17)),0)))</x:f>
      </x:c>
    </x:row>
    <x:row r="185">
      <x:c r="A185" t="n">
        <x:v>164</x:v>
      </x:c>
      <x:c r="B185" t="str">
        <x:f>IF(Calc!$A$185&gt;'Calc'!$B$8,"",MAX(Calc!$B$184*(1+'财富模型'!$E$6/12)+('Calc'!$B$5-'财富模型'!$E$5-(IF('Calc'!$E$12=1,'财富模型'!$E$9,'财富模型'!$M$4+IF(Calc!$A$185&lt;='财富模型'!$E$11*12,'Calc'!$W$12,'Calc'!$Y$12)-(IF('Calc'!$E$12=1,0,MIN(Calc!$C$184*(1+'财富模型'!$E$20/12)+'Calc'!$B$6,IF(Calc!$A$185&lt;='财富模型'!$E$11*12,'Calc'!$W$12,'Calc'!$Y$12))))))),0))</x:f>
      </x:c>
      <x:c r="C185" t="str">
        <x:f>IF(Calc!$A$185&gt;'Calc'!$B$8,"",MAX(Calc!$C$184*(1+'财富模型'!$E$20/12)+'Calc'!$B$6-(IF('Calc'!$E$12=1,0,MIN(Calc!$C$184*(1+'财富模型'!$E$20/12)+'Calc'!$B$6,IF(Calc!$A$185&lt;='财富模型'!$E$11*12,'Calc'!$W$12,'Calc'!$Y$12)))),0))</x:f>
      </x:c>
      <x:c r="D185" t="str">
        <x:f>IF(Calc!$A$185&gt;'Calc'!$B$8,"",IF('Calc'!$E$12=1,'财富模型'!$E$9,'财富模型'!$M$4+IF(Calc!$A$185&lt;='财富模型'!$E$11*12,'Calc'!$W$12,'Calc'!$Y$12)-(IF('Calc'!$E$12=1,0,MIN(Calc!$C$184*(1+'财富模型'!$E$20/12)+'Calc'!$B$6,IF(Calc!$A$185&lt;='财富模型'!$E$11*12,'Calc'!$W$12,'Calc'!$Y$12))))))</x:f>
      </x:c>
      <x:c r="E185" t="str">
        <x:f>IF(Calc!$A$185&gt;'Calc'!$B$8,"",IF('Calc'!$E$12=1,0,MIN(Calc!$C$184*(1+'财富模型'!$E$20/12)+'Calc'!$B$6,IF(Calc!$A$185&lt;='财富模型'!$E$11*12,'Calc'!$W$12,'Calc'!$Y$12))))</x:f>
      </x:c>
      <x:c r="F185" t="str">
        <x:f>IF(Calc!$A$185&gt;'Calc'!$B$8,"",'Calc'!$B$5-'财富模型'!$E$5-(IF('Calc'!$E$12=1,'财富模型'!$E$9,'财富模型'!$M$4+IF(Calc!$A$185&lt;='财富模型'!$E$11*12,'Calc'!$W$12,'Calc'!$Y$12)-(IF('Calc'!$E$12=1,0,MIN(Calc!$C$184*(1+'财富模型'!$E$20/12)+'Calc'!$B$6,IF(Calc!$A$185&lt;='财富模型'!$E$11*12,'Calc'!$W$12,'Calc'!$Y$12)))))))</x:f>
      </x:c>
      <x:c r="G185" t="str">
        <x:f>IF(Calc!$A$185&gt;'Calc'!$B$8,"",IF('Calc'!$E$12=1,0,MAX(Calc!$G$184*(1+IF(Calc!$A$185&lt;='财富模型'!$E$11*12,'财富模型'!$E$10,'财富模型'!$E$12)/12)-IF('Calc'!$E$12=1,0,IF(Calc!$A$185&lt;='财富模型'!$E$11*12,'Calc'!$W$12,'Calc'!$Y$12)),0)))</x:f>
      </x:c>
      <x:c r="I185" t="n">
        <x:v>164</x:v>
      </x:c>
      <x:c r="J185" t="str">
        <x:f>IF(Calc!$I$185&gt;'Calc'!$B$8,"",MAX(Calc!$J$184*(1+'财富模型'!$E$6/12)+('Calc'!$B$5-'财富模型'!$E$5-(IF('Calc'!$E$13=1,'财富模型'!$E$9,'财富模型'!$M$5+IF(Calc!$I$185&lt;='财富模型'!$E$11*12,'Calc'!$W$13,'Calc'!$Y$13)-(IF('Calc'!$E$13=1,0,MIN(Calc!$K$184*(1+'财富模型'!$E$20/12)+'Calc'!$B$6,IF(Calc!$I$185&lt;='财富模型'!$E$11*12,'Calc'!$W$13,'Calc'!$Y$13))))))),0))</x:f>
      </x:c>
      <x:c r="K185" t="str">
        <x:f>IF(Calc!$I$185&gt;'Calc'!$B$8,"",MAX(Calc!$K$184*(1+'财富模型'!$E$20/12)+'Calc'!$B$6-(IF('Calc'!$E$13=1,0,MIN(Calc!$K$184*(1+'财富模型'!$E$20/12)+'Calc'!$B$6,IF(Calc!$I$185&lt;='财富模型'!$E$11*12,'Calc'!$W$13,'Calc'!$Y$13)))),0))</x:f>
      </x:c>
      <x:c r="L185" t="str">
        <x:f>IF(Calc!$I$185&gt;'Calc'!$B$8,"",IF('Calc'!$E$13=1,'财富模型'!$E$9,'财富模型'!$M$5+IF(Calc!$I$185&lt;='财富模型'!$E$11*12,'Calc'!$W$13,'Calc'!$Y$13)-(IF('Calc'!$E$13=1,0,MIN(Calc!$K$184*(1+'财富模型'!$E$20/12)+'Calc'!$B$6,IF(Calc!$I$185&lt;='财富模型'!$E$11*12,'Calc'!$W$13,'Calc'!$Y$13))))))</x:f>
      </x:c>
      <x:c r="M185" t="str">
        <x:f>IF(Calc!$I$185&gt;'Calc'!$B$8,"",IF('Calc'!$E$13=1,0,MIN(Calc!$K$184*(1+'财富模型'!$E$20/12)+'Calc'!$B$6,IF(Calc!$I$185&lt;='财富模型'!$E$11*12,'Calc'!$W$13,'Calc'!$Y$13))))</x:f>
      </x:c>
      <x:c r="N185" t="str">
        <x:f>IF(Calc!$I$185&gt;'Calc'!$B$8,"",'Calc'!$B$5-'财富模型'!$E$5-(IF('Calc'!$E$13=1,'财富模型'!$E$9,'财富模型'!$M$5+IF(Calc!$I$185&lt;='财富模型'!$E$11*12,'Calc'!$W$13,'Calc'!$Y$13)-(IF('Calc'!$E$13=1,0,MIN(Calc!$K$184*(1+'财富模型'!$E$20/12)+'Calc'!$B$6,IF(Calc!$I$185&lt;='财富模型'!$E$11*12,'Calc'!$W$13,'Calc'!$Y$13)))))))</x:f>
      </x:c>
      <x:c r="O185" t="str">
        <x:f>IF(Calc!$I$185&gt;'Calc'!$B$8,"",IF('Calc'!$E$13=1,0,MAX(Calc!$O$184*(1+IF(Calc!$I$185&lt;='财富模型'!$E$11*12,'财富模型'!$E$10,'财富模型'!$E$12)/12)-IF('Calc'!$E$13=1,0,IF(Calc!$I$185&lt;='财富模型'!$E$11*12,'Calc'!$W$13,'Calc'!$Y$13)),0)))</x:f>
      </x:c>
      <x:c r="Q185" t="n">
        <x:v>164</x:v>
      </x:c>
      <x:c r="R185" t="str">
        <x:f>IF(Calc!$Q$185&gt;'Calc'!$B$8,"",MAX(Calc!$R$184*(1+'财富模型'!$E$6/12)+('Calc'!$B$5-'财富模型'!$E$5-(IF('Calc'!$E$14=1,'财富模型'!$E$9,'财富模型'!$M$6+IF(Calc!$Q$185&lt;='财富模型'!$E$11*12,'Calc'!$W$14,'Calc'!$Y$14)-(IF('Calc'!$E$14=1,0,MIN(Calc!$S$184*(1+'财富模型'!$E$20/12)+'Calc'!$B$6,IF(Calc!$Q$185&lt;='财富模型'!$E$11*12,'Calc'!$W$14,'Calc'!$Y$14))))))),0))</x:f>
      </x:c>
      <x:c r="S185" t="str">
        <x:f>IF(Calc!$Q$185&gt;'Calc'!$B$8,"",MAX(Calc!$S$184*(1+'财富模型'!$E$20/12)+'Calc'!$B$6-(IF('Calc'!$E$14=1,0,MIN(Calc!$S$184*(1+'财富模型'!$E$20/12)+'Calc'!$B$6,IF(Calc!$Q$185&lt;='财富模型'!$E$11*12,'Calc'!$W$14,'Calc'!$Y$14)))),0))</x:f>
      </x:c>
      <x:c r="T185" t="str">
        <x:f>IF(Calc!$Q$185&gt;'Calc'!$B$8,"",IF('Calc'!$E$14=1,'财富模型'!$E$9,'财富模型'!$M$6+IF(Calc!$Q$185&lt;='财富模型'!$E$11*12,'Calc'!$W$14,'Calc'!$Y$14)-(IF('Calc'!$E$14=1,0,MIN(Calc!$S$184*(1+'财富模型'!$E$20/12)+'Calc'!$B$6,IF(Calc!$Q$185&lt;='财富模型'!$E$11*12,'Calc'!$W$14,'Calc'!$Y$14))))))</x:f>
      </x:c>
      <x:c r="U185" t="str">
        <x:f>IF(Calc!$Q$185&gt;'Calc'!$B$8,"",IF('Calc'!$E$14=1,0,MIN(Calc!$S$184*(1+'财富模型'!$E$20/12)+'Calc'!$B$6,IF(Calc!$Q$185&lt;='财富模型'!$E$11*12,'Calc'!$W$14,'Calc'!$Y$14))))</x:f>
      </x:c>
      <x:c r="V185" t="str">
        <x:f>IF(Calc!$Q$185&gt;'Calc'!$B$8,"",'Calc'!$B$5-'财富模型'!$E$5-(IF('Calc'!$E$14=1,'财富模型'!$E$9,'财富模型'!$M$6+IF(Calc!$Q$185&lt;='财富模型'!$E$11*12,'Calc'!$W$14,'Calc'!$Y$14)-(IF('Calc'!$E$14=1,0,MIN(Calc!$S$184*(1+'财富模型'!$E$20/12)+'Calc'!$B$6,IF(Calc!$Q$185&lt;='财富模型'!$E$11*12,'Calc'!$W$14,'Calc'!$Y$14)))))))</x:f>
      </x:c>
      <x:c r="W185" t="str">
        <x:f>IF(Calc!$Q$185&gt;'Calc'!$B$8,"",IF('Calc'!$E$14=1,0,MAX(Calc!$W$184*(1+IF(Calc!$Q$185&lt;='财富模型'!$E$11*12,'财富模型'!$E$10,'财富模型'!$E$12)/12)-IF('Calc'!$E$14=1,0,IF(Calc!$Q$185&lt;='财富模型'!$E$11*12,'Calc'!$W$14,'Calc'!$Y$14)),0)))</x:f>
      </x:c>
      <x:c r="Y185" t="n">
        <x:v>164</x:v>
      </x:c>
      <x:c r="Z185" t="str">
        <x:f>IF(Calc!$Y$185&gt;'Calc'!$B$8,"",MAX(Calc!$Z$184*(1+'财富模型'!$E$6/12)+('Calc'!$B$5-'财富模型'!$E$5-(IF('Calc'!$E$15=1,'财富模型'!$E$9,'财富模型'!$M$7+IF(Calc!$Y$185&lt;='财富模型'!$E$11*12,'Calc'!$W$15,'Calc'!$Y$15)-(IF('Calc'!$E$15=1,0,MIN(Calc!$AA$184*(1+'财富模型'!$E$20/12)+'Calc'!$B$6,IF(Calc!$Y$185&lt;='财富模型'!$E$11*12,'Calc'!$W$15,'Calc'!$Y$15))))))),0))</x:f>
      </x:c>
      <x:c r="AA185" t="str">
        <x:f>IF(Calc!$Y$185&gt;'Calc'!$B$8,"",MAX(Calc!$AA$184*(1+'财富模型'!$E$20/12)+'Calc'!$B$6-(IF('Calc'!$E$15=1,0,MIN(Calc!$AA$184*(1+'财富模型'!$E$20/12)+'Calc'!$B$6,IF(Calc!$Y$185&lt;='财富模型'!$E$11*12,'Calc'!$W$15,'Calc'!$Y$15)))),0))</x:f>
      </x:c>
      <x:c r="AB185" t="str">
        <x:f>IF(Calc!$Y$185&gt;'Calc'!$B$8,"",IF('Calc'!$E$15=1,'财富模型'!$E$9,'财富模型'!$M$7+IF(Calc!$Y$185&lt;='财富模型'!$E$11*12,'Calc'!$W$15,'Calc'!$Y$15)-(IF('Calc'!$E$15=1,0,MIN(Calc!$AA$184*(1+'财富模型'!$E$20/12)+'Calc'!$B$6,IF(Calc!$Y$185&lt;='财富模型'!$E$11*12,'Calc'!$W$15,'Calc'!$Y$15))))))</x:f>
      </x:c>
      <x:c r="AC185" t="str">
        <x:f>IF(Calc!$Y$185&gt;'Calc'!$B$8,"",IF('Calc'!$E$15=1,0,MIN(Calc!$AA$184*(1+'财富模型'!$E$20/12)+'Calc'!$B$6,IF(Calc!$Y$185&lt;='财富模型'!$E$11*12,'Calc'!$W$15,'Calc'!$Y$15))))</x:f>
      </x:c>
      <x:c r="AD185" t="str">
        <x:f>IF(Calc!$Y$185&gt;'Calc'!$B$8,"",'Calc'!$B$5-'财富模型'!$E$5-(IF('Calc'!$E$15=1,'财富模型'!$E$9,'财富模型'!$M$7+IF(Calc!$Y$185&lt;='财富模型'!$E$11*12,'Calc'!$W$15,'Calc'!$Y$15)-(IF('Calc'!$E$15=1,0,MIN(Calc!$AA$184*(1+'财富模型'!$E$20/12)+'Calc'!$B$6,IF(Calc!$Y$185&lt;='财富模型'!$E$11*12,'Calc'!$W$15,'Calc'!$Y$15)))))))</x:f>
      </x:c>
      <x:c r="AE185" t="str">
        <x:f>IF(Calc!$Y$185&gt;'Calc'!$B$8,"",IF('Calc'!$E$15=1,0,MAX(Calc!$AE$184*(1+IF(Calc!$Y$185&lt;='财富模型'!$E$11*12,'财富模型'!$E$10,'财富模型'!$E$12)/12)-IF('Calc'!$E$15=1,0,IF(Calc!$Y$185&lt;='财富模型'!$E$11*12,'Calc'!$W$15,'Calc'!$Y$15)),0)))</x:f>
      </x:c>
      <x:c r="AG185" t="n">
        <x:v>164</x:v>
      </x:c>
      <x:c r="AH185" t="str">
        <x:f>IF(Calc!$AG$185&gt;'Calc'!$B$8,"",MAX(Calc!$AH$184*(1+'财富模型'!$E$6/12)+('Calc'!$B$5-'财富模型'!$E$5-(IF('Calc'!$E$16=1,'财富模型'!$E$9,'财富模型'!$M$8+IF(Calc!$AG$185&lt;='财富模型'!$E$11*12,'Calc'!$W$16,'Calc'!$Y$16)-(IF('Calc'!$E$16=1,0,MIN(Calc!$AI$184*(1+'财富模型'!$E$20/12)+'Calc'!$B$6,IF(Calc!$AG$185&lt;='财富模型'!$E$11*12,'Calc'!$W$16,'Calc'!$Y$16))))))),0))</x:f>
      </x:c>
      <x:c r="AI185" t="str">
        <x:f>IF(Calc!$AG$185&gt;'Calc'!$B$8,"",MAX(Calc!$AI$184*(1+'财富模型'!$E$20/12)+'Calc'!$B$6-(IF('Calc'!$E$16=1,0,MIN(Calc!$AI$184*(1+'财富模型'!$E$20/12)+'Calc'!$B$6,IF(Calc!$AG$185&lt;='财富模型'!$E$11*12,'Calc'!$W$16,'Calc'!$Y$16)))),0))</x:f>
      </x:c>
      <x:c r="AJ185" t="str">
        <x:f>IF(Calc!$AG$185&gt;'Calc'!$B$8,"",IF('Calc'!$E$16=1,'财富模型'!$E$9,'财富模型'!$M$8+IF(Calc!$AG$185&lt;='财富模型'!$E$11*12,'Calc'!$W$16,'Calc'!$Y$16)-(IF('Calc'!$E$16=1,0,MIN(Calc!$AI$184*(1+'财富模型'!$E$20/12)+'Calc'!$B$6,IF(Calc!$AG$185&lt;='财富模型'!$E$11*12,'Calc'!$W$16,'Calc'!$Y$16))))))</x:f>
      </x:c>
      <x:c r="AK185" t="str">
        <x:f>IF(Calc!$AG$185&gt;'Calc'!$B$8,"",IF('Calc'!$E$16=1,0,MIN(Calc!$AI$184*(1+'财富模型'!$E$20/12)+'Calc'!$B$6,IF(Calc!$AG$185&lt;='财富模型'!$E$11*12,'Calc'!$W$16,'Calc'!$Y$16))))</x:f>
      </x:c>
      <x:c r="AL185" t="str">
        <x:f>IF(Calc!$AG$185&gt;'Calc'!$B$8,"",'Calc'!$B$5-'财富模型'!$E$5-(IF('Calc'!$E$16=1,'财富模型'!$E$9,'财富模型'!$M$8+IF(Calc!$AG$185&lt;='财富模型'!$E$11*12,'Calc'!$W$16,'Calc'!$Y$16)-(IF('Calc'!$E$16=1,0,MIN(Calc!$AI$184*(1+'财富模型'!$E$20/12)+'Calc'!$B$6,IF(Calc!$AG$185&lt;='财富模型'!$E$11*12,'Calc'!$W$16,'Calc'!$Y$16)))))))</x:f>
      </x:c>
      <x:c r="AM185" t="str">
        <x:f>IF(Calc!$AG$185&gt;'Calc'!$B$8,"",IF('Calc'!$E$16=1,0,MAX(Calc!$AM$184*(1+IF(Calc!$AG$185&lt;='财富模型'!$E$11*12,'财富模型'!$E$10,'财富模型'!$E$12)/12)-IF('Calc'!$E$16=1,0,IF(Calc!$AG$185&lt;='财富模型'!$E$11*12,'Calc'!$W$16,'Calc'!$Y$16)),0)))</x:f>
      </x:c>
      <x:c r="AO185" t="n">
        <x:v>164</x:v>
      </x:c>
      <x:c r="AP185" t="str">
        <x:f>IF(Calc!$AO$185&gt;'Calc'!$B$8,"",MAX(Calc!$AP$184*(1+'财富模型'!$E$6/12)+('Calc'!$B$5-'财富模型'!$E$5-(IF('Calc'!$E$17=1,'财富模型'!$E$9,'财富模型'!$M$9+IF(Calc!$AO$185&lt;='财富模型'!$E$11*12,'Calc'!$W$17,'Calc'!$Y$17)-(IF('Calc'!$E$17=1,0,MIN(Calc!$AQ$184*(1+'财富模型'!$E$20/12)+'Calc'!$B$6,IF(Calc!$AO$185&lt;='财富模型'!$E$11*12,'Calc'!$W$17,'Calc'!$Y$17))))))),0))</x:f>
      </x:c>
      <x:c r="AQ185" t="str">
        <x:f>IF(Calc!$AO$185&gt;'Calc'!$B$8,"",MAX(Calc!$AQ$184*(1+'财富模型'!$E$20/12)+'Calc'!$B$6-(IF('Calc'!$E$17=1,0,MIN(Calc!$AQ$184*(1+'财富模型'!$E$20/12)+'Calc'!$B$6,IF(Calc!$AO$185&lt;='财富模型'!$E$11*12,'Calc'!$W$17,'Calc'!$Y$17)))),0))</x:f>
      </x:c>
      <x:c r="AR185" t="str">
        <x:f>IF(Calc!$AO$185&gt;'Calc'!$B$8,"",IF('Calc'!$E$17=1,'财富模型'!$E$9,'财富模型'!$M$9+IF(Calc!$AO$185&lt;='财富模型'!$E$11*12,'Calc'!$W$17,'Calc'!$Y$17)-(IF('Calc'!$E$17=1,0,MIN(Calc!$AQ$184*(1+'财富模型'!$E$20/12)+'Calc'!$B$6,IF(Calc!$AO$185&lt;='财富模型'!$E$11*12,'Calc'!$W$17,'Calc'!$Y$17))))))</x:f>
      </x:c>
      <x:c r="AS185" t="str">
        <x:f>IF(Calc!$AO$185&gt;'Calc'!$B$8,"",IF('Calc'!$E$17=1,0,MIN(Calc!$AQ$184*(1+'财富模型'!$E$20/12)+'Calc'!$B$6,IF(Calc!$AO$185&lt;='财富模型'!$E$11*12,'Calc'!$W$17,'Calc'!$Y$17))))</x:f>
      </x:c>
      <x:c r="AT185" t="str">
        <x:f>IF(Calc!$AO$185&gt;'Calc'!$B$8,"",'Calc'!$B$5-'财富模型'!$E$5-(IF('Calc'!$E$17=1,'财富模型'!$E$9,'财富模型'!$M$9+IF(Calc!$AO$185&lt;='财富模型'!$E$11*12,'Calc'!$W$17,'Calc'!$Y$17)-(IF('Calc'!$E$17=1,0,MIN(Calc!$AQ$184*(1+'财富模型'!$E$20/12)+'Calc'!$B$6,IF(Calc!$AO$185&lt;='财富模型'!$E$11*12,'Calc'!$W$17,'Calc'!$Y$17)))))))</x:f>
      </x:c>
      <x:c r="AU185" t="str">
        <x:f>IF(Calc!$AO$185&gt;'Calc'!$B$8,"",IF('Calc'!$E$17=1,0,MAX(Calc!$AU$184*(1+IF(Calc!$AO$185&lt;='财富模型'!$E$11*12,'财富模型'!$E$10,'财富模型'!$E$12)/12)-IF('Calc'!$E$17=1,0,IF(Calc!$AO$185&lt;='财富模型'!$E$11*12,'Calc'!$W$17,'Calc'!$Y$17)),0)))</x:f>
      </x:c>
    </x:row>
    <x:row r="186">
      <x:c r="A186" t="n">
        <x:v>165</x:v>
      </x:c>
      <x:c r="B186" t="str">
        <x:f>IF(Calc!$A$186&gt;'Calc'!$B$8,"",MAX(Calc!$B$185*(1+'财富模型'!$E$6/12)+('Calc'!$B$5-'财富模型'!$E$5-(IF('Calc'!$E$12=1,'财富模型'!$E$9,'财富模型'!$M$4+IF(Calc!$A$186&lt;='财富模型'!$E$11*12,'Calc'!$W$12,'Calc'!$Y$12)-(IF('Calc'!$E$12=1,0,MIN(Calc!$C$185*(1+'财富模型'!$E$20/12)+'Calc'!$B$6,IF(Calc!$A$186&lt;='财富模型'!$E$11*12,'Calc'!$W$12,'Calc'!$Y$12))))))),0))</x:f>
      </x:c>
      <x:c r="C186" t="str">
        <x:f>IF(Calc!$A$186&gt;'Calc'!$B$8,"",MAX(Calc!$C$185*(1+'财富模型'!$E$20/12)+'Calc'!$B$6-(IF('Calc'!$E$12=1,0,MIN(Calc!$C$185*(1+'财富模型'!$E$20/12)+'Calc'!$B$6,IF(Calc!$A$186&lt;='财富模型'!$E$11*12,'Calc'!$W$12,'Calc'!$Y$12)))),0))</x:f>
      </x:c>
      <x:c r="D186" t="str">
        <x:f>IF(Calc!$A$186&gt;'Calc'!$B$8,"",IF('Calc'!$E$12=1,'财富模型'!$E$9,'财富模型'!$M$4+IF(Calc!$A$186&lt;='财富模型'!$E$11*12,'Calc'!$W$12,'Calc'!$Y$12)-(IF('Calc'!$E$12=1,0,MIN(Calc!$C$185*(1+'财富模型'!$E$20/12)+'Calc'!$B$6,IF(Calc!$A$186&lt;='财富模型'!$E$11*12,'Calc'!$W$12,'Calc'!$Y$12))))))</x:f>
      </x:c>
      <x:c r="E186" t="str">
        <x:f>IF(Calc!$A$186&gt;'Calc'!$B$8,"",IF('Calc'!$E$12=1,0,MIN(Calc!$C$185*(1+'财富模型'!$E$20/12)+'Calc'!$B$6,IF(Calc!$A$186&lt;='财富模型'!$E$11*12,'Calc'!$W$12,'Calc'!$Y$12))))</x:f>
      </x:c>
      <x:c r="F186" t="str">
        <x:f>IF(Calc!$A$186&gt;'Calc'!$B$8,"",'Calc'!$B$5-'财富模型'!$E$5-(IF('Calc'!$E$12=1,'财富模型'!$E$9,'财富模型'!$M$4+IF(Calc!$A$186&lt;='财富模型'!$E$11*12,'Calc'!$W$12,'Calc'!$Y$12)-(IF('Calc'!$E$12=1,0,MIN(Calc!$C$185*(1+'财富模型'!$E$20/12)+'Calc'!$B$6,IF(Calc!$A$186&lt;='财富模型'!$E$11*12,'Calc'!$W$12,'Calc'!$Y$12)))))))</x:f>
      </x:c>
      <x:c r="G186" t="str">
        <x:f>IF(Calc!$A$186&gt;'Calc'!$B$8,"",IF('Calc'!$E$12=1,0,MAX(Calc!$G$185*(1+IF(Calc!$A$186&lt;='财富模型'!$E$11*12,'财富模型'!$E$10,'财富模型'!$E$12)/12)-IF('Calc'!$E$12=1,0,IF(Calc!$A$186&lt;='财富模型'!$E$11*12,'Calc'!$W$12,'Calc'!$Y$12)),0)))</x:f>
      </x:c>
      <x:c r="I186" t="n">
        <x:v>165</x:v>
      </x:c>
      <x:c r="J186" t="str">
        <x:f>IF(Calc!$I$186&gt;'Calc'!$B$8,"",MAX(Calc!$J$185*(1+'财富模型'!$E$6/12)+('Calc'!$B$5-'财富模型'!$E$5-(IF('Calc'!$E$13=1,'财富模型'!$E$9,'财富模型'!$M$5+IF(Calc!$I$186&lt;='财富模型'!$E$11*12,'Calc'!$W$13,'Calc'!$Y$13)-(IF('Calc'!$E$13=1,0,MIN(Calc!$K$185*(1+'财富模型'!$E$20/12)+'Calc'!$B$6,IF(Calc!$I$186&lt;='财富模型'!$E$11*12,'Calc'!$W$13,'Calc'!$Y$13))))))),0))</x:f>
      </x:c>
      <x:c r="K186" t="str">
        <x:f>IF(Calc!$I$186&gt;'Calc'!$B$8,"",MAX(Calc!$K$185*(1+'财富模型'!$E$20/12)+'Calc'!$B$6-(IF('Calc'!$E$13=1,0,MIN(Calc!$K$185*(1+'财富模型'!$E$20/12)+'Calc'!$B$6,IF(Calc!$I$186&lt;='财富模型'!$E$11*12,'Calc'!$W$13,'Calc'!$Y$13)))),0))</x:f>
      </x:c>
      <x:c r="L186" t="str">
        <x:f>IF(Calc!$I$186&gt;'Calc'!$B$8,"",IF('Calc'!$E$13=1,'财富模型'!$E$9,'财富模型'!$M$5+IF(Calc!$I$186&lt;='财富模型'!$E$11*12,'Calc'!$W$13,'Calc'!$Y$13)-(IF('Calc'!$E$13=1,0,MIN(Calc!$K$185*(1+'财富模型'!$E$20/12)+'Calc'!$B$6,IF(Calc!$I$186&lt;='财富模型'!$E$11*12,'Calc'!$W$13,'Calc'!$Y$13))))))</x:f>
      </x:c>
      <x:c r="M186" t="str">
        <x:f>IF(Calc!$I$186&gt;'Calc'!$B$8,"",IF('Calc'!$E$13=1,0,MIN(Calc!$K$185*(1+'财富模型'!$E$20/12)+'Calc'!$B$6,IF(Calc!$I$186&lt;='财富模型'!$E$11*12,'Calc'!$W$13,'Calc'!$Y$13))))</x:f>
      </x:c>
      <x:c r="N186" t="str">
        <x:f>IF(Calc!$I$186&gt;'Calc'!$B$8,"",'Calc'!$B$5-'财富模型'!$E$5-(IF('Calc'!$E$13=1,'财富模型'!$E$9,'财富模型'!$M$5+IF(Calc!$I$186&lt;='财富模型'!$E$11*12,'Calc'!$W$13,'Calc'!$Y$13)-(IF('Calc'!$E$13=1,0,MIN(Calc!$K$185*(1+'财富模型'!$E$20/12)+'Calc'!$B$6,IF(Calc!$I$186&lt;='财富模型'!$E$11*12,'Calc'!$W$13,'Calc'!$Y$13)))))))</x:f>
      </x:c>
      <x:c r="O186" t="str">
        <x:f>IF(Calc!$I$186&gt;'Calc'!$B$8,"",IF('Calc'!$E$13=1,0,MAX(Calc!$O$185*(1+IF(Calc!$I$186&lt;='财富模型'!$E$11*12,'财富模型'!$E$10,'财富模型'!$E$12)/12)-IF('Calc'!$E$13=1,0,IF(Calc!$I$186&lt;='财富模型'!$E$11*12,'Calc'!$W$13,'Calc'!$Y$13)),0)))</x:f>
      </x:c>
      <x:c r="Q186" t="n">
        <x:v>165</x:v>
      </x:c>
      <x:c r="R186" t="str">
        <x:f>IF(Calc!$Q$186&gt;'Calc'!$B$8,"",MAX(Calc!$R$185*(1+'财富模型'!$E$6/12)+('Calc'!$B$5-'财富模型'!$E$5-(IF('Calc'!$E$14=1,'财富模型'!$E$9,'财富模型'!$M$6+IF(Calc!$Q$186&lt;='财富模型'!$E$11*12,'Calc'!$W$14,'Calc'!$Y$14)-(IF('Calc'!$E$14=1,0,MIN(Calc!$S$185*(1+'财富模型'!$E$20/12)+'Calc'!$B$6,IF(Calc!$Q$186&lt;='财富模型'!$E$11*12,'Calc'!$W$14,'Calc'!$Y$14))))))),0))</x:f>
      </x:c>
      <x:c r="S186" t="str">
        <x:f>IF(Calc!$Q$186&gt;'Calc'!$B$8,"",MAX(Calc!$S$185*(1+'财富模型'!$E$20/12)+'Calc'!$B$6-(IF('Calc'!$E$14=1,0,MIN(Calc!$S$185*(1+'财富模型'!$E$20/12)+'Calc'!$B$6,IF(Calc!$Q$186&lt;='财富模型'!$E$11*12,'Calc'!$W$14,'Calc'!$Y$14)))),0))</x:f>
      </x:c>
      <x:c r="T186" t="str">
        <x:f>IF(Calc!$Q$186&gt;'Calc'!$B$8,"",IF('Calc'!$E$14=1,'财富模型'!$E$9,'财富模型'!$M$6+IF(Calc!$Q$186&lt;='财富模型'!$E$11*12,'Calc'!$W$14,'Calc'!$Y$14)-(IF('Calc'!$E$14=1,0,MIN(Calc!$S$185*(1+'财富模型'!$E$20/12)+'Calc'!$B$6,IF(Calc!$Q$186&lt;='财富模型'!$E$11*12,'Calc'!$W$14,'Calc'!$Y$14))))))</x:f>
      </x:c>
      <x:c r="U186" t="str">
        <x:f>IF(Calc!$Q$186&gt;'Calc'!$B$8,"",IF('Calc'!$E$14=1,0,MIN(Calc!$S$185*(1+'财富模型'!$E$20/12)+'Calc'!$B$6,IF(Calc!$Q$186&lt;='财富模型'!$E$11*12,'Calc'!$W$14,'Calc'!$Y$14))))</x:f>
      </x:c>
      <x:c r="V186" t="str">
        <x:f>IF(Calc!$Q$186&gt;'Calc'!$B$8,"",'Calc'!$B$5-'财富模型'!$E$5-(IF('Calc'!$E$14=1,'财富模型'!$E$9,'财富模型'!$M$6+IF(Calc!$Q$186&lt;='财富模型'!$E$11*12,'Calc'!$W$14,'Calc'!$Y$14)-(IF('Calc'!$E$14=1,0,MIN(Calc!$S$185*(1+'财富模型'!$E$20/12)+'Calc'!$B$6,IF(Calc!$Q$186&lt;='财富模型'!$E$11*12,'Calc'!$W$14,'Calc'!$Y$14)))))))</x:f>
      </x:c>
      <x:c r="W186" t="str">
        <x:f>IF(Calc!$Q$186&gt;'Calc'!$B$8,"",IF('Calc'!$E$14=1,0,MAX(Calc!$W$185*(1+IF(Calc!$Q$186&lt;='财富模型'!$E$11*12,'财富模型'!$E$10,'财富模型'!$E$12)/12)-IF('Calc'!$E$14=1,0,IF(Calc!$Q$186&lt;='财富模型'!$E$11*12,'Calc'!$W$14,'Calc'!$Y$14)),0)))</x:f>
      </x:c>
      <x:c r="Y186" t="n">
        <x:v>165</x:v>
      </x:c>
      <x:c r="Z186" t="str">
        <x:f>IF(Calc!$Y$186&gt;'Calc'!$B$8,"",MAX(Calc!$Z$185*(1+'财富模型'!$E$6/12)+('Calc'!$B$5-'财富模型'!$E$5-(IF('Calc'!$E$15=1,'财富模型'!$E$9,'财富模型'!$M$7+IF(Calc!$Y$186&lt;='财富模型'!$E$11*12,'Calc'!$W$15,'Calc'!$Y$15)-(IF('Calc'!$E$15=1,0,MIN(Calc!$AA$185*(1+'财富模型'!$E$20/12)+'Calc'!$B$6,IF(Calc!$Y$186&lt;='财富模型'!$E$11*12,'Calc'!$W$15,'Calc'!$Y$15))))))),0))</x:f>
      </x:c>
      <x:c r="AA186" t="str">
        <x:f>IF(Calc!$Y$186&gt;'Calc'!$B$8,"",MAX(Calc!$AA$185*(1+'财富模型'!$E$20/12)+'Calc'!$B$6-(IF('Calc'!$E$15=1,0,MIN(Calc!$AA$185*(1+'财富模型'!$E$20/12)+'Calc'!$B$6,IF(Calc!$Y$186&lt;='财富模型'!$E$11*12,'Calc'!$W$15,'Calc'!$Y$15)))),0))</x:f>
      </x:c>
      <x:c r="AB186" t="str">
        <x:f>IF(Calc!$Y$186&gt;'Calc'!$B$8,"",IF('Calc'!$E$15=1,'财富模型'!$E$9,'财富模型'!$M$7+IF(Calc!$Y$186&lt;='财富模型'!$E$11*12,'Calc'!$W$15,'Calc'!$Y$15)-(IF('Calc'!$E$15=1,0,MIN(Calc!$AA$185*(1+'财富模型'!$E$20/12)+'Calc'!$B$6,IF(Calc!$Y$186&lt;='财富模型'!$E$11*12,'Calc'!$W$15,'Calc'!$Y$15))))))</x:f>
      </x:c>
      <x:c r="AC186" t="str">
        <x:f>IF(Calc!$Y$186&gt;'Calc'!$B$8,"",IF('Calc'!$E$15=1,0,MIN(Calc!$AA$185*(1+'财富模型'!$E$20/12)+'Calc'!$B$6,IF(Calc!$Y$186&lt;='财富模型'!$E$11*12,'Calc'!$W$15,'Calc'!$Y$15))))</x:f>
      </x:c>
      <x:c r="AD186" t="str">
        <x:f>IF(Calc!$Y$186&gt;'Calc'!$B$8,"",'Calc'!$B$5-'财富模型'!$E$5-(IF('Calc'!$E$15=1,'财富模型'!$E$9,'财富模型'!$M$7+IF(Calc!$Y$186&lt;='财富模型'!$E$11*12,'Calc'!$W$15,'Calc'!$Y$15)-(IF('Calc'!$E$15=1,0,MIN(Calc!$AA$185*(1+'财富模型'!$E$20/12)+'Calc'!$B$6,IF(Calc!$Y$186&lt;='财富模型'!$E$11*12,'Calc'!$W$15,'Calc'!$Y$15)))))))</x:f>
      </x:c>
      <x:c r="AE186" t="str">
        <x:f>IF(Calc!$Y$186&gt;'Calc'!$B$8,"",IF('Calc'!$E$15=1,0,MAX(Calc!$AE$185*(1+IF(Calc!$Y$186&lt;='财富模型'!$E$11*12,'财富模型'!$E$10,'财富模型'!$E$12)/12)-IF('Calc'!$E$15=1,0,IF(Calc!$Y$186&lt;='财富模型'!$E$11*12,'Calc'!$W$15,'Calc'!$Y$15)),0)))</x:f>
      </x:c>
      <x:c r="AG186" t="n">
        <x:v>165</x:v>
      </x:c>
      <x:c r="AH186" t="str">
        <x:f>IF(Calc!$AG$186&gt;'Calc'!$B$8,"",MAX(Calc!$AH$185*(1+'财富模型'!$E$6/12)+('Calc'!$B$5-'财富模型'!$E$5-(IF('Calc'!$E$16=1,'财富模型'!$E$9,'财富模型'!$M$8+IF(Calc!$AG$186&lt;='财富模型'!$E$11*12,'Calc'!$W$16,'Calc'!$Y$16)-(IF('Calc'!$E$16=1,0,MIN(Calc!$AI$185*(1+'财富模型'!$E$20/12)+'Calc'!$B$6,IF(Calc!$AG$186&lt;='财富模型'!$E$11*12,'Calc'!$W$16,'Calc'!$Y$16))))))),0))</x:f>
      </x:c>
      <x:c r="AI186" t="str">
        <x:f>IF(Calc!$AG$186&gt;'Calc'!$B$8,"",MAX(Calc!$AI$185*(1+'财富模型'!$E$20/12)+'Calc'!$B$6-(IF('Calc'!$E$16=1,0,MIN(Calc!$AI$185*(1+'财富模型'!$E$20/12)+'Calc'!$B$6,IF(Calc!$AG$186&lt;='财富模型'!$E$11*12,'Calc'!$W$16,'Calc'!$Y$16)))),0))</x:f>
      </x:c>
      <x:c r="AJ186" t="str">
        <x:f>IF(Calc!$AG$186&gt;'Calc'!$B$8,"",IF('Calc'!$E$16=1,'财富模型'!$E$9,'财富模型'!$M$8+IF(Calc!$AG$186&lt;='财富模型'!$E$11*12,'Calc'!$W$16,'Calc'!$Y$16)-(IF('Calc'!$E$16=1,0,MIN(Calc!$AI$185*(1+'财富模型'!$E$20/12)+'Calc'!$B$6,IF(Calc!$AG$186&lt;='财富模型'!$E$11*12,'Calc'!$W$16,'Calc'!$Y$16))))))</x:f>
      </x:c>
      <x:c r="AK186" t="str">
        <x:f>IF(Calc!$AG$186&gt;'Calc'!$B$8,"",IF('Calc'!$E$16=1,0,MIN(Calc!$AI$185*(1+'财富模型'!$E$20/12)+'Calc'!$B$6,IF(Calc!$AG$186&lt;='财富模型'!$E$11*12,'Calc'!$W$16,'Calc'!$Y$16))))</x:f>
      </x:c>
      <x:c r="AL186" t="str">
        <x:f>IF(Calc!$AG$186&gt;'Calc'!$B$8,"",'Calc'!$B$5-'财富模型'!$E$5-(IF('Calc'!$E$16=1,'财富模型'!$E$9,'财富模型'!$M$8+IF(Calc!$AG$186&lt;='财富模型'!$E$11*12,'Calc'!$W$16,'Calc'!$Y$16)-(IF('Calc'!$E$16=1,0,MIN(Calc!$AI$185*(1+'财富模型'!$E$20/12)+'Calc'!$B$6,IF(Calc!$AG$186&lt;='财富模型'!$E$11*12,'Calc'!$W$16,'Calc'!$Y$16)))))))</x:f>
      </x:c>
      <x:c r="AM186" t="str">
        <x:f>IF(Calc!$AG$186&gt;'Calc'!$B$8,"",IF('Calc'!$E$16=1,0,MAX(Calc!$AM$185*(1+IF(Calc!$AG$186&lt;='财富模型'!$E$11*12,'财富模型'!$E$10,'财富模型'!$E$12)/12)-IF('Calc'!$E$16=1,0,IF(Calc!$AG$186&lt;='财富模型'!$E$11*12,'Calc'!$W$16,'Calc'!$Y$16)),0)))</x:f>
      </x:c>
      <x:c r="AO186" t="n">
        <x:v>165</x:v>
      </x:c>
      <x:c r="AP186" t="str">
        <x:f>IF(Calc!$AO$186&gt;'Calc'!$B$8,"",MAX(Calc!$AP$185*(1+'财富模型'!$E$6/12)+('Calc'!$B$5-'财富模型'!$E$5-(IF('Calc'!$E$17=1,'财富模型'!$E$9,'财富模型'!$M$9+IF(Calc!$AO$186&lt;='财富模型'!$E$11*12,'Calc'!$W$17,'Calc'!$Y$17)-(IF('Calc'!$E$17=1,0,MIN(Calc!$AQ$185*(1+'财富模型'!$E$20/12)+'Calc'!$B$6,IF(Calc!$AO$186&lt;='财富模型'!$E$11*12,'Calc'!$W$17,'Calc'!$Y$17))))))),0))</x:f>
      </x:c>
      <x:c r="AQ186" t="str">
        <x:f>IF(Calc!$AO$186&gt;'Calc'!$B$8,"",MAX(Calc!$AQ$185*(1+'财富模型'!$E$20/12)+'Calc'!$B$6-(IF('Calc'!$E$17=1,0,MIN(Calc!$AQ$185*(1+'财富模型'!$E$20/12)+'Calc'!$B$6,IF(Calc!$AO$186&lt;='财富模型'!$E$11*12,'Calc'!$W$17,'Calc'!$Y$17)))),0))</x:f>
      </x:c>
      <x:c r="AR186" t="str">
        <x:f>IF(Calc!$AO$186&gt;'Calc'!$B$8,"",IF('Calc'!$E$17=1,'财富模型'!$E$9,'财富模型'!$M$9+IF(Calc!$AO$186&lt;='财富模型'!$E$11*12,'Calc'!$W$17,'Calc'!$Y$17)-(IF('Calc'!$E$17=1,0,MIN(Calc!$AQ$185*(1+'财富模型'!$E$20/12)+'Calc'!$B$6,IF(Calc!$AO$186&lt;='财富模型'!$E$11*12,'Calc'!$W$17,'Calc'!$Y$17))))))</x:f>
      </x:c>
      <x:c r="AS186" t="str">
        <x:f>IF(Calc!$AO$186&gt;'Calc'!$B$8,"",IF('Calc'!$E$17=1,0,MIN(Calc!$AQ$185*(1+'财富模型'!$E$20/12)+'Calc'!$B$6,IF(Calc!$AO$186&lt;='财富模型'!$E$11*12,'Calc'!$W$17,'Calc'!$Y$17))))</x:f>
      </x:c>
      <x:c r="AT186" t="str">
        <x:f>IF(Calc!$AO$186&gt;'Calc'!$B$8,"",'Calc'!$B$5-'财富模型'!$E$5-(IF('Calc'!$E$17=1,'财富模型'!$E$9,'财富模型'!$M$9+IF(Calc!$AO$186&lt;='财富模型'!$E$11*12,'Calc'!$W$17,'Calc'!$Y$17)-(IF('Calc'!$E$17=1,0,MIN(Calc!$AQ$185*(1+'财富模型'!$E$20/12)+'Calc'!$B$6,IF(Calc!$AO$186&lt;='财富模型'!$E$11*12,'Calc'!$W$17,'Calc'!$Y$17)))))))</x:f>
      </x:c>
      <x:c r="AU186" t="str">
        <x:f>IF(Calc!$AO$186&gt;'Calc'!$B$8,"",IF('Calc'!$E$17=1,0,MAX(Calc!$AU$185*(1+IF(Calc!$AO$186&lt;='财富模型'!$E$11*12,'财富模型'!$E$10,'财富模型'!$E$12)/12)-IF('Calc'!$E$17=1,0,IF(Calc!$AO$186&lt;='财富模型'!$E$11*12,'Calc'!$W$17,'Calc'!$Y$17)),0)))</x:f>
      </x:c>
    </x:row>
    <x:row r="187">
      <x:c r="A187" t="n">
        <x:v>166</x:v>
      </x:c>
      <x:c r="B187" t="str">
        <x:f>IF(Calc!$A$187&gt;'Calc'!$B$8,"",MAX(Calc!$B$186*(1+'财富模型'!$E$6/12)+('Calc'!$B$5-'财富模型'!$E$5-(IF('Calc'!$E$12=1,'财富模型'!$E$9,'财富模型'!$M$4+IF(Calc!$A$187&lt;='财富模型'!$E$11*12,'Calc'!$W$12,'Calc'!$Y$12)-(IF('Calc'!$E$12=1,0,MIN(Calc!$C$186*(1+'财富模型'!$E$20/12)+'Calc'!$B$6,IF(Calc!$A$187&lt;='财富模型'!$E$11*12,'Calc'!$W$12,'Calc'!$Y$12))))))),0))</x:f>
      </x:c>
      <x:c r="C187" t="str">
        <x:f>IF(Calc!$A$187&gt;'Calc'!$B$8,"",MAX(Calc!$C$186*(1+'财富模型'!$E$20/12)+'Calc'!$B$6-(IF('Calc'!$E$12=1,0,MIN(Calc!$C$186*(1+'财富模型'!$E$20/12)+'Calc'!$B$6,IF(Calc!$A$187&lt;='财富模型'!$E$11*12,'Calc'!$W$12,'Calc'!$Y$12)))),0))</x:f>
      </x:c>
      <x:c r="D187" t="str">
        <x:f>IF(Calc!$A$187&gt;'Calc'!$B$8,"",IF('Calc'!$E$12=1,'财富模型'!$E$9,'财富模型'!$M$4+IF(Calc!$A$187&lt;='财富模型'!$E$11*12,'Calc'!$W$12,'Calc'!$Y$12)-(IF('Calc'!$E$12=1,0,MIN(Calc!$C$186*(1+'财富模型'!$E$20/12)+'Calc'!$B$6,IF(Calc!$A$187&lt;='财富模型'!$E$11*12,'Calc'!$W$12,'Calc'!$Y$12))))))</x:f>
      </x:c>
      <x:c r="E187" t="str">
        <x:f>IF(Calc!$A$187&gt;'Calc'!$B$8,"",IF('Calc'!$E$12=1,0,MIN(Calc!$C$186*(1+'财富模型'!$E$20/12)+'Calc'!$B$6,IF(Calc!$A$187&lt;='财富模型'!$E$11*12,'Calc'!$W$12,'Calc'!$Y$12))))</x:f>
      </x:c>
      <x:c r="F187" t="str">
        <x:f>IF(Calc!$A$187&gt;'Calc'!$B$8,"",'Calc'!$B$5-'财富模型'!$E$5-(IF('Calc'!$E$12=1,'财富模型'!$E$9,'财富模型'!$M$4+IF(Calc!$A$187&lt;='财富模型'!$E$11*12,'Calc'!$W$12,'Calc'!$Y$12)-(IF('Calc'!$E$12=1,0,MIN(Calc!$C$186*(1+'财富模型'!$E$20/12)+'Calc'!$B$6,IF(Calc!$A$187&lt;='财富模型'!$E$11*12,'Calc'!$W$12,'Calc'!$Y$12)))))))</x:f>
      </x:c>
      <x:c r="G187" t="str">
        <x:f>IF(Calc!$A$187&gt;'Calc'!$B$8,"",IF('Calc'!$E$12=1,0,MAX(Calc!$G$186*(1+IF(Calc!$A$187&lt;='财富模型'!$E$11*12,'财富模型'!$E$10,'财富模型'!$E$12)/12)-IF('Calc'!$E$12=1,0,IF(Calc!$A$187&lt;='财富模型'!$E$11*12,'Calc'!$W$12,'Calc'!$Y$12)),0)))</x:f>
      </x:c>
      <x:c r="I187" t="n">
        <x:v>166</x:v>
      </x:c>
      <x:c r="J187" t="str">
        <x:f>IF(Calc!$I$187&gt;'Calc'!$B$8,"",MAX(Calc!$J$186*(1+'财富模型'!$E$6/12)+('Calc'!$B$5-'财富模型'!$E$5-(IF('Calc'!$E$13=1,'财富模型'!$E$9,'财富模型'!$M$5+IF(Calc!$I$187&lt;='财富模型'!$E$11*12,'Calc'!$W$13,'Calc'!$Y$13)-(IF('Calc'!$E$13=1,0,MIN(Calc!$K$186*(1+'财富模型'!$E$20/12)+'Calc'!$B$6,IF(Calc!$I$187&lt;='财富模型'!$E$11*12,'Calc'!$W$13,'Calc'!$Y$13))))))),0))</x:f>
      </x:c>
      <x:c r="K187" t="str">
        <x:f>IF(Calc!$I$187&gt;'Calc'!$B$8,"",MAX(Calc!$K$186*(1+'财富模型'!$E$20/12)+'Calc'!$B$6-(IF('Calc'!$E$13=1,0,MIN(Calc!$K$186*(1+'财富模型'!$E$20/12)+'Calc'!$B$6,IF(Calc!$I$187&lt;='财富模型'!$E$11*12,'Calc'!$W$13,'Calc'!$Y$13)))),0))</x:f>
      </x:c>
      <x:c r="L187" t="str">
        <x:f>IF(Calc!$I$187&gt;'Calc'!$B$8,"",IF('Calc'!$E$13=1,'财富模型'!$E$9,'财富模型'!$M$5+IF(Calc!$I$187&lt;='财富模型'!$E$11*12,'Calc'!$W$13,'Calc'!$Y$13)-(IF('Calc'!$E$13=1,0,MIN(Calc!$K$186*(1+'财富模型'!$E$20/12)+'Calc'!$B$6,IF(Calc!$I$187&lt;='财富模型'!$E$11*12,'Calc'!$W$13,'Calc'!$Y$13))))))</x:f>
      </x:c>
      <x:c r="M187" t="str">
        <x:f>IF(Calc!$I$187&gt;'Calc'!$B$8,"",IF('Calc'!$E$13=1,0,MIN(Calc!$K$186*(1+'财富模型'!$E$20/12)+'Calc'!$B$6,IF(Calc!$I$187&lt;='财富模型'!$E$11*12,'Calc'!$W$13,'Calc'!$Y$13))))</x:f>
      </x:c>
      <x:c r="N187" t="str">
        <x:f>IF(Calc!$I$187&gt;'Calc'!$B$8,"",'Calc'!$B$5-'财富模型'!$E$5-(IF('Calc'!$E$13=1,'财富模型'!$E$9,'财富模型'!$M$5+IF(Calc!$I$187&lt;='财富模型'!$E$11*12,'Calc'!$W$13,'Calc'!$Y$13)-(IF('Calc'!$E$13=1,0,MIN(Calc!$K$186*(1+'财富模型'!$E$20/12)+'Calc'!$B$6,IF(Calc!$I$187&lt;='财富模型'!$E$11*12,'Calc'!$W$13,'Calc'!$Y$13)))))))</x:f>
      </x:c>
      <x:c r="O187" t="str">
        <x:f>IF(Calc!$I$187&gt;'Calc'!$B$8,"",IF('Calc'!$E$13=1,0,MAX(Calc!$O$186*(1+IF(Calc!$I$187&lt;='财富模型'!$E$11*12,'财富模型'!$E$10,'财富模型'!$E$12)/12)-IF('Calc'!$E$13=1,0,IF(Calc!$I$187&lt;='财富模型'!$E$11*12,'Calc'!$W$13,'Calc'!$Y$13)),0)))</x:f>
      </x:c>
      <x:c r="Q187" t="n">
        <x:v>166</x:v>
      </x:c>
      <x:c r="R187" t="str">
        <x:f>IF(Calc!$Q$187&gt;'Calc'!$B$8,"",MAX(Calc!$R$186*(1+'财富模型'!$E$6/12)+('Calc'!$B$5-'财富模型'!$E$5-(IF('Calc'!$E$14=1,'财富模型'!$E$9,'财富模型'!$M$6+IF(Calc!$Q$187&lt;='财富模型'!$E$11*12,'Calc'!$W$14,'Calc'!$Y$14)-(IF('Calc'!$E$14=1,0,MIN(Calc!$S$186*(1+'财富模型'!$E$20/12)+'Calc'!$B$6,IF(Calc!$Q$187&lt;='财富模型'!$E$11*12,'Calc'!$W$14,'Calc'!$Y$14))))))),0))</x:f>
      </x:c>
      <x:c r="S187" t="str">
        <x:f>IF(Calc!$Q$187&gt;'Calc'!$B$8,"",MAX(Calc!$S$186*(1+'财富模型'!$E$20/12)+'Calc'!$B$6-(IF('Calc'!$E$14=1,0,MIN(Calc!$S$186*(1+'财富模型'!$E$20/12)+'Calc'!$B$6,IF(Calc!$Q$187&lt;='财富模型'!$E$11*12,'Calc'!$W$14,'Calc'!$Y$14)))),0))</x:f>
      </x:c>
      <x:c r="T187" t="str">
        <x:f>IF(Calc!$Q$187&gt;'Calc'!$B$8,"",IF('Calc'!$E$14=1,'财富模型'!$E$9,'财富模型'!$M$6+IF(Calc!$Q$187&lt;='财富模型'!$E$11*12,'Calc'!$W$14,'Calc'!$Y$14)-(IF('Calc'!$E$14=1,0,MIN(Calc!$S$186*(1+'财富模型'!$E$20/12)+'Calc'!$B$6,IF(Calc!$Q$187&lt;='财富模型'!$E$11*12,'Calc'!$W$14,'Calc'!$Y$14))))))</x:f>
      </x:c>
      <x:c r="U187" t="str">
        <x:f>IF(Calc!$Q$187&gt;'Calc'!$B$8,"",IF('Calc'!$E$14=1,0,MIN(Calc!$S$186*(1+'财富模型'!$E$20/12)+'Calc'!$B$6,IF(Calc!$Q$187&lt;='财富模型'!$E$11*12,'Calc'!$W$14,'Calc'!$Y$14))))</x:f>
      </x:c>
      <x:c r="V187" t="str">
        <x:f>IF(Calc!$Q$187&gt;'Calc'!$B$8,"",'Calc'!$B$5-'财富模型'!$E$5-(IF('Calc'!$E$14=1,'财富模型'!$E$9,'财富模型'!$M$6+IF(Calc!$Q$187&lt;='财富模型'!$E$11*12,'Calc'!$W$14,'Calc'!$Y$14)-(IF('Calc'!$E$14=1,0,MIN(Calc!$S$186*(1+'财富模型'!$E$20/12)+'Calc'!$B$6,IF(Calc!$Q$187&lt;='财富模型'!$E$11*12,'Calc'!$W$14,'Calc'!$Y$14)))))))</x:f>
      </x:c>
      <x:c r="W187" t="str">
        <x:f>IF(Calc!$Q$187&gt;'Calc'!$B$8,"",IF('Calc'!$E$14=1,0,MAX(Calc!$W$186*(1+IF(Calc!$Q$187&lt;='财富模型'!$E$11*12,'财富模型'!$E$10,'财富模型'!$E$12)/12)-IF('Calc'!$E$14=1,0,IF(Calc!$Q$187&lt;='财富模型'!$E$11*12,'Calc'!$W$14,'Calc'!$Y$14)),0)))</x:f>
      </x:c>
      <x:c r="Y187" t="n">
        <x:v>166</x:v>
      </x:c>
      <x:c r="Z187" t="str">
        <x:f>IF(Calc!$Y$187&gt;'Calc'!$B$8,"",MAX(Calc!$Z$186*(1+'财富模型'!$E$6/12)+('Calc'!$B$5-'财富模型'!$E$5-(IF('Calc'!$E$15=1,'财富模型'!$E$9,'财富模型'!$M$7+IF(Calc!$Y$187&lt;='财富模型'!$E$11*12,'Calc'!$W$15,'Calc'!$Y$15)-(IF('Calc'!$E$15=1,0,MIN(Calc!$AA$186*(1+'财富模型'!$E$20/12)+'Calc'!$B$6,IF(Calc!$Y$187&lt;='财富模型'!$E$11*12,'Calc'!$W$15,'Calc'!$Y$15))))))),0))</x:f>
      </x:c>
      <x:c r="AA187" t="str">
        <x:f>IF(Calc!$Y$187&gt;'Calc'!$B$8,"",MAX(Calc!$AA$186*(1+'财富模型'!$E$20/12)+'Calc'!$B$6-(IF('Calc'!$E$15=1,0,MIN(Calc!$AA$186*(1+'财富模型'!$E$20/12)+'Calc'!$B$6,IF(Calc!$Y$187&lt;='财富模型'!$E$11*12,'Calc'!$W$15,'Calc'!$Y$15)))),0))</x:f>
      </x:c>
      <x:c r="AB187" t="str">
        <x:f>IF(Calc!$Y$187&gt;'Calc'!$B$8,"",IF('Calc'!$E$15=1,'财富模型'!$E$9,'财富模型'!$M$7+IF(Calc!$Y$187&lt;='财富模型'!$E$11*12,'Calc'!$W$15,'Calc'!$Y$15)-(IF('Calc'!$E$15=1,0,MIN(Calc!$AA$186*(1+'财富模型'!$E$20/12)+'Calc'!$B$6,IF(Calc!$Y$187&lt;='财富模型'!$E$11*12,'Calc'!$W$15,'Calc'!$Y$15))))))</x:f>
      </x:c>
      <x:c r="AC187" t="str">
        <x:f>IF(Calc!$Y$187&gt;'Calc'!$B$8,"",IF('Calc'!$E$15=1,0,MIN(Calc!$AA$186*(1+'财富模型'!$E$20/12)+'Calc'!$B$6,IF(Calc!$Y$187&lt;='财富模型'!$E$11*12,'Calc'!$W$15,'Calc'!$Y$15))))</x:f>
      </x:c>
      <x:c r="AD187" t="str">
        <x:f>IF(Calc!$Y$187&gt;'Calc'!$B$8,"",'Calc'!$B$5-'财富模型'!$E$5-(IF('Calc'!$E$15=1,'财富模型'!$E$9,'财富模型'!$M$7+IF(Calc!$Y$187&lt;='财富模型'!$E$11*12,'Calc'!$W$15,'Calc'!$Y$15)-(IF('Calc'!$E$15=1,0,MIN(Calc!$AA$186*(1+'财富模型'!$E$20/12)+'Calc'!$B$6,IF(Calc!$Y$187&lt;='财富模型'!$E$11*12,'Calc'!$W$15,'Calc'!$Y$15)))))))</x:f>
      </x:c>
      <x:c r="AE187" t="str">
        <x:f>IF(Calc!$Y$187&gt;'Calc'!$B$8,"",IF('Calc'!$E$15=1,0,MAX(Calc!$AE$186*(1+IF(Calc!$Y$187&lt;='财富模型'!$E$11*12,'财富模型'!$E$10,'财富模型'!$E$12)/12)-IF('Calc'!$E$15=1,0,IF(Calc!$Y$187&lt;='财富模型'!$E$11*12,'Calc'!$W$15,'Calc'!$Y$15)),0)))</x:f>
      </x:c>
      <x:c r="AG187" t="n">
        <x:v>166</x:v>
      </x:c>
      <x:c r="AH187" t="str">
        <x:f>IF(Calc!$AG$187&gt;'Calc'!$B$8,"",MAX(Calc!$AH$186*(1+'财富模型'!$E$6/12)+('Calc'!$B$5-'财富模型'!$E$5-(IF('Calc'!$E$16=1,'财富模型'!$E$9,'财富模型'!$M$8+IF(Calc!$AG$187&lt;='财富模型'!$E$11*12,'Calc'!$W$16,'Calc'!$Y$16)-(IF('Calc'!$E$16=1,0,MIN(Calc!$AI$186*(1+'财富模型'!$E$20/12)+'Calc'!$B$6,IF(Calc!$AG$187&lt;='财富模型'!$E$11*12,'Calc'!$W$16,'Calc'!$Y$16))))))),0))</x:f>
      </x:c>
      <x:c r="AI187" t="str">
        <x:f>IF(Calc!$AG$187&gt;'Calc'!$B$8,"",MAX(Calc!$AI$186*(1+'财富模型'!$E$20/12)+'Calc'!$B$6-(IF('Calc'!$E$16=1,0,MIN(Calc!$AI$186*(1+'财富模型'!$E$20/12)+'Calc'!$B$6,IF(Calc!$AG$187&lt;='财富模型'!$E$11*12,'Calc'!$W$16,'Calc'!$Y$16)))),0))</x:f>
      </x:c>
      <x:c r="AJ187" t="str">
        <x:f>IF(Calc!$AG$187&gt;'Calc'!$B$8,"",IF('Calc'!$E$16=1,'财富模型'!$E$9,'财富模型'!$M$8+IF(Calc!$AG$187&lt;='财富模型'!$E$11*12,'Calc'!$W$16,'Calc'!$Y$16)-(IF('Calc'!$E$16=1,0,MIN(Calc!$AI$186*(1+'财富模型'!$E$20/12)+'Calc'!$B$6,IF(Calc!$AG$187&lt;='财富模型'!$E$11*12,'Calc'!$W$16,'Calc'!$Y$16))))))</x:f>
      </x:c>
      <x:c r="AK187" t="str">
        <x:f>IF(Calc!$AG$187&gt;'Calc'!$B$8,"",IF('Calc'!$E$16=1,0,MIN(Calc!$AI$186*(1+'财富模型'!$E$20/12)+'Calc'!$B$6,IF(Calc!$AG$187&lt;='财富模型'!$E$11*12,'Calc'!$W$16,'Calc'!$Y$16))))</x:f>
      </x:c>
      <x:c r="AL187" t="str">
        <x:f>IF(Calc!$AG$187&gt;'Calc'!$B$8,"",'Calc'!$B$5-'财富模型'!$E$5-(IF('Calc'!$E$16=1,'财富模型'!$E$9,'财富模型'!$M$8+IF(Calc!$AG$187&lt;='财富模型'!$E$11*12,'Calc'!$W$16,'Calc'!$Y$16)-(IF('Calc'!$E$16=1,0,MIN(Calc!$AI$186*(1+'财富模型'!$E$20/12)+'Calc'!$B$6,IF(Calc!$AG$187&lt;='财富模型'!$E$11*12,'Calc'!$W$16,'Calc'!$Y$16)))))))</x:f>
      </x:c>
      <x:c r="AM187" t="str">
        <x:f>IF(Calc!$AG$187&gt;'Calc'!$B$8,"",IF('Calc'!$E$16=1,0,MAX(Calc!$AM$186*(1+IF(Calc!$AG$187&lt;='财富模型'!$E$11*12,'财富模型'!$E$10,'财富模型'!$E$12)/12)-IF('Calc'!$E$16=1,0,IF(Calc!$AG$187&lt;='财富模型'!$E$11*12,'Calc'!$W$16,'Calc'!$Y$16)),0)))</x:f>
      </x:c>
      <x:c r="AO187" t="n">
        <x:v>166</x:v>
      </x:c>
      <x:c r="AP187" t="str">
        <x:f>IF(Calc!$AO$187&gt;'Calc'!$B$8,"",MAX(Calc!$AP$186*(1+'财富模型'!$E$6/12)+('Calc'!$B$5-'财富模型'!$E$5-(IF('Calc'!$E$17=1,'财富模型'!$E$9,'财富模型'!$M$9+IF(Calc!$AO$187&lt;='财富模型'!$E$11*12,'Calc'!$W$17,'Calc'!$Y$17)-(IF('Calc'!$E$17=1,0,MIN(Calc!$AQ$186*(1+'财富模型'!$E$20/12)+'Calc'!$B$6,IF(Calc!$AO$187&lt;='财富模型'!$E$11*12,'Calc'!$W$17,'Calc'!$Y$17))))))),0))</x:f>
      </x:c>
      <x:c r="AQ187" t="str">
        <x:f>IF(Calc!$AO$187&gt;'Calc'!$B$8,"",MAX(Calc!$AQ$186*(1+'财富模型'!$E$20/12)+'Calc'!$B$6-(IF('Calc'!$E$17=1,0,MIN(Calc!$AQ$186*(1+'财富模型'!$E$20/12)+'Calc'!$B$6,IF(Calc!$AO$187&lt;='财富模型'!$E$11*12,'Calc'!$W$17,'Calc'!$Y$17)))),0))</x:f>
      </x:c>
      <x:c r="AR187" t="str">
        <x:f>IF(Calc!$AO$187&gt;'Calc'!$B$8,"",IF('Calc'!$E$17=1,'财富模型'!$E$9,'财富模型'!$M$9+IF(Calc!$AO$187&lt;='财富模型'!$E$11*12,'Calc'!$W$17,'Calc'!$Y$17)-(IF('Calc'!$E$17=1,0,MIN(Calc!$AQ$186*(1+'财富模型'!$E$20/12)+'Calc'!$B$6,IF(Calc!$AO$187&lt;='财富模型'!$E$11*12,'Calc'!$W$17,'Calc'!$Y$17))))))</x:f>
      </x:c>
      <x:c r="AS187" t="str">
        <x:f>IF(Calc!$AO$187&gt;'Calc'!$B$8,"",IF('Calc'!$E$17=1,0,MIN(Calc!$AQ$186*(1+'财富模型'!$E$20/12)+'Calc'!$B$6,IF(Calc!$AO$187&lt;='财富模型'!$E$11*12,'Calc'!$W$17,'Calc'!$Y$17))))</x:f>
      </x:c>
      <x:c r="AT187" t="str">
        <x:f>IF(Calc!$AO$187&gt;'Calc'!$B$8,"",'Calc'!$B$5-'财富模型'!$E$5-(IF('Calc'!$E$17=1,'财富模型'!$E$9,'财富模型'!$M$9+IF(Calc!$AO$187&lt;='财富模型'!$E$11*12,'Calc'!$W$17,'Calc'!$Y$17)-(IF('Calc'!$E$17=1,0,MIN(Calc!$AQ$186*(1+'财富模型'!$E$20/12)+'Calc'!$B$6,IF(Calc!$AO$187&lt;='财富模型'!$E$11*12,'Calc'!$W$17,'Calc'!$Y$17)))))))</x:f>
      </x:c>
      <x:c r="AU187" t="str">
        <x:f>IF(Calc!$AO$187&gt;'Calc'!$B$8,"",IF('Calc'!$E$17=1,0,MAX(Calc!$AU$186*(1+IF(Calc!$AO$187&lt;='财富模型'!$E$11*12,'财富模型'!$E$10,'财富模型'!$E$12)/12)-IF('Calc'!$E$17=1,0,IF(Calc!$AO$187&lt;='财富模型'!$E$11*12,'Calc'!$W$17,'Calc'!$Y$17)),0)))</x:f>
      </x:c>
    </x:row>
    <x:row r="188">
      <x:c r="A188" t="n">
        <x:v>167</x:v>
      </x:c>
      <x:c r="B188" t="str">
        <x:f>IF(Calc!$A$188&gt;'Calc'!$B$8,"",MAX(Calc!$B$187*(1+'财富模型'!$E$6/12)+('Calc'!$B$5-'财富模型'!$E$5-(IF('Calc'!$E$12=1,'财富模型'!$E$9,'财富模型'!$M$4+IF(Calc!$A$188&lt;='财富模型'!$E$11*12,'Calc'!$W$12,'Calc'!$Y$12)-(IF('Calc'!$E$12=1,0,MIN(Calc!$C$187*(1+'财富模型'!$E$20/12)+'Calc'!$B$6,IF(Calc!$A$188&lt;='财富模型'!$E$11*12,'Calc'!$W$12,'Calc'!$Y$12))))))),0))</x:f>
      </x:c>
      <x:c r="C188" t="str">
        <x:f>IF(Calc!$A$188&gt;'Calc'!$B$8,"",MAX(Calc!$C$187*(1+'财富模型'!$E$20/12)+'Calc'!$B$6-(IF('Calc'!$E$12=1,0,MIN(Calc!$C$187*(1+'财富模型'!$E$20/12)+'Calc'!$B$6,IF(Calc!$A$188&lt;='财富模型'!$E$11*12,'Calc'!$W$12,'Calc'!$Y$12)))),0))</x:f>
      </x:c>
      <x:c r="D188" t="str">
        <x:f>IF(Calc!$A$188&gt;'Calc'!$B$8,"",IF('Calc'!$E$12=1,'财富模型'!$E$9,'财富模型'!$M$4+IF(Calc!$A$188&lt;='财富模型'!$E$11*12,'Calc'!$W$12,'Calc'!$Y$12)-(IF('Calc'!$E$12=1,0,MIN(Calc!$C$187*(1+'财富模型'!$E$20/12)+'Calc'!$B$6,IF(Calc!$A$188&lt;='财富模型'!$E$11*12,'Calc'!$W$12,'Calc'!$Y$12))))))</x:f>
      </x:c>
      <x:c r="E188" t="str">
        <x:f>IF(Calc!$A$188&gt;'Calc'!$B$8,"",IF('Calc'!$E$12=1,0,MIN(Calc!$C$187*(1+'财富模型'!$E$20/12)+'Calc'!$B$6,IF(Calc!$A$188&lt;='财富模型'!$E$11*12,'Calc'!$W$12,'Calc'!$Y$12))))</x:f>
      </x:c>
      <x:c r="F188" t="str">
        <x:f>IF(Calc!$A$188&gt;'Calc'!$B$8,"",'Calc'!$B$5-'财富模型'!$E$5-(IF('Calc'!$E$12=1,'财富模型'!$E$9,'财富模型'!$M$4+IF(Calc!$A$188&lt;='财富模型'!$E$11*12,'Calc'!$W$12,'Calc'!$Y$12)-(IF('Calc'!$E$12=1,0,MIN(Calc!$C$187*(1+'财富模型'!$E$20/12)+'Calc'!$B$6,IF(Calc!$A$188&lt;='财富模型'!$E$11*12,'Calc'!$W$12,'Calc'!$Y$12)))))))</x:f>
      </x:c>
      <x:c r="G188" t="str">
        <x:f>IF(Calc!$A$188&gt;'Calc'!$B$8,"",IF('Calc'!$E$12=1,0,MAX(Calc!$G$187*(1+IF(Calc!$A$188&lt;='财富模型'!$E$11*12,'财富模型'!$E$10,'财富模型'!$E$12)/12)-IF('Calc'!$E$12=1,0,IF(Calc!$A$188&lt;='财富模型'!$E$11*12,'Calc'!$W$12,'Calc'!$Y$12)),0)))</x:f>
      </x:c>
      <x:c r="I188" t="n">
        <x:v>167</x:v>
      </x:c>
      <x:c r="J188" t="str">
        <x:f>IF(Calc!$I$188&gt;'Calc'!$B$8,"",MAX(Calc!$J$187*(1+'财富模型'!$E$6/12)+('Calc'!$B$5-'财富模型'!$E$5-(IF('Calc'!$E$13=1,'财富模型'!$E$9,'财富模型'!$M$5+IF(Calc!$I$188&lt;='财富模型'!$E$11*12,'Calc'!$W$13,'Calc'!$Y$13)-(IF('Calc'!$E$13=1,0,MIN(Calc!$K$187*(1+'财富模型'!$E$20/12)+'Calc'!$B$6,IF(Calc!$I$188&lt;='财富模型'!$E$11*12,'Calc'!$W$13,'Calc'!$Y$13))))))),0))</x:f>
      </x:c>
      <x:c r="K188" t="str">
        <x:f>IF(Calc!$I$188&gt;'Calc'!$B$8,"",MAX(Calc!$K$187*(1+'财富模型'!$E$20/12)+'Calc'!$B$6-(IF('Calc'!$E$13=1,0,MIN(Calc!$K$187*(1+'财富模型'!$E$20/12)+'Calc'!$B$6,IF(Calc!$I$188&lt;='财富模型'!$E$11*12,'Calc'!$W$13,'Calc'!$Y$13)))),0))</x:f>
      </x:c>
      <x:c r="L188" t="str">
        <x:f>IF(Calc!$I$188&gt;'Calc'!$B$8,"",IF('Calc'!$E$13=1,'财富模型'!$E$9,'财富模型'!$M$5+IF(Calc!$I$188&lt;='财富模型'!$E$11*12,'Calc'!$W$13,'Calc'!$Y$13)-(IF('Calc'!$E$13=1,0,MIN(Calc!$K$187*(1+'财富模型'!$E$20/12)+'Calc'!$B$6,IF(Calc!$I$188&lt;='财富模型'!$E$11*12,'Calc'!$W$13,'Calc'!$Y$13))))))</x:f>
      </x:c>
      <x:c r="M188" t="str">
        <x:f>IF(Calc!$I$188&gt;'Calc'!$B$8,"",IF('Calc'!$E$13=1,0,MIN(Calc!$K$187*(1+'财富模型'!$E$20/12)+'Calc'!$B$6,IF(Calc!$I$188&lt;='财富模型'!$E$11*12,'Calc'!$W$13,'Calc'!$Y$13))))</x:f>
      </x:c>
      <x:c r="N188" t="str">
        <x:f>IF(Calc!$I$188&gt;'Calc'!$B$8,"",'Calc'!$B$5-'财富模型'!$E$5-(IF('Calc'!$E$13=1,'财富模型'!$E$9,'财富模型'!$M$5+IF(Calc!$I$188&lt;='财富模型'!$E$11*12,'Calc'!$W$13,'Calc'!$Y$13)-(IF('Calc'!$E$13=1,0,MIN(Calc!$K$187*(1+'财富模型'!$E$20/12)+'Calc'!$B$6,IF(Calc!$I$188&lt;='财富模型'!$E$11*12,'Calc'!$W$13,'Calc'!$Y$13)))))))</x:f>
      </x:c>
      <x:c r="O188" t="str">
        <x:f>IF(Calc!$I$188&gt;'Calc'!$B$8,"",IF('Calc'!$E$13=1,0,MAX(Calc!$O$187*(1+IF(Calc!$I$188&lt;='财富模型'!$E$11*12,'财富模型'!$E$10,'财富模型'!$E$12)/12)-IF('Calc'!$E$13=1,0,IF(Calc!$I$188&lt;='财富模型'!$E$11*12,'Calc'!$W$13,'Calc'!$Y$13)),0)))</x:f>
      </x:c>
      <x:c r="Q188" t="n">
        <x:v>167</x:v>
      </x:c>
      <x:c r="R188" t="str">
        <x:f>IF(Calc!$Q$188&gt;'Calc'!$B$8,"",MAX(Calc!$R$187*(1+'财富模型'!$E$6/12)+('Calc'!$B$5-'财富模型'!$E$5-(IF('Calc'!$E$14=1,'财富模型'!$E$9,'财富模型'!$M$6+IF(Calc!$Q$188&lt;='财富模型'!$E$11*12,'Calc'!$W$14,'Calc'!$Y$14)-(IF('Calc'!$E$14=1,0,MIN(Calc!$S$187*(1+'财富模型'!$E$20/12)+'Calc'!$B$6,IF(Calc!$Q$188&lt;='财富模型'!$E$11*12,'Calc'!$W$14,'Calc'!$Y$14))))))),0))</x:f>
      </x:c>
      <x:c r="S188" t="str">
        <x:f>IF(Calc!$Q$188&gt;'Calc'!$B$8,"",MAX(Calc!$S$187*(1+'财富模型'!$E$20/12)+'Calc'!$B$6-(IF('Calc'!$E$14=1,0,MIN(Calc!$S$187*(1+'财富模型'!$E$20/12)+'Calc'!$B$6,IF(Calc!$Q$188&lt;='财富模型'!$E$11*12,'Calc'!$W$14,'Calc'!$Y$14)))),0))</x:f>
      </x:c>
      <x:c r="T188" t="str">
        <x:f>IF(Calc!$Q$188&gt;'Calc'!$B$8,"",IF('Calc'!$E$14=1,'财富模型'!$E$9,'财富模型'!$M$6+IF(Calc!$Q$188&lt;='财富模型'!$E$11*12,'Calc'!$W$14,'Calc'!$Y$14)-(IF('Calc'!$E$14=1,0,MIN(Calc!$S$187*(1+'财富模型'!$E$20/12)+'Calc'!$B$6,IF(Calc!$Q$188&lt;='财富模型'!$E$11*12,'Calc'!$W$14,'Calc'!$Y$14))))))</x:f>
      </x:c>
      <x:c r="U188" t="str">
        <x:f>IF(Calc!$Q$188&gt;'Calc'!$B$8,"",IF('Calc'!$E$14=1,0,MIN(Calc!$S$187*(1+'财富模型'!$E$20/12)+'Calc'!$B$6,IF(Calc!$Q$188&lt;='财富模型'!$E$11*12,'Calc'!$W$14,'Calc'!$Y$14))))</x:f>
      </x:c>
      <x:c r="V188" t="str">
        <x:f>IF(Calc!$Q$188&gt;'Calc'!$B$8,"",'Calc'!$B$5-'财富模型'!$E$5-(IF('Calc'!$E$14=1,'财富模型'!$E$9,'财富模型'!$M$6+IF(Calc!$Q$188&lt;='财富模型'!$E$11*12,'Calc'!$W$14,'Calc'!$Y$14)-(IF('Calc'!$E$14=1,0,MIN(Calc!$S$187*(1+'财富模型'!$E$20/12)+'Calc'!$B$6,IF(Calc!$Q$188&lt;='财富模型'!$E$11*12,'Calc'!$W$14,'Calc'!$Y$14)))))))</x:f>
      </x:c>
      <x:c r="W188" t="str">
        <x:f>IF(Calc!$Q$188&gt;'Calc'!$B$8,"",IF('Calc'!$E$14=1,0,MAX(Calc!$W$187*(1+IF(Calc!$Q$188&lt;='财富模型'!$E$11*12,'财富模型'!$E$10,'财富模型'!$E$12)/12)-IF('Calc'!$E$14=1,0,IF(Calc!$Q$188&lt;='财富模型'!$E$11*12,'Calc'!$W$14,'Calc'!$Y$14)),0)))</x:f>
      </x:c>
      <x:c r="Y188" t="n">
        <x:v>167</x:v>
      </x:c>
      <x:c r="Z188" t="str">
        <x:f>IF(Calc!$Y$188&gt;'Calc'!$B$8,"",MAX(Calc!$Z$187*(1+'财富模型'!$E$6/12)+('Calc'!$B$5-'财富模型'!$E$5-(IF('Calc'!$E$15=1,'财富模型'!$E$9,'财富模型'!$M$7+IF(Calc!$Y$188&lt;='财富模型'!$E$11*12,'Calc'!$W$15,'Calc'!$Y$15)-(IF('Calc'!$E$15=1,0,MIN(Calc!$AA$187*(1+'财富模型'!$E$20/12)+'Calc'!$B$6,IF(Calc!$Y$188&lt;='财富模型'!$E$11*12,'Calc'!$W$15,'Calc'!$Y$15))))))),0))</x:f>
      </x:c>
      <x:c r="AA188" t="str">
        <x:f>IF(Calc!$Y$188&gt;'Calc'!$B$8,"",MAX(Calc!$AA$187*(1+'财富模型'!$E$20/12)+'Calc'!$B$6-(IF('Calc'!$E$15=1,0,MIN(Calc!$AA$187*(1+'财富模型'!$E$20/12)+'Calc'!$B$6,IF(Calc!$Y$188&lt;='财富模型'!$E$11*12,'Calc'!$W$15,'Calc'!$Y$15)))),0))</x:f>
      </x:c>
      <x:c r="AB188" t="str">
        <x:f>IF(Calc!$Y$188&gt;'Calc'!$B$8,"",IF('Calc'!$E$15=1,'财富模型'!$E$9,'财富模型'!$M$7+IF(Calc!$Y$188&lt;='财富模型'!$E$11*12,'Calc'!$W$15,'Calc'!$Y$15)-(IF('Calc'!$E$15=1,0,MIN(Calc!$AA$187*(1+'财富模型'!$E$20/12)+'Calc'!$B$6,IF(Calc!$Y$188&lt;='财富模型'!$E$11*12,'Calc'!$W$15,'Calc'!$Y$15))))))</x:f>
      </x:c>
      <x:c r="AC188" t="str">
        <x:f>IF(Calc!$Y$188&gt;'Calc'!$B$8,"",IF('Calc'!$E$15=1,0,MIN(Calc!$AA$187*(1+'财富模型'!$E$20/12)+'Calc'!$B$6,IF(Calc!$Y$188&lt;='财富模型'!$E$11*12,'Calc'!$W$15,'Calc'!$Y$15))))</x:f>
      </x:c>
      <x:c r="AD188" t="str">
        <x:f>IF(Calc!$Y$188&gt;'Calc'!$B$8,"",'Calc'!$B$5-'财富模型'!$E$5-(IF('Calc'!$E$15=1,'财富模型'!$E$9,'财富模型'!$M$7+IF(Calc!$Y$188&lt;='财富模型'!$E$11*12,'Calc'!$W$15,'Calc'!$Y$15)-(IF('Calc'!$E$15=1,0,MIN(Calc!$AA$187*(1+'财富模型'!$E$20/12)+'Calc'!$B$6,IF(Calc!$Y$188&lt;='财富模型'!$E$11*12,'Calc'!$W$15,'Calc'!$Y$15)))))))</x:f>
      </x:c>
      <x:c r="AE188" t="str">
        <x:f>IF(Calc!$Y$188&gt;'Calc'!$B$8,"",IF('Calc'!$E$15=1,0,MAX(Calc!$AE$187*(1+IF(Calc!$Y$188&lt;='财富模型'!$E$11*12,'财富模型'!$E$10,'财富模型'!$E$12)/12)-IF('Calc'!$E$15=1,0,IF(Calc!$Y$188&lt;='财富模型'!$E$11*12,'Calc'!$W$15,'Calc'!$Y$15)),0)))</x:f>
      </x:c>
      <x:c r="AG188" t="n">
        <x:v>167</x:v>
      </x:c>
      <x:c r="AH188" t="str">
        <x:f>IF(Calc!$AG$188&gt;'Calc'!$B$8,"",MAX(Calc!$AH$187*(1+'财富模型'!$E$6/12)+('Calc'!$B$5-'财富模型'!$E$5-(IF('Calc'!$E$16=1,'财富模型'!$E$9,'财富模型'!$M$8+IF(Calc!$AG$188&lt;='财富模型'!$E$11*12,'Calc'!$W$16,'Calc'!$Y$16)-(IF('Calc'!$E$16=1,0,MIN(Calc!$AI$187*(1+'财富模型'!$E$20/12)+'Calc'!$B$6,IF(Calc!$AG$188&lt;='财富模型'!$E$11*12,'Calc'!$W$16,'Calc'!$Y$16))))))),0))</x:f>
      </x:c>
      <x:c r="AI188" t="str">
        <x:f>IF(Calc!$AG$188&gt;'Calc'!$B$8,"",MAX(Calc!$AI$187*(1+'财富模型'!$E$20/12)+'Calc'!$B$6-(IF('Calc'!$E$16=1,0,MIN(Calc!$AI$187*(1+'财富模型'!$E$20/12)+'Calc'!$B$6,IF(Calc!$AG$188&lt;='财富模型'!$E$11*12,'Calc'!$W$16,'Calc'!$Y$16)))),0))</x:f>
      </x:c>
      <x:c r="AJ188" t="str">
        <x:f>IF(Calc!$AG$188&gt;'Calc'!$B$8,"",IF('Calc'!$E$16=1,'财富模型'!$E$9,'财富模型'!$M$8+IF(Calc!$AG$188&lt;='财富模型'!$E$11*12,'Calc'!$W$16,'Calc'!$Y$16)-(IF('Calc'!$E$16=1,0,MIN(Calc!$AI$187*(1+'财富模型'!$E$20/12)+'Calc'!$B$6,IF(Calc!$AG$188&lt;='财富模型'!$E$11*12,'Calc'!$W$16,'Calc'!$Y$16))))))</x:f>
      </x:c>
      <x:c r="AK188" t="str">
        <x:f>IF(Calc!$AG$188&gt;'Calc'!$B$8,"",IF('Calc'!$E$16=1,0,MIN(Calc!$AI$187*(1+'财富模型'!$E$20/12)+'Calc'!$B$6,IF(Calc!$AG$188&lt;='财富模型'!$E$11*12,'Calc'!$W$16,'Calc'!$Y$16))))</x:f>
      </x:c>
      <x:c r="AL188" t="str">
        <x:f>IF(Calc!$AG$188&gt;'Calc'!$B$8,"",'Calc'!$B$5-'财富模型'!$E$5-(IF('Calc'!$E$16=1,'财富模型'!$E$9,'财富模型'!$M$8+IF(Calc!$AG$188&lt;='财富模型'!$E$11*12,'Calc'!$W$16,'Calc'!$Y$16)-(IF('Calc'!$E$16=1,0,MIN(Calc!$AI$187*(1+'财富模型'!$E$20/12)+'Calc'!$B$6,IF(Calc!$AG$188&lt;='财富模型'!$E$11*12,'Calc'!$W$16,'Calc'!$Y$16)))))))</x:f>
      </x:c>
      <x:c r="AM188" t="str">
        <x:f>IF(Calc!$AG$188&gt;'Calc'!$B$8,"",IF('Calc'!$E$16=1,0,MAX(Calc!$AM$187*(1+IF(Calc!$AG$188&lt;='财富模型'!$E$11*12,'财富模型'!$E$10,'财富模型'!$E$12)/12)-IF('Calc'!$E$16=1,0,IF(Calc!$AG$188&lt;='财富模型'!$E$11*12,'Calc'!$W$16,'Calc'!$Y$16)),0)))</x:f>
      </x:c>
      <x:c r="AO188" t="n">
        <x:v>167</x:v>
      </x:c>
      <x:c r="AP188" t="str">
        <x:f>IF(Calc!$AO$188&gt;'Calc'!$B$8,"",MAX(Calc!$AP$187*(1+'财富模型'!$E$6/12)+('Calc'!$B$5-'财富模型'!$E$5-(IF('Calc'!$E$17=1,'财富模型'!$E$9,'财富模型'!$M$9+IF(Calc!$AO$188&lt;='财富模型'!$E$11*12,'Calc'!$W$17,'Calc'!$Y$17)-(IF('Calc'!$E$17=1,0,MIN(Calc!$AQ$187*(1+'财富模型'!$E$20/12)+'Calc'!$B$6,IF(Calc!$AO$188&lt;='财富模型'!$E$11*12,'Calc'!$W$17,'Calc'!$Y$17))))))),0))</x:f>
      </x:c>
      <x:c r="AQ188" t="str">
        <x:f>IF(Calc!$AO$188&gt;'Calc'!$B$8,"",MAX(Calc!$AQ$187*(1+'财富模型'!$E$20/12)+'Calc'!$B$6-(IF('Calc'!$E$17=1,0,MIN(Calc!$AQ$187*(1+'财富模型'!$E$20/12)+'Calc'!$B$6,IF(Calc!$AO$188&lt;='财富模型'!$E$11*12,'Calc'!$W$17,'Calc'!$Y$17)))),0))</x:f>
      </x:c>
      <x:c r="AR188" t="str">
        <x:f>IF(Calc!$AO$188&gt;'Calc'!$B$8,"",IF('Calc'!$E$17=1,'财富模型'!$E$9,'财富模型'!$M$9+IF(Calc!$AO$188&lt;='财富模型'!$E$11*12,'Calc'!$W$17,'Calc'!$Y$17)-(IF('Calc'!$E$17=1,0,MIN(Calc!$AQ$187*(1+'财富模型'!$E$20/12)+'Calc'!$B$6,IF(Calc!$AO$188&lt;='财富模型'!$E$11*12,'Calc'!$W$17,'Calc'!$Y$17))))))</x:f>
      </x:c>
      <x:c r="AS188" t="str">
        <x:f>IF(Calc!$AO$188&gt;'Calc'!$B$8,"",IF('Calc'!$E$17=1,0,MIN(Calc!$AQ$187*(1+'财富模型'!$E$20/12)+'Calc'!$B$6,IF(Calc!$AO$188&lt;='财富模型'!$E$11*12,'Calc'!$W$17,'Calc'!$Y$17))))</x:f>
      </x:c>
      <x:c r="AT188" t="str">
        <x:f>IF(Calc!$AO$188&gt;'Calc'!$B$8,"",'Calc'!$B$5-'财富模型'!$E$5-(IF('Calc'!$E$17=1,'财富模型'!$E$9,'财富模型'!$M$9+IF(Calc!$AO$188&lt;='财富模型'!$E$11*12,'Calc'!$W$17,'Calc'!$Y$17)-(IF('Calc'!$E$17=1,0,MIN(Calc!$AQ$187*(1+'财富模型'!$E$20/12)+'Calc'!$B$6,IF(Calc!$AO$188&lt;='财富模型'!$E$11*12,'Calc'!$W$17,'Calc'!$Y$17)))))))</x:f>
      </x:c>
      <x:c r="AU188" t="str">
        <x:f>IF(Calc!$AO$188&gt;'Calc'!$B$8,"",IF('Calc'!$E$17=1,0,MAX(Calc!$AU$187*(1+IF(Calc!$AO$188&lt;='财富模型'!$E$11*12,'财富模型'!$E$10,'财富模型'!$E$12)/12)-IF('Calc'!$E$17=1,0,IF(Calc!$AO$188&lt;='财富模型'!$E$11*12,'Calc'!$W$17,'Calc'!$Y$17)),0)))</x:f>
      </x:c>
    </x:row>
    <x:row r="189">
      <x:c r="A189" t="n">
        <x:v>168</x:v>
      </x:c>
      <x:c r="B189" t="str">
        <x:f>IF(Calc!$A$189&gt;'Calc'!$B$8,"",MAX(Calc!$B$188*(1+'财富模型'!$E$6/12)+('Calc'!$B$5-'财富模型'!$E$5-(IF('Calc'!$E$12=1,'财富模型'!$E$9,'财富模型'!$M$4+IF(Calc!$A$189&lt;='财富模型'!$E$11*12,'Calc'!$W$12,'Calc'!$Y$12)-(IF('Calc'!$E$12=1,0,MIN(Calc!$C$188*(1+'财富模型'!$E$20/12)+'Calc'!$B$6,IF(Calc!$A$189&lt;='财富模型'!$E$11*12,'Calc'!$W$12,'Calc'!$Y$12))))))),0))</x:f>
      </x:c>
      <x:c r="C189" t="str">
        <x:f>IF(Calc!$A$189&gt;'Calc'!$B$8,"",MAX(Calc!$C$188*(1+'财富模型'!$E$20/12)+'Calc'!$B$6-(IF('Calc'!$E$12=1,0,MIN(Calc!$C$188*(1+'财富模型'!$E$20/12)+'Calc'!$B$6,IF(Calc!$A$189&lt;='财富模型'!$E$11*12,'Calc'!$W$12,'Calc'!$Y$12)))),0))</x:f>
      </x:c>
      <x:c r="D189" t="str">
        <x:f>IF(Calc!$A$189&gt;'Calc'!$B$8,"",IF('Calc'!$E$12=1,'财富模型'!$E$9,'财富模型'!$M$4+IF(Calc!$A$189&lt;='财富模型'!$E$11*12,'Calc'!$W$12,'Calc'!$Y$12)-(IF('Calc'!$E$12=1,0,MIN(Calc!$C$188*(1+'财富模型'!$E$20/12)+'Calc'!$B$6,IF(Calc!$A$189&lt;='财富模型'!$E$11*12,'Calc'!$W$12,'Calc'!$Y$12))))))</x:f>
      </x:c>
      <x:c r="E189" t="str">
        <x:f>IF(Calc!$A$189&gt;'Calc'!$B$8,"",IF('Calc'!$E$12=1,0,MIN(Calc!$C$188*(1+'财富模型'!$E$20/12)+'Calc'!$B$6,IF(Calc!$A$189&lt;='财富模型'!$E$11*12,'Calc'!$W$12,'Calc'!$Y$12))))</x:f>
      </x:c>
      <x:c r="F189" t="str">
        <x:f>IF(Calc!$A$189&gt;'Calc'!$B$8,"",'Calc'!$B$5-'财富模型'!$E$5-(IF('Calc'!$E$12=1,'财富模型'!$E$9,'财富模型'!$M$4+IF(Calc!$A$189&lt;='财富模型'!$E$11*12,'Calc'!$W$12,'Calc'!$Y$12)-(IF('Calc'!$E$12=1,0,MIN(Calc!$C$188*(1+'财富模型'!$E$20/12)+'Calc'!$B$6,IF(Calc!$A$189&lt;='财富模型'!$E$11*12,'Calc'!$W$12,'Calc'!$Y$12)))))))</x:f>
      </x:c>
      <x:c r="G189" t="str">
        <x:f>IF(Calc!$A$189&gt;'Calc'!$B$8,"",IF('Calc'!$E$12=1,0,MAX(Calc!$G$188*(1+IF(Calc!$A$189&lt;='财富模型'!$E$11*12,'财富模型'!$E$10,'财富模型'!$E$12)/12)-IF('Calc'!$E$12=1,0,IF(Calc!$A$189&lt;='财富模型'!$E$11*12,'Calc'!$W$12,'Calc'!$Y$12)),0)))</x:f>
      </x:c>
      <x:c r="I189" t="n">
        <x:v>168</x:v>
      </x:c>
      <x:c r="J189" t="str">
        <x:f>IF(Calc!$I$189&gt;'Calc'!$B$8,"",MAX(Calc!$J$188*(1+'财富模型'!$E$6/12)+('Calc'!$B$5-'财富模型'!$E$5-(IF('Calc'!$E$13=1,'财富模型'!$E$9,'财富模型'!$M$5+IF(Calc!$I$189&lt;='财富模型'!$E$11*12,'Calc'!$W$13,'Calc'!$Y$13)-(IF('Calc'!$E$13=1,0,MIN(Calc!$K$188*(1+'财富模型'!$E$20/12)+'Calc'!$B$6,IF(Calc!$I$189&lt;='财富模型'!$E$11*12,'Calc'!$W$13,'Calc'!$Y$13))))))),0))</x:f>
      </x:c>
      <x:c r="K189" t="str">
        <x:f>IF(Calc!$I$189&gt;'Calc'!$B$8,"",MAX(Calc!$K$188*(1+'财富模型'!$E$20/12)+'Calc'!$B$6-(IF('Calc'!$E$13=1,0,MIN(Calc!$K$188*(1+'财富模型'!$E$20/12)+'Calc'!$B$6,IF(Calc!$I$189&lt;='财富模型'!$E$11*12,'Calc'!$W$13,'Calc'!$Y$13)))),0))</x:f>
      </x:c>
      <x:c r="L189" t="str">
        <x:f>IF(Calc!$I$189&gt;'Calc'!$B$8,"",IF('Calc'!$E$13=1,'财富模型'!$E$9,'财富模型'!$M$5+IF(Calc!$I$189&lt;='财富模型'!$E$11*12,'Calc'!$W$13,'Calc'!$Y$13)-(IF('Calc'!$E$13=1,0,MIN(Calc!$K$188*(1+'财富模型'!$E$20/12)+'Calc'!$B$6,IF(Calc!$I$189&lt;='财富模型'!$E$11*12,'Calc'!$W$13,'Calc'!$Y$13))))))</x:f>
      </x:c>
      <x:c r="M189" t="str">
        <x:f>IF(Calc!$I$189&gt;'Calc'!$B$8,"",IF('Calc'!$E$13=1,0,MIN(Calc!$K$188*(1+'财富模型'!$E$20/12)+'Calc'!$B$6,IF(Calc!$I$189&lt;='财富模型'!$E$11*12,'Calc'!$W$13,'Calc'!$Y$13))))</x:f>
      </x:c>
      <x:c r="N189" t="str">
        <x:f>IF(Calc!$I$189&gt;'Calc'!$B$8,"",'Calc'!$B$5-'财富模型'!$E$5-(IF('Calc'!$E$13=1,'财富模型'!$E$9,'财富模型'!$M$5+IF(Calc!$I$189&lt;='财富模型'!$E$11*12,'Calc'!$W$13,'Calc'!$Y$13)-(IF('Calc'!$E$13=1,0,MIN(Calc!$K$188*(1+'财富模型'!$E$20/12)+'Calc'!$B$6,IF(Calc!$I$189&lt;='财富模型'!$E$11*12,'Calc'!$W$13,'Calc'!$Y$13)))))))</x:f>
      </x:c>
      <x:c r="O189" t="str">
        <x:f>IF(Calc!$I$189&gt;'Calc'!$B$8,"",IF('Calc'!$E$13=1,0,MAX(Calc!$O$188*(1+IF(Calc!$I$189&lt;='财富模型'!$E$11*12,'财富模型'!$E$10,'财富模型'!$E$12)/12)-IF('Calc'!$E$13=1,0,IF(Calc!$I$189&lt;='财富模型'!$E$11*12,'Calc'!$W$13,'Calc'!$Y$13)),0)))</x:f>
      </x:c>
      <x:c r="Q189" t="n">
        <x:v>168</x:v>
      </x:c>
      <x:c r="R189" t="str">
        <x:f>IF(Calc!$Q$189&gt;'Calc'!$B$8,"",MAX(Calc!$R$188*(1+'财富模型'!$E$6/12)+('Calc'!$B$5-'财富模型'!$E$5-(IF('Calc'!$E$14=1,'财富模型'!$E$9,'财富模型'!$M$6+IF(Calc!$Q$189&lt;='财富模型'!$E$11*12,'Calc'!$W$14,'Calc'!$Y$14)-(IF('Calc'!$E$14=1,0,MIN(Calc!$S$188*(1+'财富模型'!$E$20/12)+'Calc'!$B$6,IF(Calc!$Q$189&lt;='财富模型'!$E$11*12,'Calc'!$W$14,'Calc'!$Y$14))))))),0))</x:f>
      </x:c>
      <x:c r="S189" t="str">
        <x:f>IF(Calc!$Q$189&gt;'Calc'!$B$8,"",MAX(Calc!$S$188*(1+'财富模型'!$E$20/12)+'Calc'!$B$6-(IF('Calc'!$E$14=1,0,MIN(Calc!$S$188*(1+'财富模型'!$E$20/12)+'Calc'!$B$6,IF(Calc!$Q$189&lt;='财富模型'!$E$11*12,'Calc'!$W$14,'Calc'!$Y$14)))),0))</x:f>
      </x:c>
      <x:c r="T189" t="str">
        <x:f>IF(Calc!$Q$189&gt;'Calc'!$B$8,"",IF('Calc'!$E$14=1,'财富模型'!$E$9,'财富模型'!$M$6+IF(Calc!$Q$189&lt;='财富模型'!$E$11*12,'Calc'!$W$14,'Calc'!$Y$14)-(IF('Calc'!$E$14=1,0,MIN(Calc!$S$188*(1+'财富模型'!$E$20/12)+'Calc'!$B$6,IF(Calc!$Q$189&lt;='财富模型'!$E$11*12,'Calc'!$W$14,'Calc'!$Y$14))))))</x:f>
      </x:c>
      <x:c r="U189" t="str">
        <x:f>IF(Calc!$Q$189&gt;'Calc'!$B$8,"",IF('Calc'!$E$14=1,0,MIN(Calc!$S$188*(1+'财富模型'!$E$20/12)+'Calc'!$B$6,IF(Calc!$Q$189&lt;='财富模型'!$E$11*12,'Calc'!$W$14,'Calc'!$Y$14))))</x:f>
      </x:c>
      <x:c r="V189" t="str">
        <x:f>IF(Calc!$Q$189&gt;'Calc'!$B$8,"",'Calc'!$B$5-'财富模型'!$E$5-(IF('Calc'!$E$14=1,'财富模型'!$E$9,'财富模型'!$M$6+IF(Calc!$Q$189&lt;='财富模型'!$E$11*12,'Calc'!$W$14,'Calc'!$Y$14)-(IF('Calc'!$E$14=1,0,MIN(Calc!$S$188*(1+'财富模型'!$E$20/12)+'Calc'!$B$6,IF(Calc!$Q$189&lt;='财富模型'!$E$11*12,'Calc'!$W$14,'Calc'!$Y$14)))))))</x:f>
      </x:c>
      <x:c r="W189" t="str">
        <x:f>IF(Calc!$Q$189&gt;'Calc'!$B$8,"",IF('Calc'!$E$14=1,0,MAX(Calc!$W$188*(1+IF(Calc!$Q$189&lt;='财富模型'!$E$11*12,'财富模型'!$E$10,'财富模型'!$E$12)/12)-IF('Calc'!$E$14=1,0,IF(Calc!$Q$189&lt;='财富模型'!$E$11*12,'Calc'!$W$14,'Calc'!$Y$14)),0)))</x:f>
      </x:c>
      <x:c r="Y189" t="n">
        <x:v>168</x:v>
      </x:c>
      <x:c r="Z189" t="str">
        <x:f>IF(Calc!$Y$189&gt;'Calc'!$B$8,"",MAX(Calc!$Z$188*(1+'财富模型'!$E$6/12)+('Calc'!$B$5-'财富模型'!$E$5-(IF('Calc'!$E$15=1,'财富模型'!$E$9,'财富模型'!$M$7+IF(Calc!$Y$189&lt;='财富模型'!$E$11*12,'Calc'!$W$15,'Calc'!$Y$15)-(IF('Calc'!$E$15=1,0,MIN(Calc!$AA$188*(1+'财富模型'!$E$20/12)+'Calc'!$B$6,IF(Calc!$Y$189&lt;='财富模型'!$E$11*12,'Calc'!$W$15,'Calc'!$Y$15))))))),0))</x:f>
      </x:c>
      <x:c r="AA189" t="str">
        <x:f>IF(Calc!$Y$189&gt;'Calc'!$B$8,"",MAX(Calc!$AA$188*(1+'财富模型'!$E$20/12)+'Calc'!$B$6-(IF('Calc'!$E$15=1,0,MIN(Calc!$AA$188*(1+'财富模型'!$E$20/12)+'Calc'!$B$6,IF(Calc!$Y$189&lt;='财富模型'!$E$11*12,'Calc'!$W$15,'Calc'!$Y$15)))),0))</x:f>
      </x:c>
      <x:c r="AB189" t="str">
        <x:f>IF(Calc!$Y$189&gt;'Calc'!$B$8,"",IF('Calc'!$E$15=1,'财富模型'!$E$9,'财富模型'!$M$7+IF(Calc!$Y$189&lt;='财富模型'!$E$11*12,'Calc'!$W$15,'Calc'!$Y$15)-(IF('Calc'!$E$15=1,0,MIN(Calc!$AA$188*(1+'财富模型'!$E$20/12)+'Calc'!$B$6,IF(Calc!$Y$189&lt;='财富模型'!$E$11*12,'Calc'!$W$15,'Calc'!$Y$15))))))</x:f>
      </x:c>
      <x:c r="AC189" t="str">
        <x:f>IF(Calc!$Y$189&gt;'Calc'!$B$8,"",IF('Calc'!$E$15=1,0,MIN(Calc!$AA$188*(1+'财富模型'!$E$20/12)+'Calc'!$B$6,IF(Calc!$Y$189&lt;='财富模型'!$E$11*12,'Calc'!$W$15,'Calc'!$Y$15))))</x:f>
      </x:c>
      <x:c r="AD189" t="str">
        <x:f>IF(Calc!$Y$189&gt;'Calc'!$B$8,"",'Calc'!$B$5-'财富模型'!$E$5-(IF('Calc'!$E$15=1,'财富模型'!$E$9,'财富模型'!$M$7+IF(Calc!$Y$189&lt;='财富模型'!$E$11*12,'Calc'!$W$15,'Calc'!$Y$15)-(IF('Calc'!$E$15=1,0,MIN(Calc!$AA$188*(1+'财富模型'!$E$20/12)+'Calc'!$B$6,IF(Calc!$Y$189&lt;='财富模型'!$E$11*12,'Calc'!$W$15,'Calc'!$Y$15)))))))</x:f>
      </x:c>
      <x:c r="AE189" t="str">
        <x:f>IF(Calc!$Y$189&gt;'Calc'!$B$8,"",IF('Calc'!$E$15=1,0,MAX(Calc!$AE$188*(1+IF(Calc!$Y$189&lt;='财富模型'!$E$11*12,'财富模型'!$E$10,'财富模型'!$E$12)/12)-IF('Calc'!$E$15=1,0,IF(Calc!$Y$189&lt;='财富模型'!$E$11*12,'Calc'!$W$15,'Calc'!$Y$15)),0)))</x:f>
      </x:c>
      <x:c r="AG189" t="n">
        <x:v>168</x:v>
      </x:c>
      <x:c r="AH189" t="str">
        <x:f>IF(Calc!$AG$189&gt;'Calc'!$B$8,"",MAX(Calc!$AH$188*(1+'财富模型'!$E$6/12)+('Calc'!$B$5-'财富模型'!$E$5-(IF('Calc'!$E$16=1,'财富模型'!$E$9,'财富模型'!$M$8+IF(Calc!$AG$189&lt;='财富模型'!$E$11*12,'Calc'!$W$16,'Calc'!$Y$16)-(IF('Calc'!$E$16=1,0,MIN(Calc!$AI$188*(1+'财富模型'!$E$20/12)+'Calc'!$B$6,IF(Calc!$AG$189&lt;='财富模型'!$E$11*12,'Calc'!$W$16,'Calc'!$Y$16))))))),0))</x:f>
      </x:c>
      <x:c r="AI189" t="str">
        <x:f>IF(Calc!$AG$189&gt;'Calc'!$B$8,"",MAX(Calc!$AI$188*(1+'财富模型'!$E$20/12)+'Calc'!$B$6-(IF('Calc'!$E$16=1,0,MIN(Calc!$AI$188*(1+'财富模型'!$E$20/12)+'Calc'!$B$6,IF(Calc!$AG$189&lt;='财富模型'!$E$11*12,'Calc'!$W$16,'Calc'!$Y$16)))),0))</x:f>
      </x:c>
      <x:c r="AJ189" t="str">
        <x:f>IF(Calc!$AG$189&gt;'Calc'!$B$8,"",IF('Calc'!$E$16=1,'财富模型'!$E$9,'财富模型'!$M$8+IF(Calc!$AG$189&lt;='财富模型'!$E$11*12,'Calc'!$W$16,'Calc'!$Y$16)-(IF('Calc'!$E$16=1,0,MIN(Calc!$AI$188*(1+'财富模型'!$E$20/12)+'Calc'!$B$6,IF(Calc!$AG$189&lt;='财富模型'!$E$11*12,'Calc'!$W$16,'Calc'!$Y$16))))))</x:f>
      </x:c>
      <x:c r="AK189" t="str">
        <x:f>IF(Calc!$AG$189&gt;'Calc'!$B$8,"",IF('Calc'!$E$16=1,0,MIN(Calc!$AI$188*(1+'财富模型'!$E$20/12)+'Calc'!$B$6,IF(Calc!$AG$189&lt;='财富模型'!$E$11*12,'Calc'!$W$16,'Calc'!$Y$16))))</x:f>
      </x:c>
      <x:c r="AL189" t="str">
        <x:f>IF(Calc!$AG$189&gt;'Calc'!$B$8,"",'Calc'!$B$5-'财富模型'!$E$5-(IF('Calc'!$E$16=1,'财富模型'!$E$9,'财富模型'!$M$8+IF(Calc!$AG$189&lt;='财富模型'!$E$11*12,'Calc'!$W$16,'Calc'!$Y$16)-(IF('Calc'!$E$16=1,0,MIN(Calc!$AI$188*(1+'财富模型'!$E$20/12)+'Calc'!$B$6,IF(Calc!$AG$189&lt;='财富模型'!$E$11*12,'Calc'!$W$16,'Calc'!$Y$16)))))))</x:f>
      </x:c>
      <x:c r="AM189" t="str">
        <x:f>IF(Calc!$AG$189&gt;'Calc'!$B$8,"",IF('Calc'!$E$16=1,0,MAX(Calc!$AM$188*(1+IF(Calc!$AG$189&lt;='财富模型'!$E$11*12,'财富模型'!$E$10,'财富模型'!$E$12)/12)-IF('Calc'!$E$16=1,0,IF(Calc!$AG$189&lt;='财富模型'!$E$11*12,'Calc'!$W$16,'Calc'!$Y$16)),0)))</x:f>
      </x:c>
      <x:c r="AO189" t="n">
        <x:v>168</x:v>
      </x:c>
      <x:c r="AP189" t="str">
        <x:f>IF(Calc!$AO$189&gt;'Calc'!$B$8,"",MAX(Calc!$AP$188*(1+'财富模型'!$E$6/12)+('Calc'!$B$5-'财富模型'!$E$5-(IF('Calc'!$E$17=1,'财富模型'!$E$9,'财富模型'!$M$9+IF(Calc!$AO$189&lt;='财富模型'!$E$11*12,'Calc'!$W$17,'Calc'!$Y$17)-(IF('Calc'!$E$17=1,0,MIN(Calc!$AQ$188*(1+'财富模型'!$E$20/12)+'Calc'!$B$6,IF(Calc!$AO$189&lt;='财富模型'!$E$11*12,'Calc'!$W$17,'Calc'!$Y$17))))))),0))</x:f>
      </x:c>
      <x:c r="AQ189" t="str">
        <x:f>IF(Calc!$AO$189&gt;'Calc'!$B$8,"",MAX(Calc!$AQ$188*(1+'财富模型'!$E$20/12)+'Calc'!$B$6-(IF('Calc'!$E$17=1,0,MIN(Calc!$AQ$188*(1+'财富模型'!$E$20/12)+'Calc'!$B$6,IF(Calc!$AO$189&lt;='财富模型'!$E$11*12,'Calc'!$W$17,'Calc'!$Y$17)))),0))</x:f>
      </x:c>
      <x:c r="AR189" t="str">
        <x:f>IF(Calc!$AO$189&gt;'Calc'!$B$8,"",IF('Calc'!$E$17=1,'财富模型'!$E$9,'财富模型'!$M$9+IF(Calc!$AO$189&lt;='财富模型'!$E$11*12,'Calc'!$W$17,'Calc'!$Y$17)-(IF('Calc'!$E$17=1,0,MIN(Calc!$AQ$188*(1+'财富模型'!$E$20/12)+'Calc'!$B$6,IF(Calc!$AO$189&lt;='财富模型'!$E$11*12,'Calc'!$W$17,'Calc'!$Y$17))))))</x:f>
      </x:c>
      <x:c r="AS189" t="str">
        <x:f>IF(Calc!$AO$189&gt;'Calc'!$B$8,"",IF('Calc'!$E$17=1,0,MIN(Calc!$AQ$188*(1+'财富模型'!$E$20/12)+'Calc'!$B$6,IF(Calc!$AO$189&lt;='财富模型'!$E$11*12,'Calc'!$W$17,'Calc'!$Y$17))))</x:f>
      </x:c>
      <x:c r="AT189" t="str">
        <x:f>IF(Calc!$AO$189&gt;'Calc'!$B$8,"",'Calc'!$B$5-'财富模型'!$E$5-(IF('Calc'!$E$17=1,'财富模型'!$E$9,'财富模型'!$M$9+IF(Calc!$AO$189&lt;='财富模型'!$E$11*12,'Calc'!$W$17,'Calc'!$Y$17)-(IF('Calc'!$E$17=1,0,MIN(Calc!$AQ$188*(1+'财富模型'!$E$20/12)+'Calc'!$B$6,IF(Calc!$AO$189&lt;='财富模型'!$E$11*12,'Calc'!$W$17,'Calc'!$Y$17)))))))</x:f>
      </x:c>
      <x:c r="AU189" t="str">
        <x:f>IF(Calc!$AO$189&gt;'Calc'!$B$8,"",IF('Calc'!$E$17=1,0,MAX(Calc!$AU$188*(1+IF(Calc!$AO$189&lt;='财富模型'!$E$11*12,'财富模型'!$E$10,'财富模型'!$E$12)/12)-IF('Calc'!$E$17=1,0,IF(Calc!$AO$189&lt;='财富模型'!$E$11*12,'Calc'!$W$17,'Calc'!$Y$17)),0)))</x:f>
      </x:c>
    </x:row>
    <x:row r="190">
      <x:c r="A190" t="n">
        <x:v>169</x:v>
      </x:c>
      <x:c r="B190" t="str">
        <x:f>IF(Calc!$A$190&gt;'Calc'!$B$8,"",MAX(Calc!$B$189*(1+'财富模型'!$E$6/12)+('Calc'!$B$5-'财富模型'!$E$5-(IF('Calc'!$E$12=1,'财富模型'!$E$9,'财富模型'!$M$4+IF(Calc!$A$190&lt;='财富模型'!$E$11*12,'Calc'!$W$12,'Calc'!$Y$12)-(IF('Calc'!$E$12=1,0,MIN(Calc!$C$189*(1+'财富模型'!$E$20/12)+'Calc'!$B$6,IF(Calc!$A$190&lt;='财富模型'!$E$11*12,'Calc'!$W$12,'Calc'!$Y$12))))))),0))</x:f>
      </x:c>
      <x:c r="C190" t="str">
        <x:f>IF(Calc!$A$190&gt;'Calc'!$B$8,"",MAX(Calc!$C$189*(1+'财富模型'!$E$20/12)+'Calc'!$B$6-(IF('Calc'!$E$12=1,0,MIN(Calc!$C$189*(1+'财富模型'!$E$20/12)+'Calc'!$B$6,IF(Calc!$A$190&lt;='财富模型'!$E$11*12,'Calc'!$W$12,'Calc'!$Y$12)))),0))</x:f>
      </x:c>
      <x:c r="D190" t="str">
        <x:f>IF(Calc!$A$190&gt;'Calc'!$B$8,"",IF('Calc'!$E$12=1,'财富模型'!$E$9,'财富模型'!$M$4+IF(Calc!$A$190&lt;='财富模型'!$E$11*12,'Calc'!$W$12,'Calc'!$Y$12)-(IF('Calc'!$E$12=1,0,MIN(Calc!$C$189*(1+'财富模型'!$E$20/12)+'Calc'!$B$6,IF(Calc!$A$190&lt;='财富模型'!$E$11*12,'Calc'!$W$12,'Calc'!$Y$12))))))</x:f>
      </x:c>
      <x:c r="E190" t="str">
        <x:f>IF(Calc!$A$190&gt;'Calc'!$B$8,"",IF('Calc'!$E$12=1,0,MIN(Calc!$C$189*(1+'财富模型'!$E$20/12)+'Calc'!$B$6,IF(Calc!$A$190&lt;='财富模型'!$E$11*12,'Calc'!$W$12,'Calc'!$Y$12))))</x:f>
      </x:c>
      <x:c r="F190" t="str">
        <x:f>IF(Calc!$A$190&gt;'Calc'!$B$8,"",'Calc'!$B$5-'财富模型'!$E$5-(IF('Calc'!$E$12=1,'财富模型'!$E$9,'财富模型'!$M$4+IF(Calc!$A$190&lt;='财富模型'!$E$11*12,'Calc'!$W$12,'Calc'!$Y$12)-(IF('Calc'!$E$12=1,0,MIN(Calc!$C$189*(1+'财富模型'!$E$20/12)+'Calc'!$B$6,IF(Calc!$A$190&lt;='财富模型'!$E$11*12,'Calc'!$W$12,'Calc'!$Y$12)))))))</x:f>
      </x:c>
      <x:c r="G190" t="str">
        <x:f>IF(Calc!$A$190&gt;'Calc'!$B$8,"",IF('Calc'!$E$12=1,0,MAX(Calc!$G$189*(1+IF(Calc!$A$190&lt;='财富模型'!$E$11*12,'财富模型'!$E$10,'财富模型'!$E$12)/12)-IF('Calc'!$E$12=1,0,IF(Calc!$A$190&lt;='财富模型'!$E$11*12,'Calc'!$W$12,'Calc'!$Y$12)),0)))</x:f>
      </x:c>
      <x:c r="I190" t="n">
        <x:v>169</x:v>
      </x:c>
      <x:c r="J190" t="str">
        <x:f>IF(Calc!$I$190&gt;'Calc'!$B$8,"",MAX(Calc!$J$189*(1+'财富模型'!$E$6/12)+('Calc'!$B$5-'财富模型'!$E$5-(IF('Calc'!$E$13=1,'财富模型'!$E$9,'财富模型'!$M$5+IF(Calc!$I$190&lt;='财富模型'!$E$11*12,'Calc'!$W$13,'Calc'!$Y$13)-(IF('Calc'!$E$13=1,0,MIN(Calc!$K$189*(1+'财富模型'!$E$20/12)+'Calc'!$B$6,IF(Calc!$I$190&lt;='财富模型'!$E$11*12,'Calc'!$W$13,'Calc'!$Y$13))))))),0))</x:f>
      </x:c>
      <x:c r="K190" t="str">
        <x:f>IF(Calc!$I$190&gt;'Calc'!$B$8,"",MAX(Calc!$K$189*(1+'财富模型'!$E$20/12)+'Calc'!$B$6-(IF('Calc'!$E$13=1,0,MIN(Calc!$K$189*(1+'财富模型'!$E$20/12)+'Calc'!$B$6,IF(Calc!$I$190&lt;='财富模型'!$E$11*12,'Calc'!$W$13,'Calc'!$Y$13)))),0))</x:f>
      </x:c>
      <x:c r="L190" t="str">
        <x:f>IF(Calc!$I$190&gt;'Calc'!$B$8,"",IF('Calc'!$E$13=1,'财富模型'!$E$9,'财富模型'!$M$5+IF(Calc!$I$190&lt;='财富模型'!$E$11*12,'Calc'!$W$13,'Calc'!$Y$13)-(IF('Calc'!$E$13=1,0,MIN(Calc!$K$189*(1+'财富模型'!$E$20/12)+'Calc'!$B$6,IF(Calc!$I$190&lt;='财富模型'!$E$11*12,'Calc'!$W$13,'Calc'!$Y$13))))))</x:f>
      </x:c>
      <x:c r="M190" t="str">
        <x:f>IF(Calc!$I$190&gt;'Calc'!$B$8,"",IF('Calc'!$E$13=1,0,MIN(Calc!$K$189*(1+'财富模型'!$E$20/12)+'Calc'!$B$6,IF(Calc!$I$190&lt;='财富模型'!$E$11*12,'Calc'!$W$13,'Calc'!$Y$13))))</x:f>
      </x:c>
      <x:c r="N190" t="str">
        <x:f>IF(Calc!$I$190&gt;'Calc'!$B$8,"",'Calc'!$B$5-'财富模型'!$E$5-(IF('Calc'!$E$13=1,'财富模型'!$E$9,'财富模型'!$M$5+IF(Calc!$I$190&lt;='财富模型'!$E$11*12,'Calc'!$W$13,'Calc'!$Y$13)-(IF('Calc'!$E$13=1,0,MIN(Calc!$K$189*(1+'财富模型'!$E$20/12)+'Calc'!$B$6,IF(Calc!$I$190&lt;='财富模型'!$E$11*12,'Calc'!$W$13,'Calc'!$Y$13)))))))</x:f>
      </x:c>
      <x:c r="O190" t="str">
        <x:f>IF(Calc!$I$190&gt;'Calc'!$B$8,"",IF('Calc'!$E$13=1,0,MAX(Calc!$O$189*(1+IF(Calc!$I$190&lt;='财富模型'!$E$11*12,'财富模型'!$E$10,'财富模型'!$E$12)/12)-IF('Calc'!$E$13=1,0,IF(Calc!$I$190&lt;='财富模型'!$E$11*12,'Calc'!$W$13,'Calc'!$Y$13)),0)))</x:f>
      </x:c>
      <x:c r="Q190" t="n">
        <x:v>169</x:v>
      </x:c>
      <x:c r="R190" t="str">
        <x:f>IF(Calc!$Q$190&gt;'Calc'!$B$8,"",MAX(Calc!$R$189*(1+'财富模型'!$E$6/12)+('Calc'!$B$5-'财富模型'!$E$5-(IF('Calc'!$E$14=1,'财富模型'!$E$9,'财富模型'!$M$6+IF(Calc!$Q$190&lt;='财富模型'!$E$11*12,'Calc'!$W$14,'Calc'!$Y$14)-(IF('Calc'!$E$14=1,0,MIN(Calc!$S$189*(1+'财富模型'!$E$20/12)+'Calc'!$B$6,IF(Calc!$Q$190&lt;='财富模型'!$E$11*12,'Calc'!$W$14,'Calc'!$Y$14))))))),0))</x:f>
      </x:c>
      <x:c r="S190" t="str">
        <x:f>IF(Calc!$Q$190&gt;'Calc'!$B$8,"",MAX(Calc!$S$189*(1+'财富模型'!$E$20/12)+'Calc'!$B$6-(IF('Calc'!$E$14=1,0,MIN(Calc!$S$189*(1+'财富模型'!$E$20/12)+'Calc'!$B$6,IF(Calc!$Q$190&lt;='财富模型'!$E$11*12,'Calc'!$W$14,'Calc'!$Y$14)))),0))</x:f>
      </x:c>
      <x:c r="T190" t="str">
        <x:f>IF(Calc!$Q$190&gt;'Calc'!$B$8,"",IF('Calc'!$E$14=1,'财富模型'!$E$9,'财富模型'!$M$6+IF(Calc!$Q$190&lt;='财富模型'!$E$11*12,'Calc'!$W$14,'Calc'!$Y$14)-(IF('Calc'!$E$14=1,0,MIN(Calc!$S$189*(1+'财富模型'!$E$20/12)+'Calc'!$B$6,IF(Calc!$Q$190&lt;='财富模型'!$E$11*12,'Calc'!$W$14,'Calc'!$Y$14))))))</x:f>
      </x:c>
      <x:c r="U190" t="str">
        <x:f>IF(Calc!$Q$190&gt;'Calc'!$B$8,"",IF('Calc'!$E$14=1,0,MIN(Calc!$S$189*(1+'财富模型'!$E$20/12)+'Calc'!$B$6,IF(Calc!$Q$190&lt;='财富模型'!$E$11*12,'Calc'!$W$14,'Calc'!$Y$14))))</x:f>
      </x:c>
      <x:c r="V190" t="str">
        <x:f>IF(Calc!$Q$190&gt;'Calc'!$B$8,"",'Calc'!$B$5-'财富模型'!$E$5-(IF('Calc'!$E$14=1,'财富模型'!$E$9,'财富模型'!$M$6+IF(Calc!$Q$190&lt;='财富模型'!$E$11*12,'Calc'!$W$14,'Calc'!$Y$14)-(IF('Calc'!$E$14=1,0,MIN(Calc!$S$189*(1+'财富模型'!$E$20/12)+'Calc'!$B$6,IF(Calc!$Q$190&lt;='财富模型'!$E$11*12,'Calc'!$W$14,'Calc'!$Y$14)))))))</x:f>
      </x:c>
      <x:c r="W190" t="str">
        <x:f>IF(Calc!$Q$190&gt;'Calc'!$B$8,"",IF('Calc'!$E$14=1,0,MAX(Calc!$W$189*(1+IF(Calc!$Q$190&lt;='财富模型'!$E$11*12,'财富模型'!$E$10,'财富模型'!$E$12)/12)-IF('Calc'!$E$14=1,0,IF(Calc!$Q$190&lt;='财富模型'!$E$11*12,'Calc'!$W$14,'Calc'!$Y$14)),0)))</x:f>
      </x:c>
      <x:c r="Y190" t="n">
        <x:v>169</x:v>
      </x:c>
      <x:c r="Z190" t="str">
        <x:f>IF(Calc!$Y$190&gt;'Calc'!$B$8,"",MAX(Calc!$Z$189*(1+'财富模型'!$E$6/12)+('Calc'!$B$5-'财富模型'!$E$5-(IF('Calc'!$E$15=1,'财富模型'!$E$9,'财富模型'!$M$7+IF(Calc!$Y$190&lt;='财富模型'!$E$11*12,'Calc'!$W$15,'Calc'!$Y$15)-(IF('Calc'!$E$15=1,0,MIN(Calc!$AA$189*(1+'财富模型'!$E$20/12)+'Calc'!$B$6,IF(Calc!$Y$190&lt;='财富模型'!$E$11*12,'Calc'!$W$15,'Calc'!$Y$15))))))),0))</x:f>
      </x:c>
      <x:c r="AA190" t="str">
        <x:f>IF(Calc!$Y$190&gt;'Calc'!$B$8,"",MAX(Calc!$AA$189*(1+'财富模型'!$E$20/12)+'Calc'!$B$6-(IF('Calc'!$E$15=1,0,MIN(Calc!$AA$189*(1+'财富模型'!$E$20/12)+'Calc'!$B$6,IF(Calc!$Y$190&lt;='财富模型'!$E$11*12,'Calc'!$W$15,'Calc'!$Y$15)))),0))</x:f>
      </x:c>
      <x:c r="AB190" t="str">
        <x:f>IF(Calc!$Y$190&gt;'Calc'!$B$8,"",IF('Calc'!$E$15=1,'财富模型'!$E$9,'财富模型'!$M$7+IF(Calc!$Y$190&lt;='财富模型'!$E$11*12,'Calc'!$W$15,'Calc'!$Y$15)-(IF('Calc'!$E$15=1,0,MIN(Calc!$AA$189*(1+'财富模型'!$E$20/12)+'Calc'!$B$6,IF(Calc!$Y$190&lt;='财富模型'!$E$11*12,'Calc'!$W$15,'Calc'!$Y$15))))))</x:f>
      </x:c>
      <x:c r="AC190" t="str">
        <x:f>IF(Calc!$Y$190&gt;'Calc'!$B$8,"",IF('Calc'!$E$15=1,0,MIN(Calc!$AA$189*(1+'财富模型'!$E$20/12)+'Calc'!$B$6,IF(Calc!$Y$190&lt;='财富模型'!$E$11*12,'Calc'!$W$15,'Calc'!$Y$15))))</x:f>
      </x:c>
      <x:c r="AD190" t="str">
        <x:f>IF(Calc!$Y$190&gt;'Calc'!$B$8,"",'Calc'!$B$5-'财富模型'!$E$5-(IF('Calc'!$E$15=1,'财富模型'!$E$9,'财富模型'!$M$7+IF(Calc!$Y$190&lt;='财富模型'!$E$11*12,'Calc'!$W$15,'Calc'!$Y$15)-(IF('Calc'!$E$15=1,0,MIN(Calc!$AA$189*(1+'财富模型'!$E$20/12)+'Calc'!$B$6,IF(Calc!$Y$190&lt;='财富模型'!$E$11*12,'Calc'!$W$15,'Calc'!$Y$15)))))))</x:f>
      </x:c>
      <x:c r="AE190" t="str">
        <x:f>IF(Calc!$Y$190&gt;'Calc'!$B$8,"",IF('Calc'!$E$15=1,0,MAX(Calc!$AE$189*(1+IF(Calc!$Y$190&lt;='财富模型'!$E$11*12,'财富模型'!$E$10,'财富模型'!$E$12)/12)-IF('Calc'!$E$15=1,0,IF(Calc!$Y$190&lt;='财富模型'!$E$11*12,'Calc'!$W$15,'Calc'!$Y$15)),0)))</x:f>
      </x:c>
      <x:c r="AG190" t="n">
        <x:v>169</x:v>
      </x:c>
      <x:c r="AH190" t="str">
        <x:f>IF(Calc!$AG$190&gt;'Calc'!$B$8,"",MAX(Calc!$AH$189*(1+'财富模型'!$E$6/12)+('Calc'!$B$5-'财富模型'!$E$5-(IF('Calc'!$E$16=1,'财富模型'!$E$9,'财富模型'!$M$8+IF(Calc!$AG$190&lt;='财富模型'!$E$11*12,'Calc'!$W$16,'Calc'!$Y$16)-(IF('Calc'!$E$16=1,0,MIN(Calc!$AI$189*(1+'财富模型'!$E$20/12)+'Calc'!$B$6,IF(Calc!$AG$190&lt;='财富模型'!$E$11*12,'Calc'!$W$16,'Calc'!$Y$16))))))),0))</x:f>
      </x:c>
      <x:c r="AI190" t="str">
        <x:f>IF(Calc!$AG$190&gt;'Calc'!$B$8,"",MAX(Calc!$AI$189*(1+'财富模型'!$E$20/12)+'Calc'!$B$6-(IF('Calc'!$E$16=1,0,MIN(Calc!$AI$189*(1+'财富模型'!$E$20/12)+'Calc'!$B$6,IF(Calc!$AG$190&lt;='财富模型'!$E$11*12,'Calc'!$W$16,'Calc'!$Y$16)))),0))</x:f>
      </x:c>
      <x:c r="AJ190" t="str">
        <x:f>IF(Calc!$AG$190&gt;'Calc'!$B$8,"",IF('Calc'!$E$16=1,'财富模型'!$E$9,'财富模型'!$M$8+IF(Calc!$AG$190&lt;='财富模型'!$E$11*12,'Calc'!$W$16,'Calc'!$Y$16)-(IF('Calc'!$E$16=1,0,MIN(Calc!$AI$189*(1+'财富模型'!$E$20/12)+'Calc'!$B$6,IF(Calc!$AG$190&lt;='财富模型'!$E$11*12,'Calc'!$W$16,'Calc'!$Y$16))))))</x:f>
      </x:c>
      <x:c r="AK190" t="str">
        <x:f>IF(Calc!$AG$190&gt;'Calc'!$B$8,"",IF('Calc'!$E$16=1,0,MIN(Calc!$AI$189*(1+'财富模型'!$E$20/12)+'Calc'!$B$6,IF(Calc!$AG$190&lt;='财富模型'!$E$11*12,'Calc'!$W$16,'Calc'!$Y$16))))</x:f>
      </x:c>
      <x:c r="AL190" t="str">
        <x:f>IF(Calc!$AG$190&gt;'Calc'!$B$8,"",'Calc'!$B$5-'财富模型'!$E$5-(IF('Calc'!$E$16=1,'财富模型'!$E$9,'财富模型'!$M$8+IF(Calc!$AG$190&lt;='财富模型'!$E$11*12,'Calc'!$W$16,'Calc'!$Y$16)-(IF('Calc'!$E$16=1,0,MIN(Calc!$AI$189*(1+'财富模型'!$E$20/12)+'Calc'!$B$6,IF(Calc!$AG$190&lt;='财富模型'!$E$11*12,'Calc'!$W$16,'Calc'!$Y$16)))))))</x:f>
      </x:c>
      <x:c r="AM190" t="str">
        <x:f>IF(Calc!$AG$190&gt;'Calc'!$B$8,"",IF('Calc'!$E$16=1,0,MAX(Calc!$AM$189*(1+IF(Calc!$AG$190&lt;='财富模型'!$E$11*12,'财富模型'!$E$10,'财富模型'!$E$12)/12)-IF('Calc'!$E$16=1,0,IF(Calc!$AG$190&lt;='财富模型'!$E$11*12,'Calc'!$W$16,'Calc'!$Y$16)),0)))</x:f>
      </x:c>
      <x:c r="AO190" t="n">
        <x:v>169</x:v>
      </x:c>
      <x:c r="AP190" t="str">
        <x:f>IF(Calc!$AO$190&gt;'Calc'!$B$8,"",MAX(Calc!$AP$189*(1+'财富模型'!$E$6/12)+('Calc'!$B$5-'财富模型'!$E$5-(IF('Calc'!$E$17=1,'财富模型'!$E$9,'财富模型'!$M$9+IF(Calc!$AO$190&lt;='财富模型'!$E$11*12,'Calc'!$W$17,'Calc'!$Y$17)-(IF('Calc'!$E$17=1,0,MIN(Calc!$AQ$189*(1+'财富模型'!$E$20/12)+'Calc'!$B$6,IF(Calc!$AO$190&lt;='财富模型'!$E$11*12,'Calc'!$W$17,'Calc'!$Y$17))))))),0))</x:f>
      </x:c>
      <x:c r="AQ190" t="str">
        <x:f>IF(Calc!$AO$190&gt;'Calc'!$B$8,"",MAX(Calc!$AQ$189*(1+'财富模型'!$E$20/12)+'Calc'!$B$6-(IF('Calc'!$E$17=1,0,MIN(Calc!$AQ$189*(1+'财富模型'!$E$20/12)+'Calc'!$B$6,IF(Calc!$AO$190&lt;='财富模型'!$E$11*12,'Calc'!$W$17,'Calc'!$Y$17)))),0))</x:f>
      </x:c>
      <x:c r="AR190" t="str">
        <x:f>IF(Calc!$AO$190&gt;'Calc'!$B$8,"",IF('Calc'!$E$17=1,'财富模型'!$E$9,'财富模型'!$M$9+IF(Calc!$AO$190&lt;='财富模型'!$E$11*12,'Calc'!$W$17,'Calc'!$Y$17)-(IF('Calc'!$E$17=1,0,MIN(Calc!$AQ$189*(1+'财富模型'!$E$20/12)+'Calc'!$B$6,IF(Calc!$AO$190&lt;='财富模型'!$E$11*12,'Calc'!$W$17,'Calc'!$Y$17))))))</x:f>
      </x:c>
      <x:c r="AS190" t="str">
        <x:f>IF(Calc!$AO$190&gt;'Calc'!$B$8,"",IF('Calc'!$E$17=1,0,MIN(Calc!$AQ$189*(1+'财富模型'!$E$20/12)+'Calc'!$B$6,IF(Calc!$AO$190&lt;='财富模型'!$E$11*12,'Calc'!$W$17,'Calc'!$Y$17))))</x:f>
      </x:c>
      <x:c r="AT190" t="str">
        <x:f>IF(Calc!$AO$190&gt;'Calc'!$B$8,"",'Calc'!$B$5-'财富模型'!$E$5-(IF('Calc'!$E$17=1,'财富模型'!$E$9,'财富模型'!$M$9+IF(Calc!$AO$190&lt;='财富模型'!$E$11*12,'Calc'!$W$17,'Calc'!$Y$17)-(IF('Calc'!$E$17=1,0,MIN(Calc!$AQ$189*(1+'财富模型'!$E$20/12)+'Calc'!$B$6,IF(Calc!$AO$190&lt;='财富模型'!$E$11*12,'Calc'!$W$17,'Calc'!$Y$17)))))))</x:f>
      </x:c>
      <x:c r="AU190" t="str">
        <x:f>IF(Calc!$AO$190&gt;'Calc'!$B$8,"",IF('Calc'!$E$17=1,0,MAX(Calc!$AU$189*(1+IF(Calc!$AO$190&lt;='财富模型'!$E$11*12,'财富模型'!$E$10,'财富模型'!$E$12)/12)-IF('Calc'!$E$17=1,0,IF(Calc!$AO$190&lt;='财富模型'!$E$11*12,'Calc'!$W$17,'Calc'!$Y$17)),0)))</x:f>
      </x:c>
    </x:row>
    <x:row r="191">
      <x:c r="A191" t="n">
        <x:v>170</x:v>
      </x:c>
      <x:c r="B191" t="str">
        <x:f>IF(Calc!$A$191&gt;'Calc'!$B$8,"",MAX(Calc!$B$190*(1+'财富模型'!$E$6/12)+('Calc'!$B$5-'财富模型'!$E$5-(IF('Calc'!$E$12=1,'财富模型'!$E$9,'财富模型'!$M$4+IF(Calc!$A$191&lt;='财富模型'!$E$11*12,'Calc'!$W$12,'Calc'!$Y$12)-(IF('Calc'!$E$12=1,0,MIN(Calc!$C$190*(1+'财富模型'!$E$20/12)+'Calc'!$B$6,IF(Calc!$A$191&lt;='财富模型'!$E$11*12,'Calc'!$W$12,'Calc'!$Y$12))))))),0))</x:f>
      </x:c>
      <x:c r="C191" t="str">
        <x:f>IF(Calc!$A$191&gt;'Calc'!$B$8,"",MAX(Calc!$C$190*(1+'财富模型'!$E$20/12)+'Calc'!$B$6-(IF('Calc'!$E$12=1,0,MIN(Calc!$C$190*(1+'财富模型'!$E$20/12)+'Calc'!$B$6,IF(Calc!$A$191&lt;='财富模型'!$E$11*12,'Calc'!$W$12,'Calc'!$Y$12)))),0))</x:f>
      </x:c>
      <x:c r="D191" t="str">
        <x:f>IF(Calc!$A$191&gt;'Calc'!$B$8,"",IF('Calc'!$E$12=1,'财富模型'!$E$9,'财富模型'!$M$4+IF(Calc!$A$191&lt;='财富模型'!$E$11*12,'Calc'!$W$12,'Calc'!$Y$12)-(IF('Calc'!$E$12=1,0,MIN(Calc!$C$190*(1+'财富模型'!$E$20/12)+'Calc'!$B$6,IF(Calc!$A$191&lt;='财富模型'!$E$11*12,'Calc'!$W$12,'Calc'!$Y$12))))))</x:f>
      </x:c>
      <x:c r="E191" t="str">
        <x:f>IF(Calc!$A$191&gt;'Calc'!$B$8,"",IF('Calc'!$E$12=1,0,MIN(Calc!$C$190*(1+'财富模型'!$E$20/12)+'Calc'!$B$6,IF(Calc!$A$191&lt;='财富模型'!$E$11*12,'Calc'!$W$12,'Calc'!$Y$12))))</x:f>
      </x:c>
      <x:c r="F191" t="str">
        <x:f>IF(Calc!$A$191&gt;'Calc'!$B$8,"",'Calc'!$B$5-'财富模型'!$E$5-(IF('Calc'!$E$12=1,'财富模型'!$E$9,'财富模型'!$M$4+IF(Calc!$A$191&lt;='财富模型'!$E$11*12,'Calc'!$W$12,'Calc'!$Y$12)-(IF('Calc'!$E$12=1,0,MIN(Calc!$C$190*(1+'财富模型'!$E$20/12)+'Calc'!$B$6,IF(Calc!$A$191&lt;='财富模型'!$E$11*12,'Calc'!$W$12,'Calc'!$Y$12)))))))</x:f>
      </x:c>
      <x:c r="G191" t="str">
        <x:f>IF(Calc!$A$191&gt;'Calc'!$B$8,"",IF('Calc'!$E$12=1,0,MAX(Calc!$G$190*(1+IF(Calc!$A$191&lt;='财富模型'!$E$11*12,'财富模型'!$E$10,'财富模型'!$E$12)/12)-IF('Calc'!$E$12=1,0,IF(Calc!$A$191&lt;='财富模型'!$E$11*12,'Calc'!$W$12,'Calc'!$Y$12)),0)))</x:f>
      </x:c>
      <x:c r="I191" t="n">
        <x:v>170</x:v>
      </x:c>
      <x:c r="J191" t="str">
        <x:f>IF(Calc!$I$191&gt;'Calc'!$B$8,"",MAX(Calc!$J$190*(1+'财富模型'!$E$6/12)+('Calc'!$B$5-'财富模型'!$E$5-(IF('Calc'!$E$13=1,'财富模型'!$E$9,'财富模型'!$M$5+IF(Calc!$I$191&lt;='财富模型'!$E$11*12,'Calc'!$W$13,'Calc'!$Y$13)-(IF('Calc'!$E$13=1,0,MIN(Calc!$K$190*(1+'财富模型'!$E$20/12)+'Calc'!$B$6,IF(Calc!$I$191&lt;='财富模型'!$E$11*12,'Calc'!$W$13,'Calc'!$Y$13))))))),0))</x:f>
      </x:c>
      <x:c r="K191" t="str">
        <x:f>IF(Calc!$I$191&gt;'Calc'!$B$8,"",MAX(Calc!$K$190*(1+'财富模型'!$E$20/12)+'Calc'!$B$6-(IF('Calc'!$E$13=1,0,MIN(Calc!$K$190*(1+'财富模型'!$E$20/12)+'Calc'!$B$6,IF(Calc!$I$191&lt;='财富模型'!$E$11*12,'Calc'!$W$13,'Calc'!$Y$13)))),0))</x:f>
      </x:c>
      <x:c r="L191" t="str">
        <x:f>IF(Calc!$I$191&gt;'Calc'!$B$8,"",IF('Calc'!$E$13=1,'财富模型'!$E$9,'财富模型'!$M$5+IF(Calc!$I$191&lt;='财富模型'!$E$11*12,'Calc'!$W$13,'Calc'!$Y$13)-(IF('Calc'!$E$13=1,0,MIN(Calc!$K$190*(1+'财富模型'!$E$20/12)+'Calc'!$B$6,IF(Calc!$I$191&lt;='财富模型'!$E$11*12,'Calc'!$W$13,'Calc'!$Y$13))))))</x:f>
      </x:c>
      <x:c r="M191" t="str">
        <x:f>IF(Calc!$I$191&gt;'Calc'!$B$8,"",IF('Calc'!$E$13=1,0,MIN(Calc!$K$190*(1+'财富模型'!$E$20/12)+'Calc'!$B$6,IF(Calc!$I$191&lt;='财富模型'!$E$11*12,'Calc'!$W$13,'Calc'!$Y$13))))</x:f>
      </x:c>
      <x:c r="N191" t="str">
        <x:f>IF(Calc!$I$191&gt;'Calc'!$B$8,"",'Calc'!$B$5-'财富模型'!$E$5-(IF('Calc'!$E$13=1,'财富模型'!$E$9,'财富模型'!$M$5+IF(Calc!$I$191&lt;='财富模型'!$E$11*12,'Calc'!$W$13,'Calc'!$Y$13)-(IF('Calc'!$E$13=1,0,MIN(Calc!$K$190*(1+'财富模型'!$E$20/12)+'Calc'!$B$6,IF(Calc!$I$191&lt;='财富模型'!$E$11*12,'Calc'!$W$13,'Calc'!$Y$13)))))))</x:f>
      </x:c>
      <x:c r="O191" t="str">
        <x:f>IF(Calc!$I$191&gt;'Calc'!$B$8,"",IF('Calc'!$E$13=1,0,MAX(Calc!$O$190*(1+IF(Calc!$I$191&lt;='财富模型'!$E$11*12,'财富模型'!$E$10,'财富模型'!$E$12)/12)-IF('Calc'!$E$13=1,0,IF(Calc!$I$191&lt;='财富模型'!$E$11*12,'Calc'!$W$13,'Calc'!$Y$13)),0)))</x:f>
      </x:c>
      <x:c r="Q191" t="n">
        <x:v>170</x:v>
      </x:c>
      <x:c r="R191" t="str">
        <x:f>IF(Calc!$Q$191&gt;'Calc'!$B$8,"",MAX(Calc!$R$190*(1+'财富模型'!$E$6/12)+('Calc'!$B$5-'财富模型'!$E$5-(IF('Calc'!$E$14=1,'财富模型'!$E$9,'财富模型'!$M$6+IF(Calc!$Q$191&lt;='财富模型'!$E$11*12,'Calc'!$W$14,'Calc'!$Y$14)-(IF('Calc'!$E$14=1,0,MIN(Calc!$S$190*(1+'财富模型'!$E$20/12)+'Calc'!$B$6,IF(Calc!$Q$191&lt;='财富模型'!$E$11*12,'Calc'!$W$14,'Calc'!$Y$14))))))),0))</x:f>
      </x:c>
      <x:c r="S191" t="str">
        <x:f>IF(Calc!$Q$191&gt;'Calc'!$B$8,"",MAX(Calc!$S$190*(1+'财富模型'!$E$20/12)+'Calc'!$B$6-(IF('Calc'!$E$14=1,0,MIN(Calc!$S$190*(1+'财富模型'!$E$20/12)+'Calc'!$B$6,IF(Calc!$Q$191&lt;='财富模型'!$E$11*12,'Calc'!$W$14,'Calc'!$Y$14)))),0))</x:f>
      </x:c>
      <x:c r="T191" t="str">
        <x:f>IF(Calc!$Q$191&gt;'Calc'!$B$8,"",IF('Calc'!$E$14=1,'财富模型'!$E$9,'财富模型'!$M$6+IF(Calc!$Q$191&lt;='财富模型'!$E$11*12,'Calc'!$W$14,'Calc'!$Y$14)-(IF('Calc'!$E$14=1,0,MIN(Calc!$S$190*(1+'财富模型'!$E$20/12)+'Calc'!$B$6,IF(Calc!$Q$191&lt;='财富模型'!$E$11*12,'Calc'!$W$14,'Calc'!$Y$14))))))</x:f>
      </x:c>
      <x:c r="U191" t="str">
        <x:f>IF(Calc!$Q$191&gt;'Calc'!$B$8,"",IF('Calc'!$E$14=1,0,MIN(Calc!$S$190*(1+'财富模型'!$E$20/12)+'Calc'!$B$6,IF(Calc!$Q$191&lt;='财富模型'!$E$11*12,'Calc'!$W$14,'Calc'!$Y$14))))</x:f>
      </x:c>
      <x:c r="V191" t="str">
        <x:f>IF(Calc!$Q$191&gt;'Calc'!$B$8,"",'Calc'!$B$5-'财富模型'!$E$5-(IF('Calc'!$E$14=1,'财富模型'!$E$9,'财富模型'!$M$6+IF(Calc!$Q$191&lt;='财富模型'!$E$11*12,'Calc'!$W$14,'Calc'!$Y$14)-(IF('Calc'!$E$14=1,0,MIN(Calc!$S$190*(1+'财富模型'!$E$20/12)+'Calc'!$B$6,IF(Calc!$Q$191&lt;='财富模型'!$E$11*12,'Calc'!$W$14,'Calc'!$Y$14)))))))</x:f>
      </x:c>
      <x:c r="W191" t="str">
        <x:f>IF(Calc!$Q$191&gt;'Calc'!$B$8,"",IF('Calc'!$E$14=1,0,MAX(Calc!$W$190*(1+IF(Calc!$Q$191&lt;='财富模型'!$E$11*12,'财富模型'!$E$10,'财富模型'!$E$12)/12)-IF('Calc'!$E$14=1,0,IF(Calc!$Q$191&lt;='财富模型'!$E$11*12,'Calc'!$W$14,'Calc'!$Y$14)),0)))</x:f>
      </x:c>
      <x:c r="Y191" t="n">
        <x:v>170</x:v>
      </x:c>
      <x:c r="Z191" t="str">
        <x:f>IF(Calc!$Y$191&gt;'Calc'!$B$8,"",MAX(Calc!$Z$190*(1+'财富模型'!$E$6/12)+('Calc'!$B$5-'财富模型'!$E$5-(IF('Calc'!$E$15=1,'财富模型'!$E$9,'财富模型'!$M$7+IF(Calc!$Y$191&lt;='财富模型'!$E$11*12,'Calc'!$W$15,'Calc'!$Y$15)-(IF('Calc'!$E$15=1,0,MIN(Calc!$AA$190*(1+'财富模型'!$E$20/12)+'Calc'!$B$6,IF(Calc!$Y$191&lt;='财富模型'!$E$11*12,'Calc'!$W$15,'Calc'!$Y$15))))))),0))</x:f>
      </x:c>
      <x:c r="AA191" t="str">
        <x:f>IF(Calc!$Y$191&gt;'Calc'!$B$8,"",MAX(Calc!$AA$190*(1+'财富模型'!$E$20/12)+'Calc'!$B$6-(IF('Calc'!$E$15=1,0,MIN(Calc!$AA$190*(1+'财富模型'!$E$20/12)+'Calc'!$B$6,IF(Calc!$Y$191&lt;='财富模型'!$E$11*12,'Calc'!$W$15,'Calc'!$Y$15)))),0))</x:f>
      </x:c>
      <x:c r="AB191" t="str">
        <x:f>IF(Calc!$Y$191&gt;'Calc'!$B$8,"",IF('Calc'!$E$15=1,'财富模型'!$E$9,'财富模型'!$M$7+IF(Calc!$Y$191&lt;='财富模型'!$E$11*12,'Calc'!$W$15,'Calc'!$Y$15)-(IF('Calc'!$E$15=1,0,MIN(Calc!$AA$190*(1+'财富模型'!$E$20/12)+'Calc'!$B$6,IF(Calc!$Y$191&lt;='财富模型'!$E$11*12,'Calc'!$W$15,'Calc'!$Y$15))))))</x:f>
      </x:c>
      <x:c r="AC191" t="str">
        <x:f>IF(Calc!$Y$191&gt;'Calc'!$B$8,"",IF('Calc'!$E$15=1,0,MIN(Calc!$AA$190*(1+'财富模型'!$E$20/12)+'Calc'!$B$6,IF(Calc!$Y$191&lt;='财富模型'!$E$11*12,'Calc'!$W$15,'Calc'!$Y$15))))</x:f>
      </x:c>
      <x:c r="AD191" t="str">
        <x:f>IF(Calc!$Y$191&gt;'Calc'!$B$8,"",'Calc'!$B$5-'财富模型'!$E$5-(IF('Calc'!$E$15=1,'财富模型'!$E$9,'财富模型'!$M$7+IF(Calc!$Y$191&lt;='财富模型'!$E$11*12,'Calc'!$W$15,'Calc'!$Y$15)-(IF('Calc'!$E$15=1,0,MIN(Calc!$AA$190*(1+'财富模型'!$E$20/12)+'Calc'!$B$6,IF(Calc!$Y$191&lt;='财富模型'!$E$11*12,'Calc'!$W$15,'Calc'!$Y$15)))))))</x:f>
      </x:c>
      <x:c r="AE191" t="str">
        <x:f>IF(Calc!$Y$191&gt;'Calc'!$B$8,"",IF('Calc'!$E$15=1,0,MAX(Calc!$AE$190*(1+IF(Calc!$Y$191&lt;='财富模型'!$E$11*12,'财富模型'!$E$10,'财富模型'!$E$12)/12)-IF('Calc'!$E$15=1,0,IF(Calc!$Y$191&lt;='财富模型'!$E$11*12,'Calc'!$W$15,'Calc'!$Y$15)),0)))</x:f>
      </x:c>
      <x:c r="AG191" t="n">
        <x:v>170</x:v>
      </x:c>
      <x:c r="AH191" t="str">
        <x:f>IF(Calc!$AG$191&gt;'Calc'!$B$8,"",MAX(Calc!$AH$190*(1+'财富模型'!$E$6/12)+('Calc'!$B$5-'财富模型'!$E$5-(IF('Calc'!$E$16=1,'财富模型'!$E$9,'财富模型'!$M$8+IF(Calc!$AG$191&lt;='财富模型'!$E$11*12,'Calc'!$W$16,'Calc'!$Y$16)-(IF('Calc'!$E$16=1,0,MIN(Calc!$AI$190*(1+'财富模型'!$E$20/12)+'Calc'!$B$6,IF(Calc!$AG$191&lt;='财富模型'!$E$11*12,'Calc'!$W$16,'Calc'!$Y$16))))))),0))</x:f>
      </x:c>
      <x:c r="AI191" t="str">
        <x:f>IF(Calc!$AG$191&gt;'Calc'!$B$8,"",MAX(Calc!$AI$190*(1+'财富模型'!$E$20/12)+'Calc'!$B$6-(IF('Calc'!$E$16=1,0,MIN(Calc!$AI$190*(1+'财富模型'!$E$20/12)+'Calc'!$B$6,IF(Calc!$AG$191&lt;='财富模型'!$E$11*12,'Calc'!$W$16,'Calc'!$Y$16)))),0))</x:f>
      </x:c>
      <x:c r="AJ191" t="str">
        <x:f>IF(Calc!$AG$191&gt;'Calc'!$B$8,"",IF('Calc'!$E$16=1,'财富模型'!$E$9,'财富模型'!$M$8+IF(Calc!$AG$191&lt;='财富模型'!$E$11*12,'Calc'!$W$16,'Calc'!$Y$16)-(IF('Calc'!$E$16=1,0,MIN(Calc!$AI$190*(1+'财富模型'!$E$20/12)+'Calc'!$B$6,IF(Calc!$AG$191&lt;='财富模型'!$E$11*12,'Calc'!$W$16,'Calc'!$Y$16))))))</x:f>
      </x:c>
      <x:c r="AK191" t="str">
        <x:f>IF(Calc!$AG$191&gt;'Calc'!$B$8,"",IF('Calc'!$E$16=1,0,MIN(Calc!$AI$190*(1+'财富模型'!$E$20/12)+'Calc'!$B$6,IF(Calc!$AG$191&lt;='财富模型'!$E$11*12,'Calc'!$W$16,'Calc'!$Y$16))))</x:f>
      </x:c>
      <x:c r="AL191" t="str">
        <x:f>IF(Calc!$AG$191&gt;'Calc'!$B$8,"",'Calc'!$B$5-'财富模型'!$E$5-(IF('Calc'!$E$16=1,'财富模型'!$E$9,'财富模型'!$M$8+IF(Calc!$AG$191&lt;='财富模型'!$E$11*12,'Calc'!$W$16,'Calc'!$Y$16)-(IF('Calc'!$E$16=1,0,MIN(Calc!$AI$190*(1+'财富模型'!$E$20/12)+'Calc'!$B$6,IF(Calc!$AG$191&lt;='财富模型'!$E$11*12,'Calc'!$W$16,'Calc'!$Y$16)))))))</x:f>
      </x:c>
      <x:c r="AM191" t="str">
        <x:f>IF(Calc!$AG$191&gt;'Calc'!$B$8,"",IF('Calc'!$E$16=1,0,MAX(Calc!$AM$190*(1+IF(Calc!$AG$191&lt;='财富模型'!$E$11*12,'财富模型'!$E$10,'财富模型'!$E$12)/12)-IF('Calc'!$E$16=1,0,IF(Calc!$AG$191&lt;='财富模型'!$E$11*12,'Calc'!$W$16,'Calc'!$Y$16)),0)))</x:f>
      </x:c>
      <x:c r="AO191" t="n">
        <x:v>170</x:v>
      </x:c>
      <x:c r="AP191" t="str">
        <x:f>IF(Calc!$AO$191&gt;'Calc'!$B$8,"",MAX(Calc!$AP$190*(1+'财富模型'!$E$6/12)+('Calc'!$B$5-'财富模型'!$E$5-(IF('Calc'!$E$17=1,'财富模型'!$E$9,'财富模型'!$M$9+IF(Calc!$AO$191&lt;='财富模型'!$E$11*12,'Calc'!$W$17,'Calc'!$Y$17)-(IF('Calc'!$E$17=1,0,MIN(Calc!$AQ$190*(1+'财富模型'!$E$20/12)+'Calc'!$B$6,IF(Calc!$AO$191&lt;='财富模型'!$E$11*12,'Calc'!$W$17,'Calc'!$Y$17))))))),0))</x:f>
      </x:c>
      <x:c r="AQ191" t="str">
        <x:f>IF(Calc!$AO$191&gt;'Calc'!$B$8,"",MAX(Calc!$AQ$190*(1+'财富模型'!$E$20/12)+'Calc'!$B$6-(IF('Calc'!$E$17=1,0,MIN(Calc!$AQ$190*(1+'财富模型'!$E$20/12)+'Calc'!$B$6,IF(Calc!$AO$191&lt;='财富模型'!$E$11*12,'Calc'!$W$17,'Calc'!$Y$17)))),0))</x:f>
      </x:c>
      <x:c r="AR191" t="str">
        <x:f>IF(Calc!$AO$191&gt;'Calc'!$B$8,"",IF('Calc'!$E$17=1,'财富模型'!$E$9,'财富模型'!$M$9+IF(Calc!$AO$191&lt;='财富模型'!$E$11*12,'Calc'!$W$17,'Calc'!$Y$17)-(IF('Calc'!$E$17=1,0,MIN(Calc!$AQ$190*(1+'财富模型'!$E$20/12)+'Calc'!$B$6,IF(Calc!$AO$191&lt;='财富模型'!$E$11*12,'Calc'!$W$17,'Calc'!$Y$17))))))</x:f>
      </x:c>
      <x:c r="AS191" t="str">
        <x:f>IF(Calc!$AO$191&gt;'Calc'!$B$8,"",IF('Calc'!$E$17=1,0,MIN(Calc!$AQ$190*(1+'财富模型'!$E$20/12)+'Calc'!$B$6,IF(Calc!$AO$191&lt;='财富模型'!$E$11*12,'Calc'!$W$17,'Calc'!$Y$17))))</x:f>
      </x:c>
      <x:c r="AT191" t="str">
        <x:f>IF(Calc!$AO$191&gt;'Calc'!$B$8,"",'Calc'!$B$5-'财富模型'!$E$5-(IF('Calc'!$E$17=1,'财富模型'!$E$9,'财富模型'!$M$9+IF(Calc!$AO$191&lt;='财富模型'!$E$11*12,'Calc'!$W$17,'Calc'!$Y$17)-(IF('Calc'!$E$17=1,0,MIN(Calc!$AQ$190*(1+'财富模型'!$E$20/12)+'Calc'!$B$6,IF(Calc!$AO$191&lt;='财富模型'!$E$11*12,'Calc'!$W$17,'Calc'!$Y$17)))))))</x:f>
      </x:c>
      <x:c r="AU191" t="str">
        <x:f>IF(Calc!$AO$191&gt;'Calc'!$B$8,"",IF('Calc'!$E$17=1,0,MAX(Calc!$AU$190*(1+IF(Calc!$AO$191&lt;='财富模型'!$E$11*12,'财富模型'!$E$10,'财富模型'!$E$12)/12)-IF('Calc'!$E$17=1,0,IF(Calc!$AO$191&lt;='财富模型'!$E$11*12,'Calc'!$W$17,'Calc'!$Y$17)),0)))</x:f>
      </x:c>
    </x:row>
    <x:row r="192">
      <x:c r="A192" t="n">
        <x:v>171</x:v>
      </x:c>
      <x:c r="B192" t="str">
        <x:f>IF(Calc!$A$192&gt;'Calc'!$B$8,"",MAX(Calc!$B$191*(1+'财富模型'!$E$6/12)+('Calc'!$B$5-'财富模型'!$E$5-(IF('Calc'!$E$12=1,'财富模型'!$E$9,'财富模型'!$M$4+IF(Calc!$A$192&lt;='财富模型'!$E$11*12,'Calc'!$W$12,'Calc'!$Y$12)-(IF('Calc'!$E$12=1,0,MIN(Calc!$C$191*(1+'财富模型'!$E$20/12)+'Calc'!$B$6,IF(Calc!$A$192&lt;='财富模型'!$E$11*12,'Calc'!$W$12,'Calc'!$Y$12))))))),0))</x:f>
      </x:c>
      <x:c r="C192" t="str">
        <x:f>IF(Calc!$A$192&gt;'Calc'!$B$8,"",MAX(Calc!$C$191*(1+'财富模型'!$E$20/12)+'Calc'!$B$6-(IF('Calc'!$E$12=1,0,MIN(Calc!$C$191*(1+'财富模型'!$E$20/12)+'Calc'!$B$6,IF(Calc!$A$192&lt;='财富模型'!$E$11*12,'Calc'!$W$12,'Calc'!$Y$12)))),0))</x:f>
      </x:c>
      <x:c r="D192" t="str">
        <x:f>IF(Calc!$A$192&gt;'Calc'!$B$8,"",IF('Calc'!$E$12=1,'财富模型'!$E$9,'财富模型'!$M$4+IF(Calc!$A$192&lt;='财富模型'!$E$11*12,'Calc'!$W$12,'Calc'!$Y$12)-(IF('Calc'!$E$12=1,0,MIN(Calc!$C$191*(1+'财富模型'!$E$20/12)+'Calc'!$B$6,IF(Calc!$A$192&lt;='财富模型'!$E$11*12,'Calc'!$W$12,'Calc'!$Y$12))))))</x:f>
      </x:c>
      <x:c r="E192" t="str">
        <x:f>IF(Calc!$A$192&gt;'Calc'!$B$8,"",IF('Calc'!$E$12=1,0,MIN(Calc!$C$191*(1+'财富模型'!$E$20/12)+'Calc'!$B$6,IF(Calc!$A$192&lt;='财富模型'!$E$11*12,'Calc'!$W$12,'Calc'!$Y$12))))</x:f>
      </x:c>
      <x:c r="F192" t="str">
        <x:f>IF(Calc!$A$192&gt;'Calc'!$B$8,"",'Calc'!$B$5-'财富模型'!$E$5-(IF('Calc'!$E$12=1,'财富模型'!$E$9,'财富模型'!$M$4+IF(Calc!$A$192&lt;='财富模型'!$E$11*12,'Calc'!$W$12,'Calc'!$Y$12)-(IF('Calc'!$E$12=1,0,MIN(Calc!$C$191*(1+'财富模型'!$E$20/12)+'Calc'!$B$6,IF(Calc!$A$192&lt;='财富模型'!$E$11*12,'Calc'!$W$12,'Calc'!$Y$12)))))))</x:f>
      </x:c>
      <x:c r="G192" t="str">
        <x:f>IF(Calc!$A$192&gt;'Calc'!$B$8,"",IF('Calc'!$E$12=1,0,MAX(Calc!$G$191*(1+IF(Calc!$A$192&lt;='财富模型'!$E$11*12,'财富模型'!$E$10,'财富模型'!$E$12)/12)-IF('Calc'!$E$12=1,0,IF(Calc!$A$192&lt;='财富模型'!$E$11*12,'Calc'!$W$12,'Calc'!$Y$12)),0)))</x:f>
      </x:c>
      <x:c r="I192" t="n">
        <x:v>171</x:v>
      </x:c>
      <x:c r="J192" t="str">
        <x:f>IF(Calc!$I$192&gt;'Calc'!$B$8,"",MAX(Calc!$J$191*(1+'财富模型'!$E$6/12)+('Calc'!$B$5-'财富模型'!$E$5-(IF('Calc'!$E$13=1,'财富模型'!$E$9,'财富模型'!$M$5+IF(Calc!$I$192&lt;='财富模型'!$E$11*12,'Calc'!$W$13,'Calc'!$Y$13)-(IF('Calc'!$E$13=1,0,MIN(Calc!$K$191*(1+'财富模型'!$E$20/12)+'Calc'!$B$6,IF(Calc!$I$192&lt;='财富模型'!$E$11*12,'Calc'!$W$13,'Calc'!$Y$13))))))),0))</x:f>
      </x:c>
      <x:c r="K192" t="str">
        <x:f>IF(Calc!$I$192&gt;'Calc'!$B$8,"",MAX(Calc!$K$191*(1+'财富模型'!$E$20/12)+'Calc'!$B$6-(IF('Calc'!$E$13=1,0,MIN(Calc!$K$191*(1+'财富模型'!$E$20/12)+'Calc'!$B$6,IF(Calc!$I$192&lt;='财富模型'!$E$11*12,'Calc'!$W$13,'Calc'!$Y$13)))),0))</x:f>
      </x:c>
      <x:c r="L192" t="str">
        <x:f>IF(Calc!$I$192&gt;'Calc'!$B$8,"",IF('Calc'!$E$13=1,'财富模型'!$E$9,'财富模型'!$M$5+IF(Calc!$I$192&lt;='财富模型'!$E$11*12,'Calc'!$W$13,'Calc'!$Y$13)-(IF('Calc'!$E$13=1,0,MIN(Calc!$K$191*(1+'财富模型'!$E$20/12)+'Calc'!$B$6,IF(Calc!$I$192&lt;='财富模型'!$E$11*12,'Calc'!$W$13,'Calc'!$Y$13))))))</x:f>
      </x:c>
      <x:c r="M192" t="str">
        <x:f>IF(Calc!$I$192&gt;'Calc'!$B$8,"",IF('Calc'!$E$13=1,0,MIN(Calc!$K$191*(1+'财富模型'!$E$20/12)+'Calc'!$B$6,IF(Calc!$I$192&lt;='财富模型'!$E$11*12,'Calc'!$W$13,'Calc'!$Y$13))))</x:f>
      </x:c>
      <x:c r="N192" t="str">
        <x:f>IF(Calc!$I$192&gt;'Calc'!$B$8,"",'Calc'!$B$5-'财富模型'!$E$5-(IF('Calc'!$E$13=1,'财富模型'!$E$9,'财富模型'!$M$5+IF(Calc!$I$192&lt;='财富模型'!$E$11*12,'Calc'!$W$13,'Calc'!$Y$13)-(IF('Calc'!$E$13=1,0,MIN(Calc!$K$191*(1+'财富模型'!$E$20/12)+'Calc'!$B$6,IF(Calc!$I$192&lt;='财富模型'!$E$11*12,'Calc'!$W$13,'Calc'!$Y$13)))))))</x:f>
      </x:c>
      <x:c r="O192" t="str">
        <x:f>IF(Calc!$I$192&gt;'Calc'!$B$8,"",IF('Calc'!$E$13=1,0,MAX(Calc!$O$191*(1+IF(Calc!$I$192&lt;='财富模型'!$E$11*12,'财富模型'!$E$10,'财富模型'!$E$12)/12)-IF('Calc'!$E$13=1,0,IF(Calc!$I$192&lt;='财富模型'!$E$11*12,'Calc'!$W$13,'Calc'!$Y$13)),0)))</x:f>
      </x:c>
      <x:c r="Q192" t="n">
        <x:v>171</x:v>
      </x:c>
      <x:c r="R192" t="str">
        <x:f>IF(Calc!$Q$192&gt;'Calc'!$B$8,"",MAX(Calc!$R$191*(1+'财富模型'!$E$6/12)+('Calc'!$B$5-'财富模型'!$E$5-(IF('Calc'!$E$14=1,'财富模型'!$E$9,'财富模型'!$M$6+IF(Calc!$Q$192&lt;='财富模型'!$E$11*12,'Calc'!$W$14,'Calc'!$Y$14)-(IF('Calc'!$E$14=1,0,MIN(Calc!$S$191*(1+'财富模型'!$E$20/12)+'Calc'!$B$6,IF(Calc!$Q$192&lt;='财富模型'!$E$11*12,'Calc'!$W$14,'Calc'!$Y$14))))))),0))</x:f>
      </x:c>
      <x:c r="S192" t="str">
        <x:f>IF(Calc!$Q$192&gt;'Calc'!$B$8,"",MAX(Calc!$S$191*(1+'财富模型'!$E$20/12)+'Calc'!$B$6-(IF('Calc'!$E$14=1,0,MIN(Calc!$S$191*(1+'财富模型'!$E$20/12)+'Calc'!$B$6,IF(Calc!$Q$192&lt;='财富模型'!$E$11*12,'Calc'!$W$14,'Calc'!$Y$14)))),0))</x:f>
      </x:c>
      <x:c r="T192" t="str">
        <x:f>IF(Calc!$Q$192&gt;'Calc'!$B$8,"",IF('Calc'!$E$14=1,'财富模型'!$E$9,'财富模型'!$M$6+IF(Calc!$Q$192&lt;='财富模型'!$E$11*12,'Calc'!$W$14,'Calc'!$Y$14)-(IF('Calc'!$E$14=1,0,MIN(Calc!$S$191*(1+'财富模型'!$E$20/12)+'Calc'!$B$6,IF(Calc!$Q$192&lt;='财富模型'!$E$11*12,'Calc'!$W$14,'Calc'!$Y$14))))))</x:f>
      </x:c>
      <x:c r="U192" t="str">
        <x:f>IF(Calc!$Q$192&gt;'Calc'!$B$8,"",IF('Calc'!$E$14=1,0,MIN(Calc!$S$191*(1+'财富模型'!$E$20/12)+'Calc'!$B$6,IF(Calc!$Q$192&lt;='财富模型'!$E$11*12,'Calc'!$W$14,'Calc'!$Y$14))))</x:f>
      </x:c>
      <x:c r="V192" t="str">
        <x:f>IF(Calc!$Q$192&gt;'Calc'!$B$8,"",'Calc'!$B$5-'财富模型'!$E$5-(IF('Calc'!$E$14=1,'财富模型'!$E$9,'财富模型'!$M$6+IF(Calc!$Q$192&lt;='财富模型'!$E$11*12,'Calc'!$W$14,'Calc'!$Y$14)-(IF('Calc'!$E$14=1,0,MIN(Calc!$S$191*(1+'财富模型'!$E$20/12)+'Calc'!$B$6,IF(Calc!$Q$192&lt;='财富模型'!$E$11*12,'Calc'!$W$14,'Calc'!$Y$14)))))))</x:f>
      </x:c>
      <x:c r="W192" t="str">
        <x:f>IF(Calc!$Q$192&gt;'Calc'!$B$8,"",IF('Calc'!$E$14=1,0,MAX(Calc!$W$191*(1+IF(Calc!$Q$192&lt;='财富模型'!$E$11*12,'财富模型'!$E$10,'财富模型'!$E$12)/12)-IF('Calc'!$E$14=1,0,IF(Calc!$Q$192&lt;='财富模型'!$E$11*12,'Calc'!$W$14,'Calc'!$Y$14)),0)))</x:f>
      </x:c>
      <x:c r="Y192" t="n">
        <x:v>171</x:v>
      </x:c>
      <x:c r="Z192" t="str">
        <x:f>IF(Calc!$Y$192&gt;'Calc'!$B$8,"",MAX(Calc!$Z$191*(1+'财富模型'!$E$6/12)+('Calc'!$B$5-'财富模型'!$E$5-(IF('Calc'!$E$15=1,'财富模型'!$E$9,'财富模型'!$M$7+IF(Calc!$Y$192&lt;='财富模型'!$E$11*12,'Calc'!$W$15,'Calc'!$Y$15)-(IF('Calc'!$E$15=1,0,MIN(Calc!$AA$191*(1+'财富模型'!$E$20/12)+'Calc'!$B$6,IF(Calc!$Y$192&lt;='财富模型'!$E$11*12,'Calc'!$W$15,'Calc'!$Y$15))))))),0))</x:f>
      </x:c>
      <x:c r="AA192" t="str">
        <x:f>IF(Calc!$Y$192&gt;'Calc'!$B$8,"",MAX(Calc!$AA$191*(1+'财富模型'!$E$20/12)+'Calc'!$B$6-(IF('Calc'!$E$15=1,0,MIN(Calc!$AA$191*(1+'财富模型'!$E$20/12)+'Calc'!$B$6,IF(Calc!$Y$192&lt;='财富模型'!$E$11*12,'Calc'!$W$15,'Calc'!$Y$15)))),0))</x:f>
      </x:c>
      <x:c r="AB192" t="str">
        <x:f>IF(Calc!$Y$192&gt;'Calc'!$B$8,"",IF('Calc'!$E$15=1,'财富模型'!$E$9,'财富模型'!$M$7+IF(Calc!$Y$192&lt;='财富模型'!$E$11*12,'Calc'!$W$15,'Calc'!$Y$15)-(IF('Calc'!$E$15=1,0,MIN(Calc!$AA$191*(1+'财富模型'!$E$20/12)+'Calc'!$B$6,IF(Calc!$Y$192&lt;='财富模型'!$E$11*12,'Calc'!$W$15,'Calc'!$Y$15))))))</x:f>
      </x:c>
      <x:c r="AC192" t="str">
        <x:f>IF(Calc!$Y$192&gt;'Calc'!$B$8,"",IF('Calc'!$E$15=1,0,MIN(Calc!$AA$191*(1+'财富模型'!$E$20/12)+'Calc'!$B$6,IF(Calc!$Y$192&lt;='财富模型'!$E$11*12,'Calc'!$W$15,'Calc'!$Y$15))))</x:f>
      </x:c>
      <x:c r="AD192" t="str">
        <x:f>IF(Calc!$Y$192&gt;'Calc'!$B$8,"",'Calc'!$B$5-'财富模型'!$E$5-(IF('Calc'!$E$15=1,'财富模型'!$E$9,'财富模型'!$M$7+IF(Calc!$Y$192&lt;='财富模型'!$E$11*12,'Calc'!$W$15,'Calc'!$Y$15)-(IF('Calc'!$E$15=1,0,MIN(Calc!$AA$191*(1+'财富模型'!$E$20/12)+'Calc'!$B$6,IF(Calc!$Y$192&lt;='财富模型'!$E$11*12,'Calc'!$W$15,'Calc'!$Y$15)))))))</x:f>
      </x:c>
      <x:c r="AE192" t="str">
        <x:f>IF(Calc!$Y$192&gt;'Calc'!$B$8,"",IF('Calc'!$E$15=1,0,MAX(Calc!$AE$191*(1+IF(Calc!$Y$192&lt;='财富模型'!$E$11*12,'财富模型'!$E$10,'财富模型'!$E$12)/12)-IF('Calc'!$E$15=1,0,IF(Calc!$Y$192&lt;='财富模型'!$E$11*12,'Calc'!$W$15,'Calc'!$Y$15)),0)))</x:f>
      </x:c>
      <x:c r="AG192" t="n">
        <x:v>171</x:v>
      </x:c>
      <x:c r="AH192" t="str">
        <x:f>IF(Calc!$AG$192&gt;'Calc'!$B$8,"",MAX(Calc!$AH$191*(1+'财富模型'!$E$6/12)+('Calc'!$B$5-'财富模型'!$E$5-(IF('Calc'!$E$16=1,'财富模型'!$E$9,'财富模型'!$M$8+IF(Calc!$AG$192&lt;='财富模型'!$E$11*12,'Calc'!$W$16,'Calc'!$Y$16)-(IF('Calc'!$E$16=1,0,MIN(Calc!$AI$191*(1+'财富模型'!$E$20/12)+'Calc'!$B$6,IF(Calc!$AG$192&lt;='财富模型'!$E$11*12,'Calc'!$W$16,'Calc'!$Y$16))))))),0))</x:f>
      </x:c>
      <x:c r="AI192" t="str">
        <x:f>IF(Calc!$AG$192&gt;'Calc'!$B$8,"",MAX(Calc!$AI$191*(1+'财富模型'!$E$20/12)+'Calc'!$B$6-(IF('Calc'!$E$16=1,0,MIN(Calc!$AI$191*(1+'财富模型'!$E$20/12)+'Calc'!$B$6,IF(Calc!$AG$192&lt;='财富模型'!$E$11*12,'Calc'!$W$16,'Calc'!$Y$16)))),0))</x:f>
      </x:c>
      <x:c r="AJ192" t="str">
        <x:f>IF(Calc!$AG$192&gt;'Calc'!$B$8,"",IF('Calc'!$E$16=1,'财富模型'!$E$9,'财富模型'!$M$8+IF(Calc!$AG$192&lt;='财富模型'!$E$11*12,'Calc'!$W$16,'Calc'!$Y$16)-(IF('Calc'!$E$16=1,0,MIN(Calc!$AI$191*(1+'财富模型'!$E$20/12)+'Calc'!$B$6,IF(Calc!$AG$192&lt;='财富模型'!$E$11*12,'Calc'!$W$16,'Calc'!$Y$16))))))</x:f>
      </x:c>
      <x:c r="AK192" t="str">
        <x:f>IF(Calc!$AG$192&gt;'Calc'!$B$8,"",IF('Calc'!$E$16=1,0,MIN(Calc!$AI$191*(1+'财富模型'!$E$20/12)+'Calc'!$B$6,IF(Calc!$AG$192&lt;='财富模型'!$E$11*12,'Calc'!$W$16,'Calc'!$Y$16))))</x:f>
      </x:c>
      <x:c r="AL192" t="str">
        <x:f>IF(Calc!$AG$192&gt;'Calc'!$B$8,"",'Calc'!$B$5-'财富模型'!$E$5-(IF('Calc'!$E$16=1,'财富模型'!$E$9,'财富模型'!$M$8+IF(Calc!$AG$192&lt;='财富模型'!$E$11*12,'Calc'!$W$16,'Calc'!$Y$16)-(IF('Calc'!$E$16=1,0,MIN(Calc!$AI$191*(1+'财富模型'!$E$20/12)+'Calc'!$B$6,IF(Calc!$AG$192&lt;='财富模型'!$E$11*12,'Calc'!$W$16,'Calc'!$Y$16)))))))</x:f>
      </x:c>
      <x:c r="AM192" t="str">
        <x:f>IF(Calc!$AG$192&gt;'Calc'!$B$8,"",IF('Calc'!$E$16=1,0,MAX(Calc!$AM$191*(1+IF(Calc!$AG$192&lt;='财富模型'!$E$11*12,'财富模型'!$E$10,'财富模型'!$E$12)/12)-IF('Calc'!$E$16=1,0,IF(Calc!$AG$192&lt;='财富模型'!$E$11*12,'Calc'!$W$16,'Calc'!$Y$16)),0)))</x:f>
      </x:c>
      <x:c r="AO192" t="n">
        <x:v>171</x:v>
      </x:c>
      <x:c r="AP192" t="str">
        <x:f>IF(Calc!$AO$192&gt;'Calc'!$B$8,"",MAX(Calc!$AP$191*(1+'财富模型'!$E$6/12)+('Calc'!$B$5-'财富模型'!$E$5-(IF('Calc'!$E$17=1,'财富模型'!$E$9,'财富模型'!$M$9+IF(Calc!$AO$192&lt;='财富模型'!$E$11*12,'Calc'!$W$17,'Calc'!$Y$17)-(IF('Calc'!$E$17=1,0,MIN(Calc!$AQ$191*(1+'财富模型'!$E$20/12)+'Calc'!$B$6,IF(Calc!$AO$192&lt;='财富模型'!$E$11*12,'Calc'!$W$17,'Calc'!$Y$17))))))),0))</x:f>
      </x:c>
      <x:c r="AQ192" t="str">
        <x:f>IF(Calc!$AO$192&gt;'Calc'!$B$8,"",MAX(Calc!$AQ$191*(1+'财富模型'!$E$20/12)+'Calc'!$B$6-(IF('Calc'!$E$17=1,0,MIN(Calc!$AQ$191*(1+'财富模型'!$E$20/12)+'Calc'!$B$6,IF(Calc!$AO$192&lt;='财富模型'!$E$11*12,'Calc'!$W$17,'Calc'!$Y$17)))),0))</x:f>
      </x:c>
      <x:c r="AR192" t="str">
        <x:f>IF(Calc!$AO$192&gt;'Calc'!$B$8,"",IF('Calc'!$E$17=1,'财富模型'!$E$9,'财富模型'!$M$9+IF(Calc!$AO$192&lt;='财富模型'!$E$11*12,'Calc'!$W$17,'Calc'!$Y$17)-(IF('Calc'!$E$17=1,0,MIN(Calc!$AQ$191*(1+'财富模型'!$E$20/12)+'Calc'!$B$6,IF(Calc!$AO$192&lt;='财富模型'!$E$11*12,'Calc'!$W$17,'Calc'!$Y$17))))))</x:f>
      </x:c>
      <x:c r="AS192" t="str">
        <x:f>IF(Calc!$AO$192&gt;'Calc'!$B$8,"",IF('Calc'!$E$17=1,0,MIN(Calc!$AQ$191*(1+'财富模型'!$E$20/12)+'Calc'!$B$6,IF(Calc!$AO$192&lt;='财富模型'!$E$11*12,'Calc'!$W$17,'Calc'!$Y$17))))</x:f>
      </x:c>
      <x:c r="AT192" t="str">
        <x:f>IF(Calc!$AO$192&gt;'Calc'!$B$8,"",'Calc'!$B$5-'财富模型'!$E$5-(IF('Calc'!$E$17=1,'财富模型'!$E$9,'财富模型'!$M$9+IF(Calc!$AO$192&lt;='财富模型'!$E$11*12,'Calc'!$W$17,'Calc'!$Y$17)-(IF('Calc'!$E$17=1,0,MIN(Calc!$AQ$191*(1+'财富模型'!$E$20/12)+'Calc'!$B$6,IF(Calc!$AO$192&lt;='财富模型'!$E$11*12,'Calc'!$W$17,'Calc'!$Y$17)))))))</x:f>
      </x:c>
      <x:c r="AU192" t="str">
        <x:f>IF(Calc!$AO$192&gt;'Calc'!$B$8,"",IF('Calc'!$E$17=1,0,MAX(Calc!$AU$191*(1+IF(Calc!$AO$192&lt;='财富模型'!$E$11*12,'财富模型'!$E$10,'财富模型'!$E$12)/12)-IF('Calc'!$E$17=1,0,IF(Calc!$AO$192&lt;='财富模型'!$E$11*12,'Calc'!$W$17,'Calc'!$Y$17)),0)))</x:f>
      </x:c>
    </x:row>
    <x:row r="193">
      <x:c r="A193" t="n">
        <x:v>172</x:v>
      </x:c>
      <x:c r="B193" t="str">
        <x:f>IF(Calc!$A$193&gt;'Calc'!$B$8,"",MAX(Calc!$B$192*(1+'财富模型'!$E$6/12)+('Calc'!$B$5-'财富模型'!$E$5-(IF('Calc'!$E$12=1,'财富模型'!$E$9,'财富模型'!$M$4+IF(Calc!$A$193&lt;='财富模型'!$E$11*12,'Calc'!$W$12,'Calc'!$Y$12)-(IF('Calc'!$E$12=1,0,MIN(Calc!$C$192*(1+'财富模型'!$E$20/12)+'Calc'!$B$6,IF(Calc!$A$193&lt;='财富模型'!$E$11*12,'Calc'!$W$12,'Calc'!$Y$12))))))),0))</x:f>
      </x:c>
      <x:c r="C193" t="str">
        <x:f>IF(Calc!$A$193&gt;'Calc'!$B$8,"",MAX(Calc!$C$192*(1+'财富模型'!$E$20/12)+'Calc'!$B$6-(IF('Calc'!$E$12=1,0,MIN(Calc!$C$192*(1+'财富模型'!$E$20/12)+'Calc'!$B$6,IF(Calc!$A$193&lt;='财富模型'!$E$11*12,'Calc'!$W$12,'Calc'!$Y$12)))),0))</x:f>
      </x:c>
      <x:c r="D193" t="str">
        <x:f>IF(Calc!$A$193&gt;'Calc'!$B$8,"",IF('Calc'!$E$12=1,'财富模型'!$E$9,'财富模型'!$M$4+IF(Calc!$A$193&lt;='财富模型'!$E$11*12,'Calc'!$W$12,'Calc'!$Y$12)-(IF('Calc'!$E$12=1,0,MIN(Calc!$C$192*(1+'财富模型'!$E$20/12)+'Calc'!$B$6,IF(Calc!$A$193&lt;='财富模型'!$E$11*12,'Calc'!$W$12,'Calc'!$Y$12))))))</x:f>
      </x:c>
      <x:c r="E193" t="str">
        <x:f>IF(Calc!$A$193&gt;'Calc'!$B$8,"",IF('Calc'!$E$12=1,0,MIN(Calc!$C$192*(1+'财富模型'!$E$20/12)+'Calc'!$B$6,IF(Calc!$A$193&lt;='财富模型'!$E$11*12,'Calc'!$W$12,'Calc'!$Y$12))))</x:f>
      </x:c>
      <x:c r="F193" t="str">
        <x:f>IF(Calc!$A$193&gt;'Calc'!$B$8,"",'Calc'!$B$5-'财富模型'!$E$5-(IF('Calc'!$E$12=1,'财富模型'!$E$9,'财富模型'!$M$4+IF(Calc!$A$193&lt;='财富模型'!$E$11*12,'Calc'!$W$12,'Calc'!$Y$12)-(IF('Calc'!$E$12=1,0,MIN(Calc!$C$192*(1+'财富模型'!$E$20/12)+'Calc'!$B$6,IF(Calc!$A$193&lt;='财富模型'!$E$11*12,'Calc'!$W$12,'Calc'!$Y$12)))))))</x:f>
      </x:c>
      <x:c r="G193" t="str">
        <x:f>IF(Calc!$A$193&gt;'Calc'!$B$8,"",IF('Calc'!$E$12=1,0,MAX(Calc!$G$192*(1+IF(Calc!$A$193&lt;='财富模型'!$E$11*12,'财富模型'!$E$10,'财富模型'!$E$12)/12)-IF('Calc'!$E$12=1,0,IF(Calc!$A$193&lt;='财富模型'!$E$11*12,'Calc'!$W$12,'Calc'!$Y$12)),0)))</x:f>
      </x:c>
      <x:c r="I193" t="n">
        <x:v>172</x:v>
      </x:c>
      <x:c r="J193" t="str">
        <x:f>IF(Calc!$I$193&gt;'Calc'!$B$8,"",MAX(Calc!$J$192*(1+'财富模型'!$E$6/12)+('Calc'!$B$5-'财富模型'!$E$5-(IF('Calc'!$E$13=1,'财富模型'!$E$9,'财富模型'!$M$5+IF(Calc!$I$193&lt;='财富模型'!$E$11*12,'Calc'!$W$13,'Calc'!$Y$13)-(IF('Calc'!$E$13=1,0,MIN(Calc!$K$192*(1+'财富模型'!$E$20/12)+'Calc'!$B$6,IF(Calc!$I$193&lt;='财富模型'!$E$11*12,'Calc'!$W$13,'Calc'!$Y$13))))))),0))</x:f>
      </x:c>
      <x:c r="K193" t="str">
        <x:f>IF(Calc!$I$193&gt;'Calc'!$B$8,"",MAX(Calc!$K$192*(1+'财富模型'!$E$20/12)+'Calc'!$B$6-(IF('Calc'!$E$13=1,0,MIN(Calc!$K$192*(1+'财富模型'!$E$20/12)+'Calc'!$B$6,IF(Calc!$I$193&lt;='财富模型'!$E$11*12,'Calc'!$W$13,'Calc'!$Y$13)))),0))</x:f>
      </x:c>
      <x:c r="L193" t="str">
        <x:f>IF(Calc!$I$193&gt;'Calc'!$B$8,"",IF('Calc'!$E$13=1,'财富模型'!$E$9,'财富模型'!$M$5+IF(Calc!$I$193&lt;='财富模型'!$E$11*12,'Calc'!$W$13,'Calc'!$Y$13)-(IF('Calc'!$E$13=1,0,MIN(Calc!$K$192*(1+'财富模型'!$E$20/12)+'Calc'!$B$6,IF(Calc!$I$193&lt;='财富模型'!$E$11*12,'Calc'!$W$13,'Calc'!$Y$13))))))</x:f>
      </x:c>
      <x:c r="M193" t="str">
        <x:f>IF(Calc!$I$193&gt;'Calc'!$B$8,"",IF('Calc'!$E$13=1,0,MIN(Calc!$K$192*(1+'财富模型'!$E$20/12)+'Calc'!$B$6,IF(Calc!$I$193&lt;='财富模型'!$E$11*12,'Calc'!$W$13,'Calc'!$Y$13))))</x:f>
      </x:c>
      <x:c r="N193" t="str">
        <x:f>IF(Calc!$I$193&gt;'Calc'!$B$8,"",'Calc'!$B$5-'财富模型'!$E$5-(IF('Calc'!$E$13=1,'财富模型'!$E$9,'财富模型'!$M$5+IF(Calc!$I$193&lt;='财富模型'!$E$11*12,'Calc'!$W$13,'Calc'!$Y$13)-(IF('Calc'!$E$13=1,0,MIN(Calc!$K$192*(1+'财富模型'!$E$20/12)+'Calc'!$B$6,IF(Calc!$I$193&lt;='财富模型'!$E$11*12,'Calc'!$W$13,'Calc'!$Y$13)))))))</x:f>
      </x:c>
      <x:c r="O193" t="str">
        <x:f>IF(Calc!$I$193&gt;'Calc'!$B$8,"",IF('Calc'!$E$13=1,0,MAX(Calc!$O$192*(1+IF(Calc!$I$193&lt;='财富模型'!$E$11*12,'财富模型'!$E$10,'财富模型'!$E$12)/12)-IF('Calc'!$E$13=1,0,IF(Calc!$I$193&lt;='财富模型'!$E$11*12,'Calc'!$W$13,'Calc'!$Y$13)),0)))</x:f>
      </x:c>
      <x:c r="Q193" t="n">
        <x:v>172</x:v>
      </x:c>
      <x:c r="R193" t="str">
        <x:f>IF(Calc!$Q$193&gt;'Calc'!$B$8,"",MAX(Calc!$R$192*(1+'财富模型'!$E$6/12)+('Calc'!$B$5-'财富模型'!$E$5-(IF('Calc'!$E$14=1,'财富模型'!$E$9,'财富模型'!$M$6+IF(Calc!$Q$193&lt;='财富模型'!$E$11*12,'Calc'!$W$14,'Calc'!$Y$14)-(IF('Calc'!$E$14=1,0,MIN(Calc!$S$192*(1+'财富模型'!$E$20/12)+'Calc'!$B$6,IF(Calc!$Q$193&lt;='财富模型'!$E$11*12,'Calc'!$W$14,'Calc'!$Y$14))))))),0))</x:f>
      </x:c>
      <x:c r="S193" t="str">
        <x:f>IF(Calc!$Q$193&gt;'Calc'!$B$8,"",MAX(Calc!$S$192*(1+'财富模型'!$E$20/12)+'Calc'!$B$6-(IF('Calc'!$E$14=1,0,MIN(Calc!$S$192*(1+'财富模型'!$E$20/12)+'Calc'!$B$6,IF(Calc!$Q$193&lt;='财富模型'!$E$11*12,'Calc'!$W$14,'Calc'!$Y$14)))),0))</x:f>
      </x:c>
      <x:c r="T193" t="str">
        <x:f>IF(Calc!$Q$193&gt;'Calc'!$B$8,"",IF('Calc'!$E$14=1,'财富模型'!$E$9,'财富模型'!$M$6+IF(Calc!$Q$193&lt;='财富模型'!$E$11*12,'Calc'!$W$14,'Calc'!$Y$14)-(IF('Calc'!$E$14=1,0,MIN(Calc!$S$192*(1+'财富模型'!$E$20/12)+'Calc'!$B$6,IF(Calc!$Q$193&lt;='财富模型'!$E$11*12,'Calc'!$W$14,'Calc'!$Y$14))))))</x:f>
      </x:c>
      <x:c r="U193" t="str">
        <x:f>IF(Calc!$Q$193&gt;'Calc'!$B$8,"",IF('Calc'!$E$14=1,0,MIN(Calc!$S$192*(1+'财富模型'!$E$20/12)+'Calc'!$B$6,IF(Calc!$Q$193&lt;='财富模型'!$E$11*12,'Calc'!$W$14,'Calc'!$Y$14))))</x:f>
      </x:c>
      <x:c r="V193" t="str">
        <x:f>IF(Calc!$Q$193&gt;'Calc'!$B$8,"",'Calc'!$B$5-'财富模型'!$E$5-(IF('Calc'!$E$14=1,'财富模型'!$E$9,'财富模型'!$M$6+IF(Calc!$Q$193&lt;='财富模型'!$E$11*12,'Calc'!$W$14,'Calc'!$Y$14)-(IF('Calc'!$E$14=1,0,MIN(Calc!$S$192*(1+'财富模型'!$E$20/12)+'Calc'!$B$6,IF(Calc!$Q$193&lt;='财富模型'!$E$11*12,'Calc'!$W$14,'Calc'!$Y$14)))))))</x:f>
      </x:c>
      <x:c r="W193" t="str">
        <x:f>IF(Calc!$Q$193&gt;'Calc'!$B$8,"",IF('Calc'!$E$14=1,0,MAX(Calc!$W$192*(1+IF(Calc!$Q$193&lt;='财富模型'!$E$11*12,'财富模型'!$E$10,'财富模型'!$E$12)/12)-IF('Calc'!$E$14=1,0,IF(Calc!$Q$193&lt;='财富模型'!$E$11*12,'Calc'!$W$14,'Calc'!$Y$14)),0)))</x:f>
      </x:c>
      <x:c r="Y193" t="n">
        <x:v>172</x:v>
      </x:c>
      <x:c r="Z193" t="str">
        <x:f>IF(Calc!$Y$193&gt;'Calc'!$B$8,"",MAX(Calc!$Z$192*(1+'财富模型'!$E$6/12)+('Calc'!$B$5-'财富模型'!$E$5-(IF('Calc'!$E$15=1,'财富模型'!$E$9,'财富模型'!$M$7+IF(Calc!$Y$193&lt;='财富模型'!$E$11*12,'Calc'!$W$15,'Calc'!$Y$15)-(IF('Calc'!$E$15=1,0,MIN(Calc!$AA$192*(1+'财富模型'!$E$20/12)+'Calc'!$B$6,IF(Calc!$Y$193&lt;='财富模型'!$E$11*12,'Calc'!$W$15,'Calc'!$Y$15))))))),0))</x:f>
      </x:c>
      <x:c r="AA193" t="str">
        <x:f>IF(Calc!$Y$193&gt;'Calc'!$B$8,"",MAX(Calc!$AA$192*(1+'财富模型'!$E$20/12)+'Calc'!$B$6-(IF('Calc'!$E$15=1,0,MIN(Calc!$AA$192*(1+'财富模型'!$E$20/12)+'Calc'!$B$6,IF(Calc!$Y$193&lt;='财富模型'!$E$11*12,'Calc'!$W$15,'Calc'!$Y$15)))),0))</x:f>
      </x:c>
      <x:c r="AB193" t="str">
        <x:f>IF(Calc!$Y$193&gt;'Calc'!$B$8,"",IF('Calc'!$E$15=1,'财富模型'!$E$9,'财富模型'!$M$7+IF(Calc!$Y$193&lt;='财富模型'!$E$11*12,'Calc'!$W$15,'Calc'!$Y$15)-(IF('Calc'!$E$15=1,0,MIN(Calc!$AA$192*(1+'财富模型'!$E$20/12)+'Calc'!$B$6,IF(Calc!$Y$193&lt;='财富模型'!$E$11*12,'Calc'!$W$15,'Calc'!$Y$15))))))</x:f>
      </x:c>
      <x:c r="AC193" t="str">
        <x:f>IF(Calc!$Y$193&gt;'Calc'!$B$8,"",IF('Calc'!$E$15=1,0,MIN(Calc!$AA$192*(1+'财富模型'!$E$20/12)+'Calc'!$B$6,IF(Calc!$Y$193&lt;='财富模型'!$E$11*12,'Calc'!$W$15,'Calc'!$Y$15))))</x:f>
      </x:c>
      <x:c r="AD193" t="str">
        <x:f>IF(Calc!$Y$193&gt;'Calc'!$B$8,"",'Calc'!$B$5-'财富模型'!$E$5-(IF('Calc'!$E$15=1,'财富模型'!$E$9,'财富模型'!$M$7+IF(Calc!$Y$193&lt;='财富模型'!$E$11*12,'Calc'!$W$15,'Calc'!$Y$15)-(IF('Calc'!$E$15=1,0,MIN(Calc!$AA$192*(1+'财富模型'!$E$20/12)+'Calc'!$B$6,IF(Calc!$Y$193&lt;='财富模型'!$E$11*12,'Calc'!$W$15,'Calc'!$Y$15)))))))</x:f>
      </x:c>
      <x:c r="AE193" t="str">
        <x:f>IF(Calc!$Y$193&gt;'Calc'!$B$8,"",IF('Calc'!$E$15=1,0,MAX(Calc!$AE$192*(1+IF(Calc!$Y$193&lt;='财富模型'!$E$11*12,'财富模型'!$E$10,'财富模型'!$E$12)/12)-IF('Calc'!$E$15=1,0,IF(Calc!$Y$193&lt;='财富模型'!$E$11*12,'Calc'!$W$15,'Calc'!$Y$15)),0)))</x:f>
      </x:c>
      <x:c r="AG193" t="n">
        <x:v>172</x:v>
      </x:c>
      <x:c r="AH193" t="str">
        <x:f>IF(Calc!$AG$193&gt;'Calc'!$B$8,"",MAX(Calc!$AH$192*(1+'财富模型'!$E$6/12)+('Calc'!$B$5-'财富模型'!$E$5-(IF('Calc'!$E$16=1,'财富模型'!$E$9,'财富模型'!$M$8+IF(Calc!$AG$193&lt;='财富模型'!$E$11*12,'Calc'!$W$16,'Calc'!$Y$16)-(IF('Calc'!$E$16=1,0,MIN(Calc!$AI$192*(1+'财富模型'!$E$20/12)+'Calc'!$B$6,IF(Calc!$AG$193&lt;='财富模型'!$E$11*12,'Calc'!$W$16,'Calc'!$Y$16))))))),0))</x:f>
      </x:c>
      <x:c r="AI193" t="str">
        <x:f>IF(Calc!$AG$193&gt;'Calc'!$B$8,"",MAX(Calc!$AI$192*(1+'财富模型'!$E$20/12)+'Calc'!$B$6-(IF('Calc'!$E$16=1,0,MIN(Calc!$AI$192*(1+'财富模型'!$E$20/12)+'Calc'!$B$6,IF(Calc!$AG$193&lt;='财富模型'!$E$11*12,'Calc'!$W$16,'Calc'!$Y$16)))),0))</x:f>
      </x:c>
      <x:c r="AJ193" t="str">
        <x:f>IF(Calc!$AG$193&gt;'Calc'!$B$8,"",IF('Calc'!$E$16=1,'财富模型'!$E$9,'财富模型'!$M$8+IF(Calc!$AG$193&lt;='财富模型'!$E$11*12,'Calc'!$W$16,'Calc'!$Y$16)-(IF('Calc'!$E$16=1,0,MIN(Calc!$AI$192*(1+'财富模型'!$E$20/12)+'Calc'!$B$6,IF(Calc!$AG$193&lt;='财富模型'!$E$11*12,'Calc'!$W$16,'Calc'!$Y$16))))))</x:f>
      </x:c>
      <x:c r="AK193" t="str">
        <x:f>IF(Calc!$AG$193&gt;'Calc'!$B$8,"",IF('Calc'!$E$16=1,0,MIN(Calc!$AI$192*(1+'财富模型'!$E$20/12)+'Calc'!$B$6,IF(Calc!$AG$193&lt;='财富模型'!$E$11*12,'Calc'!$W$16,'Calc'!$Y$16))))</x:f>
      </x:c>
      <x:c r="AL193" t="str">
        <x:f>IF(Calc!$AG$193&gt;'Calc'!$B$8,"",'Calc'!$B$5-'财富模型'!$E$5-(IF('Calc'!$E$16=1,'财富模型'!$E$9,'财富模型'!$M$8+IF(Calc!$AG$193&lt;='财富模型'!$E$11*12,'Calc'!$W$16,'Calc'!$Y$16)-(IF('Calc'!$E$16=1,0,MIN(Calc!$AI$192*(1+'财富模型'!$E$20/12)+'Calc'!$B$6,IF(Calc!$AG$193&lt;='财富模型'!$E$11*12,'Calc'!$W$16,'Calc'!$Y$16)))))))</x:f>
      </x:c>
      <x:c r="AM193" t="str">
        <x:f>IF(Calc!$AG$193&gt;'Calc'!$B$8,"",IF('Calc'!$E$16=1,0,MAX(Calc!$AM$192*(1+IF(Calc!$AG$193&lt;='财富模型'!$E$11*12,'财富模型'!$E$10,'财富模型'!$E$12)/12)-IF('Calc'!$E$16=1,0,IF(Calc!$AG$193&lt;='财富模型'!$E$11*12,'Calc'!$W$16,'Calc'!$Y$16)),0)))</x:f>
      </x:c>
      <x:c r="AO193" t="n">
        <x:v>172</x:v>
      </x:c>
      <x:c r="AP193" t="str">
        <x:f>IF(Calc!$AO$193&gt;'Calc'!$B$8,"",MAX(Calc!$AP$192*(1+'财富模型'!$E$6/12)+('Calc'!$B$5-'财富模型'!$E$5-(IF('Calc'!$E$17=1,'财富模型'!$E$9,'财富模型'!$M$9+IF(Calc!$AO$193&lt;='财富模型'!$E$11*12,'Calc'!$W$17,'Calc'!$Y$17)-(IF('Calc'!$E$17=1,0,MIN(Calc!$AQ$192*(1+'财富模型'!$E$20/12)+'Calc'!$B$6,IF(Calc!$AO$193&lt;='财富模型'!$E$11*12,'Calc'!$W$17,'Calc'!$Y$17))))))),0))</x:f>
      </x:c>
      <x:c r="AQ193" t="str">
        <x:f>IF(Calc!$AO$193&gt;'Calc'!$B$8,"",MAX(Calc!$AQ$192*(1+'财富模型'!$E$20/12)+'Calc'!$B$6-(IF('Calc'!$E$17=1,0,MIN(Calc!$AQ$192*(1+'财富模型'!$E$20/12)+'Calc'!$B$6,IF(Calc!$AO$193&lt;='财富模型'!$E$11*12,'Calc'!$W$17,'Calc'!$Y$17)))),0))</x:f>
      </x:c>
      <x:c r="AR193" t="str">
        <x:f>IF(Calc!$AO$193&gt;'Calc'!$B$8,"",IF('Calc'!$E$17=1,'财富模型'!$E$9,'财富模型'!$M$9+IF(Calc!$AO$193&lt;='财富模型'!$E$11*12,'Calc'!$W$17,'Calc'!$Y$17)-(IF('Calc'!$E$17=1,0,MIN(Calc!$AQ$192*(1+'财富模型'!$E$20/12)+'Calc'!$B$6,IF(Calc!$AO$193&lt;='财富模型'!$E$11*12,'Calc'!$W$17,'Calc'!$Y$17))))))</x:f>
      </x:c>
      <x:c r="AS193" t="str">
        <x:f>IF(Calc!$AO$193&gt;'Calc'!$B$8,"",IF('Calc'!$E$17=1,0,MIN(Calc!$AQ$192*(1+'财富模型'!$E$20/12)+'Calc'!$B$6,IF(Calc!$AO$193&lt;='财富模型'!$E$11*12,'Calc'!$W$17,'Calc'!$Y$17))))</x:f>
      </x:c>
      <x:c r="AT193" t="str">
        <x:f>IF(Calc!$AO$193&gt;'Calc'!$B$8,"",'Calc'!$B$5-'财富模型'!$E$5-(IF('Calc'!$E$17=1,'财富模型'!$E$9,'财富模型'!$M$9+IF(Calc!$AO$193&lt;='财富模型'!$E$11*12,'Calc'!$W$17,'Calc'!$Y$17)-(IF('Calc'!$E$17=1,0,MIN(Calc!$AQ$192*(1+'财富模型'!$E$20/12)+'Calc'!$B$6,IF(Calc!$AO$193&lt;='财富模型'!$E$11*12,'Calc'!$W$17,'Calc'!$Y$17)))))))</x:f>
      </x:c>
      <x:c r="AU193" t="str">
        <x:f>IF(Calc!$AO$193&gt;'Calc'!$B$8,"",IF('Calc'!$E$17=1,0,MAX(Calc!$AU$192*(1+IF(Calc!$AO$193&lt;='财富模型'!$E$11*12,'财富模型'!$E$10,'财富模型'!$E$12)/12)-IF('Calc'!$E$17=1,0,IF(Calc!$AO$193&lt;='财富模型'!$E$11*12,'Calc'!$W$17,'Calc'!$Y$17)),0)))</x:f>
      </x:c>
    </x:row>
    <x:row r="194">
      <x:c r="A194" t="n">
        <x:v>173</x:v>
      </x:c>
      <x:c r="B194" t="str">
        <x:f>IF(Calc!$A$194&gt;'Calc'!$B$8,"",MAX(Calc!$B$193*(1+'财富模型'!$E$6/12)+('Calc'!$B$5-'财富模型'!$E$5-(IF('Calc'!$E$12=1,'财富模型'!$E$9,'财富模型'!$M$4+IF(Calc!$A$194&lt;='财富模型'!$E$11*12,'Calc'!$W$12,'Calc'!$Y$12)-(IF('Calc'!$E$12=1,0,MIN(Calc!$C$193*(1+'财富模型'!$E$20/12)+'Calc'!$B$6,IF(Calc!$A$194&lt;='财富模型'!$E$11*12,'Calc'!$W$12,'Calc'!$Y$12))))))),0))</x:f>
      </x:c>
      <x:c r="C194" t="str">
        <x:f>IF(Calc!$A$194&gt;'Calc'!$B$8,"",MAX(Calc!$C$193*(1+'财富模型'!$E$20/12)+'Calc'!$B$6-(IF('Calc'!$E$12=1,0,MIN(Calc!$C$193*(1+'财富模型'!$E$20/12)+'Calc'!$B$6,IF(Calc!$A$194&lt;='财富模型'!$E$11*12,'Calc'!$W$12,'Calc'!$Y$12)))),0))</x:f>
      </x:c>
      <x:c r="D194" t="str">
        <x:f>IF(Calc!$A$194&gt;'Calc'!$B$8,"",IF('Calc'!$E$12=1,'财富模型'!$E$9,'财富模型'!$M$4+IF(Calc!$A$194&lt;='财富模型'!$E$11*12,'Calc'!$W$12,'Calc'!$Y$12)-(IF('Calc'!$E$12=1,0,MIN(Calc!$C$193*(1+'财富模型'!$E$20/12)+'Calc'!$B$6,IF(Calc!$A$194&lt;='财富模型'!$E$11*12,'Calc'!$W$12,'Calc'!$Y$12))))))</x:f>
      </x:c>
      <x:c r="E194" t="str">
        <x:f>IF(Calc!$A$194&gt;'Calc'!$B$8,"",IF('Calc'!$E$12=1,0,MIN(Calc!$C$193*(1+'财富模型'!$E$20/12)+'Calc'!$B$6,IF(Calc!$A$194&lt;='财富模型'!$E$11*12,'Calc'!$W$12,'Calc'!$Y$12))))</x:f>
      </x:c>
      <x:c r="F194" t="str">
        <x:f>IF(Calc!$A$194&gt;'Calc'!$B$8,"",'Calc'!$B$5-'财富模型'!$E$5-(IF('Calc'!$E$12=1,'财富模型'!$E$9,'财富模型'!$M$4+IF(Calc!$A$194&lt;='财富模型'!$E$11*12,'Calc'!$W$12,'Calc'!$Y$12)-(IF('Calc'!$E$12=1,0,MIN(Calc!$C$193*(1+'财富模型'!$E$20/12)+'Calc'!$B$6,IF(Calc!$A$194&lt;='财富模型'!$E$11*12,'Calc'!$W$12,'Calc'!$Y$12)))))))</x:f>
      </x:c>
      <x:c r="G194" t="str">
        <x:f>IF(Calc!$A$194&gt;'Calc'!$B$8,"",IF('Calc'!$E$12=1,0,MAX(Calc!$G$193*(1+IF(Calc!$A$194&lt;='财富模型'!$E$11*12,'财富模型'!$E$10,'财富模型'!$E$12)/12)-IF('Calc'!$E$12=1,0,IF(Calc!$A$194&lt;='财富模型'!$E$11*12,'Calc'!$W$12,'Calc'!$Y$12)),0)))</x:f>
      </x:c>
      <x:c r="I194" t="n">
        <x:v>173</x:v>
      </x:c>
      <x:c r="J194" t="str">
        <x:f>IF(Calc!$I$194&gt;'Calc'!$B$8,"",MAX(Calc!$J$193*(1+'财富模型'!$E$6/12)+('Calc'!$B$5-'财富模型'!$E$5-(IF('Calc'!$E$13=1,'财富模型'!$E$9,'财富模型'!$M$5+IF(Calc!$I$194&lt;='财富模型'!$E$11*12,'Calc'!$W$13,'Calc'!$Y$13)-(IF('Calc'!$E$13=1,0,MIN(Calc!$K$193*(1+'财富模型'!$E$20/12)+'Calc'!$B$6,IF(Calc!$I$194&lt;='财富模型'!$E$11*12,'Calc'!$W$13,'Calc'!$Y$13))))))),0))</x:f>
      </x:c>
      <x:c r="K194" t="str">
        <x:f>IF(Calc!$I$194&gt;'Calc'!$B$8,"",MAX(Calc!$K$193*(1+'财富模型'!$E$20/12)+'Calc'!$B$6-(IF('Calc'!$E$13=1,0,MIN(Calc!$K$193*(1+'财富模型'!$E$20/12)+'Calc'!$B$6,IF(Calc!$I$194&lt;='财富模型'!$E$11*12,'Calc'!$W$13,'Calc'!$Y$13)))),0))</x:f>
      </x:c>
      <x:c r="L194" t="str">
        <x:f>IF(Calc!$I$194&gt;'Calc'!$B$8,"",IF('Calc'!$E$13=1,'财富模型'!$E$9,'财富模型'!$M$5+IF(Calc!$I$194&lt;='财富模型'!$E$11*12,'Calc'!$W$13,'Calc'!$Y$13)-(IF('Calc'!$E$13=1,0,MIN(Calc!$K$193*(1+'财富模型'!$E$20/12)+'Calc'!$B$6,IF(Calc!$I$194&lt;='财富模型'!$E$11*12,'Calc'!$W$13,'Calc'!$Y$13))))))</x:f>
      </x:c>
      <x:c r="M194" t="str">
        <x:f>IF(Calc!$I$194&gt;'Calc'!$B$8,"",IF('Calc'!$E$13=1,0,MIN(Calc!$K$193*(1+'财富模型'!$E$20/12)+'Calc'!$B$6,IF(Calc!$I$194&lt;='财富模型'!$E$11*12,'Calc'!$W$13,'Calc'!$Y$13))))</x:f>
      </x:c>
      <x:c r="N194" t="str">
        <x:f>IF(Calc!$I$194&gt;'Calc'!$B$8,"",'Calc'!$B$5-'财富模型'!$E$5-(IF('Calc'!$E$13=1,'财富模型'!$E$9,'财富模型'!$M$5+IF(Calc!$I$194&lt;='财富模型'!$E$11*12,'Calc'!$W$13,'Calc'!$Y$13)-(IF('Calc'!$E$13=1,0,MIN(Calc!$K$193*(1+'财富模型'!$E$20/12)+'Calc'!$B$6,IF(Calc!$I$194&lt;='财富模型'!$E$11*12,'Calc'!$W$13,'Calc'!$Y$13)))))))</x:f>
      </x:c>
      <x:c r="O194" t="str">
        <x:f>IF(Calc!$I$194&gt;'Calc'!$B$8,"",IF('Calc'!$E$13=1,0,MAX(Calc!$O$193*(1+IF(Calc!$I$194&lt;='财富模型'!$E$11*12,'财富模型'!$E$10,'财富模型'!$E$12)/12)-IF('Calc'!$E$13=1,0,IF(Calc!$I$194&lt;='财富模型'!$E$11*12,'Calc'!$W$13,'Calc'!$Y$13)),0)))</x:f>
      </x:c>
      <x:c r="Q194" t="n">
        <x:v>173</x:v>
      </x:c>
      <x:c r="R194" t="str">
        <x:f>IF(Calc!$Q$194&gt;'Calc'!$B$8,"",MAX(Calc!$R$193*(1+'财富模型'!$E$6/12)+('Calc'!$B$5-'财富模型'!$E$5-(IF('Calc'!$E$14=1,'财富模型'!$E$9,'财富模型'!$M$6+IF(Calc!$Q$194&lt;='财富模型'!$E$11*12,'Calc'!$W$14,'Calc'!$Y$14)-(IF('Calc'!$E$14=1,0,MIN(Calc!$S$193*(1+'财富模型'!$E$20/12)+'Calc'!$B$6,IF(Calc!$Q$194&lt;='财富模型'!$E$11*12,'Calc'!$W$14,'Calc'!$Y$14))))))),0))</x:f>
      </x:c>
      <x:c r="S194" t="str">
        <x:f>IF(Calc!$Q$194&gt;'Calc'!$B$8,"",MAX(Calc!$S$193*(1+'财富模型'!$E$20/12)+'Calc'!$B$6-(IF('Calc'!$E$14=1,0,MIN(Calc!$S$193*(1+'财富模型'!$E$20/12)+'Calc'!$B$6,IF(Calc!$Q$194&lt;='财富模型'!$E$11*12,'Calc'!$W$14,'Calc'!$Y$14)))),0))</x:f>
      </x:c>
      <x:c r="T194" t="str">
        <x:f>IF(Calc!$Q$194&gt;'Calc'!$B$8,"",IF('Calc'!$E$14=1,'财富模型'!$E$9,'财富模型'!$M$6+IF(Calc!$Q$194&lt;='财富模型'!$E$11*12,'Calc'!$W$14,'Calc'!$Y$14)-(IF('Calc'!$E$14=1,0,MIN(Calc!$S$193*(1+'财富模型'!$E$20/12)+'Calc'!$B$6,IF(Calc!$Q$194&lt;='财富模型'!$E$11*12,'Calc'!$W$14,'Calc'!$Y$14))))))</x:f>
      </x:c>
      <x:c r="U194" t="str">
        <x:f>IF(Calc!$Q$194&gt;'Calc'!$B$8,"",IF('Calc'!$E$14=1,0,MIN(Calc!$S$193*(1+'财富模型'!$E$20/12)+'Calc'!$B$6,IF(Calc!$Q$194&lt;='财富模型'!$E$11*12,'Calc'!$W$14,'Calc'!$Y$14))))</x:f>
      </x:c>
      <x:c r="V194" t="str">
        <x:f>IF(Calc!$Q$194&gt;'Calc'!$B$8,"",'Calc'!$B$5-'财富模型'!$E$5-(IF('Calc'!$E$14=1,'财富模型'!$E$9,'财富模型'!$M$6+IF(Calc!$Q$194&lt;='财富模型'!$E$11*12,'Calc'!$W$14,'Calc'!$Y$14)-(IF('Calc'!$E$14=1,0,MIN(Calc!$S$193*(1+'财富模型'!$E$20/12)+'Calc'!$B$6,IF(Calc!$Q$194&lt;='财富模型'!$E$11*12,'Calc'!$W$14,'Calc'!$Y$14)))))))</x:f>
      </x:c>
      <x:c r="W194" t="str">
        <x:f>IF(Calc!$Q$194&gt;'Calc'!$B$8,"",IF('Calc'!$E$14=1,0,MAX(Calc!$W$193*(1+IF(Calc!$Q$194&lt;='财富模型'!$E$11*12,'财富模型'!$E$10,'财富模型'!$E$12)/12)-IF('Calc'!$E$14=1,0,IF(Calc!$Q$194&lt;='财富模型'!$E$11*12,'Calc'!$W$14,'Calc'!$Y$14)),0)))</x:f>
      </x:c>
      <x:c r="Y194" t="n">
        <x:v>173</x:v>
      </x:c>
      <x:c r="Z194" t="str">
        <x:f>IF(Calc!$Y$194&gt;'Calc'!$B$8,"",MAX(Calc!$Z$193*(1+'财富模型'!$E$6/12)+('Calc'!$B$5-'财富模型'!$E$5-(IF('Calc'!$E$15=1,'财富模型'!$E$9,'财富模型'!$M$7+IF(Calc!$Y$194&lt;='财富模型'!$E$11*12,'Calc'!$W$15,'Calc'!$Y$15)-(IF('Calc'!$E$15=1,0,MIN(Calc!$AA$193*(1+'财富模型'!$E$20/12)+'Calc'!$B$6,IF(Calc!$Y$194&lt;='财富模型'!$E$11*12,'Calc'!$W$15,'Calc'!$Y$15))))))),0))</x:f>
      </x:c>
      <x:c r="AA194" t="str">
        <x:f>IF(Calc!$Y$194&gt;'Calc'!$B$8,"",MAX(Calc!$AA$193*(1+'财富模型'!$E$20/12)+'Calc'!$B$6-(IF('Calc'!$E$15=1,0,MIN(Calc!$AA$193*(1+'财富模型'!$E$20/12)+'Calc'!$B$6,IF(Calc!$Y$194&lt;='财富模型'!$E$11*12,'Calc'!$W$15,'Calc'!$Y$15)))),0))</x:f>
      </x:c>
      <x:c r="AB194" t="str">
        <x:f>IF(Calc!$Y$194&gt;'Calc'!$B$8,"",IF('Calc'!$E$15=1,'财富模型'!$E$9,'财富模型'!$M$7+IF(Calc!$Y$194&lt;='财富模型'!$E$11*12,'Calc'!$W$15,'Calc'!$Y$15)-(IF('Calc'!$E$15=1,0,MIN(Calc!$AA$193*(1+'财富模型'!$E$20/12)+'Calc'!$B$6,IF(Calc!$Y$194&lt;='财富模型'!$E$11*12,'Calc'!$W$15,'Calc'!$Y$15))))))</x:f>
      </x:c>
      <x:c r="AC194" t="str">
        <x:f>IF(Calc!$Y$194&gt;'Calc'!$B$8,"",IF('Calc'!$E$15=1,0,MIN(Calc!$AA$193*(1+'财富模型'!$E$20/12)+'Calc'!$B$6,IF(Calc!$Y$194&lt;='财富模型'!$E$11*12,'Calc'!$W$15,'Calc'!$Y$15))))</x:f>
      </x:c>
      <x:c r="AD194" t="str">
        <x:f>IF(Calc!$Y$194&gt;'Calc'!$B$8,"",'Calc'!$B$5-'财富模型'!$E$5-(IF('Calc'!$E$15=1,'财富模型'!$E$9,'财富模型'!$M$7+IF(Calc!$Y$194&lt;='财富模型'!$E$11*12,'Calc'!$W$15,'Calc'!$Y$15)-(IF('Calc'!$E$15=1,0,MIN(Calc!$AA$193*(1+'财富模型'!$E$20/12)+'Calc'!$B$6,IF(Calc!$Y$194&lt;='财富模型'!$E$11*12,'Calc'!$W$15,'Calc'!$Y$15)))))))</x:f>
      </x:c>
      <x:c r="AE194" t="str">
        <x:f>IF(Calc!$Y$194&gt;'Calc'!$B$8,"",IF('Calc'!$E$15=1,0,MAX(Calc!$AE$193*(1+IF(Calc!$Y$194&lt;='财富模型'!$E$11*12,'财富模型'!$E$10,'财富模型'!$E$12)/12)-IF('Calc'!$E$15=1,0,IF(Calc!$Y$194&lt;='财富模型'!$E$11*12,'Calc'!$W$15,'Calc'!$Y$15)),0)))</x:f>
      </x:c>
      <x:c r="AG194" t="n">
        <x:v>173</x:v>
      </x:c>
      <x:c r="AH194" t="str">
        <x:f>IF(Calc!$AG$194&gt;'Calc'!$B$8,"",MAX(Calc!$AH$193*(1+'财富模型'!$E$6/12)+('Calc'!$B$5-'财富模型'!$E$5-(IF('Calc'!$E$16=1,'财富模型'!$E$9,'财富模型'!$M$8+IF(Calc!$AG$194&lt;='财富模型'!$E$11*12,'Calc'!$W$16,'Calc'!$Y$16)-(IF('Calc'!$E$16=1,0,MIN(Calc!$AI$193*(1+'财富模型'!$E$20/12)+'Calc'!$B$6,IF(Calc!$AG$194&lt;='财富模型'!$E$11*12,'Calc'!$W$16,'Calc'!$Y$16))))))),0))</x:f>
      </x:c>
      <x:c r="AI194" t="str">
        <x:f>IF(Calc!$AG$194&gt;'Calc'!$B$8,"",MAX(Calc!$AI$193*(1+'财富模型'!$E$20/12)+'Calc'!$B$6-(IF('Calc'!$E$16=1,0,MIN(Calc!$AI$193*(1+'财富模型'!$E$20/12)+'Calc'!$B$6,IF(Calc!$AG$194&lt;='财富模型'!$E$11*12,'Calc'!$W$16,'Calc'!$Y$16)))),0))</x:f>
      </x:c>
      <x:c r="AJ194" t="str">
        <x:f>IF(Calc!$AG$194&gt;'Calc'!$B$8,"",IF('Calc'!$E$16=1,'财富模型'!$E$9,'财富模型'!$M$8+IF(Calc!$AG$194&lt;='财富模型'!$E$11*12,'Calc'!$W$16,'Calc'!$Y$16)-(IF('Calc'!$E$16=1,0,MIN(Calc!$AI$193*(1+'财富模型'!$E$20/12)+'Calc'!$B$6,IF(Calc!$AG$194&lt;='财富模型'!$E$11*12,'Calc'!$W$16,'Calc'!$Y$16))))))</x:f>
      </x:c>
      <x:c r="AK194" t="str">
        <x:f>IF(Calc!$AG$194&gt;'Calc'!$B$8,"",IF('Calc'!$E$16=1,0,MIN(Calc!$AI$193*(1+'财富模型'!$E$20/12)+'Calc'!$B$6,IF(Calc!$AG$194&lt;='财富模型'!$E$11*12,'Calc'!$W$16,'Calc'!$Y$16))))</x:f>
      </x:c>
      <x:c r="AL194" t="str">
        <x:f>IF(Calc!$AG$194&gt;'Calc'!$B$8,"",'Calc'!$B$5-'财富模型'!$E$5-(IF('Calc'!$E$16=1,'财富模型'!$E$9,'财富模型'!$M$8+IF(Calc!$AG$194&lt;='财富模型'!$E$11*12,'Calc'!$W$16,'Calc'!$Y$16)-(IF('Calc'!$E$16=1,0,MIN(Calc!$AI$193*(1+'财富模型'!$E$20/12)+'Calc'!$B$6,IF(Calc!$AG$194&lt;='财富模型'!$E$11*12,'Calc'!$W$16,'Calc'!$Y$16)))))))</x:f>
      </x:c>
      <x:c r="AM194" t="str">
        <x:f>IF(Calc!$AG$194&gt;'Calc'!$B$8,"",IF('Calc'!$E$16=1,0,MAX(Calc!$AM$193*(1+IF(Calc!$AG$194&lt;='财富模型'!$E$11*12,'财富模型'!$E$10,'财富模型'!$E$12)/12)-IF('Calc'!$E$16=1,0,IF(Calc!$AG$194&lt;='财富模型'!$E$11*12,'Calc'!$W$16,'Calc'!$Y$16)),0)))</x:f>
      </x:c>
      <x:c r="AO194" t="n">
        <x:v>173</x:v>
      </x:c>
      <x:c r="AP194" t="str">
        <x:f>IF(Calc!$AO$194&gt;'Calc'!$B$8,"",MAX(Calc!$AP$193*(1+'财富模型'!$E$6/12)+('Calc'!$B$5-'财富模型'!$E$5-(IF('Calc'!$E$17=1,'财富模型'!$E$9,'财富模型'!$M$9+IF(Calc!$AO$194&lt;='财富模型'!$E$11*12,'Calc'!$W$17,'Calc'!$Y$17)-(IF('Calc'!$E$17=1,0,MIN(Calc!$AQ$193*(1+'财富模型'!$E$20/12)+'Calc'!$B$6,IF(Calc!$AO$194&lt;='财富模型'!$E$11*12,'Calc'!$W$17,'Calc'!$Y$17))))))),0))</x:f>
      </x:c>
      <x:c r="AQ194" t="str">
        <x:f>IF(Calc!$AO$194&gt;'Calc'!$B$8,"",MAX(Calc!$AQ$193*(1+'财富模型'!$E$20/12)+'Calc'!$B$6-(IF('Calc'!$E$17=1,0,MIN(Calc!$AQ$193*(1+'财富模型'!$E$20/12)+'Calc'!$B$6,IF(Calc!$AO$194&lt;='财富模型'!$E$11*12,'Calc'!$W$17,'Calc'!$Y$17)))),0))</x:f>
      </x:c>
      <x:c r="AR194" t="str">
        <x:f>IF(Calc!$AO$194&gt;'Calc'!$B$8,"",IF('Calc'!$E$17=1,'财富模型'!$E$9,'财富模型'!$M$9+IF(Calc!$AO$194&lt;='财富模型'!$E$11*12,'Calc'!$W$17,'Calc'!$Y$17)-(IF('Calc'!$E$17=1,0,MIN(Calc!$AQ$193*(1+'财富模型'!$E$20/12)+'Calc'!$B$6,IF(Calc!$AO$194&lt;='财富模型'!$E$11*12,'Calc'!$W$17,'Calc'!$Y$17))))))</x:f>
      </x:c>
      <x:c r="AS194" t="str">
        <x:f>IF(Calc!$AO$194&gt;'Calc'!$B$8,"",IF('Calc'!$E$17=1,0,MIN(Calc!$AQ$193*(1+'财富模型'!$E$20/12)+'Calc'!$B$6,IF(Calc!$AO$194&lt;='财富模型'!$E$11*12,'Calc'!$W$17,'Calc'!$Y$17))))</x:f>
      </x:c>
      <x:c r="AT194" t="str">
        <x:f>IF(Calc!$AO$194&gt;'Calc'!$B$8,"",'Calc'!$B$5-'财富模型'!$E$5-(IF('Calc'!$E$17=1,'财富模型'!$E$9,'财富模型'!$M$9+IF(Calc!$AO$194&lt;='财富模型'!$E$11*12,'Calc'!$W$17,'Calc'!$Y$17)-(IF('Calc'!$E$17=1,0,MIN(Calc!$AQ$193*(1+'财富模型'!$E$20/12)+'Calc'!$B$6,IF(Calc!$AO$194&lt;='财富模型'!$E$11*12,'Calc'!$W$17,'Calc'!$Y$17)))))))</x:f>
      </x:c>
      <x:c r="AU194" t="str">
        <x:f>IF(Calc!$AO$194&gt;'Calc'!$B$8,"",IF('Calc'!$E$17=1,0,MAX(Calc!$AU$193*(1+IF(Calc!$AO$194&lt;='财富模型'!$E$11*12,'财富模型'!$E$10,'财富模型'!$E$12)/12)-IF('Calc'!$E$17=1,0,IF(Calc!$AO$194&lt;='财富模型'!$E$11*12,'Calc'!$W$17,'Calc'!$Y$17)),0)))</x:f>
      </x:c>
    </x:row>
    <x:row r="195">
      <x:c r="A195" t="n">
        <x:v>174</x:v>
      </x:c>
      <x:c r="B195" t="str">
        <x:f>IF(Calc!$A$195&gt;'Calc'!$B$8,"",MAX(Calc!$B$194*(1+'财富模型'!$E$6/12)+('Calc'!$B$5-'财富模型'!$E$5-(IF('Calc'!$E$12=1,'财富模型'!$E$9,'财富模型'!$M$4+IF(Calc!$A$195&lt;='财富模型'!$E$11*12,'Calc'!$W$12,'Calc'!$Y$12)-(IF('Calc'!$E$12=1,0,MIN(Calc!$C$194*(1+'财富模型'!$E$20/12)+'Calc'!$B$6,IF(Calc!$A$195&lt;='财富模型'!$E$11*12,'Calc'!$W$12,'Calc'!$Y$12))))))),0))</x:f>
      </x:c>
      <x:c r="C195" t="str">
        <x:f>IF(Calc!$A$195&gt;'Calc'!$B$8,"",MAX(Calc!$C$194*(1+'财富模型'!$E$20/12)+'Calc'!$B$6-(IF('Calc'!$E$12=1,0,MIN(Calc!$C$194*(1+'财富模型'!$E$20/12)+'Calc'!$B$6,IF(Calc!$A$195&lt;='财富模型'!$E$11*12,'Calc'!$W$12,'Calc'!$Y$12)))),0))</x:f>
      </x:c>
      <x:c r="D195" t="str">
        <x:f>IF(Calc!$A$195&gt;'Calc'!$B$8,"",IF('Calc'!$E$12=1,'财富模型'!$E$9,'财富模型'!$M$4+IF(Calc!$A$195&lt;='财富模型'!$E$11*12,'Calc'!$W$12,'Calc'!$Y$12)-(IF('Calc'!$E$12=1,0,MIN(Calc!$C$194*(1+'财富模型'!$E$20/12)+'Calc'!$B$6,IF(Calc!$A$195&lt;='财富模型'!$E$11*12,'Calc'!$W$12,'Calc'!$Y$12))))))</x:f>
      </x:c>
      <x:c r="E195" t="str">
        <x:f>IF(Calc!$A$195&gt;'Calc'!$B$8,"",IF('Calc'!$E$12=1,0,MIN(Calc!$C$194*(1+'财富模型'!$E$20/12)+'Calc'!$B$6,IF(Calc!$A$195&lt;='财富模型'!$E$11*12,'Calc'!$W$12,'Calc'!$Y$12))))</x:f>
      </x:c>
      <x:c r="F195" t="str">
        <x:f>IF(Calc!$A$195&gt;'Calc'!$B$8,"",'Calc'!$B$5-'财富模型'!$E$5-(IF('Calc'!$E$12=1,'财富模型'!$E$9,'财富模型'!$M$4+IF(Calc!$A$195&lt;='财富模型'!$E$11*12,'Calc'!$W$12,'Calc'!$Y$12)-(IF('Calc'!$E$12=1,0,MIN(Calc!$C$194*(1+'财富模型'!$E$20/12)+'Calc'!$B$6,IF(Calc!$A$195&lt;='财富模型'!$E$11*12,'Calc'!$W$12,'Calc'!$Y$12)))))))</x:f>
      </x:c>
      <x:c r="G195" t="str">
        <x:f>IF(Calc!$A$195&gt;'Calc'!$B$8,"",IF('Calc'!$E$12=1,0,MAX(Calc!$G$194*(1+IF(Calc!$A$195&lt;='财富模型'!$E$11*12,'财富模型'!$E$10,'财富模型'!$E$12)/12)-IF('Calc'!$E$12=1,0,IF(Calc!$A$195&lt;='财富模型'!$E$11*12,'Calc'!$W$12,'Calc'!$Y$12)),0)))</x:f>
      </x:c>
      <x:c r="I195" t="n">
        <x:v>174</x:v>
      </x:c>
      <x:c r="J195" t="str">
        <x:f>IF(Calc!$I$195&gt;'Calc'!$B$8,"",MAX(Calc!$J$194*(1+'财富模型'!$E$6/12)+('Calc'!$B$5-'财富模型'!$E$5-(IF('Calc'!$E$13=1,'财富模型'!$E$9,'财富模型'!$M$5+IF(Calc!$I$195&lt;='财富模型'!$E$11*12,'Calc'!$W$13,'Calc'!$Y$13)-(IF('Calc'!$E$13=1,0,MIN(Calc!$K$194*(1+'财富模型'!$E$20/12)+'Calc'!$B$6,IF(Calc!$I$195&lt;='财富模型'!$E$11*12,'Calc'!$W$13,'Calc'!$Y$13))))))),0))</x:f>
      </x:c>
      <x:c r="K195" t="str">
        <x:f>IF(Calc!$I$195&gt;'Calc'!$B$8,"",MAX(Calc!$K$194*(1+'财富模型'!$E$20/12)+'Calc'!$B$6-(IF('Calc'!$E$13=1,0,MIN(Calc!$K$194*(1+'财富模型'!$E$20/12)+'Calc'!$B$6,IF(Calc!$I$195&lt;='财富模型'!$E$11*12,'Calc'!$W$13,'Calc'!$Y$13)))),0))</x:f>
      </x:c>
      <x:c r="L195" t="str">
        <x:f>IF(Calc!$I$195&gt;'Calc'!$B$8,"",IF('Calc'!$E$13=1,'财富模型'!$E$9,'财富模型'!$M$5+IF(Calc!$I$195&lt;='财富模型'!$E$11*12,'Calc'!$W$13,'Calc'!$Y$13)-(IF('Calc'!$E$13=1,0,MIN(Calc!$K$194*(1+'财富模型'!$E$20/12)+'Calc'!$B$6,IF(Calc!$I$195&lt;='财富模型'!$E$11*12,'Calc'!$W$13,'Calc'!$Y$13))))))</x:f>
      </x:c>
      <x:c r="M195" t="str">
        <x:f>IF(Calc!$I$195&gt;'Calc'!$B$8,"",IF('Calc'!$E$13=1,0,MIN(Calc!$K$194*(1+'财富模型'!$E$20/12)+'Calc'!$B$6,IF(Calc!$I$195&lt;='财富模型'!$E$11*12,'Calc'!$W$13,'Calc'!$Y$13))))</x:f>
      </x:c>
      <x:c r="N195" t="str">
        <x:f>IF(Calc!$I$195&gt;'Calc'!$B$8,"",'Calc'!$B$5-'财富模型'!$E$5-(IF('Calc'!$E$13=1,'财富模型'!$E$9,'财富模型'!$M$5+IF(Calc!$I$195&lt;='财富模型'!$E$11*12,'Calc'!$W$13,'Calc'!$Y$13)-(IF('Calc'!$E$13=1,0,MIN(Calc!$K$194*(1+'财富模型'!$E$20/12)+'Calc'!$B$6,IF(Calc!$I$195&lt;='财富模型'!$E$11*12,'Calc'!$W$13,'Calc'!$Y$13)))))))</x:f>
      </x:c>
      <x:c r="O195" t="str">
        <x:f>IF(Calc!$I$195&gt;'Calc'!$B$8,"",IF('Calc'!$E$13=1,0,MAX(Calc!$O$194*(1+IF(Calc!$I$195&lt;='财富模型'!$E$11*12,'财富模型'!$E$10,'财富模型'!$E$12)/12)-IF('Calc'!$E$13=1,0,IF(Calc!$I$195&lt;='财富模型'!$E$11*12,'Calc'!$W$13,'Calc'!$Y$13)),0)))</x:f>
      </x:c>
      <x:c r="Q195" t="n">
        <x:v>174</x:v>
      </x:c>
      <x:c r="R195" t="str">
        <x:f>IF(Calc!$Q$195&gt;'Calc'!$B$8,"",MAX(Calc!$R$194*(1+'财富模型'!$E$6/12)+('Calc'!$B$5-'财富模型'!$E$5-(IF('Calc'!$E$14=1,'财富模型'!$E$9,'财富模型'!$M$6+IF(Calc!$Q$195&lt;='财富模型'!$E$11*12,'Calc'!$W$14,'Calc'!$Y$14)-(IF('Calc'!$E$14=1,0,MIN(Calc!$S$194*(1+'财富模型'!$E$20/12)+'Calc'!$B$6,IF(Calc!$Q$195&lt;='财富模型'!$E$11*12,'Calc'!$W$14,'Calc'!$Y$14))))))),0))</x:f>
      </x:c>
      <x:c r="S195" t="str">
        <x:f>IF(Calc!$Q$195&gt;'Calc'!$B$8,"",MAX(Calc!$S$194*(1+'财富模型'!$E$20/12)+'Calc'!$B$6-(IF('Calc'!$E$14=1,0,MIN(Calc!$S$194*(1+'财富模型'!$E$20/12)+'Calc'!$B$6,IF(Calc!$Q$195&lt;='财富模型'!$E$11*12,'Calc'!$W$14,'Calc'!$Y$14)))),0))</x:f>
      </x:c>
      <x:c r="T195" t="str">
        <x:f>IF(Calc!$Q$195&gt;'Calc'!$B$8,"",IF('Calc'!$E$14=1,'财富模型'!$E$9,'财富模型'!$M$6+IF(Calc!$Q$195&lt;='财富模型'!$E$11*12,'Calc'!$W$14,'Calc'!$Y$14)-(IF('Calc'!$E$14=1,0,MIN(Calc!$S$194*(1+'财富模型'!$E$20/12)+'Calc'!$B$6,IF(Calc!$Q$195&lt;='财富模型'!$E$11*12,'Calc'!$W$14,'Calc'!$Y$14))))))</x:f>
      </x:c>
      <x:c r="U195" t="str">
        <x:f>IF(Calc!$Q$195&gt;'Calc'!$B$8,"",IF('Calc'!$E$14=1,0,MIN(Calc!$S$194*(1+'财富模型'!$E$20/12)+'Calc'!$B$6,IF(Calc!$Q$195&lt;='财富模型'!$E$11*12,'Calc'!$W$14,'Calc'!$Y$14))))</x:f>
      </x:c>
      <x:c r="V195" t="str">
        <x:f>IF(Calc!$Q$195&gt;'Calc'!$B$8,"",'Calc'!$B$5-'财富模型'!$E$5-(IF('Calc'!$E$14=1,'财富模型'!$E$9,'财富模型'!$M$6+IF(Calc!$Q$195&lt;='财富模型'!$E$11*12,'Calc'!$W$14,'Calc'!$Y$14)-(IF('Calc'!$E$14=1,0,MIN(Calc!$S$194*(1+'财富模型'!$E$20/12)+'Calc'!$B$6,IF(Calc!$Q$195&lt;='财富模型'!$E$11*12,'Calc'!$W$14,'Calc'!$Y$14)))))))</x:f>
      </x:c>
      <x:c r="W195" t="str">
        <x:f>IF(Calc!$Q$195&gt;'Calc'!$B$8,"",IF('Calc'!$E$14=1,0,MAX(Calc!$W$194*(1+IF(Calc!$Q$195&lt;='财富模型'!$E$11*12,'财富模型'!$E$10,'财富模型'!$E$12)/12)-IF('Calc'!$E$14=1,0,IF(Calc!$Q$195&lt;='财富模型'!$E$11*12,'Calc'!$W$14,'Calc'!$Y$14)),0)))</x:f>
      </x:c>
      <x:c r="Y195" t="n">
        <x:v>174</x:v>
      </x:c>
      <x:c r="Z195" t="str">
        <x:f>IF(Calc!$Y$195&gt;'Calc'!$B$8,"",MAX(Calc!$Z$194*(1+'财富模型'!$E$6/12)+('Calc'!$B$5-'财富模型'!$E$5-(IF('Calc'!$E$15=1,'财富模型'!$E$9,'财富模型'!$M$7+IF(Calc!$Y$195&lt;='财富模型'!$E$11*12,'Calc'!$W$15,'Calc'!$Y$15)-(IF('Calc'!$E$15=1,0,MIN(Calc!$AA$194*(1+'财富模型'!$E$20/12)+'Calc'!$B$6,IF(Calc!$Y$195&lt;='财富模型'!$E$11*12,'Calc'!$W$15,'Calc'!$Y$15))))))),0))</x:f>
      </x:c>
      <x:c r="AA195" t="str">
        <x:f>IF(Calc!$Y$195&gt;'Calc'!$B$8,"",MAX(Calc!$AA$194*(1+'财富模型'!$E$20/12)+'Calc'!$B$6-(IF('Calc'!$E$15=1,0,MIN(Calc!$AA$194*(1+'财富模型'!$E$20/12)+'Calc'!$B$6,IF(Calc!$Y$195&lt;='财富模型'!$E$11*12,'Calc'!$W$15,'Calc'!$Y$15)))),0))</x:f>
      </x:c>
      <x:c r="AB195" t="str">
        <x:f>IF(Calc!$Y$195&gt;'Calc'!$B$8,"",IF('Calc'!$E$15=1,'财富模型'!$E$9,'财富模型'!$M$7+IF(Calc!$Y$195&lt;='财富模型'!$E$11*12,'Calc'!$W$15,'Calc'!$Y$15)-(IF('Calc'!$E$15=1,0,MIN(Calc!$AA$194*(1+'财富模型'!$E$20/12)+'Calc'!$B$6,IF(Calc!$Y$195&lt;='财富模型'!$E$11*12,'Calc'!$W$15,'Calc'!$Y$15))))))</x:f>
      </x:c>
      <x:c r="AC195" t="str">
        <x:f>IF(Calc!$Y$195&gt;'Calc'!$B$8,"",IF('Calc'!$E$15=1,0,MIN(Calc!$AA$194*(1+'财富模型'!$E$20/12)+'Calc'!$B$6,IF(Calc!$Y$195&lt;='财富模型'!$E$11*12,'Calc'!$W$15,'Calc'!$Y$15))))</x:f>
      </x:c>
      <x:c r="AD195" t="str">
        <x:f>IF(Calc!$Y$195&gt;'Calc'!$B$8,"",'Calc'!$B$5-'财富模型'!$E$5-(IF('Calc'!$E$15=1,'财富模型'!$E$9,'财富模型'!$M$7+IF(Calc!$Y$195&lt;='财富模型'!$E$11*12,'Calc'!$W$15,'Calc'!$Y$15)-(IF('Calc'!$E$15=1,0,MIN(Calc!$AA$194*(1+'财富模型'!$E$20/12)+'Calc'!$B$6,IF(Calc!$Y$195&lt;='财富模型'!$E$11*12,'Calc'!$W$15,'Calc'!$Y$15)))))))</x:f>
      </x:c>
      <x:c r="AE195" t="str">
        <x:f>IF(Calc!$Y$195&gt;'Calc'!$B$8,"",IF('Calc'!$E$15=1,0,MAX(Calc!$AE$194*(1+IF(Calc!$Y$195&lt;='财富模型'!$E$11*12,'财富模型'!$E$10,'财富模型'!$E$12)/12)-IF('Calc'!$E$15=1,0,IF(Calc!$Y$195&lt;='财富模型'!$E$11*12,'Calc'!$W$15,'Calc'!$Y$15)),0)))</x:f>
      </x:c>
      <x:c r="AG195" t="n">
        <x:v>174</x:v>
      </x:c>
      <x:c r="AH195" t="str">
        <x:f>IF(Calc!$AG$195&gt;'Calc'!$B$8,"",MAX(Calc!$AH$194*(1+'财富模型'!$E$6/12)+('Calc'!$B$5-'财富模型'!$E$5-(IF('Calc'!$E$16=1,'财富模型'!$E$9,'财富模型'!$M$8+IF(Calc!$AG$195&lt;='财富模型'!$E$11*12,'Calc'!$W$16,'Calc'!$Y$16)-(IF('Calc'!$E$16=1,0,MIN(Calc!$AI$194*(1+'财富模型'!$E$20/12)+'Calc'!$B$6,IF(Calc!$AG$195&lt;='财富模型'!$E$11*12,'Calc'!$W$16,'Calc'!$Y$16))))))),0))</x:f>
      </x:c>
      <x:c r="AI195" t="str">
        <x:f>IF(Calc!$AG$195&gt;'Calc'!$B$8,"",MAX(Calc!$AI$194*(1+'财富模型'!$E$20/12)+'Calc'!$B$6-(IF('Calc'!$E$16=1,0,MIN(Calc!$AI$194*(1+'财富模型'!$E$20/12)+'Calc'!$B$6,IF(Calc!$AG$195&lt;='财富模型'!$E$11*12,'Calc'!$W$16,'Calc'!$Y$16)))),0))</x:f>
      </x:c>
      <x:c r="AJ195" t="str">
        <x:f>IF(Calc!$AG$195&gt;'Calc'!$B$8,"",IF('Calc'!$E$16=1,'财富模型'!$E$9,'财富模型'!$M$8+IF(Calc!$AG$195&lt;='财富模型'!$E$11*12,'Calc'!$W$16,'Calc'!$Y$16)-(IF('Calc'!$E$16=1,0,MIN(Calc!$AI$194*(1+'财富模型'!$E$20/12)+'Calc'!$B$6,IF(Calc!$AG$195&lt;='财富模型'!$E$11*12,'Calc'!$W$16,'Calc'!$Y$16))))))</x:f>
      </x:c>
      <x:c r="AK195" t="str">
        <x:f>IF(Calc!$AG$195&gt;'Calc'!$B$8,"",IF('Calc'!$E$16=1,0,MIN(Calc!$AI$194*(1+'财富模型'!$E$20/12)+'Calc'!$B$6,IF(Calc!$AG$195&lt;='财富模型'!$E$11*12,'Calc'!$W$16,'Calc'!$Y$16))))</x:f>
      </x:c>
      <x:c r="AL195" t="str">
        <x:f>IF(Calc!$AG$195&gt;'Calc'!$B$8,"",'Calc'!$B$5-'财富模型'!$E$5-(IF('Calc'!$E$16=1,'财富模型'!$E$9,'财富模型'!$M$8+IF(Calc!$AG$195&lt;='财富模型'!$E$11*12,'Calc'!$W$16,'Calc'!$Y$16)-(IF('Calc'!$E$16=1,0,MIN(Calc!$AI$194*(1+'财富模型'!$E$20/12)+'Calc'!$B$6,IF(Calc!$AG$195&lt;='财富模型'!$E$11*12,'Calc'!$W$16,'Calc'!$Y$16)))))))</x:f>
      </x:c>
      <x:c r="AM195" t="str">
        <x:f>IF(Calc!$AG$195&gt;'Calc'!$B$8,"",IF('Calc'!$E$16=1,0,MAX(Calc!$AM$194*(1+IF(Calc!$AG$195&lt;='财富模型'!$E$11*12,'财富模型'!$E$10,'财富模型'!$E$12)/12)-IF('Calc'!$E$16=1,0,IF(Calc!$AG$195&lt;='财富模型'!$E$11*12,'Calc'!$W$16,'Calc'!$Y$16)),0)))</x:f>
      </x:c>
      <x:c r="AO195" t="n">
        <x:v>174</x:v>
      </x:c>
      <x:c r="AP195" t="str">
        <x:f>IF(Calc!$AO$195&gt;'Calc'!$B$8,"",MAX(Calc!$AP$194*(1+'财富模型'!$E$6/12)+('Calc'!$B$5-'财富模型'!$E$5-(IF('Calc'!$E$17=1,'财富模型'!$E$9,'财富模型'!$M$9+IF(Calc!$AO$195&lt;='财富模型'!$E$11*12,'Calc'!$W$17,'Calc'!$Y$17)-(IF('Calc'!$E$17=1,0,MIN(Calc!$AQ$194*(1+'财富模型'!$E$20/12)+'Calc'!$B$6,IF(Calc!$AO$195&lt;='财富模型'!$E$11*12,'Calc'!$W$17,'Calc'!$Y$17))))))),0))</x:f>
      </x:c>
      <x:c r="AQ195" t="str">
        <x:f>IF(Calc!$AO$195&gt;'Calc'!$B$8,"",MAX(Calc!$AQ$194*(1+'财富模型'!$E$20/12)+'Calc'!$B$6-(IF('Calc'!$E$17=1,0,MIN(Calc!$AQ$194*(1+'财富模型'!$E$20/12)+'Calc'!$B$6,IF(Calc!$AO$195&lt;='财富模型'!$E$11*12,'Calc'!$W$17,'Calc'!$Y$17)))),0))</x:f>
      </x:c>
      <x:c r="AR195" t="str">
        <x:f>IF(Calc!$AO$195&gt;'Calc'!$B$8,"",IF('Calc'!$E$17=1,'财富模型'!$E$9,'财富模型'!$M$9+IF(Calc!$AO$195&lt;='财富模型'!$E$11*12,'Calc'!$W$17,'Calc'!$Y$17)-(IF('Calc'!$E$17=1,0,MIN(Calc!$AQ$194*(1+'财富模型'!$E$20/12)+'Calc'!$B$6,IF(Calc!$AO$195&lt;='财富模型'!$E$11*12,'Calc'!$W$17,'Calc'!$Y$17))))))</x:f>
      </x:c>
      <x:c r="AS195" t="str">
        <x:f>IF(Calc!$AO$195&gt;'Calc'!$B$8,"",IF('Calc'!$E$17=1,0,MIN(Calc!$AQ$194*(1+'财富模型'!$E$20/12)+'Calc'!$B$6,IF(Calc!$AO$195&lt;='财富模型'!$E$11*12,'Calc'!$W$17,'Calc'!$Y$17))))</x:f>
      </x:c>
      <x:c r="AT195" t="str">
        <x:f>IF(Calc!$AO$195&gt;'Calc'!$B$8,"",'Calc'!$B$5-'财富模型'!$E$5-(IF('Calc'!$E$17=1,'财富模型'!$E$9,'财富模型'!$M$9+IF(Calc!$AO$195&lt;='财富模型'!$E$11*12,'Calc'!$W$17,'Calc'!$Y$17)-(IF('Calc'!$E$17=1,0,MIN(Calc!$AQ$194*(1+'财富模型'!$E$20/12)+'Calc'!$B$6,IF(Calc!$AO$195&lt;='财富模型'!$E$11*12,'Calc'!$W$17,'Calc'!$Y$17)))))))</x:f>
      </x:c>
      <x:c r="AU195" t="str">
        <x:f>IF(Calc!$AO$195&gt;'Calc'!$B$8,"",IF('Calc'!$E$17=1,0,MAX(Calc!$AU$194*(1+IF(Calc!$AO$195&lt;='财富模型'!$E$11*12,'财富模型'!$E$10,'财富模型'!$E$12)/12)-IF('Calc'!$E$17=1,0,IF(Calc!$AO$195&lt;='财富模型'!$E$11*12,'Calc'!$W$17,'Calc'!$Y$17)),0)))</x:f>
      </x:c>
    </x:row>
    <x:row r="196">
      <x:c r="A196" t="n">
        <x:v>175</x:v>
      </x:c>
      <x:c r="B196" t="str">
        <x:f>IF(Calc!$A$196&gt;'Calc'!$B$8,"",MAX(Calc!$B$195*(1+'财富模型'!$E$6/12)+('Calc'!$B$5-'财富模型'!$E$5-(IF('Calc'!$E$12=1,'财富模型'!$E$9,'财富模型'!$M$4+IF(Calc!$A$196&lt;='财富模型'!$E$11*12,'Calc'!$W$12,'Calc'!$Y$12)-(IF('Calc'!$E$12=1,0,MIN(Calc!$C$195*(1+'财富模型'!$E$20/12)+'Calc'!$B$6,IF(Calc!$A$196&lt;='财富模型'!$E$11*12,'Calc'!$W$12,'Calc'!$Y$12))))))),0))</x:f>
      </x:c>
      <x:c r="C196" t="str">
        <x:f>IF(Calc!$A$196&gt;'Calc'!$B$8,"",MAX(Calc!$C$195*(1+'财富模型'!$E$20/12)+'Calc'!$B$6-(IF('Calc'!$E$12=1,0,MIN(Calc!$C$195*(1+'财富模型'!$E$20/12)+'Calc'!$B$6,IF(Calc!$A$196&lt;='财富模型'!$E$11*12,'Calc'!$W$12,'Calc'!$Y$12)))),0))</x:f>
      </x:c>
      <x:c r="D196" t="str">
        <x:f>IF(Calc!$A$196&gt;'Calc'!$B$8,"",IF('Calc'!$E$12=1,'财富模型'!$E$9,'财富模型'!$M$4+IF(Calc!$A$196&lt;='财富模型'!$E$11*12,'Calc'!$W$12,'Calc'!$Y$12)-(IF('Calc'!$E$12=1,0,MIN(Calc!$C$195*(1+'财富模型'!$E$20/12)+'Calc'!$B$6,IF(Calc!$A$196&lt;='财富模型'!$E$11*12,'Calc'!$W$12,'Calc'!$Y$12))))))</x:f>
      </x:c>
      <x:c r="E196" t="str">
        <x:f>IF(Calc!$A$196&gt;'Calc'!$B$8,"",IF('Calc'!$E$12=1,0,MIN(Calc!$C$195*(1+'财富模型'!$E$20/12)+'Calc'!$B$6,IF(Calc!$A$196&lt;='财富模型'!$E$11*12,'Calc'!$W$12,'Calc'!$Y$12))))</x:f>
      </x:c>
      <x:c r="F196" t="str">
        <x:f>IF(Calc!$A$196&gt;'Calc'!$B$8,"",'Calc'!$B$5-'财富模型'!$E$5-(IF('Calc'!$E$12=1,'财富模型'!$E$9,'财富模型'!$M$4+IF(Calc!$A$196&lt;='财富模型'!$E$11*12,'Calc'!$W$12,'Calc'!$Y$12)-(IF('Calc'!$E$12=1,0,MIN(Calc!$C$195*(1+'财富模型'!$E$20/12)+'Calc'!$B$6,IF(Calc!$A$196&lt;='财富模型'!$E$11*12,'Calc'!$W$12,'Calc'!$Y$12)))))))</x:f>
      </x:c>
      <x:c r="G196" t="str">
        <x:f>IF(Calc!$A$196&gt;'Calc'!$B$8,"",IF('Calc'!$E$12=1,0,MAX(Calc!$G$195*(1+IF(Calc!$A$196&lt;='财富模型'!$E$11*12,'财富模型'!$E$10,'财富模型'!$E$12)/12)-IF('Calc'!$E$12=1,0,IF(Calc!$A$196&lt;='财富模型'!$E$11*12,'Calc'!$W$12,'Calc'!$Y$12)),0)))</x:f>
      </x:c>
      <x:c r="I196" t="n">
        <x:v>175</x:v>
      </x:c>
      <x:c r="J196" t="str">
        <x:f>IF(Calc!$I$196&gt;'Calc'!$B$8,"",MAX(Calc!$J$195*(1+'财富模型'!$E$6/12)+('Calc'!$B$5-'财富模型'!$E$5-(IF('Calc'!$E$13=1,'财富模型'!$E$9,'财富模型'!$M$5+IF(Calc!$I$196&lt;='财富模型'!$E$11*12,'Calc'!$W$13,'Calc'!$Y$13)-(IF('Calc'!$E$13=1,0,MIN(Calc!$K$195*(1+'财富模型'!$E$20/12)+'Calc'!$B$6,IF(Calc!$I$196&lt;='财富模型'!$E$11*12,'Calc'!$W$13,'Calc'!$Y$13))))))),0))</x:f>
      </x:c>
      <x:c r="K196" t="str">
        <x:f>IF(Calc!$I$196&gt;'Calc'!$B$8,"",MAX(Calc!$K$195*(1+'财富模型'!$E$20/12)+'Calc'!$B$6-(IF('Calc'!$E$13=1,0,MIN(Calc!$K$195*(1+'财富模型'!$E$20/12)+'Calc'!$B$6,IF(Calc!$I$196&lt;='财富模型'!$E$11*12,'Calc'!$W$13,'Calc'!$Y$13)))),0))</x:f>
      </x:c>
      <x:c r="L196" t="str">
        <x:f>IF(Calc!$I$196&gt;'Calc'!$B$8,"",IF('Calc'!$E$13=1,'财富模型'!$E$9,'财富模型'!$M$5+IF(Calc!$I$196&lt;='财富模型'!$E$11*12,'Calc'!$W$13,'Calc'!$Y$13)-(IF('Calc'!$E$13=1,0,MIN(Calc!$K$195*(1+'财富模型'!$E$20/12)+'Calc'!$B$6,IF(Calc!$I$196&lt;='财富模型'!$E$11*12,'Calc'!$W$13,'Calc'!$Y$13))))))</x:f>
      </x:c>
      <x:c r="M196" t="str">
        <x:f>IF(Calc!$I$196&gt;'Calc'!$B$8,"",IF('Calc'!$E$13=1,0,MIN(Calc!$K$195*(1+'财富模型'!$E$20/12)+'Calc'!$B$6,IF(Calc!$I$196&lt;='财富模型'!$E$11*12,'Calc'!$W$13,'Calc'!$Y$13))))</x:f>
      </x:c>
      <x:c r="N196" t="str">
        <x:f>IF(Calc!$I$196&gt;'Calc'!$B$8,"",'Calc'!$B$5-'财富模型'!$E$5-(IF('Calc'!$E$13=1,'财富模型'!$E$9,'财富模型'!$M$5+IF(Calc!$I$196&lt;='财富模型'!$E$11*12,'Calc'!$W$13,'Calc'!$Y$13)-(IF('Calc'!$E$13=1,0,MIN(Calc!$K$195*(1+'财富模型'!$E$20/12)+'Calc'!$B$6,IF(Calc!$I$196&lt;='财富模型'!$E$11*12,'Calc'!$W$13,'Calc'!$Y$13)))))))</x:f>
      </x:c>
      <x:c r="O196" t="str">
        <x:f>IF(Calc!$I$196&gt;'Calc'!$B$8,"",IF('Calc'!$E$13=1,0,MAX(Calc!$O$195*(1+IF(Calc!$I$196&lt;='财富模型'!$E$11*12,'财富模型'!$E$10,'财富模型'!$E$12)/12)-IF('Calc'!$E$13=1,0,IF(Calc!$I$196&lt;='财富模型'!$E$11*12,'Calc'!$W$13,'Calc'!$Y$13)),0)))</x:f>
      </x:c>
      <x:c r="Q196" t="n">
        <x:v>175</x:v>
      </x:c>
      <x:c r="R196" t="str">
        <x:f>IF(Calc!$Q$196&gt;'Calc'!$B$8,"",MAX(Calc!$R$195*(1+'财富模型'!$E$6/12)+('Calc'!$B$5-'财富模型'!$E$5-(IF('Calc'!$E$14=1,'财富模型'!$E$9,'财富模型'!$M$6+IF(Calc!$Q$196&lt;='财富模型'!$E$11*12,'Calc'!$W$14,'Calc'!$Y$14)-(IF('Calc'!$E$14=1,0,MIN(Calc!$S$195*(1+'财富模型'!$E$20/12)+'Calc'!$B$6,IF(Calc!$Q$196&lt;='财富模型'!$E$11*12,'Calc'!$W$14,'Calc'!$Y$14))))))),0))</x:f>
      </x:c>
      <x:c r="S196" t="str">
        <x:f>IF(Calc!$Q$196&gt;'Calc'!$B$8,"",MAX(Calc!$S$195*(1+'财富模型'!$E$20/12)+'Calc'!$B$6-(IF('Calc'!$E$14=1,0,MIN(Calc!$S$195*(1+'财富模型'!$E$20/12)+'Calc'!$B$6,IF(Calc!$Q$196&lt;='财富模型'!$E$11*12,'Calc'!$W$14,'Calc'!$Y$14)))),0))</x:f>
      </x:c>
      <x:c r="T196" t="str">
        <x:f>IF(Calc!$Q$196&gt;'Calc'!$B$8,"",IF('Calc'!$E$14=1,'财富模型'!$E$9,'财富模型'!$M$6+IF(Calc!$Q$196&lt;='财富模型'!$E$11*12,'Calc'!$W$14,'Calc'!$Y$14)-(IF('Calc'!$E$14=1,0,MIN(Calc!$S$195*(1+'财富模型'!$E$20/12)+'Calc'!$B$6,IF(Calc!$Q$196&lt;='财富模型'!$E$11*12,'Calc'!$W$14,'Calc'!$Y$14))))))</x:f>
      </x:c>
      <x:c r="U196" t="str">
        <x:f>IF(Calc!$Q$196&gt;'Calc'!$B$8,"",IF('Calc'!$E$14=1,0,MIN(Calc!$S$195*(1+'财富模型'!$E$20/12)+'Calc'!$B$6,IF(Calc!$Q$196&lt;='财富模型'!$E$11*12,'Calc'!$W$14,'Calc'!$Y$14))))</x:f>
      </x:c>
      <x:c r="V196" t="str">
        <x:f>IF(Calc!$Q$196&gt;'Calc'!$B$8,"",'Calc'!$B$5-'财富模型'!$E$5-(IF('Calc'!$E$14=1,'财富模型'!$E$9,'财富模型'!$M$6+IF(Calc!$Q$196&lt;='财富模型'!$E$11*12,'Calc'!$W$14,'Calc'!$Y$14)-(IF('Calc'!$E$14=1,0,MIN(Calc!$S$195*(1+'财富模型'!$E$20/12)+'Calc'!$B$6,IF(Calc!$Q$196&lt;='财富模型'!$E$11*12,'Calc'!$W$14,'Calc'!$Y$14)))))))</x:f>
      </x:c>
      <x:c r="W196" t="str">
        <x:f>IF(Calc!$Q$196&gt;'Calc'!$B$8,"",IF('Calc'!$E$14=1,0,MAX(Calc!$W$195*(1+IF(Calc!$Q$196&lt;='财富模型'!$E$11*12,'财富模型'!$E$10,'财富模型'!$E$12)/12)-IF('Calc'!$E$14=1,0,IF(Calc!$Q$196&lt;='财富模型'!$E$11*12,'Calc'!$W$14,'Calc'!$Y$14)),0)))</x:f>
      </x:c>
      <x:c r="Y196" t="n">
        <x:v>175</x:v>
      </x:c>
      <x:c r="Z196" t="str">
        <x:f>IF(Calc!$Y$196&gt;'Calc'!$B$8,"",MAX(Calc!$Z$195*(1+'财富模型'!$E$6/12)+('Calc'!$B$5-'财富模型'!$E$5-(IF('Calc'!$E$15=1,'财富模型'!$E$9,'财富模型'!$M$7+IF(Calc!$Y$196&lt;='财富模型'!$E$11*12,'Calc'!$W$15,'Calc'!$Y$15)-(IF('Calc'!$E$15=1,0,MIN(Calc!$AA$195*(1+'财富模型'!$E$20/12)+'Calc'!$B$6,IF(Calc!$Y$196&lt;='财富模型'!$E$11*12,'Calc'!$W$15,'Calc'!$Y$15))))))),0))</x:f>
      </x:c>
      <x:c r="AA196" t="str">
        <x:f>IF(Calc!$Y$196&gt;'Calc'!$B$8,"",MAX(Calc!$AA$195*(1+'财富模型'!$E$20/12)+'Calc'!$B$6-(IF('Calc'!$E$15=1,0,MIN(Calc!$AA$195*(1+'财富模型'!$E$20/12)+'Calc'!$B$6,IF(Calc!$Y$196&lt;='财富模型'!$E$11*12,'Calc'!$W$15,'Calc'!$Y$15)))),0))</x:f>
      </x:c>
      <x:c r="AB196" t="str">
        <x:f>IF(Calc!$Y$196&gt;'Calc'!$B$8,"",IF('Calc'!$E$15=1,'财富模型'!$E$9,'财富模型'!$M$7+IF(Calc!$Y$196&lt;='财富模型'!$E$11*12,'Calc'!$W$15,'Calc'!$Y$15)-(IF('Calc'!$E$15=1,0,MIN(Calc!$AA$195*(1+'财富模型'!$E$20/12)+'Calc'!$B$6,IF(Calc!$Y$196&lt;='财富模型'!$E$11*12,'Calc'!$W$15,'Calc'!$Y$15))))))</x:f>
      </x:c>
      <x:c r="AC196" t="str">
        <x:f>IF(Calc!$Y$196&gt;'Calc'!$B$8,"",IF('Calc'!$E$15=1,0,MIN(Calc!$AA$195*(1+'财富模型'!$E$20/12)+'Calc'!$B$6,IF(Calc!$Y$196&lt;='财富模型'!$E$11*12,'Calc'!$W$15,'Calc'!$Y$15))))</x:f>
      </x:c>
      <x:c r="AD196" t="str">
        <x:f>IF(Calc!$Y$196&gt;'Calc'!$B$8,"",'Calc'!$B$5-'财富模型'!$E$5-(IF('Calc'!$E$15=1,'财富模型'!$E$9,'财富模型'!$M$7+IF(Calc!$Y$196&lt;='财富模型'!$E$11*12,'Calc'!$W$15,'Calc'!$Y$15)-(IF('Calc'!$E$15=1,0,MIN(Calc!$AA$195*(1+'财富模型'!$E$20/12)+'Calc'!$B$6,IF(Calc!$Y$196&lt;='财富模型'!$E$11*12,'Calc'!$W$15,'Calc'!$Y$15)))))))</x:f>
      </x:c>
      <x:c r="AE196" t="str">
        <x:f>IF(Calc!$Y$196&gt;'Calc'!$B$8,"",IF('Calc'!$E$15=1,0,MAX(Calc!$AE$195*(1+IF(Calc!$Y$196&lt;='财富模型'!$E$11*12,'财富模型'!$E$10,'财富模型'!$E$12)/12)-IF('Calc'!$E$15=1,0,IF(Calc!$Y$196&lt;='财富模型'!$E$11*12,'Calc'!$W$15,'Calc'!$Y$15)),0)))</x:f>
      </x:c>
      <x:c r="AG196" t="n">
        <x:v>175</x:v>
      </x:c>
      <x:c r="AH196" t="str">
        <x:f>IF(Calc!$AG$196&gt;'Calc'!$B$8,"",MAX(Calc!$AH$195*(1+'财富模型'!$E$6/12)+('Calc'!$B$5-'财富模型'!$E$5-(IF('Calc'!$E$16=1,'财富模型'!$E$9,'财富模型'!$M$8+IF(Calc!$AG$196&lt;='财富模型'!$E$11*12,'Calc'!$W$16,'Calc'!$Y$16)-(IF('Calc'!$E$16=1,0,MIN(Calc!$AI$195*(1+'财富模型'!$E$20/12)+'Calc'!$B$6,IF(Calc!$AG$196&lt;='财富模型'!$E$11*12,'Calc'!$W$16,'Calc'!$Y$16))))))),0))</x:f>
      </x:c>
      <x:c r="AI196" t="str">
        <x:f>IF(Calc!$AG$196&gt;'Calc'!$B$8,"",MAX(Calc!$AI$195*(1+'财富模型'!$E$20/12)+'Calc'!$B$6-(IF('Calc'!$E$16=1,0,MIN(Calc!$AI$195*(1+'财富模型'!$E$20/12)+'Calc'!$B$6,IF(Calc!$AG$196&lt;='财富模型'!$E$11*12,'Calc'!$W$16,'Calc'!$Y$16)))),0))</x:f>
      </x:c>
      <x:c r="AJ196" t="str">
        <x:f>IF(Calc!$AG$196&gt;'Calc'!$B$8,"",IF('Calc'!$E$16=1,'财富模型'!$E$9,'财富模型'!$M$8+IF(Calc!$AG$196&lt;='财富模型'!$E$11*12,'Calc'!$W$16,'Calc'!$Y$16)-(IF('Calc'!$E$16=1,0,MIN(Calc!$AI$195*(1+'财富模型'!$E$20/12)+'Calc'!$B$6,IF(Calc!$AG$196&lt;='财富模型'!$E$11*12,'Calc'!$W$16,'Calc'!$Y$16))))))</x:f>
      </x:c>
      <x:c r="AK196" t="str">
        <x:f>IF(Calc!$AG$196&gt;'Calc'!$B$8,"",IF('Calc'!$E$16=1,0,MIN(Calc!$AI$195*(1+'财富模型'!$E$20/12)+'Calc'!$B$6,IF(Calc!$AG$196&lt;='财富模型'!$E$11*12,'Calc'!$W$16,'Calc'!$Y$16))))</x:f>
      </x:c>
      <x:c r="AL196" t="str">
        <x:f>IF(Calc!$AG$196&gt;'Calc'!$B$8,"",'Calc'!$B$5-'财富模型'!$E$5-(IF('Calc'!$E$16=1,'财富模型'!$E$9,'财富模型'!$M$8+IF(Calc!$AG$196&lt;='财富模型'!$E$11*12,'Calc'!$W$16,'Calc'!$Y$16)-(IF('Calc'!$E$16=1,0,MIN(Calc!$AI$195*(1+'财富模型'!$E$20/12)+'Calc'!$B$6,IF(Calc!$AG$196&lt;='财富模型'!$E$11*12,'Calc'!$W$16,'Calc'!$Y$16)))))))</x:f>
      </x:c>
      <x:c r="AM196" t="str">
        <x:f>IF(Calc!$AG$196&gt;'Calc'!$B$8,"",IF('Calc'!$E$16=1,0,MAX(Calc!$AM$195*(1+IF(Calc!$AG$196&lt;='财富模型'!$E$11*12,'财富模型'!$E$10,'财富模型'!$E$12)/12)-IF('Calc'!$E$16=1,0,IF(Calc!$AG$196&lt;='财富模型'!$E$11*12,'Calc'!$W$16,'Calc'!$Y$16)),0)))</x:f>
      </x:c>
      <x:c r="AO196" t="n">
        <x:v>175</x:v>
      </x:c>
      <x:c r="AP196" t="str">
        <x:f>IF(Calc!$AO$196&gt;'Calc'!$B$8,"",MAX(Calc!$AP$195*(1+'财富模型'!$E$6/12)+('Calc'!$B$5-'财富模型'!$E$5-(IF('Calc'!$E$17=1,'财富模型'!$E$9,'财富模型'!$M$9+IF(Calc!$AO$196&lt;='财富模型'!$E$11*12,'Calc'!$W$17,'Calc'!$Y$17)-(IF('Calc'!$E$17=1,0,MIN(Calc!$AQ$195*(1+'财富模型'!$E$20/12)+'Calc'!$B$6,IF(Calc!$AO$196&lt;='财富模型'!$E$11*12,'Calc'!$W$17,'Calc'!$Y$17))))))),0))</x:f>
      </x:c>
      <x:c r="AQ196" t="str">
        <x:f>IF(Calc!$AO$196&gt;'Calc'!$B$8,"",MAX(Calc!$AQ$195*(1+'财富模型'!$E$20/12)+'Calc'!$B$6-(IF('Calc'!$E$17=1,0,MIN(Calc!$AQ$195*(1+'财富模型'!$E$20/12)+'Calc'!$B$6,IF(Calc!$AO$196&lt;='财富模型'!$E$11*12,'Calc'!$W$17,'Calc'!$Y$17)))),0))</x:f>
      </x:c>
      <x:c r="AR196" t="str">
        <x:f>IF(Calc!$AO$196&gt;'Calc'!$B$8,"",IF('Calc'!$E$17=1,'财富模型'!$E$9,'财富模型'!$M$9+IF(Calc!$AO$196&lt;='财富模型'!$E$11*12,'Calc'!$W$17,'Calc'!$Y$17)-(IF('Calc'!$E$17=1,0,MIN(Calc!$AQ$195*(1+'财富模型'!$E$20/12)+'Calc'!$B$6,IF(Calc!$AO$196&lt;='财富模型'!$E$11*12,'Calc'!$W$17,'Calc'!$Y$17))))))</x:f>
      </x:c>
      <x:c r="AS196" t="str">
        <x:f>IF(Calc!$AO$196&gt;'Calc'!$B$8,"",IF('Calc'!$E$17=1,0,MIN(Calc!$AQ$195*(1+'财富模型'!$E$20/12)+'Calc'!$B$6,IF(Calc!$AO$196&lt;='财富模型'!$E$11*12,'Calc'!$W$17,'Calc'!$Y$17))))</x:f>
      </x:c>
      <x:c r="AT196" t="str">
        <x:f>IF(Calc!$AO$196&gt;'Calc'!$B$8,"",'Calc'!$B$5-'财富模型'!$E$5-(IF('Calc'!$E$17=1,'财富模型'!$E$9,'财富模型'!$M$9+IF(Calc!$AO$196&lt;='财富模型'!$E$11*12,'Calc'!$W$17,'Calc'!$Y$17)-(IF('Calc'!$E$17=1,0,MIN(Calc!$AQ$195*(1+'财富模型'!$E$20/12)+'Calc'!$B$6,IF(Calc!$AO$196&lt;='财富模型'!$E$11*12,'Calc'!$W$17,'Calc'!$Y$17)))))))</x:f>
      </x:c>
      <x:c r="AU196" t="str">
        <x:f>IF(Calc!$AO$196&gt;'Calc'!$B$8,"",IF('Calc'!$E$17=1,0,MAX(Calc!$AU$195*(1+IF(Calc!$AO$196&lt;='财富模型'!$E$11*12,'财富模型'!$E$10,'财富模型'!$E$12)/12)-IF('Calc'!$E$17=1,0,IF(Calc!$AO$196&lt;='财富模型'!$E$11*12,'Calc'!$W$17,'Calc'!$Y$17)),0)))</x:f>
      </x:c>
    </x:row>
    <x:row r="197">
      <x:c r="A197" t="n">
        <x:v>176</x:v>
      </x:c>
      <x:c r="B197" t="str">
        <x:f>IF(Calc!$A$197&gt;'Calc'!$B$8,"",MAX(Calc!$B$196*(1+'财富模型'!$E$6/12)+('Calc'!$B$5-'财富模型'!$E$5-(IF('Calc'!$E$12=1,'财富模型'!$E$9,'财富模型'!$M$4+IF(Calc!$A$197&lt;='财富模型'!$E$11*12,'Calc'!$W$12,'Calc'!$Y$12)-(IF('Calc'!$E$12=1,0,MIN(Calc!$C$196*(1+'财富模型'!$E$20/12)+'Calc'!$B$6,IF(Calc!$A$197&lt;='财富模型'!$E$11*12,'Calc'!$W$12,'Calc'!$Y$12))))))),0))</x:f>
      </x:c>
      <x:c r="C197" t="str">
        <x:f>IF(Calc!$A$197&gt;'Calc'!$B$8,"",MAX(Calc!$C$196*(1+'财富模型'!$E$20/12)+'Calc'!$B$6-(IF('Calc'!$E$12=1,0,MIN(Calc!$C$196*(1+'财富模型'!$E$20/12)+'Calc'!$B$6,IF(Calc!$A$197&lt;='财富模型'!$E$11*12,'Calc'!$W$12,'Calc'!$Y$12)))),0))</x:f>
      </x:c>
      <x:c r="D197" t="str">
        <x:f>IF(Calc!$A$197&gt;'Calc'!$B$8,"",IF('Calc'!$E$12=1,'财富模型'!$E$9,'财富模型'!$M$4+IF(Calc!$A$197&lt;='财富模型'!$E$11*12,'Calc'!$W$12,'Calc'!$Y$12)-(IF('Calc'!$E$12=1,0,MIN(Calc!$C$196*(1+'财富模型'!$E$20/12)+'Calc'!$B$6,IF(Calc!$A$197&lt;='财富模型'!$E$11*12,'Calc'!$W$12,'Calc'!$Y$12))))))</x:f>
      </x:c>
      <x:c r="E197" t="str">
        <x:f>IF(Calc!$A$197&gt;'Calc'!$B$8,"",IF('Calc'!$E$12=1,0,MIN(Calc!$C$196*(1+'财富模型'!$E$20/12)+'Calc'!$B$6,IF(Calc!$A$197&lt;='财富模型'!$E$11*12,'Calc'!$W$12,'Calc'!$Y$12))))</x:f>
      </x:c>
      <x:c r="F197" t="str">
        <x:f>IF(Calc!$A$197&gt;'Calc'!$B$8,"",'Calc'!$B$5-'财富模型'!$E$5-(IF('Calc'!$E$12=1,'财富模型'!$E$9,'财富模型'!$M$4+IF(Calc!$A$197&lt;='财富模型'!$E$11*12,'Calc'!$W$12,'Calc'!$Y$12)-(IF('Calc'!$E$12=1,0,MIN(Calc!$C$196*(1+'财富模型'!$E$20/12)+'Calc'!$B$6,IF(Calc!$A$197&lt;='财富模型'!$E$11*12,'Calc'!$W$12,'Calc'!$Y$12)))))))</x:f>
      </x:c>
      <x:c r="G197" t="str">
        <x:f>IF(Calc!$A$197&gt;'Calc'!$B$8,"",IF('Calc'!$E$12=1,0,MAX(Calc!$G$196*(1+IF(Calc!$A$197&lt;='财富模型'!$E$11*12,'财富模型'!$E$10,'财富模型'!$E$12)/12)-IF('Calc'!$E$12=1,0,IF(Calc!$A$197&lt;='财富模型'!$E$11*12,'Calc'!$W$12,'Calc'!$Y$12)),0)))</x:f>
      </x:c>
      <x:c r="I197" t="n">
        <x:v>176</x:v>
      </x:c>
      <x:c r="J197" t="str">
        <x:f>IF(Calc!$I$197&gt;'Calc'!$B$8,"",MAX(Calc!$J$196*(1+'财富模型'!$E$6/12)+('Calc'!$B$5-'财富模型'!$E$5-(IF('Calc'!$E$13=1,'财富模型'!$E$9,'财富模型'!$M$5+IF(Calc!$I$197&lt;='财富模型'!$E$11*12,'Calc'!$W$13,'Calc'!$Y$13)-(IF('Calc'!$E$13=1,0,MIN(Calc!$K$196*(1+'财富模型'!$E$20/12)+'Calc'!$B$6,IF(Calc!$I$197&lt;='财富模型'!$E$11*12,'Calc'!$W$13,'Calc'!$Y$13))))))),0))</x:f>
      </x:c>
      <x:c r="K197" t="str">
        <x:f>IF(Calc!$I$197&gt;'Calc'!$B$8,"",MAX(Calc!$K$196*(1+'财富模型'!$E$20/12)+'Calc'!$B$6-(IF('Calc'!$E$13=1,0,MIN(Calc!$K$196*(1+'财富模型'!$E$20/12)+'Calc'!$B$6,IF(Calc!$I$197&lt;='财富模型'!$E$11*12,'Calc'!$W$13,'Calc'!$Y$13)))),0))</x:f>
      </x:c>
      <x:c r="L197" t="str">
        <x:f>IF(Calc!$I$197&gt;'Calc'!$B$8,"",IF('Calc'!$E$13=1,'财富模型'!$E$9,'财富模型'!$M$5+IF(Calc!$I$197&lt;='财富模型'!$E$11*12,'Calc'!$W$13,'Calc'!$Y$13)-(IF('Calc'!$E$13=1,0,MIN(Calc!$K$196*(1+'财富模型'!$E$20/12)+'Calc'!$B$6,IF(Calc!$I$197&lt;='财富模型'!$E$11*12,'Calc'!$W$13,'Calc'!$Y$13))))))</x:f>
      </x:c>
      <x:c r="M197" t="str">
        <x:f>IF(Calc!$I$197&gt;'Calc'!$B$8,"",IF('Calc'!$E$13=1,0,MIN(Calc!$K$196*(1+'财富模型'!$E$20/12)+'Calc'!$B$6,IF(Calc!$I$197&lt;='财富模型'!$E$11*12,'Calc'!$W$13,'Calc'!$Y$13))))</x:f>
      </x:c>
      <x:c r="N197" t="str">
        <x:f>IF(Calc!$I$197&gt;'Calc'!$B$8,"",'Calc'!$B$5-'财富模型'!$E$5-(IF('Calc'!$E$13=1,'财富模型'!$E$9,'财富模型'!$M$5+IF(Calc!$I$197&lt;='财富模型'!$E$11*12,'Calc'!$W$13,'Calc'!$Y$13)-(IF('Calc'!$E$13=1,0,MIN(Calc!$K$196*(1+'财富模型'!$E$20/12)+'Calc'!$B$6,IF(Calc!$I$197&lt;='财富模型'!$E$11*12,'Calc'!$W$13,'Calc'!$Y$13)))))))</x:f>
      </x:c>
      <x:c r="O197" t="str">
        <x:f>IF(Calc!$I$197&gt;'Calc'!$B$8,"",IF('Calc'!$E$13=1,0,MAX(Calc!$O$196*(1+IF(Calc!$I$197&lt;='财富模型'!$E$11*12,'财富模型'!$E$10,'财富模型'!$E$12)/12)-IF('Calc'!$E$13=1,0,IF(Calc!$I$197&lt;='财富模型'!$E$11*12,'Calc'!$W$13,'Calc'!$Y$13)),0)))</x:f>
      </x:c>
      <x:c r="Q197" t="n">
        <x:v>176</x:v>
      </x:c>
      <x:c r="R197" t="str">
        <x:f>IF(Calc!$Q$197&gt;'Calc'!$B$8,"",MAX(Calc!$R$196*(1+'财富模型'!$E$6/12)+('Calc'!$B$5-'财富模型'!$E$5-(IF('Calc'!$E$14=1,'财富模型'!$E$9,'财富模型'!$M$6+IF(Calc!$Q$197&lt;='财富模型'!$E$11*12,'Calc'!$W$14,'Calc'!$Y$14)-(IF('Calc'!$E$14=1,0,MIN(Calc!$S$196*(1+'财富模型'!$E$20/12)+'Calc'!$B$6,IF(Calc!$Q$197&lt;='财富模型'!$E$11*12,'Calc'!$W$14,'Calc'!$Y$14))))))),0))</x:f>
      </x:c>
      <x:c r="S197" t="str">
        <x:f>IF(Calc!$Q$197&gt;'Calc'!$B$8,"",MAX(Calc!$S$196*(1+'财富模型'!$E$20/12)+'Calc'!$B$6-(IF('Calc'!$E$14=1,0,MIN(Calc!$S$196*(1+'财富模型'!$E$20/12)+'Calc'!$B$6,IF(Calc!$Q$197&lt;='财富模型'!$E$11*12,'Calc'!$W$14,'Calc'!$Y$14)))),0))</x:f>
      </x:c>
      <x:c r="T197" t="str">
        <x:f>IF(Calc!$Q$197&gt;'Calc'!$B$8,"",IF('Calc'!$E$14=1,'财富模型'!$E$9,'财富模型'!$M$6+IF(Calc!$Q$197&lt;='财富模型'!$E$11*12,'Calc'!$W$14,'Calc'!$Y$14)-(IF('Calc'!$E$14=1,0,MIN(Calc!$S$196*(1+'财富模型'!$E$20/12)+'Calc'!$B$6,IF(Calc!$Q$197&lt;='财富模型'!$E$11*12,'Calc'!$W$14,'Calc'!$Y$14))))))</x:f>
      </x:c>
      <x:c r="U197" t="str">
        <x:f>IF(Calc!$Q$197&gt;'Calc'!$B$8,"",IF('Calc'!$E$14=1,0,MIN(Calc!$S$196*(1+'财富模型'!$E$20/12)+'Calc'!$B$6,IF(Calc!$Q$197&lt;='财富模型'!$E$11*12,'Calc'!$W$14,'Calc'!$Y$14))))</x:f>
      </x:c>
      <x:c r="V197" t="str">
        <x:f>IF(Calc!$Q$197&gt;'Calc'!$B$8,"",'Calc'!$B$5-'财富模型'!$E$5-(IF('Calc'!$E$14=1,'财富模型'!$E$9,'财富模型'!$M$6+IF(Calc!$Q$197&lt;='财富模型'!$E$11*12,'Calc'!$W$14,'Calc'!$Y$14)-(IF('Calc'!$E$14=1,0,MIN(Calc!$S$196*(1+'财富模型'!$E$20/12)+'Calc'!$B$6,IF(Calc!$Q$197&lt;='财富模型'!$E$11*12,'Calc'!$W$14,'Calc'!$Y$14)))))))</x:f>
      </x:c>
      <x:c r="W197" t="str">
        <x:f>IF(Calc!$Q$197&gt;'Calc'!$B$8,"",IF('Calc'!$E$14=1,0,MAX(Calc!$W$196*(1+IF(Calc!$Q$197&lt;='财富模型'!$E$11*12,'财富模型'!$E$10,'财富模型'!$E$12)/12)-IF('Calc'!$E$14=1,0,IF(Calc!$Q$197&lt;='财富模型'!$E$11*12,'Calc'!$W$14,'Calc'!$Y$14)),0)))</x:f>
      </x:c>
      <x:c r="Y197" t="n">
        <x:v>176</x:v>
      </x:c>
      <x:c r="Z197" t="str">
        <x:f>IF(Calc!$Y$197&gt;'Calc'!$B$8,"",MAX(Calc!$Z$196*(1+'财富模型'!$E$6/12)+('Calc'!$B$5-'财富模型'!$E$5-(IF('Calc'!$E$15=1,'财富模型'!$E$9,'财富模型'!$M$7+IF(Calc!$Y$197&lt;='财富模型'!$E$11*12,'Calc'!$W$15,'Calc'!$Y$15)-(IF('Calc'!$E$15=1,0,MIN(Calc!$AA$196*(1+'财富模型'!$E$20/12)+'Calc'!$B$6,IF(Calc!$Y$197&lt;='财富模型'!$E$11*12,'Calc'!$W$15,'Calc'!$Y$15))))))),0))</x:f>
      </x:c>
      <x:c r="AA197" t="str">
        <x:f>IF(Calc!$Y$197&gt;'Calc'!$B$8,"",MAX(Calc!$AA$196*(1+'财富模型'!$E$20/12)+'Calc'!$B$6-(IF('Calc'!$E$15=1,0,MIN(Calc!$AA$196*(1+'财富模型'!$E$20/12)+'Calc'!$B$6,IF(Calc!$Y$197&lt;='财富模型'!$E$11*12,'Calc'!$W$15,'Calc'!$Y$15)))),0))</x:f>
      </x:c>
      <x:c r="AB197" t="str">
        <x:f>IF(Calc!$Y$197&gt;'Calc'!$B$8,"",IF('Calc'!$E$15=1,'财富模型'!$E$9,'财富模型'!$M$7+IF(Calc!$Y$197&lt;='财富模型'!$E$11*12,'Calc'!$W$15,'Calc'!$Y$15)-(IF('Calc'!$E$15=1,0,MIN(Calc!$AA$196*(1+'财富模型'!$E$20/12)+'Calc'!$B$6,IF(Calc!$Y$197&lt;='财富模型'!$E$11*12,'Calc'!$W$15,'Calc'!$Y$15))))))</x:f>
      </x:c>
      <x:c r="AC197" t="str">
        <x:f>IF(Calc!$Y$197&gt;'Calc'!$B$8,"",IF('Calc'!$E$15=1,0,MIN(Calc!$AA$196*(1+'财富模型'!$E$20/12)+'Calc'!$B$6,IF(Calc!$Y$197&lt;='财富模型'!$E$11*12,'Calc'!$W$15,'Calc'!$Y$15))))</x:f>
      </x:c>
      <x:c r="AD197" t="str">
        <x:f>IF(Calc!$Y$197&gt;'Calc'!$B$8,"",'Calc'!$B$5-'财富模型'!$E$5-(IF('Calc'!$E$15=1,'财富模型'!$E$9,'财富模型'!$M$7+IF(Calc!$Y$197&lt;='财富模型'!$E$11*12,'Calc'!$W$15,'Calc'!$Y$15)-(IF('Calc'!$E$15=1,0,MIN(Calc!$AA$196*(1+'财富模型'!$E$20/12)+'Calc'!$B$6,IF(Calc!$Y$197&lt;='财富模型'!$E$11*12,'Calc'!$W$15,'Calc'!$Y$15)))))))</x:f>
      </x:c>
      <x:c r="AE197" t="str">
        <x:f>IF(Calc!$Y$197&gt;'Calc'!$B$8,"",IF('Calc'!$E$15=1,0,MAX(Calc!$AE$196*(1+IF(Calc!$Y$197&lt;='财富模型'!$E$11*12,'财富模型'!$E$10,'财富模型'!$E$12)/12)-IF('Calc'!$E$15=1,0,IF(Calc!$Y$197&lt;='财富模型'!$E$11*12,'Calc'!$W$15,'Calc'!$Y$15)),0)))</x:f>
      </x:c>
      <x:c r="AG197" t="n">
        <x:v>176</x:v>
      </x:c>
      <x:c r="AH197" t="str">
        <x:f>IF(Calc!$AG$197&gt;'Calc'!$B$8,"",MAX(Calc!$AH$196*(1+'财富模型'!$E$6/12)+('Calc'!$B$5-'财富模型'!$E$5-(IF('Calc'!$E$16=1,'财富模型'!$E$9,'财富模型'!$M$8+IF(Calc!$AG$197&lt;='财富模型'!$E$11*12,'Calc'!$W$16,'Calc'!$Y$16)-(IF('Calc'!$E$16=1,0,MIN(Calc!$AI$196*(1+'财富模型'!$E$20/12)+'Calc'!$B$6,IF(Calc!$AG$197&lt;='财富模型'!$E$11*12,'Calc'!$W$16,'Calc'!$Y$16))))))),0))</x:f>
      </x:c>
      <x:c r="AI197" t="str">
        <x:f>IF(Calc!$AG$197&gt;'Calc'!$B$8,"",MAX(Calc!$AI$196*(1+'财富模型'!$E$20/12)+'Calc'!$B$6-(IF('Calc'!$E$16=1,0,MIN(Calc!$AI$196*(1+'财富模型'!$E$20/12)+'Calc'!$B$6,IF(Calc!$AG$197&lt;='财富模型'!$E$11*12,'Calc'!$W$16,'Calc'!$Y$16)))),0))</x:f>
      </x:c>
      <x:c r="AJ197" t="str">
        <x:f>IF(Calc!$AG$197&gt;'Calc'!$B$8,"",IF('Calc'!$E$16=1,'财富模型'!$E$9,'财富模型'!$M$8+IF(Calc!$AG$197&lt;='财富模型'!$E$11*12,'Calc'!$W$16,'Calc'!$Y$16)-(IF('Calc'!$E$16=1,0,MIN(Calc!$AI$196*(1+'财富模型'!$E$20/12)+'Calc'!$B$6,IF(Calc!$AG$197&lt;='财富模型'!$E$11*12,'Calc'!$W$16,'Calc'!$Y$16))))))</x:f>
      </x:c>
      <x:c r="AK197" t="str">
        <x:f>IF(Calc!$AG$197&gt;'Calc'!$B$8,"",IF('Calc'!$E$16=1,0,MIN(Calc!$AI$196*(1+'财富模型'!$E$20/12)+'Calc'!$B$6,IF(Calc!$AG$197&lt;='财富模型'!$E$11*12,'Calc'!$W$16,'Calc'!$Y$16))))</x:f>
      </x:c>
      <x:c r="AL197" t="str">
        <x:f>IF(Calc!$AG$197&gt;'Calc'!$B$8,"",'Calc'!$B$5-'财富模型'!$E$5-(IF('Calc'!$E$16=1,'财富模型'!$E$9,'财富模型'!$M$8+IF(Calc!$AG$197&lt;='财富模型'!$E$11*12,'Calc'!$W$16,'Calc'!$Y$16)-(IF('Calc'!$E$16=1,0,MIN(Calc!$AI$196*(1+'财富模型'!$E$20/12)+'Calc'!$B$6,IF(Calc!$AG$197&lt;='财富模型'!$E$11*12,'Calc'!$W$16,'Calc'!$Y$16)))))))</x:f>
      </x:c>
      <x:c r="AM197" t="str">
        <x:f>IF(Calc!$AG$197&gt;'Calc'!$B$8,"",IF('Calc'!$E$16=1,0,MAX(Calc!$AM$196*(1+IF(Calc!$AG$197&lt;='财富模型'!$E$11*12,'财富模型'!$E$10,'财富模型'!$E$12)/12)-IF('Calc'!$E$16=1,0,IF(Calc!$AG$197&lt;='财富模型'!$E$11*12,'Calc'!$W$16,'Calc'!$Y$16)),0)))</x:f>
      </x:c>
      <x:c r="AO197" t="n">
        <x:v>176</x:v>
      </x:c>
      <x:c r="AP197" t="str">
        <x:f>IF(Calc!$AO$197&gt;'Calc'!$B$8,"",MAX(Calc!$AP$196*(1+'财富模型'!$E$6/12)+('Calc'!$B$5-'财富模型'!$E$5-(IF('Calc'!$E$17=1,'财富模型'!$E$9,'财富模型'!$M$9+IF(Calc!$AO$197&lt;='财富模型'!$E$11*12,'Calc'!$W$17,'Calc'!$Y$17)-(IF('Calc'!$E$17=1,0,MIN(Calc!$AQ$196*(1+'财富模型'!$E$20/12)+'Calc'!$B$6,IF(Calc!$AO$197&lt;='财富模型'!$E$11*12,'Calc'!$W$17,'Calc'!$Y$17))))))),0))</x:f>
      </x:c>
      <x:c r="AQ197" t="str">
        <x:f>IF(Calc!$AO$197&gt;'Calc'!$B$8,"",MAX(Calc!$AQ$196*(1+'财富模型'!$E$20/12)+'Calc'!$B$6-(IF('Calc'!$E$17=1,0,MIN(Calc!$AQ$196*(1+'财富模型'!$E$20/12)+'Calc'!$B$6,IF(Calc!$AO$197&lt;='财富模型'!$E$11*12,'Calc'!$W$17,'Calc'!$Y$17)))),0))</x:f>
      </x:c>
      <x:c r="AR197" t="str">
        <x:f>IF(Calc!$AO$197&gt;'Calc'!$B$8,"",IF('Calc'!$E$17=1,'财富模型'!$E$9,'财富模型'!$M$9+IF(Calc!$AO$197&lt;='财富模型'!$E$11*12,'Calc'!$W$17,'Calc'!$Y$17)-(IF('Calc'!$E$17=1,0,MIN(Calc!$AQ$196*(1+'财富模型'!$E$20/12)+'Calc'!$B$6,IF(Calc!$AO$197&lt;='财富模型'!$E$11*12,'Calc'!$W$17,'Calc'!$Y$17))))))</x:f>
      </x:c>
      <x:c r="AS197" t="str">
        <x:f>IF(Calc!$AO$197&gt;'Calc'!$B$8,"",IF('Calc'!$E$17=1,0,MIN(Calc!$AQ$196*(1+'财富模型'!$E$20/12)+'Calc'!$B$6,IF(Calc!$AO$197&lt;='财富模型'!$E$11*12,'Calc'!$W$17,'Calc'!$Y$17))))</x:f>
      </x:c>
      <x:c r="AT197" t="str">
        <x:f>IF(Calc!$AO$197&gt;'Calc'!$B$8,"",'Calc'!$B$5-'财富模型'!$E$5-(IF('Calc'!$E$17=1,'财富模型'!$E$9,'财富模型'!$M$9+IF(Calc!$AO$197&lt;='财富模型'!$E$11*12,'Calc'!$W$17,'Calc'!$Y$17)-(IF('Calc'!$E$17=1,0,MIN(Calc!$AQ$196*(1+'财富模型'!$E$20/12)+'Calc'!$B$6,IF(Calc!$AO$197&lt;='财富模型'!$E$11*12,'Calc'!$W$17,'Calc'!$Y$17)))))))</x:f>
      </x:c>
      <x:c r="AU197" t="str">
        <x:f>IF(Calc!$AO$197&gt;'Calc'!$B$8,"",IF('Calc'!$E$17=1,0,MAX(Calc!$AU$196*(1+IF(Calc!$AO$197&lt;='财富模型'!$E$11*12,'财富模型'!$E$10,'财富模型'!$E$12)/12)-IF('Calc'!$E$17=1,0,IF(Calc!$AO$197&lt;='财富模型'!$E$11*12,'Calc'!$W$17,'Calc'!$Y$17)),0)))</x:f>
      </x:c>
    </x:row>
    <x:row r="198">
      <x:c r="A198" t="n">
        <x:v>177</x:v>
      </x:c>
      <x:c r="B198" t="str">
        <x:f>IF(Calc!$A$198&gt;'Calc'!$B$8,"",MAX(Calc!$B$197*(1+'财富模型'!$E$6/12)+('Calc'!$B$5-'财富模型'!$E$5-(IF('Calc'!$E$12=1,'财富模型'!$E$9,'财富模型'!$M$4+IF(Calc!$A$198&lt;='财富模型'!$E$11*12,'Calc'!$W$12,'Calc'!$Y$12)-(IF('Calc'!$E$12=1,0,MIN(Calc!$C$197*(1+'财富模型'!$E$20/12)+'Calc'!$B$6,IF(Calc!$A$198&lt;='财富模型'!$E$11*12,'Calc'!$W$12,'Calc'!$Y$12))))))),0))</x:f>
      </x:c>
      <x:c r="C198" t="str">
        <x:f>IF(Calc!$A$198&gt;'Calc'!$B$8,"",MAX(Calc!$C$197*(1+'财富模型'!$E$20/12)+'Calc'!$B$6-(IF('Calc'!$E$12=1,0,MIN(Calc!$C$197*(1+'财富模型'!$E$20/12)+'Calc'!$B$6,IF(Calc!$A$198&lt;='财富模型'!$E$11*12,'Calc'!$W$12,'Calc'!$Y$12)))),0))</x:f>
      </x:c>
      <x:c r="D198" t="str">
        <x:f>IF(Calc!$A$198&gt;'Calc'!$B$8,"",IF('Calc'!$E$12=1,'财富模型'!$E$9,'财富模型'!$M$4+IF(Calc!$A$198&lt;='财富模型'!$E$11*12,'Calc'!$W$12,'Calc'!$Y$12)-(IF('Calc'!$E$12=1,0,MIN(Calc!$C$197*(1+'财富模型'!$E$20/12)+'Calc'!$B$6,IF(Calc!$A$198&lt;='财富模型'!$E$11*12,'Calc'!$W$12,'Calc'!$Y$12))))))</x:f>
      </x:c>
      <x:c r="E198" t="str">
        <x:f>IF(Calc!$A$198&gt;'Calc'!$B$8,"",IF('Calc'!$E$12=1,0,MIN(Calc!$C$197*(1+'财富模型'!$E$20/12)+'Calc'!$B$6,IF(Calc!$A$198&lt;='财富模型'!$E$11*12,'Calc'!$W$12,'Calc'!$Y$12))))</x:f>
      </x:c>
      <x:c r="F198" t="str">
        <x:f>IF(Calc!$A$198&gt;'Calc'!$B$8,"",'Calc'!$B$5-'财富模型'!$E$5-(IF('Calc'!$E$12=1,'财富模型'!$E$9,'财富模型'!$M$4+IF(Calc!$A$198&lt;='财富模型'!$E$11*12,'Calc'!$W$12,'Calc'!$Y$12)-(IF('Calc'!$E$12=1,0,MIN(Calc!$C$197*(1+'财富模型'!$E$20/12)+'Calc'!$B$6,IF(Calc!$A$198&lt;='财富模型'!$E$11*12,'Calc'!$W$12,'Calc'!$Y$12)))))))</x:f>
      </x:c>
      <x:c r="G198" t="str">
        <x:f>IF(Calc!$A$198&gt;'Calc'!$B$8,"",IF('Calc'!$E$12=1,0,MAX(Calc!$G$197*(1+IF(Calc!$A$198&lt;='财富模型'!$E$11*12,'财富模型'!$E$10,'财富模型'!$E$12)/12)-IF('Calc'!$E$12=1,0,IF(Calc!$A$198&lt;='财富模型'!$E$11*12,'Calc'!$W$12,'Calc'!$Y$12)),0)))</x:f>
      </x:c>
      <x:c r="I198" t="n">
        <x:v>177</x:v>
      </x:c>
      <x:c r="J198" t="str">
        <x:f>IF(Calc!$I$198&gt;'Calc'!$B$8,"",MAX(Calc!$J$197*(1+'财富模型'!$E$6/12)+('Calc'!$B$5-'财富模型'!$E$5-(IF('Calc'!$E$13=1,'财富模型'!$E$9,'财富模型'!$M$5+IF(Calc!$I$198&lt;='财富模型'!$E$11*12,'Calc'!$W$13,'Calc'!$Y$13)-(IF('Calc'!$E$13=1,0,MIN(Calc!$K$197*(1+'财富模型'!$E$20/12)+'Calc'!$B$6,IF(Calc!$I$198&lt;='财富模型'!$E$11*12,'Calc'!$W$13,'Calc'!$Y$13))))))),0))</x:f>
      </x:c>
      <x:c r="K198" t="str">
        <x:f>IF(Calc!$I$198&gt;'Calc'!$B$8,"",MAX(Calc!$K$197*(1+'财富模型'!$E$20/12)+'Calc'!$B$6-(IF('Calc'!$E$13=1,0,MIN(Calc!$K$197*(1+'财富模型'!$E$20/12)+'Calc'!$B$6,IF(Calc!$I$198&lt;='财富模型'!$E$11*12,'Calc'!$W$13,'Calc'!$Y$13)))),0))</x:f>
      </x:c>
      <x:c r="L198" t="str">
        <x:f>IF(Calc!$I$198&gt;'Calc'!$B$8,"",IF('Calc'!$E$13=1,'财富模型'!$E$9,'财富模型'!$M$5+IF(Calc!$I$198&lt;='财富模型'!$E$11*12,'Calc'!$W$13,'Calc'!$Y$13)-(IF('Calc'!$E$13=1,0,MIN(Calc!$K$197*(1+'财富模型'!$E$20/12)+'Calc'!$B$6,IF(Calc!$I$198&lt;='财富模型'!$E$11*12,'Calc'!$W$13,'Calc'!$Y$13))))))</x:f>
      </x:c>
      <x:c r="M198" t="str">
        <x:f>IF(Calc!$I$198&gt;'Calc'!$B$8,"",IF('Calc'!$E$13=1,0,MIN(Calc!$K$197*(1+'财富模型'!$E$20/12)+'Calc'!$B$6,IF(Calc!$I$198&lt;='财富模型'!$E$11*12,'Calc'!$W$13,'Calc'!$Y$13))))</x:f>
      </x:c>
      <x:c r="N198" t="str">
        <x:f>IF(Calc!$I$198&gt;'Calc'!$B$8,"",'Calc'!$B$5-'财富模型'!$E$5-(IF('Calc'!$E$13=1,'财富模型'!$E$9,'财富模型'!$M$5+IF(Calc!$I$198&lt;='财富模型'!$E$11*12,'Calc'!$W$13,'Calc'!$Y$13)-(IF('Calc'!$E$13=1,0,MIN(Calc!$K$197*(1+'财富模型'!$E$20/12)+'Calc'!$B$6,IF(Calc!$I$198&lt;='财富模型'!$E$11*12,'Calc'!$W$13,'Calc'!$Y$13)))))))</x:f>
      </x:c>
      <x:c r="O198" t="str">
        <x:f>IF(Calc!$I$198&gt;'Calc'!$B$8,"",IF('Calc'!$E$13=1,0,MAX(Calc!$O$197*(1+IF(Calc!$I$198&lt;='财富模型'!$E$11*12,'财富模型'!$E$10,'财富模型'!$E$12)/12)-IF('Calc'!$E$13=1,0,IF(Calc!$I$198&lt;='财富模型'!$E$11*12,'Calc'!$W$13,'Calc'!$Y$13)),0)))</x:f>
      </x:c>
      <x:c r="Q198" t="n">
        <x:v>177</x:v>
      </x:c>
      <x:c r="R198" t="str">
        <x:f>IF(Calc!$Q$198&gt;'Calc'!$B$8,"",MAX(Calc!$R$197*(1+'财富模型'!$E$6/12)+('Calc'!$B$5-'财富模型'!$E$5-(IF('Calc'!$E$14=1,'财富模型'!$E$9,'财富模型'!$M$6+IF(Calc!$Q$198&lt;='财富模型'!$E$11*12,'Calc'!$W$14,'Calc'!$Y$14)-(IF('Calc'!$E$14=1,0,MIN(Calc!$S$197*(1+'财富模型'!$E$20/12)+'Calc'!$B$6,IF(Calc!$Q$198&lt;='财富模型'!$E$11*12,'Calc'!$W$14,'Calc'!$Y$14))))))),0))</x:f>
      </x:c>
      <x:c r="S198" t="str">
        <x:f>IF(Calc!$Q$198&gt;'Calc'!$B$8,"",MAX(Calc!$S$197*(1+'财富模型'!$E$20/12)+'Calc'!$B$6-(IF('Calc'!$E$14=1,0,MIN(Calc!$S$197*(1+'财富模型'!$E$20/12)+'Calc'!$B$6,IF(Calc!$Q$198&lt;='财富模型'!$E$11*12,'Calc'!$W$14,'Calc'!$Y$14)))),0))</x:f>
      </x:c>
      <x:c r="T198" t="str">
        <x:f>IF(Calc!$Q$198&gt;'Calc'!$B$8,"",IF('Calc'!$E$14=1,'财富模型'!$E$9,'财富模型'!$M$6+IF(Calc!$Q$198&lt;='财富模型'!$E$11*12,'Calc'!$W$14,'Calc'!$Y$14)-(IF('Calc'!$E$14=1,0,MIN(Calc!$S$197*(1+'财富模型'!$E$20/12)+'Calc'!$B$6,IF(Calc!$Q$198&lt;='财富模型'!$E$11*12,'Calc'!$W$14,'Calc'!$Y$14))))))</x:f>
      </x:c>
      <x:c r="U198" t="str">
        <x:f>IF(Calc!$Q$198&gt;'Calc'!$B$8,"",IF('Calc'!$E$14=1,0,MIN(Calc!$S$197*(1+'财富模型'!$E$20/12)+'Calc'!$B$6,IF(Calc!$Q$198&lt;='财富模型'!$E$11*12,'Calc'!$W$14,'Calc'!$Y$14))))</x:f>
      </x:c>
      <x:c r="V198" t="str">
        <x:f>IF(Calc!$Q$198&gt;'Calc'!$B$8,"",'Calc'!$B$5-'财富模型'!$E$5-(IF('Calc'!$E$14=1,'财富模型'!$E$9,'财富模型'!$M$6+IF(Calc!$Q$198&lt;='财富模型'!$E$11*12,'Calc'!$W$14,'Calc'!$Y$14)-(IF('Calc'!$E$14=1,0,MIN(Calc!$S$197*(1+'财富模型'!$E$20/12)+'Calc'!$B$6,IF(Calc!$Q$198&lt;='财富模型'!$E$11*12,'Calc'!$W$14,'Calc'!$Y$14)))))))</x:f>
      </x:c>
      <x:c r="W198" t="str">
        <x:f>IF(Calc!$Q$198&gt;'Calc'!$B$8,"",IF('Calc'!$E$14=1,0,MAX(Calc!$W$197*(1+IF(Calc!$Q$198&lt;='财富模型'!$E$11*12,'财富模型'!$E$10,'财富模型'!$E$12)/12)-IF('Calc'!$E$14=1,0,IF(Calc!$Q$198&lt;='财富模型'!$E$11*12,'Calc'!$W$14,'Calc'!$Y$14)),0)))</x:f>
      </x:c>
      <x:c r="Y198" t="n">
        <x:v>177</x:v>
      </x:c>
      <x:c r="Z198" t="str">
        <x:f>IF(Calc!$Y$198&gt;'Calc'!$B$8,"",MAX(Calc!$Z$197*(1+'财富模型'!$E$6/12)+('Calc'!$B$5-'财富模型'!$E$5-(IF('Calc'!$E$15=1,'财富模型'!$E$9,'财富模型'!$M$7+IF(Calc!$Y$198&lt;='财富模型'!$E$11*12,'Calc'!$W$15,'Calc'!$Y$15)-(IF('Calc'!$E$15=1,0,MIN(Calc!$AA$197*(1+'财富模型'!$E$20/12)+'Calc'!$B$6,IF(Calc!$Y$198&lt;='财富模型'!$E$11*12,'Calc'!$W$15,'Calc'!$Y$15))))))),0))</x:f>
      </x:c>
      <x:c r="AA198" t="str">
        <x:f>IF(Calc!$Y$198&gt;'Calc'!$B$8,"",MAX(Calc!$AA$197*(1+'财富模型'!$E$20/12)+'Calc'!$B$6-(IF('Calc'!$E$15=1,0,MIN(Calc!$AA$197*(1+'财富模型'!$E$20/12)+'Calc'!$B$6,IF(Calc!$Y$198&lt;='财富模型'!$E$11*12,'Calc'!$W$15,'Calc'!$Y$15)))),0))</x:f>
      </x:c>
      <x:c r="AB198" t="str">
        <x:f>IF(Calc!$Y$198&gt;'Calc'!$B$8,"",IF('Calc'!$E$15=1,'财富模型'!$E$9,'财富模型'!$M$7+IF(Calc!$Y$198&lt;='财富模型'!$E$11*12,'Calc'!$W$15,'Calc'!$Y$15)-(IF('Calc'!$E$15=1,0,MIN(Calc!$AA$197*(1+'财富模型'!$E$20/12)+'Calc'!$B$6,IF(Calc!$Y$198&lt;='财富模型'!$E$11*12,'Calc'!$W$15,'Calc'!$Y$15))))))</x:f>
      </x:c>
      <x:c r="AC198" t="str">
        <x:f>IF(Calc!$Y$198&gt;'Calc'!$B$8,"",IF('Calc'!$E$15=1,0,MIN(Calc!$AA$197*(1+'财富模型'!$E$20/12)+'Calc'!$B$6,IF(Calc!$Y$198&lt;='财富模型'!$E$11*12,'Calc'!$W$15,'Calc'!$Y$15))))</x:f>
      </x:c>
      <x:c r="AD198" t="str">
        <x:f>IF(Calc!$Y$198&gt;'Calc'!$B$8,"",'Calc'!$B$5-'财富模型'!$E$5-(IF('Calc'!$E$15=1,'财富模型'!$E$9,'财富模型'!$M$7+IF(Calc!$Y$198&lt;='财富模型'!$E$11*12,'Calc'!$W$15,'Calc'!$Y$15)-(IF('Calc'!$E$15=1,0,MIN(Calc!$AA$197*(1+'财富模型'!$E$20/12)+'Calc'!$B$6,IF(Calc!$Y$198&lt;='财富模型'!$E$11*12,'Calc'!$W$15,'Calc'!$Y$15)))))))</x:f>
      </x:c>
      <x:c r="AE198" t="str">
        <x:f>IF(Calc!$Y$198&gt;'Calc'!$B$8,"",IF('Calc'!$E$15=1,0,MAX(Calc!$AE$197*(1+IF(Calc!$Y$198&lt;='财富模型'!$E$11*12,'财富模型'!$E$10,'财富模型'!$E$12)/12)-IF('Calc'!$E$15=1,0,IF(Calc!$Y$198&lt;='财富模型'!$E$11*12,'Calc'!$W$15,'Calc'!$Y$15)),0)))</x:f>
      </x:c>
      <x:c r="AG198" t="n">
        <x:v>177</x:v>
      </x:c>
      <x:c r="AH198" t="str">
        <x:f>IF(Calc!$AG$198&gt;'Calc'!$B$8,"",MAX(Calc!$AH$197*(1+'财富模型'!$E$6/12)+('Calc'!$B$5-'财富模型'!$E$5-(IF('Calc'!$E$16=1,'财富模型'!$E$9,'财富模型'!$M$8+IF(Calc!$AG$198&lt;='财富模型'!$E$11*12,'Calc'!$W$16,'Calc'!$Y$16)-(IF('Calc'!$E$16=1,0,MIN(Calc!$AI$197*(1+'财富模型'!$E$20/12)+'Calc'!$B$6,IF(Calc!$AG$198&lt;='财富模型'!$E$11*12,'Calc'!$W$16,'Calc'!$Y$16))))))),0))</x:f>
      </x:c>
      <x:c r="AI198" t="str">
        <x:f>IF(Calc!$AG$198&gt;'Calc'!$B$8,"",MAX(Calc!$AI$197*(1+'财富模型'!$E$20/12)+'Calc'!$B$6-(IF('Calc'!$E$16=1,0,MIN(Calc!$AI$197*(1+'财富模型'!$E$20/12)+'Calc'!$B$6,IF(Calc!$AG$198&lt;='财富模型'!$E$11*12,'Calc'!$W$16,'Calc'!$Y$16)))),0))</x:f>
      </x:c>
      <x:c r="AJ198" t="str">
        <x:f>IF(Calc!$AG$198&gt;'Calc'!$B$8,"",IF('Calc'!$E$16=1,'财富模型'!$E$9,'财富模型'!$M$8+IF(Calc!$AG$198&lt;='财富模型'!$E$11*12,'Calc'!$W$16,'Calc'!$Y$16)-(IF('Calc'!$E$16=1,0,MIN(Calc!$AI$197*(1+'财富模型'!$E$20/12)+'Calc'!$B$6,IF(Calc!$AG$198&lt;='财富模型'!$E$11*12,'Calc'!$W$16,'Calc'!$Y$16))))))</x:f>
      </x:c>
      <x:c r="AK198" t="str">
        <x:f>IF(Calc!$AG$198&gt;'Calc'!$B$8,"",IF('Calc'!$E$16=1,0,MIN(Calc!$AI$197*(1+'财富模型'!$E$20/12)+'Calc'!$B$6,IF(Calc!$AG$198&lt;='财富模型'!$E$11*12,'Calc'!$W$16,'Calc'!$Y$16))))</x:f>
      </x:c>
      <x:c r="AL198" t="str">
        <x:f>IF(Calc!$AG$198&gt;'Calc'!$B$8,"",'Calc'!$B$5-'财富模型'!$E$5-(IF('Calc'!$E$16=1,'财富模型'!$E$9,'财富模型'!$M$8+IF(Calc!$AG$198&lt;='财富模型'!$E$11*12,'Calc'!$W$16,'Calc'!$Y$16)-(IF('Calc'!$E$16=1,0,MIN(Calc!$AI$197*(1+'财富模型'!$E$20/12)+'Calc'!$B$6,IF(Calc!$AG$198&lt;='财富模型'!$E$11*12,'Calc'!$W$16,'Calc'!$Y$16)))))))</x:f>
      </x:c>
      <x:c r="AM198" t="str">
        <x:f>IF(Calc!$AG$198&gt;'Calc'!$B$8,"",IF('Calc'!$E$16=1,0,MAX(Calc!$AM$197*(1+IF(Calc!$AG$198&lt;='财富模型'!$E$11*12,'财富模型'!$E$10,'财富模型'!$E$12)/12)-IF('Calc'!$E$16=1,0,IF(Calc!$AG$198&lt;='财富模型'!$E$11*12,'Calc'!$W$16,'Calc'!$Y$16)),0)))</x:f>
      </x:c>
      <x:c r="AO198" t="n">
        <x:v>177</x:v>
      </x:c>
      <x:c r="AP198" t="str">
        <x:f>IF(Calc!$AO$198&gt;'Calc'!$B$8,"",MAX(Calc!$AP$197*(1+'财富模型'!$E$6/12)+('Calc'!$B$5-'财富模型'!$E$5-(IF('Calc'!$E$17=1,'财富模型'!$E$9,'财富模型'!$M$9+IF(Calc!$AO$198&lt;='财富模型'!$E$11*12,'Calc'!$W$17,'Calc'!$Y$17)-(IF('Calc'!$E$17=1,0,MIN(Calc!$AQ$197*(1+'财富模型'!$E$20/12)+'Calc'!$B$6,IF(Calc!$AO$198&lt;='财富模型'!$E$11*12,'Calc'!$W$17,'Calc'!$Y$17))))))),0))</x:f>
      </x:c>
      <x:c r="AQ198" t="str">
        <x:f>IF(Calc!$AO$198&gt;'Calc'!$B$8,"",MAX(Calc!$AQ$197*(1+'财富模型'!$E$20/12)+'Calc'!$B$6-(IF('Calc'!$E$17=1,0,MIN(Calc!$AQ$197*(1+'财富模型'!$E$20/12)+'Calc'!$B$6,IF(Calc!$AO$198&lt;='财富模型'!$E$11*12,'Calc'!$W$17,'Calc'!$Y$17)))),0))</x:f>
      </x:c>
      <x:c r="AR198" t="str">
        <x:f>IF(Calc!$AO$198&gt;'Calc'!$B$8,"",IF('Calc'!$E$17=1,'财富模型'!$E$9,'财富模型'!$M$9+IF(Calc!$AO$198&lt;='财富模型'!$E$11*12,'Calc'!$W$17,'Calc'!$Y$17)-(IF('Calc'!$E$17=1,0,MIN(Calc!$AQ$197*(1+'财富模型'!$E$20/12)+'Calc'!$B$6,IF(Calc!$AO$198&lt;='财富模型'!$E$11*12,'Calc'!$W$17,'Calc'!$Y$17))))))</x:f>
      </x:c>
      <x:c r="AS198" t="str">
        <x:f>IF(Calc!$AO$198&gt;'Calc'!$B$8,"",IF('Calc'!$E$17=1,0,MIN(Calc!$AQ$197*(1+'财富模型'!$E$20/12)+'Calc'!$B$6,IF(Calc!$AO$198&lt;='财富模型'!$E$11*12,'Calc'!$W$17,'Calc'!$Y$17))))</x:f>
      </x:c>
      <x:c r="AT198" t="str">
        <x:f>IF(Calc!$AO$198&gt;'Calc'!$B$8,"",'Calc'!$B$5-'财富模型'!$E$5-(IF('Calc'!$E$17=1,'财富模型'!$E$9,'财富模型'!$M$9+IF(Calc!$AO$198&lt;='财富模型'!$E$11*12,'Calc'!$W$17,'Calc'!$Y$17)-(IF('Calc'!$E$17=1,0,MIN(Calc!$AQ$197*(1+'财富模型'!$E$20/12)+'Calc'!$B$6,IF(Calc!$AO$198&lt;='财富模型'!$E$11*12,'Calc'!$W$17,'Calc'!$Y$17)))))))</x:f>
      </x:c>
      <x:c r="AU198" t="str">
        <x:f>IF(Calc!$AO$198&gt;'Calc'!$B$8,"",IF('Calc'!$E$17=1,0,MAX(Calc!$AU$197*(1+IF(Calc!$AO$198&lt;='财富模型'!$E$11*12,'财富模型'!$E$10,'财富模型'!$E$12)/12)-IF('Calc'!$E$17=1,0,IF(Calc!$AO$198&lt;='财富模型'!$E$11*12,'Calc'!$W$17,'Calc'!$Y$17)),0)))</x:f>
      </x:c>
    </x:row>
    <x:row r="199">
      <x:c r="A199" t="n">
        <x:v>178</x:v>
      </x:c>
      <x:c r="B199" t="str">
        <x:f>IF(Calc!$A$199&gt;'Calc'!$B$8,"",MAX(Calc!$B$198*(1+'财富模型'!$E$6/12)+('Calc'!$B$5-'财富模型'!$E$5-(IF('Calc'!$E$12=1,'财富模型'!$E$9,'财富模型'!$M$4+IF(Calc!$A$199&lt;='财富模型'!$E$11*12,'Calc'!$W$12,'Calc'!$Y$12)-(IF('Calc'!$E$12=1,0,MIN(Calc!$C$198*(1+'财富模型'!$E$20/12)+'Calc'!$B$6,IF(Calc!$A$199&lt;='财富模型'!$E$11*12,'Calc'!$W$12,'Calc'!$Y$12))))))),0))</x:f>
      </x:c>
      <x:c r="C199" t="str">
        <x:f>IF(Calc!$A$199&gt;'Calc'!$B$8,"",MAX(Calc!$C$198*(1+'财富模型'!$E$20/12)+'Calc'!$B$6-(IF('Calc'!$E$12=1,0,MIN(Calc!$C$198*(1+'财富模型'!$E$20/12)+'Calc'!$B$6,IF(Calc!$A$199&lt;='财富模型'!$E$11*12,'Calc'!$W$12,'Calc'!$Y$12)))),0))</x:f>
      </x:c>
      <x:c r="D199" t="str">
        <x:f>IF(Calc!$A$199&gt;'Calc'!$B$8,"",IF('Calc'!$E$12=1,'财富模型'!$E$9,'财富模型'!$M$4+IF(Calc!$A$199&lt;='财富模型'!$E$11*12,'Calc'!$W$12,'Calc'!$Y$12)-(IF('Calc'!$E$12=1,0,MIN(Calc!$C$198*(1+'财富模型'!$E$20/12)+'Calc'!$B$6,IF(Calc!$A$199&lt;='财富模型'!$E$11*12,'Calc'!$W$12,'Calc'!$Y$12))))))</x:f>
      </x:c>
      <x:c r="E199" t="str">
        <x:f>IF(Calc!$A$199&gt;'Calc'!$B$8,"",IF('Calc'!$E$12=1,0,MIN(Calc!$C$198*(1+'财富模型'!$E$20/12)+'Calc'!$B$6,IF(Calc!$A$199&lt;='财富模型'!$E$11*12,'Calc'!$W$12,'Calc'!$Y$12))))</x:f>
      </x:c>
      <x:c r="F199" t="str">
        <x:f>IF(Calc!$A$199&gt;'Calc'!$B$8,"",'Calc'!$B$5-'财富模型'!$E$5-(IF('Calc'!$E$12=1,'财富模型'!$E$9,'财富模型'!$M$4+IF(Calc!$A$199&lt;='财富模型'!$E$11*12,'Calc'!$W$12,'Calc'!$Y$12)-(IF('Calc'!$E$12=1,0,MIN(Calc!$C$198*(1+'财富模型'!$E$20/12)+'Calc'!$B$6,IF(Calc!$A$199&lt;='财富模型'!$E$11*12,'Calc'!$W$12,'Calc'!$Y$12)))))))</x:f>
      </x:c>
      <x:c r="G199" t="str">
        <x:f>IF(Calc!$A$199&gt;'Calc'!$B$8,"",IF('Calc'!$E$12=1,0,MAX(Calc!$G$198*(1+IF(Calc!$A$199&lt;='财富模型'!$E$11*12,'财富模型'!$E$10,'财富模型'!$E$12)/12)-IF('Calc'!$E$12=1,0,IF(Calc!$A$199&lt;='财富模型'!$E$11*12,'Calc'!$W$12,'Calc'!$Y$12)),0)))</x:f>
      </x:c>
      <x:c r="I199" t="n">
        <x:v>178</x:v>
      </x:c>
      <x:c r="J199" t="str">
        <x:f>IF(Calc!$I$199&gt;'Calc'!$B$8,"",MAX(Calc!$J$198*(1+'财富模型'!$E$6/12)+('Calc'!$B$5-'财富模型'!$E$5-(IF('Calc'!$E$13=1,'财富模型'!$E$9,'财富模型'!$M$5+IF(Calc!$I$199&lt;='财富模型'!$E$11*12,'Calc'!$W$13,'Calc'!$Y$13)-(IF('Calc'!$E$13=1,0,MIN(Calc!$K$198*(1+'财富模型'!$E$20/12)+'Calc'!$B$6,IF(Calc!$I$199&lt;='财富模型'!$E$11*12,'Calc'!$W$13,'Calc'!$Y$13))))))),0))</x:f>
      </x:c>
      <x:c r="K199" t="str">
        <x:f>IF(Calc!$I$199&gt;'Calc'!$B$8,"",MAX(Calc!$K$198*(1+'财富模型'!$E$20/12)+'Calc'!$B$6-(IF('Calc'!$E$13=1,0,MIN(Calc!$K$198*(1+'财富模型'!$E$20/12)+'Calc'!$B$6,IF(Calc!$I$199&lt;='财富模型'!$E$11*12,'Calc'!$W$13,'Calc'!$Y$13)))),0))</x:f>
      </x:c>
      <x:c r="L199" t="str">
        <x:f>IF(Calc!$I$199&gt;'Calc'!$B$8,"",IF('Calc'!$E$13=1,'财富模型'!$E$9,'财富模型'!$M$5+IF(Calc!$I$199&lt;='财富模型'!$E$11*12,'Calc'!$W$13,'Calc'!$Y$13)-(IF('Calc'!$E$13=1,0,MIN(Calc!$K$198*(1+'财富模型'!$E$20/12)+'Calc'!$B$6,IF(Calc!$I$199&lt;='财富模型'!$E$11*12,'Calc'!$W$13,'Calc'!$Y$13))))))</x:f>
      </x:c>
      <x:c r="M199" t="str">
        <x:f>IF(Calc!$I$199&gt;'Calc'!$B$8,"",IF('Calc'!$E$13=1,0,MIN(Calc!$K$198*(1+'财富模型'!$E$20/12)+'Calc'!$B$6,IF(Calc!$I$199&lt;='财富模型'!$E$11*12,'Calc'!$W$13,'Calc'!$Y$13))))</x:f>
      </x:c>
      <x:c r="N199" t="str">
        <x:f>IF(Calc!$I$199&gt;'Calc'!$B$8,"",'Calc'!$B$5-'财富模型'!$E$5-(IF('Calc'!$E$13=1,'财富模型'!$E$9,'财富模型'!$M$5+IF(Calc!$I$199&lt;='财富模型'!$E$11*12,'Calc'!$W$13,'Calc'!$Y$13)-(IF('Calc'!$E$13=1,0,MIN(Calc!$K$198*(1+'财富模型'!$E$20/12)+'Calc'!$B$6,IF(Calc!$I$199&lt;='财富模型'!$E$11*12,'Calc'!$W$13,'Calc'!$Y$13)))))))</x:f>
      </x:c>
      <x:c r="O199" t="str">
        <x:f>IF(Calc!$I$199&gt;'Calc'!$B$8,"",IF('Calc'!$E$13=1,0,MAX(Calc!$O$198*(1+IF(Calc!$I$199&lt;='财富模型'!$E$11*12,'财富模型'!$E$10,'财富模型'!$E$12)/12)-IF('Calc'!$E$13=1,0,IF(Calc!$I$199&lt;='财富模型'!$E$11*12,'Calc'!$W$13,'Calc'!$Y$13)),0)))</x:f>
      </x:c>
      <x:c r="Q199" t="n">
        <x:v>178</x:v>
      </x:c>
      <x:c r="R199" t="str">
        <x:f>IF(Calc!$Q$199&gt;'Calc'!$B$8,"",MAX(Calc!$R$198*(1+'财富模型'!$E$6/12)+('Calc'!$B$5-'财富模型'!$E$5-(IF('Calc'!$E$14=1,'财富模型'!$E$9,'财富模型'!$M$6+IF(Calc!$Q$199&lt;='财富模型'!$E$11*12,'Calc'!$W$14,'Calc'!$Y$14)-(IF('Calc'!$E$14=1,0,MIN(Calc!$S$198*(1+'财富模型'!$E$20/12)+'Calc'!$B$6,IF(Calc!$Q$199&lt;='财富模型'!$E$11*12,'Calc'!$W$14,'Calc'!$Y$14))))))),0))</x:f>
      </x:c>
      <x:c r="S199" t="str">
        <x:f>IF(Calc!$Q$199&gt;'Calc'!$B$8,"",MAX(Calc!$S$198*(1+'财富模型'!$E$20/12)+'Calc'!$B$6-(IF('Calc'!$E$14=1,0,MIN(Calc!$S$198*(1+'财富模型'!$E$20/12)+'Calc'!$B$6,IF(Calc!$Q$199&lt;='财富模型'!$E$11*12,'Calc'!$W$14,'Calc'!$Y$14)))),0))</x:f>
      </x:c>
      <x:c r="T199" t="str">
        <x:f>IF(Calc!$Q$199&gt;'Calc'!$B$8,"",IF('Calc'!$E$14=1,'财富模型'!$E$9,'财富模型'!$M$6+IF(Calc!$Q$199&lt;='财富模型'!$E$11*12,'Calc'!$W$14,'Calc'!$Y$14)-(IF('Calc'!$E$14=1,0,MIN(Calc!$S$198*(1+'财富模型'!$E$20/12)+'Calc'!$B$6,IF(Calc!$Q$199&lt;='财富模型'!$E$11*12,'Calc'!$W$14,'Calc'!$Y$14))))))</x:f>
      </x:c>
      <x:c r="U199" t="str">
        <x:f>IF(Calc!$Q$199&gt;'Calc'!$B$8,"",IF('Calc'!$E$14=1,0,MIN(Calc!$S$198*(1+'财富模型'!$E$20/12)+'Calc'!$B$6,IF(Calc!$Q$199&lt;='财富模型'!$E$11*12,'Calc'!$W$14,'Calc'!$Y$14))))</x:f>
      </x:c>
      <x:c r="V199" t="str">
        <x:f>IF(Calc!$Q$199&gt;'Calc'!$B$8,"",'Calc'!$B$5-'财富模型'!$E$5-(IF('Calc'!$E$14=1,'财富模型'!$E$9,'财富模型'!$M$6+IF(Calc!$Q$199&lt;='财富模型'!$E$11*12,'Calc'!$W$14,'Calc'!$Y$14)-(IF('Calc'!$E$14=1,0,MIN(Calc!$S$198*(1+'财富模型'!$E$20/12)+'Calc'!$B$6,IF(Calc!$Q$199&lt;='财富模型'!$E$11*12,'Calc'!$W$14,'Calc'!$Y$14)))))))</x:f>
      </x:c>
      <x:c r="W199" t="str">
        <x:f>IF(Calc!$Q$199&gt;'Calc'!$B$8,"",IF('Calc'!$E$14=1,0,MAX(Calc!$W$198*(1+IF(Calc!$Q$199&lt;='财富模型'!$E$11*12,'财富模型'!$E$10,'财富模型'!$E$12)/12)-IF('Calc'!$E$14=1,0,IF(Calc!$Q$199&lt;='财富模型'!$E$11*12,'Calc'!$W$14,'Calc'!$Y$14)),0)))</x:f>
      </x:c>
      <x:c r="Y199" t="n">
        <x:v>178</x:v>
      </x:c>
      <x:c r="Z199" t="str">
        <x:f>IF(Calc!$Y$199&gt;'Calc'!$B$8,"",MAX(Calc!$Z$198*(1+'财富模型'!$E$6/12)+('Calc'!$B$5-'财富模型'!$E$5-(IF('Calc'!$E$15=1,'财富模型'!$E$9,'财富模型'!$M$7+IF(Calc!$Y$199&lt;='财富模型'!$E$11*12,'Calc'!$W$15,'Calc'!$Y$15)-(IF('Calc'!$E$15=1,0,MIN(Calc!$AA$198*(1+'财富模型'!$E$20/12)+'Calc'!$B$6,IF(Calc!$Y$199&lt;='财富模型'!$E$11*12,'Calc'!$W$15,'Calc'!$Y$15))))))),0))</x:f>
      </x:c>
      <x:c r="AA199" t="str">
        <x:f>IF(Calc!$Y$199&gt;'Calc'!$B$8,"",MAX(Calc!$AA$198*(1+'财富模型'!$E$20/12)+'Calc'!$B$6-(IF('Calc'!$E$15=1,0,MIN(Calc!$AA$198*(1+'财富模型'!$E$20/12)+'Calc'!$B$6,IF(Calc!$Y$199&lt;='财富模型'!$E$11*12,'Calc'!$W$15,'Calc'!$Y$15)))),0))</x:f>
      </x:c>
      <x:c r="AB199" t="str">
        <x:f>IF(Calc!$Y$199&gt;'Calc'!$B$8,"",IF('Calc'!$E$15=1,'财富模型'!$E$9,'财富模型'!$M$7+IF(Calc!$Y$199&lt;='财富模型'!$E$11*12,'Calc'!$W$15,'Calc'!$Y$15)-(IF('Calc'!$E$15=1,0,MIN(Calc!$AA$198*(1+'财富模型'!$E$20/12)+'Calc'!$B$6,IF(Calc!$Y$199&lt;='财富模型'!$E$11*12,'Calc'!$W$15,'Calc'!$Y$15))))))</x:f>
      </x:c>
      <x:c r="AC199" t="str">
        <x:f>IF(Calc!$Y$199&gt;'Calc'!$B$8,"",IF('Calc'!$E$15=1,0,MIN(Calc!$AA$198*(1+'财富模型'!$E$20/12)+'Calc'!$B$6,IF(Calc!$Y$199&lt;='财富模型'!$E$11*12,'Calc'!$W$15,'Calc'!$Y$15))))</x:f>
      </x:c>
      <x:c r="AD199" t="str">
        <x:f>IF(Calc!$Y$199&gt;'Calc'!$B$8,"",'Calc'!$B$5-'财富模型'!$E$5-(IF('Calc'!$E$15=1,'财富模型'!$E$9,'财富模型'!$M$7+IF(Calc!$Y$199&lt;='财富模型'!$E$11*12,'Calc'!$W$15,'Calc'!$Y$15)-(IF('Calc'!$E$15=1,0,MIN(Calc!$AA$198*(1+'财富模型'!$E$20/12)+'Calc'!$B$6,IF(Calc!$Y$199&lt;='财富模型'!$E$11*12,'Calc'!$W$15,'Calc'!$Y$15)))))))</x:f>
      </x:c>
      <x:c r="AE199" t="str">
        <x:f>IF(Calc!$Y$199&gt;'Calc'!$B$8,"",IF('Calc'!$E$15=1,0,MAX(Calc!$AE$198*(1+IF(Calc!$Y$199&lt;='财富模型'!$E$11*12,'财富模型'!$E$10,'财富模型'!$E$12)/12)-IF('Calc'!$E$15=1,0,IF(Calc!$Y$199&lt;='财富模型'!$E$11*12,'Calc'!$W$15,'Calc'!$Y$15)),0)))</x:f>
      </x:c>
      <x:c r="AG199" t="n">
        <x:v>178</x:v>
      </x:c>
      <x:c r="AH199" t="str">
        <x:f>IF(Calc!$AG$199&gt;'Calc'!$B$8,"",MAX(Calc!$AH$198*(1+'财富模型'!$E$6/12)+('Calc'!$B$5-'财富模型'!$E$5-(IF('Calc'!$E$16=1,'财富模型'!$E$9,'财富模型'!$M$8+IF(Calc!$AG$199&lt;='财富模型'!$E$11*12,'Calc'!$W$16,'Calc'!$Y$16)-(IF('Calc'!$E$16=1,0,MIN(Calc!$AI$198*(1+'财富模型'!$E$20/12)+'Calc'!$B$6,IF(Calc!$AG$199&lt;='财富模型'!$E$11*12,'Calc'!$W$16,'Calc'!$Y$16))))))),0))</x:f>
      </x:c>
      <x:c r="AI199" t="str">
        <x:f>IF(Calc!$AG$199&gt;'Calc'!$B$8,"",MAX(Calc!$AI$198*(1+'财富模型'!$E$20/12)+'Calc'!$B$6-(IF('Calc'!$E$16=1,0,MIN(Calc!$AI$198*(1+'财富模型'!$E$20/12)+'Calc'!$B$6,IF(Calc!$AG$199&lt;='财富模型'!$E$11*12,'Calc'!$W$16,'Calc'!$Y$16)))),0))</x:f>
      </x:c>
      <x:c r="AJ199" t="str">
        <x:f>IF(Calc!$AG$199&gt;'Calc'!$B$8,"",IF('Calc'!$E$16=1,'财富模型'!$E$9,'财富模型'!$M$8+IF(Calc!$AG$199&lt;='财富模型'!$E$11*12,'Calc'!$W$16,'Calc'!$Y$16)-(IF('Calc'!$E$16=1,0,MIN(Calc!$AI$198*(1+'财富模型'!$E$20/12)+'Calc'!$B$6,IF(Calc!$AG$199&lt;='财富模型'!$E$11*12,'Calc'!$W$16,'Calc'!$Y$16))))))</x:f>
      </x:c>
      <x:c r="AK199" t="str">
        <x:f>IF(Calc!$AG$199&gt;'Calc'!$B$8,"",IF('Calc'!$E$16=1,0,MIN(Calc!$AI$198*(1+'财富模型'!$E$20/12)+'Calc'!$B$6,IF(Calc!$AG$199&lt;='财富模型'!$E$11*12,'Calc'!$W$16,'Calc'!$Y$16))))</x:f>
      </x:c>
      <x:c r="AL199" t="str">
        <x:f>IF(Calc!$AG$199&gt;'Calc'!$B$8,"",'Calc'!$B$5-'财富模型'!$E$5-(IF('Calc'!$E$16=1,'财富模型'!$E$9,'财富模型'!$M$8+IF(Calc!$AG$199&lt;='财富模型'!$E$11*12,'Calc'!$W$16,'Calc'!$Y$16)-(IF('Calc'!$E$16=1,0,MIN(Calc!$AI$198*(1+'财富模型'!$E$20/12)+'Calc'!$B$6,IF(Calc!$AG$199&lt;='财富模型'!$E$11*12,'Calc'!$W$16,'Calc'!$Y$16)))))))</x:f>
      </x:c>
      <x:c r="AM199" t="str">
        <x:f>IF(Calc!$AG$199&gt;'Calc'!$B$8,"",IF('Calc'!$E$16=1,0,MAX(Calc!$AM$198*(1+IF(Calc!$AG$199&lt;='财富模型'!$E$11*12,'财富模型'!$E$10,'财富模型'!$E$12)/12)-IF('Calc'!$E$16=1,0,IF(Calc!$AG$199&lt;='财富模型'!$E$11*12,'Calc'!$W$16,'Calc'!$Y$16)),0)))</x:f>
      </x:c>
      <x:c r="AO199" t="n">
        <x:v>178</x:v>
      </x:c>
      <x:c r="AP199" t="str">
        <x:f>IF(Calc!$AO$199&gt;'Calc'!$B$8,"",MAX(Calc!$AP$198*(1+'财富模型'!$E$6/12)+('Calc'!$B$5-'财富模型'!$E$5-(IF('Calc'!$E$17=1,'财富模型'!$E$9,'财富模型'!$M$9+IF(Calc!$AO$199&lt;='财富模型'!$E$11*12,'Calc'!$W$17,'Calc'!$Y$17)-(IF('Calc'!$E$17=1,0,MIN(Calc!$AQ$198*(1+'财富模型'!$E$20/12)+'Calc'!$B$6,IF(Calc!$AO$199&lt;='财富模型'!$E$11*12,'Calc'!$W$17,'Calc'!$Y$17))))))),0))</x:f>
      </x:c>
      <x:c r="AQ199" t="str">
        <x:f>IF(Calc!$AO$199&gt;'Calc'!$B$8,"",MAX(Calc!$AQ$198*(1+'财富模型'!$E$20/12)+'Calc'!$B$6-(IF('Calc'!$E$17=1,0,MIN(Calc!$AQ$198*(1+'财富模型'!$E$20/12)+'Calc'!$B$6,IF(Calc!$AO$199&lt;='财富模型'!$E$11*12,'Calc'!$W$17,'Calc'!$Y$17)))),0))</x:f>
      </x:c>
      <x:c r="AR199" t="str">
        <x:f>IF(Calc!$AO$199&gt;'Calc'!$B$8,"",IF('Calc'!$E$17=1,'财富模型'!$E$9,'财富模型'!$M$9+IF(Calc!$AO$199&lt;='财富模型'!$E$11*12,'Calc'!$W$17,'Calc'!$Y$17)-(IF('Calc'!$E$17=1,0,MIN(Calc!$AQ$198*(1+'财富模型'!$E$20/12)+'Calc'!$B$6,IF(Calc!$AO$199&lt;='财富模型'!$E$11*12,'Calc'!$W$17,'Calc'!$Y$17))))))</x:f>
      </x:c>
      <x:c r="AS199" t="str">
        <x:f>IF(Calc!$AO$199&gt;'Calc'!$B$8,"",IF('Calc'!$E$17=1,0,MIN(Calc!$AQ$198*(1+'财富模型'!$E$20/12)+'Calc'!$B$6,IF(Calc!$AO$199&lt;='财富模型'!$E$11*12,'Calc'!$W$17,'Calc'!$Y$17))))</x:f>
      </x:c>
      <x:c r="AT199" t="str">
        <x:f>IF(Calc!$AO$199&gt;'Calc'!$B$8,"",'Calc'!$B$5-'财富模型'!$E$5-(IF('Calc'!$E$17=1,'财富模型'!$E$9,'财富模型'!$M$9+IF(Calc!$AO$199&lt;='财富模型'!$E$11*12,'Calc'!$W$17,'Calc'!$Y$17)-(IF('Calc'!$E$17=1,0,MIN(Calc!$AQ$198*(1+'财富模型'!$E$20/12)+'Calc'!$B$6,IF(Calc!$AO$199&lt;='财富模型'!$E$11*12,'Calc'!$W$17,'Calc'!$Y$17)))))))</x:f>
      </x:c>
      <x:c r="AU199" t="str">
        <x:f>IF(Calc!$AO$199&gt;'Calc'!$B$8,"",IF('Calc'!$E$17=1,0,MAX(Calc!$AU$198*(1+IF(Calc!$AO$199&lt;='财富模型'!$E$11*12,'财富模型'!$E$10,'财富模型'!$E$12)/12)-IF('Calc'!$E$17=1,0,IF(Calc!$AO$199&lt;='财富模型'!$E$11*12,'Calc'!$W$17,'Calc'!$Y$17)),0)))</x:f>
      </x:c>
    </x:row>
    <x:row r="200">
      <x:c r="A200" t="n">
        <x:v>179</x:v>
      </x:c>
      <x:c r="B200" t="str">
        <x:f>IF(Calc!$A$200&gt;'Calc'!$B$8,"",MAX(Calc!$B$199*(1+'财富模型'!$E$6/12)+('Calc'!$B$5-'财富模型'!$E$5-(IF('Calc'!$E$12=1,'财富模型'!$E$9,'财富模型'!$M$4+IF(Calc!$A$200&lt;='财富模型'!$E$11*12,'Calc'!$W$12,'Calc'!$Y$12)-(IF('Calc'!$E$12=1,0,MIN(Calc!$C$199*(1+'财富模型'!$E$20/12)+'Calc'!$B$6,IF(Calc!$A$200&lt;='财富模型'!$E$11*12,'Calc'!$W$12,'Calc'!$Y$12))))))),0))</x:f>
      </x:c>
      <x:c r="C200" t="str">
        <x:f>IF(Calc!$A$200&gt;'Calc'!$B$8,"",MAX(Calc!$C$199*(1+'财富模型'!$E$20/12)+'Calc'!$B$6-(IF('Calc'!$E$12=1,0,MIN(Calc!$C$199*(1+'财富模型'!$E$20/12)+'Calc'!$B$6,IF(Calc!$A$200&lt;='财富模型'!$E$11*12,'Calc'!$W$12,'Calc'!$Y$12)))),0))</x:f>
      </x:c>
      <x:c r="D200" t="str">
        <x:f>IF(Calc!$A$200&gt;'Calc'!$B$8,"",IF('Calc'!$E$12=1,'财富模型'!$E$9,'财富模型'!$M$4+IF(Calc!$A$200&lt;='财富模型'!$E$11*12,'Calc'!$W$12,'Calc'!$Y$12)-(IF('Calc'!$E$12=1,0,MIN(Calc!$C$199*(1+'财富模型'!$E$20/12)+'Calc'!$B$6,IF(Calc!$A$200&lt;='财富模型'!$E$11*12,'Calc'!$W$12,'Calc'!$Y$12))))))</x:f>
      </x:c>
      <x:c r="E200" t="str">
        <x:f>IF(Calc!$A$200&gt;'Calc'!$B$8,"",IF('Calc'!$E$12=1,0,MIN(Calc!$C$199*(1+'财富模型'!$E$20/12)+'Calc'!$B$6,IF(Calc!$A$200&lt;='财富模型'!$E$11*12,'Calc'!$W$12,'Calc'!$Y$12))))</x:f>
      </x:c>
      <x:c r="F200" t="str">
        <x:f>IF(Calc!$A$200&gt;'Calc'!$B$8,"",'Calc'!$B$5-'财富模型'!$E$5-(IF('Calc'!$E$12=1,'财富模型'!$E$9,'财富模型'!$M$4+IF(Calc!$A$200&lt;='财富模型'!$E$11*12,'Calc'!$W$12,'Calc'!$Y$12)-(IF('Calc'!$E$12=1,0,MIN(Calc!$C$199*(1+'财富模型'!$E$20/12)+'Calc'!$B$6,IF(Calc!$A$200&lt;='财富模型'!$E$11*12,'Calc'!$W$12,'Calc'!$Y$12)))))))</x:f>
      </x:c>
      <x:c r="G200" t="str">
        <x:f>IF(Calc!$A$200&gt;'Calc'!$B$8,"",IF('Calc'!$E$12=1,0,MAX(Calc!$G$199*(1+IF(Calc!$A$200&lt;='财富模型'!$E$11*12,'财富模型'!$E$10,'财富模型'!$E$12)/12)-IF('Calc'!$E$12=1,0,IF(Calc!$A$200&lt;='财富模型'!$E$11*12,'Calc'!$W$12,'Calc'!$Y$12)),0)))</x:f>
      </x:c>
      <x:c r="I200" t="n">
        <x:v>179</x:v>
      </x:c>
      <x:c r="J200" t="str">
        <x:f>IF(Calc!$I$200&gt;'Calc'!$B$8,"",MAX(Calc!$J$199*(1+'财富模型'!$E$6/12)+('Calc'!$B$5-'财富模型'!$E$5-(IF('Calc'!$E$13=1,'财富模型'!$E$9,'财富模型'!$M$5+IF(Calc!$I$200&lt;='财富模型'!$E$11*12,'Calc'!$W$13,'Calc'!$Y$13)-(IF('Calc'!$E$13=1,0,MIN(Calc!$K$199*(1+'财富模型'!$E$20/12)+'Calc'!$B$6,IF(Calc!$I$200&lt;='财富模型'!$E$11*12,'Calc'!$W$13,'Calc'!$Y$13))))))),0))</x:f>
      </x:c>
      <x:c r="K200" t="str">
        <x:f>IF(Calc!$I$200&gt;'Calc'!$B$8,"",MAX(Calc!$K$199*(1+'财富模型'!$E$20/12)+'Calc'!$B$6-(IF('Calc'!$E$13=1,0,MIN(Calc!$K$199*(1+'财富模型'!$E$20/12)+'Calc'!$B$6,IF(Calc!$I$200&lt;='财富模型'!$E$11*12,'Calc'!$W$13,'Calc'!$Y$13)))),0))</x:f>
      </x:c>
      <x:c r="L200" t="str">
        <x:f>IF(Calc!$I$200&gt;'Calc'!$B$8,"",IF('Calc'!$E$13=1,'财富模型'!$E$9,'财富模型'!$M$5+IF(Calc!$I$200&lt;='财富模型'!$E$11*12,'Calc'!$W$13,'Calc'!$Y$13)-(IF('Calc'!$E$13=1,0,MIN(Calc!$K$199*(1+'财富模型'!$E$20/12)+'Calc'!$B$6,IF(Calc!$I$200&lt;='财富模型'!$E$11*12,'Calc'!$W$13,'Calc'!$Y$13))))))</x:f>
      </x:c>
      <x:c r="M200" t="str">
        <x:f>IF(Calc!$I$200&gt;'Calc'!$B$8,"",IF('Calc'!$E$13=1,0,MIN(Calc!$K$199*(1+'财富模型'!$E$20/12)+'Calc'!$B$6,IF(Calc!$I$200&lt;='财富模型'!$E$11*12,'Calc'!$W$13,'Calc'!$Y$13))))</x:f>
      </x:c>
      <x:c r="N200" t="str">
        <x:f>IF(Calc!$I$200&gt;'Calc'!$B$8,"",'Calc'!$B$5-'财富模型'!$E$5-(IF('Calc'!$E$13=1,'财富模型'!$E$9,'财富模型'!$M$5+IF(Calc!$I$200&lt;='财富模型'!$E$11*12,'Calc'!$W$13,'Calc'!$Y$13)-(IF('Calc'!$E$13=1,0,MIN(Calc!$K$199*(1+'财富模型'!$E$20/12)+'Calc'!$B$6,IF(Calc!$I$200&lt;='财富模型'!$E$11*12,'Calc'!$W$13,'Calc'!$Y$13)))))))</x:f>
      </x:c>
      <x:c r="O200" t="str">
        <x:f>IF(Calc!$I$200&gt;'Calc'!$B$8,"",IF('Calc'!$E$13=1,0,MAX(Calc!$O$199*(1+IF(Calc!$I$200&lt;='财富模型'!$E$11*12,'财富模型'!$E$10,'财富模型'!$E$12)/12)-IF('Calc'!$E$13=1,0,IF(Calc!$I$200&lt;='财富模型'!$E$11*12,'Calc'!$W$13,'Calc'!$Y$13)),0)))</x:f>
      </x:c>
      <x:c r="Q200" t="n">
        <x:v>179</x:v>
      </x:c>
      <x:c r="R200" t="str">
        <x:f>IF(Calc!$Q$200&gt;'Calc'!$B$8,"",MAX(Calc!$R$199*(1+'财富模型'!$E$6/12)+('Calc'!$B$5-'财富模型'!$E$5-(IF('Calc'!$E$14=1,'财富模型'!$E$9,'财富模型'!$M$6+IF(Calc!$Q$200&lt;='财富模型'!$E$11*12,'Calc'!$W$14,'Calc'!$Y$14)-(IF('Calc'!$E$14=1,0,MIN(Calc!$S$199*(1+'财富模型'!$E$20/12)+'Calc'!$B$6,IF(Calc!$Q$200&lt;='财富模型'!$E$11*12,'Calc'!$W$14,'Calc'!$Y$14))))))),0))</x:f>
      </x:c>
      <x:c r="S200" t="str">
        <x:f>IF(Calc!$Q$200&gt;'Calc'!$B$8,"",MAX(Calc!$S$199*(1+'财富模型'!$E$20/12)+'Calc'!$B$6-(IF('Calc'!$E$14=1,0,MIN(Calc!$S$199*(1+'财富模型'!$E$20/12)+'Calc'!$B$6,IF(Calc!$Q$200&lt;='财富模型'!$E$11*12,'Calc'!$W$14,'Calc'!$Y$14)))),0))</x:f>
      </x:c>
      <x:c r="T200" t="str">
        <x:f>IF(Calc!$Q$200&gt;'Calc'!$B$8,"",IF('Calc'!$E$14=1,'财富模型'!$E$9,'财富模型'!$M$6+IF(Calc!$Q$200&lt;='财富模型'!$E$11*12,'Calc'!$W$14,'Calc'!$Y$14)-(IF('Calc'!$E$14=1,0,MIN(Calc!$S$199*(1+'财富模型'!$E$20/12)+'Calc'!$B$6,IF(Calc!$Q$200&lt;='财富模型'!$E$11*12,'Calc'!$W$14,'Calc'!$Y$14))))))</x:f>
      </x:c>
      <x:c r="U200" t="str">
        <x:f>IF(Calc!$Q$200&gt;'Calc'!$B$8,"",IF('Calc'!$E$14=1,0,MIN(Calc!$S$199*(1+'财富模型'!$E$20/12)+'Calc'!$B$6,IF(Calc!$Q$200&lt;='财富模型'!$E$11*12,'Calc'!$W$14,'Calc'!$Y$14))))</x:f>
      </x:c>
      <x:c r="V200" t="str">
        <x:f>IF(Calc!$Q$200&gt;'Calc'!$B$8,"",'Calc'!$B$5-'财富模型'!$E$5-(IF('Calc'!$E$14=1,'财富模型'!$E$9,'财富模型'!$M$6+IF(Calc!$Q$200&lt;='财富模型'!$E$11*12,'Calc'!$W$14,'Calc'!$Y$14)-(IF('Calc'!$E$14=1,0,MIN(Calc!$S$199*(1+'财富模型'!$E$20/12)+'Calc'!$B$6,IF(Calc!$Q$200&lt;='财富模型'!$E$11*12,'Calc'!$W$14,'Calc'!$Y$14)))))))</x:f>
      </x:c>
      <x:c r="W200" t="str">
        <x:f>IF(Calc!$Q$200&gt;'Calc'!$B$8,"",IF('Calc'!$E$14=1,0,MAX(Calc!$W$199*(1+IF(Calc!$Q$200&lt;='财富模型'!$E$11*12,'财富模型'!$E$10,'财富模型'!$E$12)/12)-IF('Calc'!$E$14=1,0,IF(Calc!$Q$200&lt;='财富模型'!$E$11*12,'Calc'!$W$14,'Calc'!$Y$14)),0)))</x:f>
      </x:c>
      <x:c r="Y200" t="n">
        <x:v>179</x:v>
      </x:c>
      <x:c r="Z200" t="str">
        <x:f>IF(Calc!$Y$200&gt;'Calc'!$B$8,"",MAX(Calc!$Z$199*(1+'财富模型'!$E$6/12)+('Calc'!$B$5-'财富模型'!$E$5-(IF('Calc'!$E$15=1,'财富模型'!$E$9,'财富模型'!$M$7+IF(Calc!$Y$200&lt;='财富模型'!$E$11*12,'Calc'!$W$15,'Calc'!$Y$15)-(IF('Calc'!$E$15=1,0,MIN(Calc!$AA$199*(1+'财富模型'!$E$20/12)+'Calc'!$B$6,IF(Calc!$Y$200&lt;='财富模型'!$E$11*12,'Calc'!$W$15,'Calc'!$Y$15))))))),0))</x:f>
      </x:c>
      <x:c r="AA200" t="str">
        <x:f>IF(Calc!$Y$200&gt;'Calc'!$B$8,"",MAX(Calc!$AA$199*(1+'财富模型'!$E$20/12)+'Calc'!$B$6-(IF('Calc'!$E$15=1,0,MIN(Calc!$AA$199*(1+'财富模型'!$E$20/12)+'Calc'!$B$6,IF(Calc!$Y$200&lt;='财富模型'!$E$11*12,'Calc'!$W$15,'Calc'!$Y$15)))),0))</x:f>
      </x:c>
      <x:c r="AB200" t="str">
        <x:f>IF(Calc!$Y$200&gt;'Calc'!$B$8,"",IF('Calc'!$E$15=1,'财富模型'!$E$9,'财富模型'!$M$7+IF(Calc!$Y$200&lt;='财富模型'!$E$11*12,'Calc'!$W$15,'Calc'!$Y$15)-(IF('Calc'!$E$15=1,0,MIN(Calc!$AA$199*(1+'财富模型'!$E$20/12)+'Calc'!$B$6,IF(Calc!$Y$200&lt;='财富模型'!$E$11*12,'Calc'!$W$15,'Calc'!$Y$15))))))</x:f>
      </x:c>
      <x:c r="AC200" t="str">
        <x:f>IF(Calc!$Y$200&gt;'Calc'!$B$8,"",IF('Calc'!$E$15=1,0,MIN(Calc!$AA$199*(1+'财富模型'!$E$20/12)+'Calc'!$B$6,IF(Calc!$Y$200&lt;='财富模型'!$E$11*12,'Calc'!$W$15,'Calc'!$Y$15))))</x:f>
      </x:c>
      <x:c r="AD200" t="str">
        <x:f>IF(Calc!$Y$200&gt;'Calc'!$B$8,"",'Calc'!$B$5-'财富模型'!$E$5-(IF('Calc'!$E$15=1,'财富模型'!$E$9,'财富模型'!$M$7+IF(Calc!$Y$200&lt;='财富模型'!$E$11*12,'Calc'!$W$15,'Calc'!$Y$15)-(IF('Calc'!$E$15=1,0,MIN(Calc!$AA$199*(1+'财富模型'!$E$20/12)+'Calc'!$B$6,IF(Calc!$Y$200&lt;='财富模型'!$E$11*12,'Calc'!$W$15,'Calc'!$Y$15)))))))</x:f>
      </x:c>
      <x:c r="AE200" t="str">
        <x:f>IF(Calc!$Y$200&gt;'Calc'!$B$8,"",IF('Calc'!$E$15=1,0,MAX(Calc!$AE$199*(1+IF(Calc!$Y$200&lt;='财富模型'!$E$11*12,'财富模型'!$E$10,'财富模型'!$E$12)/12)-IF('Calc'!$E$15=1,0,IF(Calc!$Y$200&lt;='财富模型'!$E$11*12,'Calc'!$W$15,'Calc'!$Y$15)),0)))</x:f>
      </x:c>
      <x:c r="AG200" t="n">
        <x:v>179</x:v>
      </x:c>
      <x:c r="AH200" t="str">
        <x:f>IF(Calc!$AG$200&gt;'Calc'!$B$8,"",MAX(Calc!$AH$199*(1+'财富模型'!$E$6/12)+('Calc'!$B$5-'财富模型'!$E$5-(IF('Calc'!$E$16=1,'财富模型'!$E$9,'财富模型'!$M$8+IF(Calc!$AG$200&lt;='财富模型'!$E$11*12,'Calc'!$W$16,'Calc'!$Y$16)-(IF('Calc'!$E$16=1,0,MIN(Calc!$AI$199*(1+'财富模型'!$E$20/12)+'Calc'!$B$6,IF(Calc!$AG$200&lt;='财富模型'!$E$11*12,'Calc'!$W$16,'Calc'!$Y$16))))))),0))</x:f>
      </x:c>
      <x:c r="AI200" t="str">
        <x:f>IF(Calc!$AG$200&gt;'Calc'!$B$8,"",MAX(Calc!$AI$199*(1+'财富模型'!$E$20/12)+'Calc'!$B$6-(IF('Calc'!$E$16=1,0,MIN(Calc!$AI$199*(1+'财富模型'!$E$20/12)+'Calc'!$B$6,IF(Calc!$AG$200&lt;='财富模型'!$E$11*12,'Calc'!$W$16,'Calc'!$Y$16)))),0))</x:f>
      </x:c>
      <x:c r="AJ200" t="str">
        <x:f>IF(Calc!$AG$200&gt;'Calc'!$B$8,"",IF('Calc'!$E$16=1,'财富模型'!$E$9,'财富模型'!$M$8+IF(Calc!$AG$200&lt;='财富模型'!$E$11*12,'Calc'!$W$16,'Calc'!$Y$16)-(IF('Calc'!$E$16=1,0,MIN(Calc!$AI$199*(1+'财富模型'!$E$20/12)+'Calc'!$B$6,IF(Calc!$AG$200&lt;='财富模型'!$E$11*12,'Calc'!$W$16,'Calc'!$Y$16))))))</x:f>
      </x:c>
      <x:c r="AK200" t="str">
        <x:f>IF(Calc!$AG$200&gt;'Calc'!$B$8,"",IF('Calc'!$E$16=1,0,MIN(Calc!$AI$199*(1+'财富模型'!$E$20/12)+'Calc'!$B$6,IF(Calc!$AG$200&lt;='财富模型'!$E$11*12,'Calc'!$W$16,'Calc'!$Y$16))))</x:f>
      </x:c>
      <x:c r="AL200" t="str">
        <x:f>IF(Calc!$AG$200&gt;'Calc'!$B$8,"",'Calc'!$B$5-'财富模型'!$E$5-(IF('Calc'!$E$16=1,'财富模型'!$E$9,'财富模型'!$M$8+IF(Calc!$AG$200&lt;='财富模型'!$E$11*12,'Calc'!$W$16,'Calc'!$Y$16)-(IF('Calc'!$E$16=1,0,MIN(Calc!$AI$199*(1+'财富模型'!$E$20/12)+'Calc'!$B$6,IF(Calc!$AG$200&lt;='财富模型'!$E$11*12,'Calc'!$W$16,'Calc'!$Y$16)))))))</x:f>
      </x:c>
      <x:c r="AM200" t="str">
        <x:f>IF(Calc!$AG$200&gt;'Calc'!$B$8,"",IF('Calc'!$E$16=1,0,MAX(Calc!$AM$199*(1+IF(Calc!$AG$200&lt;='财富模型'!$E$11*12,'财富模型'!$E$10,'财富模型'!$E$12)/12)-IF('Calc'!$E$16=1,0,IF(Calc!$AG$200&lt;='财富模型'!$E$11*12,'Calc'!$W$16,'Calc'!$Y$16)),0)))</x:f>
      </x:c>
      <x:c r="AO200" t="n">
        <x:v>179</x:v>
      </x:c>
      <x:c r="AP200" t="str">
        <x:f>IF(Calc!$AO$200&gt;'Calc'!$B$8,"",MAX(Calc!$AP$199*(1+'财富模型'!$E$6/12)+('Calc'!$B$5-'财富模型'!$E$5-(IF('Calc'!$E$17=1,'财富模型'!$E$9,'财富模型'!$M$9+IF(Calc!$AO$200&lt;='财富模型'!$E$11*12,'Calc'!$W$17,'Calc'!$Y$17)-(IF('Calc'!$E$17=1,0,MIN(Calc!$AQ$199*(1+'财富模型'!$E$20/12)+'Calc'!$B$6,IF(Calc!$AO$200&lt;='财富模型'!$E$11*12,'Calc'!$W$17,'Calc'!$Y$17))))))),0))</x:f>
      </x:c>
      <x:c r="AQ200" t="str">
        <x:f>IF(Calc!$AO$200&gt;'Calc'!$B$8,"",MAX(Calc!$AQ$199*(1+'财富模型'!$E$20/12)+'Calc'!$B$6-(IF('Calc'!$E$17=1,0,MIN(Calc!$AQ$199*(1+'财富模型'!$E$20/12)+'Calc'!$B$6,IF(Calc!$AO$200&lt;='财富模型'!$E$11*12,'Calc'!$W$17,'Calc'!$Y$17)))),0))</x:f>
      </x:c>
      <x:c r="AR200" t="str">
        <x:f>IF(Calc!$AO$200&gt;'Calc'!$B$8,"",IF('Calc'!$E$17=1,'财富模型'!$E$9,'财富模型'!$M$9+IF(Calc!$AO$200&lt;='财富模型'!$E$11*12,'Calc'!$W$17,'Calc'!$Y$17)-(IF('Calc'!$E$17=1,0,MIN(Calc!$AQ$199*(1+'财富模型'!$E$20/12)+'Calc'!$B$6,IF(Calc!$AO$200&lt;='财富模型'!$E$11*12,'Calc'!$W$17,'Calc'!$Y$17))))))</x:f>
      </x:c>
      <x:c r="AS200" t="str">
        <x:f>IF(Calc!$AO$200&gt;'Calc'!$B$8,"",IF('Calc'!$E$17=1,0,MIN(Calc!$AQ$199*(1+'财富模型'!$E$20/12)+'Calc'!$B$6,IF(Calc!$AO$200&lt;='财富模型'!$E$11*12,'Calc'!$W$17,'Calc'!$Y$17))))</x:f>
      </x:c>
      <x:c r="AT200" t="str">
        <x:f>IF(Calc!$AO$200&gt;'Calc'!$B$8,"",'Calc'!$B$5-'财富模型'!$E$5-(IF('Calc'!$E$17=1,'财富模型'!$E$9,'财富模型'!$M$9+IF(Calc!$AO$200&lt;='财富模型'!$E$11*12,'Calc'!$W$17,'Calc'!$Y$17)-(IF('Calc'!$E$17=1,0,MIN(Calc!$AQ$199*(1+'财富模型'!$E$20/12)+'Calc'!$B$6,IF(Calc!$AO$200&lt;='财富模型'!$E$11*12,'Calc'!$W$17,'Calc'!$Y$17)))))))</x:f>
      </x:c>
      <x:c r="AU200" t="str">
        <x:f>IF(Calc!$AO$200&gt;'Calc'!$B$8,"",IF('Calc'!$E$17=1,0,MAX(Calc!$AU$199*(1+IF(Calc!$AO$200&lt;='财富模型'!$E$11*12,'财富模型'!$E$10,'财富模型'!$E$12)/12)-IF('Calc'!$E$17=1,0,IF(Calc!$AO$200&lt;='财富模型'!$E$11*12,'Calc'!$W$17,'Calc'!$Y$17)),0)))</x:f>
      </x:c>
    </x:row>
    <x:row r="201">
      <x:c r="A201" t="n">
        <x:v>180</x:v>
      </x:c>
      <x:c r="B201" t="str">
        <x:f>IF(Calc!$A$201&gt;'Calc'!$B$8,"",MAX(Calc!$B$200*(1+'财富模型'!$E$6/12)+('Calc'!$B$5-'财富模型'!$E$5-(IF('Calc'!$E$12=1,'财富模型'!$E$9,'财富模型'!$M$4+IF(Calc!$A$201&lt;='财富模型'!$E$11*12,'Calc'!$W$12,'Calc'!$Y$12)-(IF('Calc'!$E$12=1,0,MIN(Calc!$C$200*(1+'财富模型'!$E$20/12)+'Calc'!$B$6,IF(Calc!$A$201&lt;='财富模型'!$E$11*12,'Calc'!$W$12,'Calc'!$Y$12))))))),0))</x:f>
      </x:c>
      <x:c r="C201" t="str">
        <x:f>IF(Calc!$A$201&gt;'Calc'!$B$8,"",MAX(Calc!$C$200*(1+'财富模型'!$E$20/12)+'Calc'!$B$6-(IF('Calc'!$E$12=1,0,MIN(Calc!$C$200*(1+'财富模型'!$E$20/12)+'Calc'!$B$6,IF(Calc!$A$201&lt;='财富模型'!$E$11*12,'Calc'!$W$12,'Calc'!$Y$12)))),0))</x:f>
      </x:c>
      <x:c r="D201" t="str">
        <x:f>IF(Calc!$A$201&gt;'Calc'!$B$8,"",IF('Calc'!$E$12=1,'财富模型'!$E$9,'财富模型'!$M$4+IF(Calc!$A$201&lt;='财富模型'!$E$11*12,'Calc'!$W$12,'Calc'!$Y$12)-(IF('Calc'!$E$12=1,0,MIN(Calc!$C$200*(1+'财富模型'!$E$20/12)+'Calc'!$B$6,IF(Calc!$A$201&lt;='财富模型'!$E$11*12,'Calc'!$W$12,'Calc'!$Y$12))))))</x:f>
      </x:c>
      <x:c r="E201" t="str">
        <x:f>IF(Calc!$A$201&gt;'Calc'!$B$8,"",IF('Calc'!$E$12=1,0,MIN(Calc!$C$200*(1+'财富模型'!$E$20/12)+'Calc'!$B$6,IF(Calc!$A$201&lt;='财富模型'!$E$11*12,'Calc'!$W$12,'Calc'!$Y$12))))</x:f>
      </x:c>
      <x:c r="F201" t="str">
        <x:f>IF(Calc!$A$201&gt;'Calc'!$B$8,"",'Calc'!$B$5-'财富模型'!$E$5-(IF('Calc'!$E$12=1,'财富模型'!$E$9,'财富模型'!$M$4+IF(Calc!$A$201&lt;='财富模型'!$E$11*12,'Calc'!$W$12,'Calc'!$Y$12)-(IF('Calc'!$E$12=1,0,MIN(Calc!$C$200*(1+'财富模型'!$E$20/12)+'Calc'!$B$6,IF(Calc!$A$201&lt;='财富模型'!$E$11*12,'Calc'!$W$12,'Calc'!$Y$12)))))))</x:f>
      </x:c>
      <x:c r="G201" t="str">
        <x:f>IF(Calc!$A$201&gt;'Calc'!$B$8,"",IF('Calc'!$E$12=1,0,MAX(Calc!$G$200*(1+IF(Calc!$A$201&lt;='财富模型'!$E$11*12,'财富模型'!$E$10,'财富模型'!$E$12)/12)-IF('Calc'!$E$12=1,0,IF(Calc!$A$201&lt;='财富模型'!$E$11*12,'Calc'!$W$12,'Calc'!$Y$12)),0)))</x:f>
      </x:c>
      <x:c r="I201" t="n">
        <x:v>180</x:v>
      </x:c>
      <x:c r="J201" t="str">
        <x:f>IF(Calc!$I$201&gt;'Calc'!$B$8,"",MAX(Calc!$J$200*(1+'财富模型'!$E$6/12)+('Calc'!$B$5-'财富模型'!$E$5-(IF('Calc'!$E$13=1,'财富模型'!$E$9,'财富模型'!$M$5+IF(Calc!$I$201&lt;='财富模型'!$E$11*12,'Calc'!$W$13,'Calc'!$Y$13)-(IF('Calc'!$E$13=1,0,MIN(Calc!$K$200*(1+'财富模型'!$E$20/12)+'Calc'!$B$6,IF(Calc!$I$201&lt;='财富模型'!$E$11*12,'Calc'!$W$13,'Calc'!$Y$13))))))),0))</x:f>
      </x:c>
      <x:c r="K201" t="str">
        <x:f>IF(Calc!$I$201&gt;'Calc'!$B$8,"",MAX(Calc!$K$200*(1+'财富模型'!$E$20/12)+'Calc'!$B$6-(IF('Calc'!$E$13=1,0,MIN(Calc!$K$200*(1+'财富模型'!$E$20/12)+'Calc'!$B$6,IF(Calc!$I$201&lt;='财富模型'!$E$11*12,'Calc'!$W$13,'Calc'!$Y$13)))),0))</x:f>
      </x:c>
      <x:c r="L201" t="str">
        <x:f>IF(Calc!$I$201&gt;'Calc'!$B$8,"",IF('Calc'!$E$13=1,'财富模型'!$E$9,'财富模型'!$M$5+IF(Calc!$I$201&lt;='财富模型'!$E$11*12,'Calc'!$W$13,'Calc'!$Y$13)-(IF('Calc'!$E$13=1,0,MIN(Calc!$K$200*(1+'财富模型'!$E$20/12)+'Calc'!$B$6,IF(Calc!$I$201&lt;='财富模型'!$E$11*12,'Calc'!$W$13,'Calc'!$Y$13))))))</x:f>
      </x:c>
      <x:c r="M201" t="str">
        <x:f>IF(Calc!$I$201&gt;'Calc'!$B$8,"",IF('Calc'!$E$13=1,0,MIN(Calc!$K$200*(1+'财富模型'!$E$20/12)+'Calc'!$B$6,IF(Calc!$I$201&lt;='财富模型'!$E$11*12,'Calc'!$W$13,'Calc'!$Y$13))))</x:f>
      </x:c>
      <x:c r="N201" t="str">
        <x:f>IF(Calc!$I$201&gt;'Calc'!$B$8,"",'Calc'!$B$5-'财富模型'!$E$5-(IF('Calc'!$E$13=1,'财富模型'!$E$9,'财富模型'!$M$5+IF(Calc!$I$201&lt;='财富模型'!$E$11*12,'Calc'!$W$13,'Calc'!$Y$13)-(IF('Calc'!$E$13=1,0,MIN(Calc!$K$200*(1+'财富模型'!$E$20/12)+'Calc'!$B$6,IF(Calc!$I$201&lt;='财富模型'!$E$11*12,'Calc'!$W$13,'Calc'!$Y$13)))))))</x:f>
      </x:c>
      <x:c r="O201" t="str">
        <x:f>IF(Calc!$I$201&gt;'Calc'!$B$8,"",IF('Calc'!$E$13=1,0,MAX(Calc!$O$200*(1+IF(Calc!$I$201&lt;='财富模型'!$E$11*12,'财富模型'!$E$10,'财富模型'!$E$12)/12)-IF('Calc'!$E$13=1,0,IF(Calc!$I$201&lt;='财富模型'!$E$11*12,'Calc'!$W$13,'Calc'!$Y$13)),0)))</x:f>
      </x:c>
      <x:c r="Q201" t="n">
        <x:v>180</x:v>
      </x:c>
      <x:c r="R201" t="str">
        <x:f>IF(Calc!$Q$201&gt;'Calc'!$B$8,"",MAX(Calc!$R$200*(1+'财富模型'!$E$6/12)+('Calc'!$B$5-'财富模型'!$E$5-(IF('Calc'!$E$14=1,'财富模型'!$E$9,'财富模型'!$M$6+IF(Calc!$Q$201&lt;='财富模型'!$E$11*12,'Calc'!$W$14,'Calc'!$Y$14)-(IF('Calc'!$E$14=1,0,MIN(Calc!$S$200*(1+'财富模型'!$E$20/12)+'Calc'!$B$6,IF(Calc!$Q$201&lt;='财富模型'!$E$11*12,'Calc'!$W$14,'Calc'!$Y$14))))))),0))</x:f>
      </x:c>
      <x:c r="S201" t="str">
        <x:f>IF(Calc!$Q$201&gt;'Calc'!$B$8,"",MAX(Calc!$S$200*(1+'财富模型'!$E$20/12)+'Calc'!$B$6-(IF('Calc'!$E$14=1,0,MIN(Calc!$S$200*(1+'财富模型'!$E$20/12)+'Calc'!$B$6,IF(Calc!$Q$201&lt;='财富模型'!$E$11*12,'Calc'!$W$14,'Calc'!$Y$14)))),0))</x:f>
      </x:c>
      <x:c r="T201" t="str">
        <x:f>IF(Calc!$Q$201&gt;'Calc'!$B$8,"",IF('Calc'!$E$14=1,'财富模型'!$E$9,'财富模型'!$M$6+IF(Calc!$Q$201&lt;='财富模型'!$E$11*12,'Calc'!$W$14,'Calc'!$Y$14)-(IF('Calc'!$E$14=1,0,MIN(Calc!$S$200*(1+'财富模型'!$E$20/12)+'Calc'!$B$6,IF(Calc!$Q$201&lt;='财富模型'!$E$11*12,'Calc'!$W$14,'Calc'!$Y$14))))))</x:f>
      </x:c>
      <x:c r="U201" t="str">
        <x:f>IF(Calc!$Q$201&gt;'Calc'!$B$8,"",IF('Calc'!$E$14=1,0,MIN(Calc!$S$200*(1+'财富模型'!$E$20/12)+'Calc'!$B$6,IF(Calc!$Q$201&lt;='财富模型'!$E$11*12,'Calc'!$W$14,'Calc'!$Y$14))))</x:f>
      </x:c>
      <x:c r="V201" t="str">
        <x:f>IF(Calc!$Q$201&gt;'Calc'!$B$8,"",'Calc'!$B$5-'财富模型'!$E$5-(IF('Calc'!$E$14=1,'财富模型'!$E$9,'财富模型'!$M$6+IF(Calc!$Q$201&lt;='财富模型'!$E$11*12,'Calc'!$W$14,'Calc'!$Y$14)-(IF('Calc'!$E$14=1,0,MIN(Calc!$S$200*(1+'财富模型'!$E$20/12)+'Calc'!$B$6,IF(Calc!$Q$201&lt;='财富模型'!$E$11*12,'Calc'!$W$14,'Calc'!$Y$14)))))))</x:f>
      </x:c>
      <x:c r="W201" t="str">
        <x:f>IF(Calc!$Q$201&gt;'Calc'!$B$8,"",IF('Calc'!$E$14=1,0,MAX(Calc!$W$200*(1+IF(Calc!$Q$201&lt;='财富模型'!$E$11*12,'财富模型'!$E$10,'财富模型'!$E$12)/12)-IF('Calc'!$E$14=1,0,IF(Calc!$Q$201&lt;='财富模型'!$E$11*12,'Calc'!$W$14,'Calc'!$Y$14)),0)))</x:f>
      </x:c>
      <x:c r="Y201" t="n">
        <x:v>180</x:v>
      </x:c>
      <x:c r="Z201" t="str">
        <x:f>IF(Calc!$Y$201&gt;'Calc'!$B$8,"",MAX(Calc!$Z$200*(1+'财富模型'!$E$6/12)+('Calc'!$B$5-'财富模型'!$E$5-(IF('Calc'!$E$15=1,'财富模型'!$E$9,'财富模型'!$M$7+IF(Calc!$Y$201&lt;='财富模型'!$E$11*12,'Calc'!$W$15,'Calc'!$Y$15)-(IF('Calc'!$E$15=1,0,MIN(Calc!$AA$200*(1+'财富模型'!$E$20/12)+'Calc'!$B$6,IF(Calc!$Y$201&lt;='财富模型'!$E$11*12,'Calc'!$W$15,'Calc'!$Y$15))))))),0))</x:f>
      </x:c>
      <x:c r="AA201" t="str">
        <x:f>IF(Calc!$Y$201&gt;'Calc'!$B$8,"",MAX(Calc!$AA$200*(1+'财富模型'!$E$20/12)+'Calc'!$B$6-(IF('Calc'!$E$15=1,0,MIN(Calc!$AA$200*(1+'财富模型'!$E$20/12)+'Calc'!$B$6,IF(Calc!$Y$201&lt;='财富模型'!$E$11*12,'Calc'!$W$15,'Calc'!$Y$15)))),0))</x:f>
      </x:c>
      <x:c r="AB201" t="str">
        <x:f>IF(Calc!$Y$201&gt;'Calc'!$B$8,"",IF('Calc'!$E$15=1,'财富模型'!$E$9,'财富模型'!$M$7+IF(Calc!$Y$201&lt;='财富模型'!$E$11*12,'Calc'!$W$15,'Calc'!$Y$15)-(IF('Calc'!$E$15=1,0,MIN(Calc!$AA$200*(1+'财富模型'!$E$20/12)+'Calc'!$B$6,IF(Calc!$Y$201&lt;='财富模型'!$E$11*12,'Calc'!$W$15,'Calc'!$Y$15))))))</x:f>
      </x:c>
      <x:c r="AC201" t="str">
        <x:f>IF(Calc!$Y$201&gt;'Calc'!$B$8,"",IF('Calc'!$E$15=1,0,MIN(Calc!$AA$200*(1+'财富模型'!$E$20/12)+'Calc'!$B$6,IF(Calc!$Y$201&lt;='财富模型'!$E$11*12,'Calc'!$W$15,'Calc'!$Y$15))))</x:f>
      </x:c>
      <x:c r="AD201" t="str">
        <x:f>IF(Calc!$Y$201&gt;'Calc'!$B$8,"",'Calc'!$B$5-'财富模型'!$E$5-(IF('Calc'!$E$15=1,'财富模型'!$E$9,'财富模型'!$M$7+IF(Calc!$Y$201&lt;='财富模型'!$E$11*12,'Calc'!$W$15,'Calc'!$Y$15)-(IF('Calc'!$E$15=1,0,MIN(Calc!$AA$200*(1+'财富模型'!$E$20/12)+'Calc'!$B$6,IF(Calc!$Y$201&lt;='财富模型'!$E$11*12,'Calc'!$W$15,'Calc'!$Y$15)))))))</x:f>
      </x:c>
      <x:c r="AE201" t="str">
        <x:f>IF(Calc!$Y$201&gt;'Calc'!$B$8,"",IF('Calc'!$E$15=1,0,MAX(Calc!$AE$200*(1+IF(Calc!$Y$201&lt;='财富模型'!$E$11*12,'财富模型'!$E$10,'财富模型'!$E$12)/12)-IF('Calc'!$E$15=1,0,IF(Calc!$Y$201&lt;='财富模型'!$E$11*12,'Calc'!$W$15,'Calc'!$Y$15)),0)))</x:f>
      </x:c>
      <x:c r="AG201" t="n">
        <x:v>180</x:v>
      </x:c>
      <x:c r="AH201" t="str">
        <x:f>IF(Calc!$AG$201&gt;'Calc'!$B$8,"",MAX(Calc!$AH$200*(1+'财富模型'!$E$6/12)+('Calc'!$B$5-'财富模型'!$E$5-(IF('Calc'!$E$16=1,'财富模型'!$E$9,'财富模型'!$M$8+IF(Calc!$AG$201&lt;='财富模型'!$E$11*12,'Calc'!$W$16,'Calc'!$Y$16)-(IF('Calc'!$E$16=1,0,MIN(Calc!$AI$200*(1+'财富模型'!$E$20/12)+'Calc'!$B$6,IF(Calc!$AG$201&lt;='财富模型'!$E$11*12,'Calc'!$W$16,'Calc'!$Y$16))))))),0))</x:f>
      </x:c>
      <x:c r="AI201" t="str">
        <x:f>IF(Calc!$AG$201&gt;'Calc'!$B$8,"",MAX(Calc!$AI$200*(1+'财富模型'!$E$20/12)+'Calc'!$B$6-(IF('Calc'!$E$16=1,0,MIN(Calc!$AI$200*(1+'财富模型'!$E$20/12)+'Calc'!$B$6,IF(Calc!$AG$201&lt;='财富模型'!$E$11*12,'Calc'!$W$16,'Calc'!$Y$16)))),0))</x:f>
      </x:c>
      <x:c r="AJ201" t="str">
        <x:f>IF(Calc!$AG$201&gt;'Calc'!$B$8,"",IF('Calc'!$E$16=1,'财富模型'!$E$9,'财富模型'!$M$8+IF(Calc!$AG$201&lt;='财富模型'!$E$11*12,'Calc'!$W$16,'Calc'!$Y$16)-(IF('Calc'!$E$16=1,0,MIN(Calc!$AI$200*(1+'财富模型'!$E$20/12)+'Calc'!$B$6,IF(Calc!$AG$201&lt;='财富模型'!$E$11*12,'Calc'!$W$16,'Calc'!$Y$16))))))</x:f>
      </x:c>
      <x:c r="AK201" t="str">
        <x:f>IF(Calc!$AG$201&gt;'Calc'!$B$8,"",IF('Calc'!$E$16=1,0,MIN(Calc!$AI$200*(1+'财富模型'!$E$20/12)+'Calc'!$B$6,IF(Calc!$AG$201&lt;='财富模型'!$E$11*12,'Calc'!$W$16,'Calc'!$Y$16))))</x:f>
      </x:c>
      <x:c r="AL201" t="str">
        <x:f>IF(Calc!$AG$201&gt;'Calc'!$B$8,"",'Calc'!$B$5-'财富模型'!$E$5-(IF('Calc'!$E$16=1,'财富模型'!$E$9,'财富模型'!$M$8+IF(Calc!$AG$201&lt;='财富模型'!$E$11*12,'Calc'!$W$16,'Calc'!$Y$16)-(IF('Calc'!$E$16=1,0,MIN(Calc!$AI$200*(1+'财富模型'!$E$20/12)+'Calc'!$B$6,IF(Calc!$AG$201&lt;='财富模型'!$E$11*12,'Calc'!$W$16,'Calc'!$Y$16)))))))</x:f>
      </x:c>
      <x:c r="AM201" t="str">
        <x:f>IF(Calc!$AG$201&gt;'Calc'!$B$8,"",IF('Calc'!$E$16=1,0,MAX(Calc!$AM$200*(1+IF(Calc!$AG$201&lt;='财富模型'!$E$11*12,'财富模型'!$E$10,'财富模型'!$E$12)/12)-IF('Calc'!$E$16=1,0,IF(Calc!$AG$201&lt;='财富模型'!$E$11*12,'Calc'!$W$16,'Calc'!$Y$16)),0)))</x:f>
      </x:c>
      <x:c r="AO201" t="n">
        <x:v>180</x:v>
      </x:c>
      <x:c r="AP201" t="str">
        <x:f>IF(Calc!$AO$201&gt;'Calc'!$B$8,"",MAX(Calc!$AP$200*(1+'财富模型'!$E$6/12)+('Calc'!$B$5-'财富模型'!$E$5-(IF('Calc'!$E$17=1,'财富模型'!$E$9,'财富模型'!$M$9+IF(Calc!$AO$201&lt;='财富模型'!$E$11*12,'Calc'!$W$17,'Calc'!$Y$17)-(IF('Calc'!$E$17=1,0,MIN(Calc!$AQ$200*(1+'财富模型'!$E$20/12)+'Calc'!$B$6,IF(Calc!$AO$201&lt;='财富模型'!$E$11*12,'Calc'!$W$17,'Calc'!$Y$17))))))),0))</x:f>
      </x:c>
      <x:c r="AQ201" t="str">
        <x:f>IF(Calc!$AO$201&gt;'Calc'!$B$8,"",MAX(Calc!$AQ$200*(1+'财富模型'!$E$20/12)+'Calc'!$B$6-(IF('Calc'!$E$17=1,0,MIN(Calc!$AQ$200*(1+'财富模型'!$E$20/12)+'Calc'!$B$6,IF(Calc!$AO$201&lt;='财富模型'!$E$11*12,'Calc'!$W$17,'Calc'!$Y$17)))),0))</x:f>
      </x:c>
      <x:c r="AR201" t="str">
        <x:f>IF(Calc!$AO$201&gt;'Calc'!$B$8,"",IF('Calc'!$E$17=1,'财富模型'!$E$9,'财富模型'!$M$9+IF(Calc!$AO$201&lt;='财富模型'!$E$11*12,'Calc'!$W$17,'Calc'!$Y$17)-(IF('Calc'!$E$17=1,0,MIN(Calc!$AQ$200*(1+'财富模型'!$E$20/12)+'Calc'!$B$6,IF(Calc!$AO$201&lt;='财富模型'!$E$11*12,'Calc'!$W$17,'Calc'!$Y$17))))))</x:f>
      </x:c>
      <x:c r="AS201" t="str">
        <x:f>IF(Calc!$AO$201&gt;'Calc'!$B$8,"",IF('Calc'!$E$17=1,0,MIN(Calc!$AQ$200*(1+'财富模型'!$E$20/12)+'Calc'!$B$6,IF(Calc!$AO$201&lt;='财富模型'!$E$11*12,'Calc'!$W$17,'Calc'!$Y$17))))</x:f>
      </x:c>
      <x:c r="AT201" t="str">
        <x:f>IF(Calc!$AO$201&gt;'Calc'!$B$8,"",'Calc'!$B$5-'财富模型'!$E$5-(IF('Calc'!$E$17=1,'财富模型'!$E$9,'财富模型'!$M$9+IF(Calc!$AO$201&lt;='财富模型'!$E$11*12,'Calc'!$W$17,'Calc'!$Y$17)-(IF('Calc'!$E$17=1,0,MIN(Calc!$AQ$200*(1+'财富模型'!$E$20/12)+'Calc'!$B$6,IF(Calc!$AO$201&lt;='财富模型'!$E$11*12,'Calc'!$W$17,'Calc'!$Y$17)))))))</x:f>
      </x:c>
      <x:c r="AU201" t="str">
        <x:f>IF(Calc!$AO$201&gt;'Calc'!$B$8,"",IF('Calc'!$E$17=1,0,MAX(Calc!$AU$200*(1+IF(Calc!$AO$201&lt;='财富模型'!$E$11*12,'财富模型'!$E$10,'财富模型'!$E$12)/12)-IF('Calc'!$E$17=1,0,IF(Calc!$AO$201&lt;='财富模型'!$E$11*12,'Calc'!$W$17,'Calc'!$Y$17)),0)))</x:f>
      </x:c>
    </x:row>
    <x:row r="202">
      <x:c r="A202" t="n">
        <x:v>181</x:v>
      </x:c>
      <x:c r="B202" t="str">
        <x:f>IF(Calc!$A$202&gt;'Calc'!$B$8,"",MAX(Calc!$B$201*(1+'财富模型'!$E$6/12)+('Calc'!$B$5-'财富模型'!$E$5-(IF('Calc'!$E$12=1,'财富模型'!$E$9,'财富模型'!$M$4+IF(Calc!$A$202&lt;='财富模型'!$E$11*12,'Calc'!$W$12,'Calc'!$Y$12)-(IF('Calc'!$E$12=1,0,MIN(Calc!$C$201*(1+'财富模型'!$E$20/12)+'Calc'!$B$6,IF(Calc!$A$202&lt;='财富模型'!$E$11*12,'Calc'!$W$12,'Calc'!$Y$12))))))),0))</x:f>
      </x:c>
      <x:c r="C202" t="str">
        <x:f>IF(Calc!$A$202&gt;'Calc'!$B$8,"",MAX(Calc!$C$201*(1+'财富模型'!$E$20/12)+'Calc'!$B$6-(IF('Calc'!$E$12=1,0,MIN(Calc!$C$201*(1+'财富模型'!$E$20/12)+'Calc'!$B$6,IF(Calc!$A$202&lt;='财富模型'!$E$11*12,'Calc'!$W$12,'Calc'!$Y$12)))),0))</x:f>
      </x:c>
      <x:c r="D202" t="str">
        <x:f>IF(Calc!$A$202&gt;'Calc'!$B$8,"",IF('Calc'!$E$12=1,'财富模型'!$E$9,'财富模型'!$M$4+IF(Calc!$A$202&lt;='财富模型'!$E$11*12,'Calc'!$W$12,'Calc'!$Y$12)-(IF('Calc'!$E$12=1,0,MIN(Calc!$C$201*(1+'财富模型'!$E$20/12)+'Calc'!$B$6,IF(Calc!$A$202&lt;='财富模型'!$E$11*12,'Calc'!$W$12,'Calc'!$Y$12))))))</x:f>
      </x:c>
      <x:c r="E202" t="str">
        <x:f>IF(Calc!$A$202&gt;'Calc'!$B$8,"",IF('Calc'!$E$12=1,0,MIN(Calc!$C$201*(1+'财富模型'!$E$20/12)+'Calc'!$B$6,IF(Calc!$A$202&lt;='财富模型'!$E$11*12,'Calc'!$W$12,'Calc'!$Y$12))))</x:f>
      </x:c>
      <x:c r="F202" t="str">
        <x:f>IF(Calc!$A$202&gt;'Calc'!$B$8,"",'Calc'!$B$5-'财富模型'!$E$5-(IF('Calc'!$E$12=1,'财富模型'!$E$9,'财富模型'!$M$4+IF(Calc!$A$202&lt;='财富模型'!$E$11*12,'Calc'!$W$12,'Calc'!$Y$12)-(IF('Calc'!$E$12=1,0,MIN(Calc!$C$201*(1+'财富模型'!$E$20/12)+'Calc'!$B$6,IF(Calc!$A$202&lt;='财富模型'!$E$11*12,'Calc'!$W$12,'Calc'!$Y$12)))))))</x:f>
      </x:c>
      <x:c r="G202" t="str">
        <x:f>IF(Calc!$A$202&gt;'Calc'!$B$8,"",IF('Calc'!$E$12=1,0,MAX(Calc!$G$201*(1+IF(Calc!$A$202&lt;='财富模型'!$E$11*12,'财富模型'!$E$10,'财富模型'!$E$12)/12)-IF('Calc'!$E$12=1,0,IF(Calc!$A$202&lt;='财富模型'!$E$11*12,'Calc'!$W$12,'Calc'!$Y$12)),0)))</x:f>
      </x:c>
      <x:c r="I202" t="n">
        <x:v>181</x:v>
      </x:c>
      <x:c r="J202" t="str">
        <x:f>IF(Calc!$I$202&gt;'Calc'!$B$8,"",MAX(Calc!$J$201*(1+'财富模型'!$E$6/12)+('Calc'!$B$5-'财富模型'!$E$5-(IF('Calc'!$E$13=1,'财富模型'!$E$9,'财富模型'!$M$5+IF(Calc!$I$202&lt;='财富模型'!$E$11*12,'Calc'!$W$13,'Calc'!$Y$13)-(IF('Calc'!$E$13=1,0,MIN(Calc!$K$201*(1+'财富模型'!$E$20/12)+'Calc'!$B$6,IF(Calc!$I$202&lt;='财富模型'!$E$11*12,'Calc'!$W$13,'Calc'!$Y$13))))))),0))</x:f>
      </x:c>
      <x:c r="K202" t="str">
        <x:f>IF(Calc!$I$202&gt;'Calc'!$B$8,"",MAX(Calc!$K$201*(1+'财富模型'!$E$20/12)+'Calc'!$B$6-(IF('Calc'!$E$13=1,0,MIN(Calc!$K$201*(1+'财富模型'!$E$20/12)+'Calc'!$B$6,IF(Calc!$I$202&lt;='财富模型'!$E$11*12,'Calc'!$W$13,'Calc'!$Y$13)))),0))</x:f>
      </x:c>
      <x:c r="L202" t="str">
        <x:f>IF(Calc!$I$202&gt;'Calc'!$B$8,"",IF('Calc'!$E$13=1,'财富模型'!$E$9,'财富模型'!$M$5+IF(Calc!$I$202&lt;='财富模型'!$E$11*12,'Calc'!$W$13,'Calc'!$Y$13)-(IF('Calc'!$E$13=1,0,MIN(Calc!$K$201*(1+'财富模型'!$E$20/12)+'Calc'!$B$6,IF(Calc!$I$202&lt;='财富模型'!$E$11*12,'Calc'!$W$13,'Calc'!$Y$13))))))</x:f>
      </x:c>
      <x:c r="M202" t="str">
        <x:f>IF(Calc!$I$202&gt;'Calc'!$B$8,"",IF('Calc'!$E$13=1,0,MIN(Calc!$K$201*(1+'财富模型'!$E$20/12)+'Calc'!$B$6,IF(Calc!$I$202&lt;='财富模型'!$E$11*12,'Calc'!$W$13,'Calc'!$Y$13))))</x:f>
      </x:c>
      <x:c r="N202" t="str">
        <x:f>IF(Calc!$I$202&gt;'Calc'!$B$8,"",'Calc'!$B$5-'财富模型'!$E$5-(IF('Calc'!$E$13=1,'财富模型'!$E$9,'财富模型'!$M$5+IF(Calc!$I$202&lt;='财富模型'!$E$11*12,'Calc'!$W$13,'Calc'!$Y$13)-(IF('Calc'!$E$13=1,0,MIN(Calc!$K$201*(1+'财富模型'!$E$20/12)+'Calc'!$B$6,IF(Calc!$I$202&lt;='财富模型'!$E$11*12,'Calc'!$W$13,'Calc'!$Y$13)))))))</x:f>
      </x:c>
      <x:c r="O202" t="str">
        <x:f>IF(Calc!$I$202&gt;'Calc'!$B$8,"",IF('Calc'!$E$13=1,0,MAX(Calc!$O$201*(1+IF(Calc!$I$202&lt;='财富模型'!$E$11*12,'财富模型'!$E$10,'财富模型'!$E$12)/12)-IF('Calc'!$E$13=1,0,IF(Calc!$I$202&lt;='财富模型'!$E$11*12,'Calc'!$W$13,'Calc'!$Y$13)),0)))</x:f>
      </x:c>
      <x:c r="Q202" t="n">
        <x:v>181</x:v>
      </x:c>
      <x:c r="R202" t="str">
        <x:f>IF(Calc!$Q$202&gt;'Calc'!$B$8,"",MAX(Calc!$R$201*(1+'财富模型'!$E$6/12)+('Calc'!$B$5-'财富模型'!$E$5-(IF('Calc'!$E$14=1,'财富模型'!$E$9,'财富模型'!$M$6+IF(Calc!$Q$202&lt;='财富模型'!$E$11*12,'Calc'!$W$14,'Calc'!$Y$14)-(IF('Calc'!$E$14=1,0,MIN(Calc!$S$201*(1+'财富模型'!$E$20/12)+'Calc'!$B$6,IF(Calc!$Q$202&lt;='财富模型'!$E$11*12,'Calc'!$W$14,'Calc'!$Y$14))))))),0))</x:f>
      </x:c>
      <x:c r="S202" t="str">
        <x:f>IF(Calc!$Q$202&gt;'Calc'!$B$8,"",MAX(Calc!$S$201*(1+'财富模型'!$E$20/12)+'Calc'!$B$6-(IF('Calc'!$E$14=1,0,MIN(Calc!$S$201*(1+'财富模型'!$E$20/12)+'Calc'!$B$6,IF(Calc!$Q$202&lt;='财富模型'!$E$11*12,'Calc'!$W$14,'Calc'!$Y$14)))),0))</x:f>
      </x:c>
      <x:c r="T202" t="str">
        <x:f>IF(Calc!$Q$202&gt;'Calc'!$B$8,"",IF('Calc'!$E$14=1,'财富模型'!$E$9,'财富模型'!$M$6+IF(Calc!$Q$202&lt;='财富模型'!$E$11*12,'Calc'!$W$14,'Calc'!$Y$14)-(IF('Calc'!$E$14=1,0,MIN(Calc!$S$201*(1+'财富模型'!$E$20/12)+'Calc'!$B$6,IF(Calc!$Q$202&lt;='财富模型'!$E$11*12,'Calc'!$W$14,'Calc'!$Y$14))))))</x:f>
      </x:c>
      <x:c r="U202" t="str">
        <x:f>IF(Calc!$Q$202&gt;'Calc'!$B$8,"",IF('Calc'!$E$14=1,0,MIN(Calc!$S$201*(1+'财富模型'!$E$20/12)+'Calc'!$B$6,IF(Calc!$Q$202&lt;='财富模型'!$E$11*12,'Calc'!$W$14,'Calc'!$Y$14))))</x:f>
      </x:c>
      <x:c r="V202" t="str">
        <x:f>IF(Calc!$Q$202&gt;'Calc'!$B$8,"",'Calc'!$B$5-'财富模型'!$E$5-(IF('Calc'!$E$14=1,'财富模型'!$E$9,'财富模型'!$M$6+IF(Calc!$Q$202&lt;='财富模型'!$E$11*12,'Calc'!$W$14,'Calc'!$Y$14)-(IF('Calc'!$E$14=1,0,MIN(Calc!$S$201*(1+'财富模型'!$E$20/12)+'Calc'!$B$6,IF(Calc!$Q$202&lt;='财富模型'!$E$11*12,'Calc'!$W$14,'Calc'!$Y$14)))))))</x:f>
      </x:c>
      <x:c r="W202" t="str">
        <x:f>IF(Calc!$Q$202&gt;'Calc'!$B$8,"",IF('Calc'!$E$14=1,0,MAX(Calc!$W$201*(1+IF(Calc!$Q$202&lt;='财富模型'!$E$11*12,'财富模型'!$E$10,'财富模型'!$E$12)/12)-IF('Calc'!$E$14=1,0,IF(Calc!$Q$202&lt;='财富模型'!$E$11*12,'Calc'!$W$14,'Calc'!$Y$14)),0)))</x:f>
      </x:c>
      <x:c r="Y202" t="n">
        <x:v>181</x:v>
      </x:c>
      <x:c r="Z202" t="str">
        <x:f>IF(Calc!$Y$202&gt;'Calc'!$B$8,"",MAX(Calc!$Z$201*(1+'财富模型'!$E$6/12)+('Calc'!$B$5-'财富模型'!$E$5-(IF('Calc'!$E$15=1,'财富模型'!$E$9,'财富模型'!$M$7+IF(Calc!$Y$202&lt;='财富模型'!$E$11*12,'Calc'!$W$15,'Calc'!$Y$15)-(IF('Calc'!$E$15=1,0,MIN(Calc!$AA$201*(1+'财富模型'!$E$20/12)+'Calc'!$B$6,IF(Calc!$Y$202&lt;='财富模型'!$E$11*12,'Calc'!$W$15,'Calc'!$Y$15))))))),0))</x:f>
      </x:c>
      <x:c r="AA202" t="str">
        <x:f>IF(Calc!$Y$202&gt;'Calc'!$B$8,"",MAX(Calc!$AA$201*(1+'财富模型'!$E$20/12)+'Calc'!$B$6-(IF('Calc'!$E$15=1,0,MIN(Calc!$AA$201*(1+'财富模型'!$E$20/12)+'Calc'!$B$6,IF(Calc!$Y$202&lt;='财富模型'!$E$11*12,'Calc'!$W$15,'Calc'!$Y$15)))),0))</x:f>
      </x:c>
      <x:c r="AB202" t="str">
        <x:f>IF(Calc!$Y$202&gt;'Calc'!$B$8,"",IF('Calc'!$E$15=1,'财富模型'!$E$9,'财富模型'!$M$7+IF(Calc!$Y$202&lt;='财富模型'!$E$11*12,'Calc'!$W$15,'Calc'!$Y$15)-(IF('Calc'!$E$15=1,0,MIN(Calc!$AA$201*(1+'财富模型'!$E$20/12)+'Calc'!$B$6,IF(Calc!$Y$202&lt;='财富模型'!$E$11*12,'Calc'!$W$15,'Calc'!$Y$15))))))</x:f>
      </x:c>
      <x:c r="AC202" t="str">
        <x:f>IF(Calc!$Y$202&gt;'Calc'!$B$8,"",IF('Calc'!$E$15=1,0,MIN(Calc!$AA$201*(1+'财富模型'!$E$20/12)+'Calc'!$B$6,IF(Calc!$Y$202&lt;='财富模型'!$E$11*12,'Calc'!$W$15,'Calc'!$Y$15))))</x:f>
      </x:c>
      <x:c r="AD202" t="str">
        <x:f>IF(Calc!$Y$202&gt;'Calc'!$B$8,"",'Calc'!$B$5-'财富模型'!$E$5-(IF('Calc'!$E$15=1,'财富模型'!$E$9,'财富模型'!$M$7+IF(Calc!$Y$202&lt;='财富模型'!$E$11*12,'Calc'!$W$15,'Calc'!$Y$15)-(IF('Calc'!$E$15=1,0,MIN(Calc!$AA$201*(1+'财富模型'!$E$20/12)+'Calc'!$B$6,IF(Calc!$Y$202&lt;='财富模型'!$E$11*12,'Calc'!$W$15,'Calc'!$Y$15)))))))</x:f>
      </x:c>
      <x:c r="AE202" t="str">
        <x:f>IF(Calc!$Y$202&gt;'Calc'!$B$8,"",IF('Calc'!$E$15=1,0,MAX(Calc!$AE$201*(1+IF(Calc!$Y$202&lt;='财富模型'!$E$11*12,'财富模型'!$E$10,'财富模型'!$E$12)/12)-IF('Calc'!$E$15=1,0,IF(Calc!$Y$202&lt;='财富模型'!$E$11*12,'Calc'!$W$15,'Calc'!$Y$15)),0)))</x:f>
      </x:c>
      <x:c r="AG202" t="n">
        <x:v>181</x:v>
      </x:c>
      <x:c r="AH202" t="str">
        <x:f>IF(Calc!$AG$202&gt;'Calc'!$B$8,"",MAX(Calc!$AH$201*(1+'财富模型'!$E$6/12)+('Calc'!$B$5-'财富模型'!$E$5-(IF('Calc'!$E$16=1,'财富模型'!$E$9,'财富模型'!$M$8+IF(Calc!$AG$202&lt;='财富模型'!$E$11*12,'Calc'!$W$16,'Calc'!$Y$16)-(IF('Calc'!$E$16=1,0,MIN(Calc!$AI$201*(1+'财富模型'!$E$20/12)+'Calc'!$B$6,IF(Calc!$AG$202&lt;='财富模型'!$E$11*12,'Calc'!$W$16,'Calc'!$Y$16))))))),0))</x:f>
      </x:c>
      <x:c r="AI202" t="str">
        <x:f>IF(Calc!$AG$202&gt;'Calc'!$B$8,"",MAX(Calc!$AI$201*(1+'财富模型'!$E$20/12)+'Calc'!$B$6-(IF('Calc'!$E$16=1,0,MIN(Calc!$AI$201*(1+'财富模型'!$E$20/12)+'Calc'!$B$6,IF(Calc!$AG$202&lt;='财富模型'!$E$11*12,'Calc'!$W$16,'Calc'!$Y$16)))),0))</x:f>
      </x:c>
      <x:c r="AJ202" t="str">
        <x:f>IF(Calc!$AG$202&gt;'Calc'!$B$8,"",IF('Calc'!$E$16=1,'财富模型'!$E$9,'财富模型'!$M$8+IF(Calc!$AG$202&lt;='财富模型'!$E$11*12,'Calc'!$W$16,'Calc'!$Y$16)-(IF('Calc'!$E$16=1,0,MIN(Calc!$AI$201*(1+'财富模型'!$E$20/12)+'Calc'!$B$6,IF(Calc!$AG$202&lt;='财富模型'!$E$11*12,'Calc'!$W$16,'Calc'!$Y$16))))))</x:f>
      </x:c>
      <x:c r="AK202" t="str">
        <x:f>IF(Calc!$AG$202&gt;'Calc'!$B$8,"",IF('Calc'!$E$16=1,0,MIN(Calc!$AI$201*(1+'财富模型'!$E$20/12)+'Calc'!$B$6,IF(Calc!$AG$202&lt;='财富模型'!$E$11*12,'Calc'!$W$16,'Calc'!$Y$16))))</x:f>
      </x:c>
      <x:c r="AL202" t="str">
        <x:f>IF(Calc!$AG$202&gt;'Calc'!$B$8,"",'Calc'!$B$5-'财富模型'!$E$5-(IF('Calc'!$E$16=1,'财富模型'!$E$9,'财富模型'!$M$8+IF(Calc!$AG$202&lt;='财富模型'!$E$11*12,'Calc'!$W$16,'Calc'!$Y$16)-(IF('Calc'!$E$16=1,0,MIN(Calc!$AI$201*(1+'财富模型'!$E$20/12)+'Calc'!$B$6,IF(Calc!$AG$202&lt;='财富模型'!$E$11*12,'Calc'!$W$16,'Calc'!$Y$16)))))))</x:f>
      </x:c>
      <x:c r="AM202" t="str">
        <x:f>IF(Calc!$AG$202&gt;'Calc'!$B$8,"",IF('Calc'!$E$16=1,0,MAX(Calc!$AM$201*(1+IF(Calc!$AG$202&lt;='财富模型'!$E$11*12,'财富模型'!$E$10,'财富模型'!$E$12)/12)-IF('Calc'!$E$16=1,0,IF(Calc!$AG$202&lt;='财富模型'!$E$11*12,'Calc'!$W$16,'Calc'!$Y$16)),0)))</x:f>
      </x:c>
      <x:c r="AO202" t="n">
        <x:v>181</x:v>
      </x:c>
      <x:c r="AP202" t="str">
        <x:f>IF(Calc!$AO$202&gt;'Calc'!$B$8,"",MAX(Calc!$AP$201*(1+'财富模型'!$E$6/12)+('Calc'!$B$5-'财富模型'!$E$5-(IF('Calc'!$E$17=1,'财富模型'!$E$9,'财富模型'!$M$9+IF(Calc!$AO$202&lt;='财富模型'!$E$11*12,'Calc'!$W$17,'Calc'!$Y$17)-(IF('Calc'!$E$17=1,0,MIN(Calc!$AQ$201*(1+'财富模型'!$E$20/12)+'Calc'!$B$6,IF(Calc!$AO$202&lt;='财富模型'!$E$11*12,'Calc'!$W$17,'Calc'!$Y$17))))))),0))</x:f>
      </x:c>
      <x:c r="AQ202" t="str">
        <x:f>IF(Calc!$AO$202&gt;'Calc'!$B$8,"",MAX(Calc!$AQ$201*(1+'财富模型'!$E$20/12)+'Calc'!$B$6-(IF('Calc'!$E$17=1,0,MIN(Calc!$AQ$201*(1+'财富模型'!$E$20/12)+'Calc'!$B$6,IF(Calc!$AO$202&lt;='财富模型'!$E$11*12,'Calc'!$W$17,'Calc'!$Y$17)))),0))</x:f>
      </x:c>
      <x:c r="AR202" t="str">
        <x:f>IF(Calc!$AO$202&gt;'Calc'!$B$8,"",IF('Calc'!$E$17=1,'财富模型'!$E$9,'财富模型'!$M$9+IF(Calc!$AO$202&lt;='财富模型'!$E$11*12,'Calc'!$W$17,'Calc'!$Y$17)-(IF('Calc'!$E$17=1,0,MIN(Calc!$AQ$201*(1+'财富模型'!$E$20/12)+'Calc'!$B$6,IF(Calc!$AO$202&lt;='财富模型'!$E$11*12,'Calc'!$W$17,'Calc'!$Y$17))))))</x:f>
      </x:c>
      <x:c r="AS202" t="str">
        <x:f>IF(Calc!$AO$202&gt;'Calc'!$B$8,"",IF('Calc'!$E$17=1,0,MIN(Calc!$AQ$201*(1+'财富模型'!$E$20/12)+'Calc'!$B$6,IF(Calc!$AO$202&lt;='财富模型'!$E$11*12,'Calc'!$W$17,'Calc'!$Y$17))))</x:f>
      </x:c>
      <x:c r="AT202" t="str">
        <x:f>IF(Calc!$AO$202&gt;'Calc'!$B$8,"",'Calc'!$B$5-'财富模型'!$E$5-(IF('Calc'!$E$17=1,'财富模型'!$E$9,'财富模型'!$M$9+IF(Calc!$AO$202&lt;='财富模型'!$E$11*12,'Calc'!$W$17,'Calc'!$Y$17)-(IF('Calc'!$E$17=1,0,MIN(Calc!$AQ$201*(1+'财富模型'!$E$20/12)+'Calc'!$B$6,IF(Calc!$AO$202&lt;='财富模型'!$E$11*12,'Calc'!$W$17,'Calc'!$Y$17)))))))</x:f>
      </x:c>
      <x:c r="AU202" t="str">
        <x:f>IF(Calc!$AO$202&gt;'Calc'!$B$8,"",IF('Calc'!$E$17=1,0,MAX(Calc!$AU$201*(1+IF(Calc!$AO$202&lt;='财富模型'!$E$11*12,'财富模型'!$E$10,'财富模型'!$E$12)/12)-IF('Calc'!$E$17=1,0,IF(Calc!$AO$202&lt;='财富模型'!$E$11*12,'Calc'!$W$17,'Calc'!$Y$17)),0)))</x:f>
      </x:c>
    </x:row>
    <x:row r="203">
      <x:c r="A203" t="n">
        <x:v>182</x:v>
      </x:c>
      <x:c r="B203" t="str">
        <x:f>IF(Calc!$A$203&gt;'Calc'!$B$8,"",MAX(Calc!$B$202*(1+'财富模型'!$E$6/12)+('Calc'!$B$5-'财富模型'!$E$5-(IF('Calc'!$E$12=1,'财富模型'!$E$9,'财富模型'!$M$4+IF(Calc!$A$203&lt;='财富模型'!$E$11*12,'Calc'!$W$12,'Calc'!$Y$12)-(IF('Calc'!$E$12=1,0,MIN(Calc!$C$202*(1+'财富模型'!$E$20/12)+'Calc'!$B$6,IF(Calc!$A$203&lt;='财富模型'!$E$11*12,'Calc'!$W$12,'Calc'!$Y$12))))))),0))</x:f>
      </x:c>
      <x:c r="C203" t="str">
        <x:f>IF(Calc!$A$203&gt;'Calc'!$B$8,"",MAX(Calc!$C$202*(1+'财富模型'!$E$20/12)+'Calc'!$B$6-(IF('Calc'!$E$12=1,0,MIN(Calc!$C$202*(1+'财富模型'!$E$20/12)+'Calc'!$B$6,IF(Calc!$A$203&lt;='财富模型'!$E$11*12,'Calc'!$W$12,'Calc'!$Y$12)))),0))</x:f>
      </x:c>
      <x:c r="D203" t="str">
        <x:f>IF(Calc!$A$203&gt;'Calc'!$B$8,"",IF('Calc'!$E$12=1,'财富模型'!$E$9,'财富模型'!$M$4+IF(Calc!$A$203&lt;='财富模型'!$E$11*12,'Calc'!$W$12,'Calc'!$Y$12)-(IF('Calc'!$E$12=1,0,MIN(Calc!$C$202*(1+'财富模型'!$E$20/12)+'Calc'!$B$6,IF(Calc!$A$203&lt;='财富模型'!$E$11*12,'Calc'!$W$12,'Calc'!$Y$12))))))</x:f>
      </x:c>
      <x:c r="E203" t="str">
        <x:f>IF(Calc!$A$203&gt;'Calc'!$B$8,"",IF('Calc'!$E$12=1,0,MIN(Calc!$C$202*(1+'财富模型'!$E$20/12)+'Calc'!$B$6,IF(Calc!$A$203&lt;='财富模型'!$E$11*12,'Calc'!$W$12,'Calc'!$Y$12))))</x:f>
      </x:c>
      <x:c r="F203" t="str">
        <x:f>IF(Calc!$A$203&gt;'Calc'!$B$8,"",'Calc'!$B$5-'财富模型'!$E$5-(IF('Calc'!$E$12=1,'财富模型'!$E$9,'财富模型'!$M$4+IF(Calc!$A$203&lt;='财富模型'!$E$11*12,'Calc'!$W$12,'Calc'!$Y$12)-(IF('Calc'!$E$12=1,0,MIN(Calc!$C$202*(1+'财富模型'!$E$20/12)+'Calc'!$B$6,IF(Calc!$A$203&lt;='财富模型'!$E$11*12,'Calc'!$W$12,'Calc'!$Y$12)))))))</x:f>
      </x:c>
      <x:c r="G203" t="str">
        <x:f>IF(Calc!$A$203&gt;'Calc'!$B$8,"",IF('Calc'!$E$12=1,0,MAX(Calc!$G$202*(1+IF(Calc!$A$203&lt;='财富模型'!$E$11*12,'财富模型'!$E$10,'财富模型'!$E$12)/12)-IF('Calc'!$E$12=1,0,IF(Calc!$A$203&lt;='财富模型'!$E$11*12,'Calc'!$W$12,'Calc'!$Y$12)),0)))</x:f>
      </x:c>
      <x:c r="I203" t="n">
        <x:v>182</x:v>
      </x:c>
      <x:c r="J203" t="str">
        <x:f>IF(Calc!$I$203&gt;'Calc'!$B$8,"",MAX(Calc!$J$202*(1+'财富模型'!$E$6/12)+('Calc'!$B$5-'财富模型'!$E$5-(IF('Calc'!$E$13=1,'财富模型'!$E$9,'财富模型'!$M$5+IF(Calc!$I$203&lt;='财富模型'!$E$11*12,'Calc'!$W$13,'Calc'!$Y$13)-(IF('Calc'!$E$13=1,0,MIN(Calc!$K$202*(1+'财富模型'!$E$20/12)+'Calc'!$B$6,IF(Calc!$I$203&lt;='财富模型'!$E$11*12,'Calc'!$W$13,'Calc'!$Y$13))))))),0))</x:f>
      </x:c>
      <x:c r="K203" t="str">
        <x:f>IF(Calc!$I$203&gt;'Calc'!$B$8,"",MAX(Calc!$K$202*(1+'财富模型'!$E$20/12)+'Calc'!$B$6-(IF('Calc'!$E$13=1,0,MIN(Calc!$K$202*(1+'财富模型'!$E$20/12)+'Calc'!$B$6,IF(Calc!$I$203&lt;='财富模型'!$E$11*12,'Calc'!$W$13,'Calc'!$Y$13)))),0))</x:f>
      </x:c>
      <x:c r="L203" t="str">
        <x:f>IF(Calc!$I$203&gt;'Calc'!$B$8,"",IF('Calc'!$E$13=1,'财富模型'!$E$9,'财富模型'!$M$5+IF(Calc!$I$203&lt;='财富模型'!$E$11*12,'Calc'!$W$13,'Calc'!$Y$13)-(IF('Calc'!$E$13=1,0,MIN(Calc!$K$202*(1+'财富模型'!$E$20/12)+'Calc'!$B$6,IF(Calc!$I$203&lt;='财富模型'!$E$11*12,'Calc'!$W$13,'Calc'!$Y$13))))))</x:f>
      </x:c>
      <x:c r="M203" t="str">
        <x:f>IF(Calc!$I$203&gt;'Calc'!$B$8,"",IF('Calc'!$E$13=1,0,MIN(Calc!$K$202*(1+'财富模型'!$E$20/12)+'Calc'!$B$6,IF(Calc!$I$203&lt;='财富模型'!$E$11*12,'Calc'!$W$13,'Calc'!$Y$13))))</x:f>
      </x:c>
      <x:c r="N203" t="str">
        <x:f>IF(Calc!$I$203&gt;'Calc'!$B$8,"",'Calc'!$B$5-'财富模型'!$E$5-(IF('Calc'!$E$13=1,'财富模型'!$E$9,'财富模型'!$M$5+IF(Calc!$I$203&lt;='财富模型'!$E$11*12,'Calc'!$W$13,'Calc'!$Y$13)-(IF('Calc'!$E$13=1,0,MIN(Calc!$K$202*(1+'财富模型'!$E$20/12)+'Calc'!$B$6,IF(Calc!$I$203&lt;='财富模型'!$E$11*12,'Calc'!$W$13,'Calc'!$Y$13)))))))</x:f>
      </x:c>
      <x:c r="O203" t="str">
        <x:f>IF(Calc!$I$203&gt;'Calc'!$B$8,"",IF('Calc'!$E$13=1,0,MAX(Calc!$O$202*(1+IF(Calc!$I$203&lt;='财富模型'!$E$11*12,'财富模型'!$E$10,'财富模型'!$E$12)/12)-IF('Calc'!$E$13=1,0,IF(Calc!$I$203&lt;='财富模型'!$E$11*12,'Calc'!$W$13,'Calc'!$Y$13)),0)))</x:f>
      </x:c>
      <x:c r="Q203" t="n">
        <x:v>182</x:v>
      </x:c>
      <x:c r="R203" t="str">
        <x:f>IF(Calc!$Q$203&gt;'Calc'!$B$8,"",MAX(Calc!$R$202*(1+'财富模型'!$E$6/12)+('Calc'!$B$5-'财富模型'!$E$5-(IF('Calc'!$E$14=1,'财富模型'!$E$9,'财富模型'!$M$6+IF(Calc!$Q$203&lt;='财富模型'!$E$11*12,'Calc'!$W$14,'Calc'!$Y$14)-(IF('Calc'!$E$14=1,0,MIN(Calc!$S$202*(1+'财富模型'!$E$20/12)+'Calc'!$B$6,IF(Calc!$Q$203&lt;='财富模型'!$E$11*12,'Calc'!$W$14,'Calc'!$Y$14))))))),0))</x:f>
      </x:c>
      <x:c r="S203" t="str">
        <x:f>IF(Calc!$Q$203&gt;'Calc'!$B$8,"",MAX(Calc!$S$202*(1+'财富模型'!$E$20/12)+'Calc'!$B$6-(IF('Calc'!$E$14=1,0,MIN(Calc!$S$202*(1+'财富模型'!$E$20/12)+'Calc'!$B$6,IF(Calc!$Q$203&lt;='财富模型'!$E$11*12,'Calc'!$W$14,'Calc'!$Y$14)))),0))</x:f>
      </x:c>
      <x:c r="T203" t="str">
        <x:f>IF(Calc!$Q$203&gt;'Calc'!$B$8,"",IF('Calc'!$E$14=1,'财富模型'!$E$9,'财富模型'!$M$6+IF(Calc!$Q$203&lt;='财富模型'!$E$11*12,'Calc'!$W$14,'Calc'!$Y$14)-(IF('Calc'!$E$14=1,0,MIN(Calc!$S$202*(1+'财富模型'!$E$20/12)+'Calc'!$B$6,IF(Calc!$Q$203&lt;='财富模型'!$E$11*12,'Calc'!$W$14,'Calc'!$Y$14))))))</x:f>
      </x:c>
      <x:c r="U203" t="str">
        <x:f>IF(Calc!$Q$203&gt;'Calc'!$B$8,"",IF('Calc'!$E$14=1,0,MIN(Calc!$S$202*(1+'财富模型'!$E$20/12)+'Calc'!$B$6,IF(Calc!$Q$203&lt;='财富模型'!$E$11*12,'Calc'!$W$14,'Calc'!$Y$14))))</x:f>
      </x:c>
      <x:c r="V203" t="str">
        <x:f>IF(Calc!$Q$203&gt;'Calc'!$B$8,"",'Calc'!$B$5-'财富模型'!$E$5-(IF('Calc'!$E$14=1,'财富模型'!$E$9,'财富模型'!$M$6+IF(Calc!$Q$203&lt;='财富模型'!$E$11*12,'Calc'!$W$14,'Calc'!$Y$14)-(IF('Calc'!$E$14=1,0,MIN(Calc!$S$202*(1+'财富模型'!$E$20/12)+'Calc'!$B$6,IF(Calc!$Q$203&lt;='财富模型'!$E$11*12,'Calc'!$W$14,'Calc'!$Y$14)))))))</x:f>
      </x:c>
      <x:c r="W203" t="str">
        <x:f>IF(Calc!$Q$203&gt;'Calc'!$B$8,"",IF('Calc'!$E$14=1,0,MAX(Calc!$W$202*(1+IF(Calc!$Q$203&lt;='财富模型'!$E$11*12,'财富模型'!$E$10,'财富模型'!$E$12)/12)-IF('Calc'!$E$14=1,0,IF(Calc!$Q$203&lt;='财富模型'!$E$11*12,'Calc'!$W$14,'Calc'!$Y$14)),0)))</x:f>
      </x:c>
      <x:c r="Y203" t="n">
        <x:v>182</x:v>
      </x:c>
      <x:c r="Z203" t="str">
        <x:f>IF(Calc!$Y$203&gt;'Calc'!$B$8,"",MAX(Calc!$Z$202*(1+'财富模型'!$E$6/12)+('Calc'!$B$5-'财富模型'!$E$5-(IF('Calc'!$E$15=1,'财富模型'!$E$9,'财富模型'!$M$7+IF(Calc!$Y$203&lt;='财富模型'!$E$11*12,'Calc'!$W$15,'Calc'!$Y$15)-(IF('Calc'!$E$15=1,0,MIN(Calc!$AA$202*(1+'财富模型'!$E$20/12)+'Calc'!$B$6,IF(Calc!$Y$203&lt;='财富模型'!$E$11*12,'Calc'!$W$15,'Calc'!$Y$15))))))),0))</x:f>
      </x:c>
      <x:c r="AA203" t="str">
        <x:f>IF(Calc!$Y$203&gt;'Calc'!$B$8,"",MAX(Calc!$AA$202*(1+'财富模型'!$E$20/12)+'Calc'!$B$6-(IF('Calc'!$E$15=1,0,MIN(Calc!$AA$202*(1+'财富模型'!$E$20/12)+'Calc'!$B$6,IF(Calc!$Y$203&lt;='财富模型'!$E$11*12,'Calc'!$W$15,'Calc'!$Y$15)))),0))</x:f>
      </x:c>
      <x:c r="AB203" t="str">
        <x:f>IF(Calc!$Y$203&gt;'Calc'!$B$8,"",IF('Calc'!$E$15=1,'财富模型'!$E$9,'财富模型'!$M$7+IF(Calc!$Y$203&lt;='财富模型'!$E$11*12,'Calc'!$W$15,'Calc'!$Y$15)-(IF('Calc'!$E$15=1,0,MIN(Calc!$AA$202*(1+'财富模型'!$E$20/12)+'Calc'!$B$6,IF(Calc!$Y$203&lt;='财富模型'!$E$11*12,'Calc'!$W$15,'Calc'!$Y$15))))))</x:f>
      </x:c>
      <x:c r="AC203" t="str">
        <x:f>IF(Calc!$Y$203&gt;'Calc'!$B$8,"",IF('Calc'!$E$15=1,0,MIN(Calc!$AA$202*(1+'财富模型'!$E$20/12)+'Calc'!$B$6,IF(Calc!$Y$203&lt;='财富模型'!$E$11*12,'Calc'!$W$15,'Calc'!$Y$15))))</x:f>
      </x:c>
      <x:c r="AD203" t="str">
        <x:f>IF(Calc!$Y$203&gt;'Calc'!$B$8,"",'Calc'!$B$5-'财富模型'!$E$5-(IF('Calc'!$E$15=1,'财富模型'!$E$9,'财富模型'!$M$7+IF(Calc!$Y$203&lt;='财富模型'!$E$11*12,'Calc'!$W$15,'Calc'!$Y$15)-(IF('Calc'!$E$15=1,0,MIN(Calc!$AA$202*(1+'财富模型'!$E$20/12)+'Calc'!$B$6,IF(Calc!$Y$203&lt;='财富模型'!$E$11*12,'Calc'!$W$15,'Calc'!$Y$15)))))))</x:f>
      </x:c>
      <x:c r="AE203" t="str">
        <x:f>IF(Calc!$Y$203&gt;'Calc'!$B$8,"",IF('Calc'!$E$15=1,0,MAX(Calc!$AE$202*(1+IF(Calc!$Y$203&lt;='财富模型'!$E$11*12,'财富模型'!$E$10,'财富模型'!$E$12)/12)-IF('Calc'!$E$15=1,0,IF(Calc!$Y$203&lt;='财富模型'!$E$11*12,'Calc'!$W$15,'Calc'!$Y$15)),0)))</x:f>
      </x:c>
      <x:c r="AG203" t="n">
        <x:v>182</x:v>
      </x:c>
      <x:c r="AH203" t="str">
        <x:f>IF(Calc!$AG$203&gt;'Calc'!$B$8,"",MAX(Calc!$AH$202*(1+'财富模型'!$E$6/12)+('Calc'!$B$5-'财富模型'!$E$5-(IF('Calc'!$E$16=1,'财富模型'!$E$9,'财富模型'!$M$8+IF(Calc!$AG$203&lt;='财富模型'!$E$11*12,'Calc'!$W$16,'Calc'!$Y$16)-(IF('Calc'!$E$16=1,0,MIN(Calc!$AI$202*(1+'财富模型'!$E$20/12)+'Calc'!$B$6,IF(Calc!$AG$203&lt;='财富模型'!$E$11*12,'Calc'!$W$16,'Calc'!$Y$16))))))),0))</x:f>
      </x:c>
      <x:c r="AI203" t="str">
        <x:f>IF(Calc!$AG$203&gt;'Calc'!$B$8,"",MAX(Calc!$AI$202*(1+'财富模型'!$E$20/12)+'Calc'!$B$6-(IF('Calc'!$E$16=1,0,MIN(Calc!$AI$202*(1+'财富模型'!$E$20/12)+'Calc'!$B$6,IF(Calc!$AG$203&lt;='财富模型'!$E$11*12,'Calc'!$W$16,'Calc'!$Y$16)))),0))</x:f>
      </x:c>
      <x:c r="AJ203" t="str">
        <x:f>IF(Calc!$AG$203&gt;'Calc'!$B$8,"",IF('Calc'!$E$16=1,'财富模型'!$E$9,'财富模型'!$M$8+IF(Calc!$AG$203&lt;='财富模型'!$E$11*12,'Calc'!$W$16,'Calc'!$Y$16)-(IF('Calc'!$E$16=1,0,MIN(Calc!$AI$202*(1+'财富模型'!$E$20/12)+'Calc'!$B$6,IF(Calc!$AG$203&lt;='财富模型'!$E$11*12,'Calc'!$W$16,'Calc'!$Y$16))))))</x:f>
      </x:c>
      <x:c r="AK203" t="str">
        <x:f>IF(Calc!$AG$203&gt;'Calc'!$B$8,"",IF('Calc'!$E$16=1,0,MIN(Calc!$AI$202*(1+'财富模型'!$E$20/12)+'Calc'!$B$6,IF(Calc!$AG$203&lt;='财富模型'!$E$11*12,'Calc'!$W$16,'Calc'!$Y$16))))</x:f>
      </x:c>
      <x:c r="AL203" t="str">
        <x:f>IF(Calc!$AG$203&gt;'Calc'!$B$8,"",'Calc'!$B$5-'财富模型'!$E$5-(IF('Calc'!$E$16=1,'财富模型'!$E$9,'财富模型'!$M$8+IF(Calc!$AG$203&lt;='财富模型'!$E$11*12,'Calc'!$W$16,'Calc'!$Y$16)-(IF('Calc'!$E$16=1,0,MIN(Calc!$AI$202*(1+'财富模型'!$E$20/12)+'Calc'!$B$6,IF(Calc!$AG$203&lt;='财富模型'!$E$11*12,'Calc'!$W$16,'Calc'!$Y$16)))))))</x:f>
      </x:c>
      <x:c r="AM203" t="str">
        <x:f>IF(Calc!$AG$203&gt;'Calc'!$B$8,"",IF('Calc'!$E$16=1,0,MAX(Calc!$AM$202*(1+IF(Calc!$AG$203&lt;='财富模型'!$E$11*12,'财富模型'!$E$10,'财富模型'!$E$12)/12)-IF('Calc'!$E$16=1,0,IF(Calc!$AG$203&lt;='财富模型'!$E$11*12,'Calc'!$W$16,'Calc'!$Y$16)),0)))</x:f>
      </x:c>
      <x:c r="AO203" t="n">
        <x:v>182</x:v>
      </x:c>
      <x:c r="AP203" t="str">
        <x:f>IF(Calc!$AO$203&gt;'Calc'!$B$8,"",MAX(Calc!$AP$202*(1+'财富模型'!$E$6/12)+('Calc'!$B$5-'财富模型'!$E$5-(IF('Calc'!$E$17=1,'财富模型'!$E$9,'财富模型'!$M$9+IF(Calc!$AO$203&lt;='财富模型'!$E$11*12,'Calc'!$W$17,'Calc'!$Y$17)-(IF('Calc'!$E$17=1,0,MIN(Calc!$AQ$202*(1+'财富模型'!$E$20/12)+'Calc'!$B$6,IF(Calc!$AO$203&lt;='财富模型'!$E$11*12,'Calc'!$W$17,'Calc'!$Y$17))))))),0))</x:f>
      </x:c>
      <x:c r="AQ203" t="str">
        <x:f>IF(Calc!$AO$203&gt;'Calc'!$B$8,"",MAX(Calc!$AQ$202*(1+'财富模型'!$E$20/12)+'Calc'!$B$6-(IF('Calc'!$E$17=1,0,MIN(Calc!$AQ$202*(1+'财富模型'!$E$20/12)+'Calc'!$B$6,IF(Calc!$AO$203&lt;='财富模型'!$E$11*12,'Calc'!$W$17,'Calc'!$Y$17)))),0))</x:f>
      </x:c>
      <x:c r="AR203" t="str">
        <x:f>IF(Calc!$AO$203&gt;'Calc'!$B$8,"",IF('Calc'!$E$17=1,'财富模型'!$E$9,'财富模型'!$M$9+IF(Calc!$AO$203&lt;='财富模型'!$E$11*12,'Calc'!$W$17,'Calc'!$Y$17)-(IF('Calc'!$E$17=1,0,MIN(Calc!$AQ$202*(1+'财富模型'!$E$20/12)+'Calc'!$B$6,IF(Calc!$AO$203&lt;='财富模型'!$E$11*12,'Calc'!$W$17,'Calc'!$Y$17))))))</x:f>
      </x:c>
      <x:c r="AS203" t="str">
        <x:f>IF(Calc!$AO$203&gt;'Calc'!$B$8,"",IF('Calc'!$E$17=1,0,MIN(Calc!$AQ$202*(1+'财富模型'!$E$20/12)+'Calc'!$B$6,IF(Calc!$AO$203&lt;='财富模型'!$E$11*12,'Calc'!$W$17,'Calc'!$Y$17))))</x:f>
      </x:c>
      <x:c r="AT203" t="str">
        <x:f>IF(Calc!$AO$203&gt;'Calc'!$B$8,"",'Calc'!$B$5-'财富模型'!$E$5-(IF('Calc'!$E$17=1,'财富模型'!$E$9,'财富模型'!$M$9+IF(Calc!$AO$203&lt;='财富模型'!$E$11*12,'Calc'!$W$17,'Calc'!$Y$17)-(IF('Calc'!$E$17=1,0,MIN(Calc!$AQ$202*(1+'财富模型'!$E$20/12)+'Calc'!$B$6,IF(Calc!$AO$203&lt;='财富模型'!$E$11*12,'Calc'!$W$17,'Calc'!$Y$17)))))))</x:f>
      </x:c>
      <x:c r="AU203" t="str">
        <x:f>IF(Calc!$AO$203&gt;'Calc'!$B$8,"",IF('Calc'!$E$17=1,0,MAX(Calc!$AU$202*(1+IF(Calc!$AO$203&lt;='财富模型'!$E$11*12,'财富模型'!$E$10,'财富模型'!$E$12)/12)-IF('Calc'!$E$17=1,0,IF(Calc!$AO$203&lt;='财富模型'!$E$11*12,'Calc'!$W$17,'Calc'!$Y$17)),0)))</x:f>
      </x:c>
    </x:row>
    <x:row r="204">
      <x:c r="A204" t="n">
        <x:v>183</x:v>
      </x:c>
      <x:c r="B204" t="str">
        <x:f>IF(Calc!$A$204&gt;'Calc'!$B$8,"",MAX(Calc!$B$203*(1+'财富模型'!$E$6/12)+('Calc'!$B$5-'财富模型'!$E$5-(IF('Calc'!$E$12=1,'财富模型'!$E$9,'财富模型'!$M$4+IF(Calc!$A$204&lt;='财富模型'!$E$11*12,'Calc'!$W$12,'Calc'!$Y$12)-(IF('Calc'!$E$12=1,0,MIN(Calc!$C$203*(1+'财富模型'!$E$20/12)+'Calc'!$B$6,IF(Calc!$A$204&lt;='财富模型'!$E$11*12,'Calc'!$W$12,'Calc'!$Y$12))))))),0))</x:f>
      </x:c>
      <x:c r="C204" t="str">
        <x:f>IF(Calc!$A$204&gt;'Calc'!$B$8,"",MAX(Calc!$C$203*(1+'财富模型'!$E$20/12)+'Calc'!$B$6-(IF('Calc'!$E$12=1,0,MIN(Calc!$C$203*(1+'财富模型'!$E$20/12)+'Calc'!$B$6,IF(Calc!$A$204&lt;='财富模型'!$E$11*12,'Calc'!$W$12,'Calc'!$Y$12)))),0))</x:f>
      </x:c>
      <x:c r="D204" t="str">
        <x:f>IF(Calc!$A$204&gt;'Calc'!$B$8,"",IF('Calc'!$E$12=1,'财富模型'!$E$9,'财富模型'!$M$4+IF(Calc!$A$204&lt;='财富模型'!$E$11*12,'Calc'!$W$12,'Calc'!$Y$12)-(IF('Calc'!$E$12=1,0,MIN(Calc!$C$203*(1+'财富模型'!$E$20/12)+'Calc'!$B$6,IF(Calc!$A$204&lt;='财富模型'!$E$11*12,'Calc'!$W$12,'Calc'!$Y$12))))))</x:f>
      </x:c>
      <x:c r="E204" t="str">
        <x:f>IF(Calc!$A$204&gt;'Calc'!$B$8,"",IF('Calc'!$E$12=1,0,MIN(Calc!$C$203*(1+'财富模型'!$E$20/12)+'Calc'!$B$6,IF(Calc!$A$204&lt;='财富模型'!$E$11*12,'Calc'!$W$12,'Calc'!$Y$12))))</x:f>
      </x:c>
      <x:c r="F204" t="str">
        <x:f>IF(Calc!$A$204&gt;'Calc'!$B$8,"",'Calc'!$B$5-'财富模型'!$E$5-(IF('Calc'!$E$12=1,'财富模型'!$E$9,'财富模型'!$M$4+IF(Calc!$A$204&lt;='财富模型'!$E$11*12,'Calc'!$W$12,'Calc'!$Y$12)-(IF('Calc'!$E$12=1,0,MIN(Calc!$C$203*(1+'财富模型'!$E$20/12)+'Calc'!$B$6,IF(Calc!$A$204&lt;='财富模型'!$E$11*12,'Calc'!$W$12,'Calc'!$Y$12)))))))</x:f>
      </x:c>
      <x:c r="G204" t="str">
        <x:f>IF(Calc!$A$204&gt;'Calc'!$B$8,"",IF('Calc'!$E$12=1,0,MAX(Calc!$G$203*(1+IF(Calc!$A$204&lt;='财富模型'!$E$11*12,'财富模型'!$E$10,'财富模型'!$E$12)/12)-IF('Calc'!$E$12=1,0,IF(Calc!$A$204&lt;='财富模型'!$E$11*12,'Calc'!$W$12,'Calc'!$Y$12)),0)))</x:f>
      </x:c>
      <x:c r="I204" t="n">
        <x:v>183</x:v>
      </x:c>
      <x:c r="J204" t="str">
        <x:f>IF(Calc!$I$204&gt;'Calc'!$B$8,"",MAX(Calc!$J$203*(1+'财富模型'!$E$6/12)+('Calc'!$B$5-'财富模型'!$E$5-(IF('Calc'!$E$13=1,'财富模型'!$E$9,'财富模型'!$M$5+IF(Calc!$I$204&lt;='财富模型'!$E$11*12,'Calc'!$W$13,'Calc'!$Y$13)-(IF('Calc'!$E$13=1,0,MIN(Calc!$K$203*(1+'财富模型'!$E$20/12)+'Calc'!$B$6,IF(Calc!$I$204&lt;='财富模型'!$E$11*12,'Calc'!$W$13,'Calc'!$Y$13))))))),0))</x:f>
      </x:c>
      <x:c r="K204" t="str">
        <x:f>IF(Calc!$I$204&gt;'Calc'!$B$8,"",MAX(Calc!$K$203*(1+'财富模型'!$E$20/12)+'Calc'!$B$6-(IF('Calc'!$E$13=1,0,MIN(Calc!$K$203*(1+'财富模型'!$E$20/12)+'Calc'!$B$6,IF(Calc!$I$204&lt;='财富模型'!$E$11*12,'Calc'!$W$13,'Calc'!$Y$13)))),0))</x:f>
      </x:c>
      <x:c r="L204" t="str">
        <x:f>IF(Calc!$I$204&gt;'Calc'!$B$8,"",IF('Calc'!$E$13=1,'财富模型'!$E$9,'财富模型'!$M$5+IF(Calc!$I$204&lt;='财富模型'!$E$11*12,'Calc'!$W$13,'Calc'!$Y$13)-(IF('Calc'!$E$13=1,0,MIN(Calc!$K$203*(1+'财富模型'!$E$20/12)+'Calc'!$B$6,IF(Calc!$I$204&lt;='财富模型'!$E$11*12,'Calc'!$W$13,'Calc'!$Y$13))))))</x:f>
      </x:c>
      <x:c r="M204" t="str">
        <x:f>IF(Calc!$I$204&gt;'Calc'!$B$8,"",IF('Calc'!$E$13=1,0,MIN(Calc!$K$203*(1+'财富模型'!$E$20/12)+'Calc'!$B$6,IF(Calc!$I$204&lt;='财富模型'!$E$11*12,'Calc'!$W$13,'Calc'!$Y$13))))</x:f>
      </x:c>
      <x:c r="N204" t="str">
        <x:f>IF(Calc!$I$204&gt;'Calc'!$B$8,"",'Calc'!$B$5-'财富模型'!$E$5-(IF('Calc'!$E$13=1,'财富模型'!$E$9,'财富模型'!$M$5+IF(Calc!$I$204&lt;='财富模型'!$E$11*12,'Calc'!$W$13,'Calc'!$Y$13)-(IF('Calc'!$E$13=1,0,MIN(Calc!$K$203*(1+'财富模型'!$E$20/12)+'Calc'!$B$6,IF(Calc!$I$204&lt;='财富模型'!$E$11*12,'Calc'!$W$13,'Calc'!$Y$13)))))))</x:f>
      </x:c>
      <x:c r="O204" t="str">
        <x:f>IF(Calc!$I$204&gt;'Calc'!$B$8,"",IF('Calc'!$E$13=1,0,MAX(Calc!$O$203*(1+IF(Calc!$I$204&lt;='财富模型'!$E$11*12,'财富模型'!$E$10,'财富模型'!$E$12)/12)-IF('Calc'!$E$13=1,0,IF(Calc!$I$204&lt;='财富模型'!$E$11*12,'Calc'!$W$13,'Calc'!$Y$13)),0)))</x:f>
      </x:c>
      <x:c r="Q204" t="n">
        <x:v>183</x:v>
      </x:c>
      <x:c r="R204" t="str">
        <x:f>IF(Calc!$Q$204&gt;'Calc'!$B$8,"",MAX(Calc!$R$203*(1+'财富模型'!$E$6/12)+('Calc'!$B$5-'财富模型'!$E$5-(IF('Calc'!$E$14=1,'财富模型'!$E$9,'财富模型'!$M$6+IF(Calc!$Q$204&lt;='财富模型'!$E$11*12,'Calc'!$W$14,'Calc'!$Y$14)-(IF('Calc'!$E$14=1,0,MIN(Calc!$S$203*(1+'财富模型'!$E$20/12)+'Calc'!$B$6,IF(Calc!$Q$204&lt;='财富模型'!$E$11*12,'Calc'!$W$14,'Calc'!$Y$14))))))),0))</x:f>
      </x:c>
      <x:c r="S204" t="str">
        <x:f>IF(Calc!$Q$204&gt;'Calc'!$B$8,"",MAX(Calc!$S$203*(1+'财富模型'!$E$20/12)+'Calc'!$B$6-(IF('Calc'!$E$14=1,0,MIN(Calc!$S$203*(1+'财富模型'!$E$20/12)+'Calc'!$B$6,IF(Calc!$Q$204&lt;='财富模型'!$E$11*12,'Calc'!$W$14,'Calc'!$Y$14)))),0))</x:f>
      </x:c>
      <x:c r="T204" t="str">
        <x:f>IF(Calc!$Q$204&gt;'Calc'!$B$8,"",IF('Calc'!$E$14=1,'财富模型'!$E$9,'财富模型'!$M$6+IF(Calc!$Q$204&lt;='财富模型'!$E$11*12,'Calc'!$W$14,'Calc'!$Y$14)-(IF('Calc'!$E$14=1,0,MIN(Calc!$S$203*(1+'财富模型'!$E$20/12)+'Calc'!$B$6,IF(Calc!$Q$204&lt;='财富模型'!$E$11*12,'Calc'!$W$14,'Calc'!$Y$14))))))</x:f>
      </x:c>
      <x:c r="U204" t="str">
        <x:f>IF(Calc!$Q$204&gt;'Calc'!$B$8,"",IF('Calc'!$E$14=1,0,MIN(Calc!$S$203*(1+'财富模型'!$E$20/12)+'Calc'!$B$6,IF(Calc!$Q$204&lt;='财富模型'!$E$11*12,'Calc'!$W$14,'Calc'!$Y$14))))</x:f>
      </x:c>
      <x:c r="V204" t="str">
        <x:f>IF(Calc!$Q$204&gt;'Calc'!$B$8,"",'Calc'!$B$5-'财富模型'!$E$5-(IF('Calc'!$E$14=1,'财富模型'!$E$9,'财富模型'!$M$6+IF(Calc!$Q$204&lt;='财富模型'!$E$11*12,'Calc'!$W$14,'Calc'!$Y$14)-(IF('Calc'!$E$14=1,0,MIN(Calc!$S$203*(1+'财富模型'!$E$20/12)+'Calc'!$B$6,IF(Calc!$Q$204&lt;='财富模型'!$E$11*12,'Calc'!$W$14,'Calc'!$Y$14)))))))</x:f>
      </x:c>
      <x:c r="W204" t="str">
        <x:f>IF(Calc!$Q$204&gt;'Calc'!$B$8,"",IF('Calc'!$E$14=1,0,MAX(Calc!$W$203*(1+IF(Calc!$Q$204&lt;='财富模型'!$E$11*12,'财富模型'!$E$10,'财富模型'!$E$12)/12)-IF('Calc'!$E$14=1,0,IF(Calc!$Q$204&lt;='财富模型'!$E$11*12,'Calc'!$W$14,'Calc'!$Y$14)),0)))</x:f>
      </x:c>
      <x:c r="Y204" t="n">
        <x:v>183</x:v>
      </x:c>
      <x:c r="Z204" t="str">
        <x:f>IF(Calc!$Y$204&gt;'Calc'!$B$8,"",MAX(Calc!$Z$203*(1+'财富模型'!$E$6/12)+('Calc'!$B$5-'财富模型'!$E$5-(IF('Calc'!$E$15=1,'财富模型'!$E$9,'财富模型'!$M$7+IF(Calc!$Y$204&lt;='财富模型'!$E$11*12,'Calc'!$W$15,'Calc'!$Y$15)-(IF('Calc'!$E$15=1,0,MIN(Calc!$AA$203*(1+'财富模型'!$E$20/12)+'Calc'!$B$6,IF(Calc!$Y$204&lt;='财富模型'!$E$11*12,'Calc'!$W$15,'Calc'!$Y$15))))))),0))</x:f>
      </x:c>
      <x:c r="AA204" t="str">
        <x:f>IF(Calc!$Y$204&gt;'Calc'!$B$8,"",MAX(Calc!$AA$203*(1+'财富模型'!$E$20/12)+'Calc'!$B$6-(IF('Calc'!$E$15=1,0,MIN(Calc!$AA$203*(1+'财富模型'!$E$20/12)+'Calc'!$B$6,IF(Calc!$Y$204&lt;='财富模型'!$E$11*12,'Calc'!$W$15,'Calc'!$Y$15)))),0))</x:f>
      </x:c>
      <x:c r="AB204" t="str">
        <x:f>IF(Calc!$Y$204&gt;'Calc'!$B$8,"",IF('Calc'!$E$15=1,'财富模型'!$E$9,'财富模型'!$M$7+IF(Calc!$Y$204&lt;='财富模型'!$E$11*12,'Calc'!$W$15,'Calc'!$Y$15)-(IF('Calc'!$E$15=1,0,MIN(Calc!$AA$203*(1+'财富模型'!$E$20/12)+'Calc'!$B$6,IF(Calc!$Y$204&lt;='财富模型'!$E$11*12,'Calc'!$W$15,'Calc'!$Y$15))))))</x:f>
      </x:c>
      <x:c r="AC204" t="str">
        <x:f>IF(Calc!$Y$204&gt;'Calc'!$B$8,"",IF('Calc'!$E$15=1,0,MIN(Calc!$AA$203*(1+'财富模型'!$E$20/12)+'Calc'!$B$6,IF(Calc!$Y$204&lt;='财富模型'!$E$11*12,'Calc'!$W$15,'Calc'!$Y$15))))</x:f>
      </x:c>
      <x:c r="AD204" t="str">
        <x:f>IF(Calc!$Y$204&gt;'Calc'!$B$8,"",'Calc'!$B$5-'财富模型'!$E$5-(IF('Calc'!$E$15=1,'财富模型'!$E$9,'财富模型'!$M$7+IF(Calc!$Y$204&lt;='财富模型'!$E$11*12,'Calc'!$W$15,'Calc'!$Y$15)-(IF('Calc'!$E$15=1,0,MIN(Calc!$AA$203*(1+'财富模型'!$E$20/12)+'Calc'!$B$6,IF(Calc!$Y$204&lt;='财富模型'!$E$11*12,'Calc'!$W$15,'Calc'!$Y$15)))))))</x:f>
      </x:c>
      <x:c r="AE204" t="str">
        <x:f>IF(Calc!$Y$204&gt;'Calc'!$B$8,"",IF('Calc'!$E$15=1,0,MAX(Calc!$AE$203*(1+IF(Calc!$Y$204&lt;='财富模型'!$E$11*12,'财富模型'!$E$10,'财富模型'!$E$12)/12)-IF('Calc'!$E$15=1,0,IF(Calc!$Y$204&lt;='财富模型'!$E$11*12,'Calc'!$W$15,'Calc'!$Y$15)),0)))</x:f>
      </x:c>
      <x:c r="AG204" t="n">
        <x:v>183</x:v>
      </x:c>
      <x:c r="AH204" t="str">
        <x:f>IF(Calc!$AG$204&gt;'Calc'!$B$8,"",MAX(Calc!$AH$203*(1+'财富模型'!$E$6/12)+('Calc'!$B$5-'财富模型'!$E$5-(IF('Calc'!$E$16=1,'财富模型'!$E$9,'财富模型'!$M$8+IF(Calc!$AG$204&lt;='财富模型'!$E$11*12,'Calc'!$W$16,'Calc'!$Y$16)-(IF('Calc'!$E$16=1,0,MIN(Calc!$AI$203*(1+'财富模型'!$E$20/12)+'Calc'!$B$6,IF(Calc!$AG$204&lt;='财富模型'!$E$11*12,'Calc'!$W$16,'Calc'!$Y$16))))))),0))</x:f>
      </x:c>
      <x:c r="AI204" t="str">
        <x:f>IF(Calc!$AG$204&gt;'Calc'!$B$8,"",MAX(Calc!$AI$203*(1+'财富模型'!$E$20/12)+'Calc'!$B$6-(IF('Calc'!$E$16=1,0,MIN(Calc!$AI$203*(1+'财富模型'!$E$20/12)+'Calc'!$B$6,IF(Calc!$AG$204&lt;='财富模型'!$E$11*12,'Calc'!$W$16,'Calc'!$Y$16)))),0))</x:f>
      </x:c>
      <x:c r="AJ204" t="str">
        <x:f>IF(Calc!$AG$204&gt;'Calc'!$B$8,"",IF('Calc'!$E$16=1,'财富模型'!$E$9,'财富模型'!$M$8+IF(Calc!$AG$204&lt;='财富模型'!$E$11*12,'Calc'!$W$16,'Calc'!$Y$16)-(IF('Calc'!$E$16=1,0,MIN(Calc!$AI$203*(1+'财富模型'!$E$20/12)+'Calc'!$B$6,IF(Calc!$AG$204&lt;='财富模型'!$E$11*12,'Calc'!$W$16,'Calc'!$Y$16))))))</x:f>
      </x:c>
      <x:c r="AK204" t="str">
        <x:f>IF(Calc!$AG$204&gt;'Calc'!$B$8,"",IF('Calc'!$E$16=1,0,MIN(Calc!$AI$203*(1+'财富模型'!$E$20/12)+'Calc'!$B$6,IF(Calc!$AG$204&lt;='财富模型'!$E$11*12,'Calc'!$W$16,'Calc'!$Y$16))))</x:f>
      </x:c>
      <x:c r="AL204" t="str">
        <x:f>IF(Calc!$AG$204&gt;'Calc'!$B$8,"",'Calc'!$B$5-'财富模型'!$E$5-(IF('Calc'!$E$16=1,'财富模型'!$E$9,'财富模型'!$M$8+IF(Calc!$AG$204&lt;='财富模型'!$E$11*12,'Calc'!$W$16,'Calc'!$Y$16)-(IF('Calc'!$E$16=1,0,MIN(Calc!$AI$203*(1+'财富模型'!$E$20/12)+'Calc'!$B$6,IF(Calc!$AG$204&lt;='财富模型'!$E$11*12,'Calc'!$W$16,'Calc'!$Y$16)))))))</x:f>
      </x:c>
      <x:c r="AM204" t="str">
        <x:f>IF(Calc!$AG$204&gt;'Calc'!$B$8,"",IF('Calc'!$E$16=1,0,MAX(Calc!$AM$203*(1+IF(Calc!$AG$204&lt;='财富模型'!$E$11*12,'财富模型'!$E$10,'财富模型'!$E$12)/12)-IF('Calc'!$E$16=1,0,IF(Calc!$AG$204&lt;='财富模型'!$E$11*12,'Calc'!$W$16,'Calc'!$Y$16)),0)))</x:f>
      </x:c>
      <x:c r="AO204" t="n">
        <x:v>183</x:v>
      </x:c>
      <x:c r="AP204" t="str">
        <x:f>IF(Calc!$AO$204&gt;'Calc'!$B$8,"",MAX(Calc!$AP$203*(1+'财富模型'!$E$6/12)+('Calc'!$B$5-'财富模型'!$E$5-(IF('Calc'!$E$17=1,'财富模型'!$E$9,'财富模型'!$M$9+IF(Calc!$AO$204&lt;='财富模型'!$E$11*12,'Calc'!$W$17,'Calc'!$Y$17)-(IF('Calc'!$E$17=1,0,MIN(Calc!$AQ$203*(1+'财富模型'!$E$20/12)+'Calc'!$B$6,IF(Calc!$AO$204&lt;='财富模型'!$E$11*12,'Calc'!$W$17,'Calc'!$Y$17))))))),0))</x:f>
      </x:c>
      <x:c r="AQ204" t="str">
        <x:f>IF(Calc!$AO$204&gt;'Calc'!$B$8,"",MAX(Calc!$AQ$203*(1+'财富模型'!$E$20/12)+'Calc'!$B$6-(IF('Calc'!$E$17=1,0,MIN(Calc!$AQ$203*(1+'财富模型'!$E$20/12)+'Calc'!$B$6,IF(Calc!$AO$204&lt;='财富模型'!$E$11*12,'Calc'!$W$17,'Calc'!$Y$17)))),0))</x:f>
      </x:c>
      <x:c r="AR204" t="str">
        <x:f>IF(Calc!$AO$204&gt;'Calc'!$B$8,"",IF('Calc'!$E$17=1,'财富模型'!$E$9,'财富模型'!$M$9+IF(Calc!$AO$204&lt;='财富模型'!$E$11*12,'Calc'!$W$17,'Calc'!$Y$17)-(IF('Calc'!$E$17=1,0,MIN(Calc!$AQ$203*(1+'财富模型'!$E$20/12)+'Calc'!$B$6,IF(Calc!$AO$204&lt;='财富模型'!$E$11*12,'Calc'!$W$17,'Calc'!$Y$17))))))</x:f>
      </x:c>
      <x:c r="AS204" t="str">
        <x:f>IF(Calc!$AO$204&gt;'Calc'!$B$8,"",IF('Calc'!$E$17=1,0,MIN(Calc!$AQ$203*(1+'财富模型'!$E$20/12)+'Calc'!$B$6,IF(Calc!$AO$204&lt;='财富模型'!$E$11*12,'Calc'!$W$17,'Calc'!$Y$17))))</x:f>
      </x:c>
      <x:c r="AT204" t="str">
        <x:f>IF(Calc!$AO$204&gt;'Calc'!$B$8,"",'Calc'!$B$5-'财富模型'!$E$5-(IF('Calc'!$E$17=1,'财富模型'!$E$9,'财富模型'!$M$9+IF(Calc!$AO$204&lt;='财富模型'!$E$11*12,'Calc'!$W$17,'Calc'!$Y$17)-(IF('Calc'!$E$17=1,0,MIN(Calc!$AQ$203*(1+'财富模型'!$E$20/12)+'Calc'!$B$6,IF(Calc!$AO$204&lt;='财富模型'!$E$11*12,'Calc'!$W$17,'Calc'!$Y$17)))))))</x:f>
      </x:c>
      <x:c r="AU204" t="str">
        <x:f>IF(Calc!$AO$204&gt;'Calc'!$B$8,"",IF('Calc'!$E$17=1,0,MAX(Calc!$AU$203*(1+IF(Calc!$AO$204&lt;='财富模型'!$E$11*12,'财富模型'!$E$10,'财富模型'!$E$12)/12)-IF('Calc'!$E$17=1,0,IF(Calc!$AO$204&lt;='财富模型'!$E$11*12,'Calc'!$W$17,'Calc'!$Y$17)),0)))</x:f>
      </x:c>
    </x:row>
    <x:row r="205">
      <x:c r="A205" t="n">
        <x:v>184</x:v>
      </x:c>
      <x:c r="B205" t="str">
        <x:f>IF(Calc!$A$205&gt;'Calc'!$B$8,"",MAX(Calc!$B$204*(1+'财富模型'!$E$6/12)+('Calc'!$B$5-'财富模型'!$E$5-(IF('Calc'!$E$12=1,'财富模型'!$E$9,'财富模型'!$M$4+IF(Calc!$A$205&lt;='财富模型'!$E$11*12,'Calc'!$W$12,'Calc'!$Y$12)-(IF('Calc'!$E$12=1,0,MIN(Calc!$C$204*(1+'财富模型'!$E$20/12)+'Calc'!$B$6,IF(Calc!$A$205&lt;='财富模型'!$E$11*12,'Calc'!$W$12,'Calc'!$Y$12))))))),0))</x:f>
      </x:c>
      <x:c r="C205" t="str">
        <x:f>IF(Calc!$A$205&gt;'Calc'!$B$8,"",MAX(Calc!$C$204*(1+'财富模型'!$E$20/12)+'Calc'!$B$6-(IF('Calc'!$E$12=1,0,MIN(Calc!$C$204*(1+'财富模型'!$E$20/12)+'Calc'!$B$6,IF(Calc!$A$205&lt;='财富模型'!$E$11*12,'Calc'!$W$12,'Calc'!$Y$12)))),0))</x:f>
      </x:c>
      <x:c r="D205" t="str">
        <x:f>IF(Calc!$A$205&gt;'Calc'!$B$8,"",IF('Calc'!$E$12=1,'财富模型'!$E$9,'财富模型'!$M$4+IF(Calc!$A$205&lt;='财富模型'!$E$11*12,'Calc'!$W$12,'Calc'!$Y$12)-(IF('Calc'!$E$12=1,0,MIN(Calc!$C$204*(1+'财富模型'!$E$20/12)+'Calc'!$B$6,IF(Calc!$A$205&lt;='财富模型'!$E$11*12,'Calc'!$W$12,'Calc'!$Y$12))))))</x:f>
      </x:c>
      <x:c r="E205" t="str">
        <x:f>IF(Calc!$A$205&gt;'Calc'!$B$8,"",IF('Calc'!$E$12=1,0,MIN(Calc!$C$204*(1+'财富模型'!$E$20/12)+'Calc'!$B$6,IF(Calc!$A$205&lt;='财富模型'!$E$11*12,'Calc'!$W$12,'Calc'!$Y$12))))</x:f>
      </x:c>
      <x:c r="F205" t="str">
        <x:f>IF(Calc!$A$205&gt;'Calc'!$B$8,"",'Calc'!$B$5-'财富模型'!$E$5-(IF('Calc'!$E$12=1,'财富模型'!$E$9,'财富模型'!$M$4+IF(Calc!$A$205&lt;='财富模型'!$E$11*12,'Calc'!$W$12,'Calc'!$Y$12)-(IF('Calc'!$E$12=1,0,MIN(Calc!$C$204*(1+'财富模型'!$E$20/12)+'Calc'!$B$6,IF(Calc!$A$205&lt;='财富模型'!$E$11*12,'Calc'!$W$12,'Calc'!$Y$12)))))))</x:f>
      </x:c>
      <x:c r="G205" t="str">
        <x:f>IF(Calc!$A$205&gt;'Calc'!$B$8,"",IF('Calc'!$E$12=1,0,MAX(Calc!$G$204*(1+IF(Calc!$A$205&lt;='财富模型'!$E$11*12,'财富模型'!$E$10,'财富模型'!$E$12)/12)-IF('Calc'!$E$12=1,0,IF(Calc!$A$205&lt;='财富模型'!$E$11*12,'Calc'!$W$12,'Calc'!$Y$12)),0)))</x:f>
      </x:c>
      <x:c r="I205" t="n">
        <x:v>184</x:v>
      </x:c>
      <x:c r="J205" t="str">
        <x:f>IF(Calc!$I$205&gt;'Calc'!$B$8,"",MAX(Calc!$J$204*(1+'财富模型'!$E$6/12)+('Calc'!$B$5-'财富模型'!$E$5-(IF('Calc'!$E$13=1,'财富模型'!$E$9,'财富模型'!$M$5+IF(Calc!$I$205&lt;='财富模型'!$E$11*12,'Calc'!$W$13,'Calc'!$Y$13)-(IF('Calc'!$E$13=1,0,MIN(Calc!$K$204*(1+'财富模型'!$E$20/12)+'Calc'!$B$6,IF(Calc!$I$205&lt;='财富模型'!$E$11*12,'Calc'!$W$13,'Calc'!$Y$13))))))),0))</x:f>
      </x:c>
      <x:c r="K205" t="str">
        <x:f>IF(Calc!$I$205&gt;'Calc'!$B$8,"",MAX(Calc!$K$204*(1+'财富模型'!$E$20/12)+'Calc'!$B$6-(IF('Calc'!$E$13=1,0,MIN(Calc!$K$204*(1+'财富模型'!$E$20/12)+'Calc'!$B$6,IF(Calc!$I$205&lt;='财富模型'!$E$11*12,'Calc'!$W$13,'Calc'!$Y$13)))),0))</x:f>
      </x:c>
      <x:c r="L205" t="str">
        <x:f>IF(Calc!$I$205&gt;'Calc'!$B$8,"",IF('Calc'!$E$13=1,'财富模型'!$E$9,'财富模型'!$M$5+IF(Calc!$I$205&lt;='财富模型'!$E$11*12,'Calc'!$W$13,'Calc'!$Y$13)-(IF('Calc'!$E$13=1,0,MIN(Calc!$K$204*(1+'财富模型'!$E$20/12)+'Calc'!$B$6,IF(Calc!$I$205&lt;='财富模型'!$E$11*12,'Calc'!$W$13,'Calc'!$Y$13))))))</x:f>
      </x:c>
      <x:c r="M205" t="str">
        <x:f>IF(Calc!$I$205&gt;'Calc'!$B$8,"",IF('Calc'!$E$13=1,0,MIN(Calc!$K$204*(1+'财富模型'!$E$20/12)+'Calc'!$B$6,IF(Calc!$I$205&lt;='财富模型'!$E$11*12,'Calc'!$W$13,'Calc'!$Y$13))))</x:f>
      </x:c>
      <x:c r="N205" t="str">
        <x:f>IF(Calc!$I$205&gt;'Calc'!$B$8,"",'Calc'!$B$5-'财富模型'!$E$5-(IF('Calc'!$E$13=1,'财富模型'!$E$9,'财富模型'!$M$5+IF(Calc!$I$205&lt;='财富模型'!$E$11*12,'Calc'!$W$13,'Calc'!$Y$13)-(IF('Calc'!$E$13=1,0,MIN(Calc!$K$204*(1+'财富模型'!$E$20/12)+'Calc'!$B$6,IF(Calc!$I$205&lt;='财富模型'!$E$11*12,'Calc'!$W$13,'Calc'!$Y$13)))))))</x:f>
      </x:c>
      <x:c r="O205" t="str">
        <x:f>IF(Calc!$I$205&gt;'Calc'!$B$8,"",IF('Calc'!$E$13=1,0,MAX(Calc!$O$204*(1+IF(Calc!$I$205&lt;='财富模型'!$E$11*12,'财富模型'!$E$10,'财富模型'!$E$12)/12)-IF('Calc'!$E$13=1,0,IF(Calc!$I$205&lt;='财富模型'!$E$11*12,'Calc'!$W$13,'Calc'!$Y$13)),0)))</x:f>
      </x:c>
      <x:c r="Q205" t="n">
        <x:v>184</x:v>
      </x:c>
      <x:c r="R205" t="str">
        <x:f>IF(Calc!$Q$205&gt;'Calc'!$B$8,"",MAX(Calc!$R$204*(1+'财富模型'!$E$6/12)+('Calc'!$B$5-'财富模型'!$E$5-(IF('Calc'!$E$14=1,'财富模型'!$E$9,'财富模型'!$M$6+IF(Calc!$Q$205&lt;='财富模型'!$E$11*12,'Calc'!$W$14,'Calc'!$Y$14)-(IF('Calc'!$E$14=1,0,MIN(Calc!$S$204*(1+'财富模型'!$E$20/12)+'Calc'!$B$6,IF(Calc!$Q$205&lt;='财富模型'!$E$11*12,'Calc'!$W$14,'Calc'!$Y$14))))))),0))</x:f>
      </x:c>
      <x:c r="S205" t="str">
        <x:f>IF(Calc!$Q$205&gt;'Calc'!$B$8,"",MAX(Calc!$S$204*(1+'财富模型'!$E$20/12)+'Calc'!$B$6-(IF('Calc'!$E$14=1,0,MIN(Calc!$S$204*(1+'财富模型'!$E$20/12)+'Calc'!$B$6,IF(Calc!$Q$205&lt;='财富模型'!$E$11*12,'Calc'!$W$14,'Calc'!$Y$14)))),0))</x:f>
      </x:c>
      <x:c r="T205" t="str">
        <x:f>IF(Calc!$Q$205&gt;'Calc'!$B$8,"",IF('Calc'!$E$14=1,'财富模型'!$E$9,'财富模型'!$M$6+IF(Calc!$Q$205&lt;='财富模型'!$E$11*12,'Calc'!$W$14,'Calc'!$Y$14)-(IF('Calc'!$E$14=1,0,MIN(Calc!$S$204*(1+'财富模型'!$E$20/12)+'Calc'!$B$6,IF(Calc!$Q$205&lt;='财富模型'!$E$11*12,'Calc'!$W$14,'Calc'!$Y$14))))))</x:f>
      </x:c>
      <x:c r="U205" t="str">
        <x:f>IF(Calc!$Q$205&gt;'Calc'!$B$8,"",IF('Calc'!$E$14=1,0,MIN(Calc!$S$204*(1+'财富模型'!$E$20/12)+'Calc'!$B$6,IF(Calc!$Q$205&lt;='财富模型'!$E$11*12,'Calc'!$W$14,'Calc'!$Y$14))))</x:f>
      </x:c>
      <x:c r="V205" t="str">
        <x:f>IF(Calc!$Q$205&gt;'Calc'!$B$8,"",'Calc'!$B$5-'财富模型'!$E$5-(IF('Calc'!$E$14=1,'财富模型'!$E$9,'财富模型'!$M$6+IF(Calc!$Q$205&lt;='财富模型'!$E$11*12,'Calc'!$W$14,'Calc'!$Y$14)-(IF('Calc'!$E$14=1,0,MIN(Calc!$S$204*(1+'财富模型'!$E$20/12)+'Calc'!$B$6,IF(Calc!$Q$205&lt;='财富模型'!$E$11*12,'Calc'!$W$14,'Calc'!$Y$14)))))))</x:f>
      </x:c>
      <x:c r="W205" t="str">
        <x:f>IF(Calc!$Q$205&gt;'Calc'!$B$8,"",IF('Calc'!$E$14=1,0,MAX(Calc!$W$204*(1+IF(Calc!$Q$205&lt;='财富模型'!$E$11*12,'财富模型'!$E$10,'财富模型'!$E$12)/12)-IF('Calc'!$E$14=1,0,IF(Calc!$Q$205&lt;='财富模型'!$E$11*12,'Calc'!$W$14,'Calc'!$Y$14)),0)))</x:f>
      </x:c>
      <x:c r="Y205" t="n">
        <x:v>184</x:v>
      </x:c>
      <x:c r="Z205" t="str">
        <x:f>IF(Calc!$Y$205&gt;'Calc'!$B$8,"",MAX(Calc!$Z$204*(1+'财富模型'!$E$6/12)+('Calc'!$B$5-'财富模型'!$E$5-(IF('Calc'!$E$15=1,'财富模型'!$E$9,'财富模型'!$M$7+IF(Calc!$Y$205&lt;='财富模型'!$E$11*12,'Calc'!$W$15,'Calc'!$Y$15)-(IF('Calc'!$E$15=1,0,MIN(Calc!$AA$204*(1+'财富模型'!$E$20/12)+'Calc'!$B$6,IF(Calc!$Y$205&lt;='财富模型'!$E$11*12,'Calc'!$W$15,'Calc'!$Y$15))))))),0))</x:f>
      </x:c>
      <x:c r="AA205" t="str">
        <x:f>IF(Calc!$Y$205&gt;'Calc'!$B$8,"",MAX(Calc!$AA$204*(1+'财富模型'!$E$20/12)+'Calc'!$B$6-(IF('Calc'!$E$15=1,0,MIN(Calc!$AA$204*(1+'财富模型'!$E$20/12)+'Calc'!$B$6,IF(Calc!$Y$205&lt;='财富模型'!$E$11*12,'Calc'!$W$15,'Calc'!$Y$15)))),0))</x:f>
      </x:c>
      <x:c r="AB205" t="str">
        <x:f>IF(Calc!$Y$205&gt;'Calc'!$B$8,"",IF('Calc'!$E$15=1,'财富模型'!$E$9,'财富模型'!$M$7+IF(Calc!$Y$205&lt;='财富模型'!$E$11*12,'Calc'!$W$15,'Calc'!$Y$15)-(IF('Calc'!$E$15=1,0,MIN(Calc!$AA$204*(1+'财富模型'!$E$20/12)+'Calc'!$B$6,IF(Calc!$Y$205&lt;='财富模型'!$E$11*12,'Calc'!$W$15,'Calc'!$Y$15))))))</x:f>
      </x:c>
      <x:c r="AC205" t="str">
        <x:f>IF(Calc!$Y$205&gt;'Calc'!$B$8,"",IF('Calc'!$E$15=1,0,MIN(Calc!$AA$204*(1+'财富模型'!$E$20/12)+'Calc'!$B$6,IF(Calc!$Y$205&lt;='财富模型'!$E$11*12,'Calc'!$W$15,'Calc'!$Y$15))))</x:f>
      </x:c>
      <x:c r="AD205" t="str">
        <x:f>IF(Calc!$Y$205&gt;'Calc'!$B$8,"",'Calc'!$B$5-'财富模型'!$E$5-(IF('Calc'!$E$15=1,'财富模型'!$E$9,'财富模型'!$M$7+IF(Calc!$Y$205&lt;='财富模型'!$E$11*12,'Calc'!$W$15,'Calc'!$Y$15)-(IF('Calc'!$E$15=1,0,MIN(Calc!$AA$204*(1+'财富模型'!$E$20/12)+'Calc'!$B$6,IF(Calc!$Y$205&lt;='财富模型'!$E$11*12,'Calc'!$W$15,'Calc'!$Y$15)))))))</x:f>
      </x:c>
      <x:c r="AE205" t="str">
        <x:f>IF(Calc!$Y$205&gt;'Calc'!$B$8,"",IF('Calc'!$E$15=1,0,MAX(Calc!$AE$204*(1+IF(Calc!$Y$205&lt;='财富模型'!$E$11*12,'财富模型'!$E$10,'财富模型'!$E$12)/12)-IF('Calc'!$E$15=1,0,IF(Calc!$Y$205&lt;='财富模型'!$E$11*12,'Calc'!$W$15,'Calc'!$Y$15)),0)))</x:f>
      </x:c>
      <x:c r="AG205" t="n">
        <x:v>184</x:v>
      </x:c>
      <x:c r="AH205" t="str">
        <x:f>IF(Calc!$AG$205&gt;'Calc'!$B$8,"",MAX(Calc!$AH$204*(1+'财富模型'!$E$6/12)+('Calc'!$B$5-'财富模型'!$E$5-(IF('Calc'!$E$16=1,'财富模型'!$E$9,'财富模型'!$M$8+IF(Calc!$AG$205&lt;='财富模型'!$E$11*12,'Calc'!$W$16,'Calc'!$Y$16)-(IF('Calc'!$E$16=1,0,MIN(Calc!$AI$204*(1+'财富模型'!$E$20/12)+'Calc'!$B$6,IF(Calc!$AG$205&lt;='财富模型'!$E$11*12,'Calc'!$W$16,'Calc'!$Y$16))))))),0))</x:f>
      </x:c>
      <x:c r="AI205" t="str">
        <x:f>IF(Calc!$AG$205&gt;'Calc'!$B$8,"",MAX(Calc!$AI$204*(1+'财富模型'!$E$20/12)+'Calc'!$B$6-(IF('Calc'!$E$16=1,0,MIN(Calc!$AI$204*(1+'财富模型'!$E$20/12)+'Calc'!$B$6,IF(Calc!$AG$205&lt;='财富模型'!$E$11*12,'Calc'!$W$16,'Calc'!$Y$16)))),0))</x:f>
      </x:c>
      <x:c r="AJ205" t="str">
        <x:f>IF(Calc!$AG$205&gt;'Calc'!$B$8,"",IF('Calc'!$E$16=1,'财富模型'!$E$9,'财富模型'!$M$8+IF(Calc!$AG$205&lt;='财富模型'!$E$11*12,'Calc'!$W$16,'Calc'!$Y$16)-(IF('Calc'!$E$16=1,0,MIN(Calc!$AI$204*(1+'财富模型'!$E$20/12)+'Calc'!$B$6,IF(Calc!$AG$205&lt;='财富模型'!$E$11*12,'Calc'!$W$16,'Calc'!$Y$16))))))</x:f>
      </x:c>
      <x:c r="AK205" t="str">
        <x:f>IF(Calc!$AG$205&gt;'Calc'!$B$8,"",IF('Calc'!$E$16=1,0,MIN(Calc!$AI$204*(1+'财富模型'!$E$20/12)+'Calc'!$B$6,IF(Calc!$AG$205&lt;='财富模型'!$E$11*12,'Calc'!$W$16,'Calc'!$Y$16))))</x:f>
      </x:c>
      <x:c r="AL205" t="str">
        <x:f>IF(Calc!$AG$205&gt;'Calc'!$B$8,"",'Calc'!$B$5-'财富模型'!$E$5-(IF('Calc'!$E$16=1,'财富模型'!$E$9,'财富模型'!$M$8+IF(Calc!$AG$205&lt;='财富模型'!$E$11*12,'Calc'!$W$16,'Calc'!$Y$16)-(IF('Calc'!$E$16=1,0,MIN(Calc!$AI$204*(1+'财富模型'!$E$20/12)+'Calc'!$B$6,IF(Calc!$AG$205&lt;='财富模型'!$E$11*12,'Calc'!$W$16,'Calc'!$Y$16)))))))</x:f>
      </x:c>
      <x:c r="AM205" t="str">
        <x:f>IF(Calc!$AG$205&gt;'Calc'!$B$8,"",IF('Calc'!$E$16=1,0,MAX(Calc!$AM$204*(1+IF(Calc!$AG$205&lt;='财富模型'!$E$11*12,'财富模型'!$E$10,'财富模型'!$E$12)/12)-IF('Calc'!$E$16=1,0,IF(Calc!$AG$205&lt;='财富模型'!$E$11*12,'Calc'!$W$16,'Calc'!$Y$16)),0)))</x:f>
      </x:c>
      <x:c r="AO205" t="n">
        <x:v>184</x:v>
      </x:c>
      <x:c r="AP205" t="str">
        <x:f>IF(Calc!$AO$205&gt;'Calc'!$B$8,"",MAX(Calc!$AP$204*(1+'财富模型'!$E$6/12)+('Calc'!$B$5-'财富模型'!$E$5-(IF('Calc'!$E$17=1,'财富模型'!$E$9,'财富模型'!$M$9+IF(Calc!$AO$205&lt;='财富模型'!$E$11*12,'Calc'!$W$17,'Calc'!$Y$17)-(IF('Calc'!$E$17=1,0,MIN(Calc!$AQ$204*(1+'财富模型'!$E$20/12)+'Calc'!$B$6,IF(Calc!$AO$205&lt;='财富模型'!$E$11*12,'Calc'!$W$17,'Calc'!$Y$17))))))),0))</x:f>
      </x:c>
      <x:c r="AQ205" t="str">
        <x:f>IF(Calc!$AO$205&gt;'Calc'!$B$8,"",MAX(Calc!$AQ$204*(1+'财富模型'!$E$20/12)+'Calc'!$B$6-(IF('Calc'!$E$17=1,0,MIN(Calc!$AQ$204*(1+'财富模型'!$E$20/12)+'Calc'!$B$6,IF(Calc!$AO$205&lt;='财富模型'!$E$11*12,'Calc'!$W$17,'Calc'!$Y$17)))),0))</x:f>
      </x:c>
      <x:c r="AR205" t="str">
        <x:f>IF(Calc!$AO$205&gt;'Calc'!$B$8,"",IF('Calc'!$E$17=1,'财富模型'!$E$9,'财富模型'!$M$9+IF(Calc!$AO$205&lt;='财富模型'!$E$11*12,'Calc'!$W$17,'Calc'!$Y$17)-(IF('Calc'!$E$17=1,0,MIN(Calc!$AQ$204*(1+'财富模型'!$E$20/12)+'Calc'!$B$6,IF(Calc!$AO$205&lt;='财富模型'!$E$11*12,'Calc'!$W$17,'Calc'!$Y$17))))))</x:f>
      </x:c>
      <x:c r="AS205" t="str">
        <x:f>IF(Calc!$AO$205&gt;'Calc'!$B$8,"",IF('Calc'!$E$17=1,0,MIN(Calc!$AQ$204*(1+'财富模型'!$E$20/12)+'Calc'!$B$6,IF(Calc!$AO$205&lt;='财富模型'!$E$11*12,'Calc'!$W$17,'Calc'!$Y$17))))</x:f>
      </x:c>
      <x:c r="AT205" t="str">
        <x:f>IF(Calc!$AO$205&gt;'Calc'!$B$8,"",'Calc'!$B$5-'财富模型'!$E$5-(IF('Calc'!$E$17=1,'财富模型'!$E$9,'财富模型'!$M$9+IF(Calc!$AO$205&lt;='财富模型'!$E$11*12,'Calc'!$W$17,'Calc'!$Y$17)-(IF('Calc'!$E$17=1,0,MIN(Calc!$AQ$204*(1+'财富模型'!$E$20/12)+'Calc'!$B$6,IF(Calc!$AO$205&lt;='财富模型'!$E$11*12,'Calc'!$W$17,'Calc'!$Y$17)))))))</x:f>
      </x:c>
      <x:c r="AU205" t="str">
        <x:f>IF(Calc!$AO$205&gt;'Calc'!$B$8,"",IF('Calc'!$E$17=1,0,MAX(Calc!$AU$204*(1+IF(Calc!$AO$205&lt;='财富模型'!$E$11*12,'财富模型'!$E$10,'财富模型'!$E$12)/12)-IF('Calc'!$E$17=1,0,IF(Calc!$AO$205&lt;='财富模型'!$E$11*12,'Calc'!$W$17,'Calc'!$Y$17)),0)))</x:f>
      </x:c>
    </x:row>
    <x:row r="206">
      <x:c r="A206" t="n">
        <x:v>185</x:v>
      </x:c>
      <x:c r="B206" t="str">
        <x:f>IF(Calc!$A$206&gt;'Calc'!$B$8,"",MAX(Calc!$B$205*(1+'财富模型'!$E$6/12)+('Calc'!$B$5-'财富模型'!$E$5-(IF('Calc'!$E$12=1,'财富模型'!$E$9,'财富模型'!$M$4+IF(Calc!$A$206&lt;='财富模型'!$E$11*12,'Calc'!$W$12,'Calc'!$Y$12)-(IF('Calc'!$E$12=1,0,MIN(Calc!$C$205*(1+'财富模型'!$E$20/12)+'Calc'!$B$6,IF(Calc!$A$206&lt;='财富模型'!$E$11*12,'Calc'!$W$12,'Calc'!$Y$12))))))),0))</x:f>
      </x:c>
      <x:c r="C206" t="str">
        <x:f>IF(Calc!$A$206&gt;'Calc'!$B$8,"",MAX(Calc!$C$205*(1+'财富模型'!$E$20/12)+'Calc'!$B$6-(IF('Calc'!$E$12=1,0,MIN(Calc!$C$205*(1+'财富模型'!$E$20/12)+'Calc'!$B$6,IF(Calc!$A$206&lt;='财富模型'!$E$11*12,'Calc'!$W$12,'Calc'!$Y$12)))),0))</x:f>
      </x:c>
      <x:c r="D206" t="str">
        <x:f>IF(Calc!$A$206&gt;'Calc'!$B$8,"",IF('Calc'!$E$12=1,'财富模型'!$E$9,'财富模型'!$M$4+IF(Calc!$A$206&lt;='财富模型'!$E$11*12,'Calc'!$W$12,'Calc'!$Y$12)-(IF('Calc'!$E$12=1,0,MIN(Calc!$C$205*(1+'财富模型'!$E$20/12)+'Calc'!$B$6,IF(Calc!$A$206&lt;='财富模型'!$E$11*12,'Calc'!$W$12,'Calc'!$Y$12))))))</x:f>
      </x:c>
      <x:c r="E206" t="str">
        <x:f>IF(Calc!$A$206&gt;'Calc'!$B$8,"",IF('Calc'!$E$12=1,0,MIN(Calc!$C$205*(1+'财富模型'!$E$20/12)+'Calc'!$B$6,IF(Calc!$A$206&lt;='财富模型'!$E$11*12,'Calc'!$W$12,'Calc'!$Y$12))))</x:f>
      </x:c>
      <x:c r="F206" t="str">
        <x:f>IF(Calc!$A$206&gt;'Calc'!$B$8,"",'Calc'!$B$5-'财富模型'!$E$5-(IF('Calc'!$E$12=1,'财富模型'!$E$9,'财富模型'!$M$4+IF(Calc!$A$206&lt;='财富模型'!$E$11*12,'Calc'!$W$12,'Calc'!$Y$12)-(IF('Calc'!$E$12=1,0,MIN(Calc!$C$205*(1+'财富模型'!$E$20/12)+'Calc'!$B$6,IF(Calc!$A$206&lt;='财富模型'!$E$11*12,'Calc'!$W$12,'Calc'!$Y$12)))))))</x:f>
      </x:c>
      <x:c r="G206" t="str">
        <x:f>IF(Calc!$A$206&gt;'Calc'!$B$8,"",IF('Calc'!$E$12=1,0,MAX(Calc!$G$205*(1+IF(Calc!$A$206&lt;='财富模型'!$E$11*12,'财富模型'!$E$10,'财富模型'!$E$12)/12)-IF('Calc'!$E$12=1,0,IF(Calc!$A$206&lt;='财富模型'!$E$11*12,'Calc'!$W$12,'Calc'!$Y$12)),0)))</x:f>
      </x:c>
      <x:c r="I206" t="n">
        <x:v>185</x:v>
      </x:c>
      <x:c r="J206" t="str">
        <x:f>IF(Calc!$I$206&gt;'Calc'!$B$8,"",MAX(Calc!$J$205*(1+'财富模型'!$E$6/12)+('Calc'!$B$5-'财富模型'!$E$5-(IF('Calc'!$E$13=1,'财富模型'!$E$9,'财富模型'!$M$5+IF(Calc!$I$206&lt;='财富模型'!$E$11*12,'Calc'!$W$13,'Calc'!$Y$13)-(IF('Calc'!$E$13=1,0,MIN(Calc!$K$205*(1+'财富模型'!$E$20/12)+'Calc'!$B$6,IF(Calc!$I$206&lt;='财富模型'!$E$11*12,'Calc'!$W$13,'Calc'!$Y$13))))))),0))</x:f>
      </x:c>
      <x:c r="K206" t="str">
        <x:f>IF(Calc!$I$206&gt;'Calc'!$B$8,"",MAX(Calc!$K$205*(1+'财富模型'!$E$20/12)+'Calc'!$B$6-(IF('Calc'!$E$13=1,0,MIN(Calc!$K$205*(1+'财富模型'!$E$20/12)+'Calc'!$B$6,IF(Calc!$I$206&lt;='财富模型'!$E$11*12,'Calc'!$W$13,'Calc'!$Y$13)))),0))</x:f>
      </x:c>
      <x:c r="L206" t="str">
        <x:f>IF(Calc!$I$206&gt;'Calc'!$B$8,"",IF('Calc'!$E$13=1,'财富模型'!$E$9,'财富模型'!$M$5+IF(Calc!$I$206&lt;='财富模型'!$E$11*12,'Calc'!$W$13,'Calc'!$Y$13)-(IF('Calc'!$E$13=1,0,MIN(Calc!$K$205*(1+'财富模型'!$E$20/12)+'Calc'!$B$6,IF(Calc!$I$206&lt;='财富模型'!$E$11*12,'Calc'!$W$13,'Calc'!$Y$13))))))</x:f>
      </x:c>
      <x:c r="M206" t="str">
        <x:f>IF(Calc!$I$206&gt;'Calc'!$B$8,"",IF('Calc'!$E$13=1,0,MIN(Calc!$K$205*(1+'财富模型'!$E$20/12)+'Calc'!$B$6,IF(Calc!$I$206&lt;='财富模型'!$E$11*12,'Calc'!$W$13,'Calc'!$Y$13))))</x:f>
      </x:c>
      <x:c r="N206" t="str">
        <x:f>IF(Calc!$I$206&gt;'Calc'!$B$8,"",'Calc'!$B$5-'财富模型'!$E$5-(IF('Calc'!$E$13=1,'财富模型'!$E$9,'财富模型'!$M$5+IF(Calc!$I$206&lt;='财富模型'!$E$11*12,'Calc'!$W$13,'Calc'!$Y$13)-(IF('Calc'!$E$13=1,0,MIN(Calc!$K$205*(1+'财富模型'!$E$20/12)+'Calc'!$B$6,IF(Calc!$I$206&lt;='财富模型'!$E$11*12,'Calc'!$W$13,'Calc'!$Y$13)))))))</x:f>
      </x:c>
      <x:c r="O206" t="str">
        <x:f>IF(Calc!$I$206&gt;'Calc'!$B$8,"",IF('Calc'!$E$13=1,0,MAX(Calc!$O$205*(1+IF(Calc!$I$206&lt;='财富模型'!$E$11*12,'财富模型'!$E$10,'财富模型'!$E$12)/12)-IF('Calc'!$E$13=1,0,IF(Calc!$I$206&lt;='财富模型'!$E$11*12,'Calc'!$W$13,'Calc'!$Y$13)),0)))</x:f>
      </x:c>
      <x:c r="Q206" t="n">
        <x:v>185</x:v>
      </x:c>
      <x:c r="R206" t="str">
        <x:f>IF(Calc!$Q$206&gt;'Calc'!$B$8,"",MAX(Calc!$R$205*(1+'财富模型'!$E$6/12)+('Calc'!$B$5-'财富模型'!$E$5-(IF('Calc'!$E$14=1,'财富模型'!$E$9,'财富模型'!$M$6+IF(Calc!$Q$206&lt;='财富模型'!$E$11*12,'Calc'!$W$14,'Calc'!$Y$14)-(IF('Calc'!$E$14=1,0,MIN(Calc!$S$205*(1+'财富模型'!$E$20/12)+'Calc'!$B$6,IF(Calc!$Q$206&lt;='财富模型'!$E$11*12,'Calc'!$W$14,'Calc'!$Y$14))))))),0))</x:f>
      </x:c>
      <x:c r="S206" t="str">
        <x:f>IF(Calc!$Q$206&gt;'Calc'!$B$8,"",MAX(Calc!$S$205*(1+'财富模型'!$E$20/12)+'Calc'!$B$6-(IF('Calc'!$E$14=1,0,MIN(Calc!$S$205*(1+'财富模型'!$E$20/12)+'Calc'!$B$6,IF(Calc!$Q$206&lt;='财富模型'!$E$11*12,'Calc'!$W$14,'Calc'!$Y$14)))),0))</x:f>
      </x:c>
      <x:c r="T206" t="str">
        <x:f>IF(Calc!$Q$206&gt;'Calc'!$B$8,"",IF('Calc'!$E$14=1,'财富模型'!$E$9,'财富模型'!$M$6+IF(Calc!$Q$206&lt;='财富模型'!$E$11*12,'Calc'!$W$14,'Calc'!$Y$14)-(IF('Calc'!$E$14=1,0,MIN(Calc!$S$205*(1+'财富模型'!$E$20/12)+'Calc'!$B$6,IF(Calc!$Q$206&lt;='财富模型'!$E$11*12,'Calc'!$W$14,'Calc'!$Y$14))))))</x:f>
      </x:c>
      <x:c r="U206" t="str">
        <x:f>IF(Calc!$Q$206&gt;'Calc'!$B$8,"",IF('Calc'!$E$14=1,0,MIN(Calc!$S$205*(1+'财富模型'!$E$20/12)+'Calc'!$B$6,IF(Calc!$Q$206&lt;='财富模型'!$E$11*12,'Calc'!$W$14,'Calc'!$Y$14))))</x:f>
      </x:c>
      <x:c r="V206" t="str">
        <x:f>IF(Calc!$Q$206&gt;'Calc'!$B$8,"",'Calc'!$B$5-'财富模型'!$E$5-(IF('Calc'!$E$14=1,'财富模型'!$E$9,'财富模型'!$M$6+IF(Calc!$Q$206&lt;='财富模型'!$E$11*12,'Calc'!$W$14,'Calc'!$Y$14)-(IF('Calc'!$E$14=1,0,MIN(Calc!$S$205*(1+'财富模型'!$E$20/12)+'Calc'!$B$6,IF(Calc!$Q$206&lt;='财富模型'!$E$11*12,'Calc'!$W$14,'Calc'!$Y$14)))))))</x:f>
      </x:c>
      <x:c r="W206" t="str">
        <x:f>IF(Calc!$Q$206&gt;'Calc'!$B$8,"",IF('Calc'!$E$14=1,0,MAX(Calc!$W$205*(1+IF(Calc!$Q$206&lt;='财富模型'!$E$11*12,'财富模型'!$E$10,'财富模型'!$E$12)/12)-IF('Calc'!$E$14=1,0,IF(Calc!$Q$206&lt;='财富模型'!$E$11*12,'Calc'!$W$14,'Calc'!$Y$14)),0)))</x:f>
      </x:c>
      <x:c r="Y206" t="n">
        <x:v>185</x:v>
      </x:c>
      <x:c r="Z206" t="str">
        <x:f>IF(Calc!$Y$206&gt;'Calc'!$B$8,"",MAX(Calc!$Z$205*(1+'财富模型'!$E$6/12)+('Calc'!$B$5-'财富模型'!$E$5-(IF('Calc'!$E$15=1,'财富模型'!$E$9,'财富模型'!$M$7+IF(Calc!$Y$206&lt;='财富模型'!$E$11*12,'Calc'!$W$15,'Calc'!$Y$15)-(IF('Calc'!$E$15=1,0,MIN(Calc!$AA$205*(1+'财富模型'!$E$20/12)+'Calc'!$B$6,IF(Calc!$Y$206&lt;='财富模型'!$E$11*12,'Calc'!$W$15,'Calc'!$Y$15))))))),0))</x:f>
      </x:c>
      <x:c r="AA206" t="str">
        <x:f>IF(Calc!$Y$206&gt;'Calc'!$B$8,"",MAX(Calc!$AA$205*(1+'财富模型'!$E$20/12)+'Calc'!$B$6-(IF('Calc'!$E$15=1,0,MIN(Calc!$AA$205*(1+'财富模型'!$E$20/12)+'Calc'!$B$6,IF(Calc!$Y$206&lt;='财富模型'!$E$11*12,'Calc'!$W$15,'Calc'!$Y$15)))),0))</x:f>
      </x:c>
      <x:c r="AB206" t="str">
        <x:f>IF(Calc!$Y$206&gt;'Calc'!$B$8,"",IF('Calc'!$E$15=1,'财富模型'!$E$9,'财富模型'!$M$7+IF(Calc!$Y$206&lt;='财富模型'!$E$11*12,'Calc'!$W$15,'Calc'!$Y$15)-(IF('Calc'!$E$15=1,0,MIN(Calc!$AA$205*(1+'财富模型'!$E$20/12)+'Calc'!$B$6,IF(Calc!$Y$206&lt;='财富模型'!$E$11*12,'Calc'!$W$15,'Calc'!$Y$15))))))</x:f>
      </x:c>
      <x:c r="AC206" t="str">
        <x:f>IF(Calc!$Y$206&gt;'Calc'!$B$8,"",IF('Calc'!$E$15=1,0,MIN(Calc!$AA$205*(1+'财富模型'!$E$20/12)+'Calc'!$B$6,IF(Calc!$Y$206&lt;='财富模型'!$E$11*12,'Calc'!$W$15,'Calc'!$Y$15))))</x:f>
      </x:c>
      <x:c r="AD206" t="str">
        <x:f>IF(Calc!$Y$206&gt;'Calc'!$B$8,"",'Calc'!$B$5-'财富模型'!$E$5-(IF('Calc'!$E$15=1,'财富模型'!$E$9,'财富模型'!$M$7+IF(Calc!$Y$206&lt;='财富模型'!$E$11*12,'Calc'!$W$15,'Calc'!$Y$15)-(IF('Calc'!$E$15=1,0,MIN(Calc!$AA$205*(1+'财富模型'!$E$20/12)+'Calc'!$B$6,IF(Calc!$Y$206&lt;='财富模型'!$E$11*12,'Calc'!$W$15,'Calc'!$Y$15)))))))</x:f>
      </x:c>
      <x:c r="AE206" t="str">
        <x:f>IF(Calc!$Y$206&gt;'Calc'!$B$8,"",IF('Calc'!$E$15=1,0,MAX(Calc!$AE$205*(1+IF(Calc!$Y$206&lt;='财富模型'!$E$11*12,'财富模型'!$E$10,'财富模型'!$E$12)/12)-IF('Calc'!$E$15=1,0,IF(Calc!$Y$206&lt;='财富模型'!$E$11*12,'Calc'!$W$15,'Calc'!$Y$15)),0)))</x:f>
      </x:c>
      <x:c r="AG206" t="n">
        <x:v>185</x:v>
      </x:c>
      <x:c r="AH206" t="str">
        <x:f>IF(Calc!$AG$206&gt;'Calc'!$B$8,"",MAX(Calc!$AH$205*(1+'财富模型'!$E$6/12)+('Calc'!$B$5-'财富模型'!$E$5-(IF('Calc'!$E$16=1,'财富模型'!$E$9,'财富模型'!$M$8+IF(Calc!$AG$206&lt;='财富模型'!$E$11*12,'Calc'!$W$16,'Calc'!$Y$16)-(IF('Calc'!$E$16=1,0,MIN(Calc!$AI$205*(1+'财富模型'!$E$20/12)+'Calc'!$B$6,IF(Calc!$AG$206&lt;='财富模型'!$E$11*12,'Calc'!$W$16,'Calc'!$Y$16))))))),0))</x:f>
      </x:c>
      <x:c r="AI206" t="str">
        <x:f>IF(Calc!$AG$206&gt;'Calc'!$B$8,"",MAX(Calc!$AI$205*(1+'财富模型'!$E$20/12)+'Calc'!$B$6-(IF('Calc'!$E$16=1,0,MIN(Calc!$AI$205*(1+'财富模型'!$E$20/12)+'Calc'!$B$6,IF(Calc!$AG$206&lt;='财富模型'!$E$11*12,'Calc'!$W$16,'Calc'!$Y$16)))),0))</x:f>
      </x:c>
      <x:c r="AJ206" t="str">
        <x:f>IF(Calc!$AG$206&gt;'Calc'!$B$8,"",IF('Calc'!$E$16=1,'财富模型'!$E$9,'财富模型'!$M$8+IF(Calc!$AG$206&lt;='财富模型'!$E$11*12,'Calc'!$W$16,'Calc'!$Y$16)-(IF('Calc'!$E$16=1,0,MIN(Calc!$AI$205*(1+'财富模型'!$E$20/12)+'Calc'!$B$6,IF(Calc!$AG$206&lt;='财富模型'!$E$11*12,'Calc'!$W$16,'Calc'!$Y$16))))))</x:f>
      </x:c>
      <x:c r="AK206" t="str">
        <x:f>IF(Calc!$AG$206&gt;'Calc'!$B$8,"",IF('Calc'!$E$16=1,0,MIN(Calc!$AI$205*(1+'财富模型'!$E$20/12)+'Calc'!$B$6,IF(Calc!$AG$206&lt;='财富模型'!$E$11*12,'Calc'!$W$16,'Calc'!$Y$16))))</x:f>
      </x:c>
      <x:c r="AL206" t="str">
        <x:f>IF(Calc!$AG$206&gt;'Calc'!$B$8,"",'Calc'!$B$5-'财富模型'!$E$5-(IF('Calc'!$E$16=1,'财富模型'!$E$9,'财富模型'!$M$8+IF(Calc!$AG$206&lt;='财富模型'!$E$11*12,'Calc'!$W$16,'Calc'!$Y$16)-(IF('Calc'!$E$16=1,0,MIN(Calc!$AI$205*(1+'财富模型'!$E$20/12)+'Calc'!$B$6,IF(Calc!$AG$206&lt;='财富模型'!$E$11*12,'Calc'!$W$16,'Calc'!$Y$16)))))))</x:f>
      </x:c>
      <x:c r="AM206" t="str">
        <x:f>IF(Calc!$AG$206&gt;'Calc'!$B$8,"",IF('Calc'!$E$16=1,0,MAX(Calc!$AM$205*(1+IF(Calc!$AG$206&lt;='财富模型'!$E$11*12,'财富模型'!$E$10,'财富模型'!$E$12)/12)-IF('Calc'!$E$16=1,0,IF(Calc!$AG$206&lt;='财富模型'!$E$11*12,'Calc'!$W$16,'Calc'!$Y$16)),0)))</x:f>
      </x:c>
      <x:c r="AO206" t="n">
        <x:v>185</x:v>
      </x:c>
      <x:c r="AP206" t="str">
        <x:f>IF(Calc!$AO$206&gt;'Calc'!$B$8,"",MAX(Calc!$AP$205*(1+'财富模型'!$E$6/12)+('Calc'!$B$5-'财富模型'!$E$5-(IF('Calc'!$E$17=1,'财富模型'!$E$9,'财富模型'!$M$9+IF(Calc!$AO$206&lt;='财富模型'!$E$11*12,'Calc'!$W$17,'Calc'!$Y$17)-(IF('Calc'!$E$17=1,0,MIN(Calc!$AQ$205*(1+'财富模型'!$E$20/12)+'Calc'!$B$6,IF(Calc!$AO$206&lt;='财富模型'!$E$11*12,'Calc'!$W$17,'Calc'!$Y$17))))))),0))</x:f>
      </x:c>
      <x:c r="AQ206" t="str">
        <x:f>IF(Calc!$AO$206&gt;'Calc'!$B$8,"",MAX(Calc!$AQ$205*(1+'财富模型'!$E$20/12)+'Calc'!$B$6-(IF('Calc'!$E$17=1,0,MIN(Calc!$AQ$205*(1+'财富模型'!$E$20/12)+'Calc'!$B$6,IF(Calc!$AO$206&lt;='财富模型'!$E$11*12,'Calc'!$W$17,'Calc'!$Y$17)))),0))</x:f>
      </x:c>
      <x:c r="AR206" t="str">
        <x:f>IF(Calc!$AO$206&gt;'Calc'!$B$8,"",IF('Calc'!$E$17=1,'财富模型'!$E$9,'财富模型'!$M$9+IF(Calc!$AO$206&lt;='财富模型'!$E$11*12,'Calc'!$W$17,'Calc'!$Y$17)-(IF('Calc'!$E$17=1,0,MIN(Calc!$AQ$205*(1+'财富模型'!$E$20/12)+'Calc'!$B$6,IF(Calc!$AO$206&lt;='财富模型'!$E$11*12,'Calc'!$W$17,'Calc'!$Y$17))))))</x:f>
      </x:c>
      <x:c r="AS206" t="str">
        <x:f>IF(Calc!$AO$206&gt;'Calc'!$B$8,"",IF('Calc'!$E$17=1,0,MIN(Calc!$AQ$205*(1+'财富模型'!$E$20/12)+'Calc'!$B$6,IF(Calc!$AO$206&lt;='财富模型'!$E$11*12,'Calc'!$W$17,'Calc'!$Y$17))))</x:f>
      </x:c>
      <x:c r="AT206" t="str">
        <x:f>IF(Calc!$AO$206&gt;'Calc'!$B$8,"",'Calc'!$B$5-'财富模型'!$E$5-(IF('Calc'!$E$17=1,'财富模型'!$E$9,'财富模型'!$M$9+IF(Calc!$AO$206&lt;='财富模型'!$E$11*12,'Calc'!$W$17,'Calc'!$Y$17)-(IF('Calc'!$E$17=1,0,MIN(Calc!$AQ$205*(1+'财富模型'!$E$20/12)+'Calc'!$B$6,IF(Calc!$AO$206&lt;='财富模型'!$E$11*12,'Calc'!$W$17,'Calc'!$Y$17)))))))</x:f>
      </x:c>
      <x:c r="AU206" t="str">
        <x:f>IF(Calc!$AO$206&gt;'Calc'!$B$8,"",IF('Calc'!$E$17=1,0,MAX(Calc!$AU$205*(1+IF(Calc!$AO$206&lt;='财富模型'!$E$11*12,'财富模型'!$E$10,'财富模型'!$E$12)/12)-IF('Calc'!$E$17=1,0,IF(Calc!$AO$206&lt;='财富模型'!$E$11*12,'Calc'!$W$17,'Calc'!$Y$17)),0)))</x:f>
      </x:c>
    </x:row>
    <x:row r="207">
      <x:c r="A207" t="n">
        <x:v>186</x:v>
      </x:c>
      <x:c r="B207" t="str">
        <x:f>IF(Calc!$A$207&gt;'Calc'!$B$8,"",MAX(Calc!$B$206*(1+'财富模型'!$E$6/12)+('Calc'!$B$5-'财富模型'!$E$5-(IF('Calc'!$E$12=1,'财富模型'!$E$9,'财富模型'!$M$4+IF(Calc!$A$207&lt;='财富模型'!$E$11*12,'Calc'!$W$12,'Calc'!$Y$12)-(IF('Calc'!$E$12=1,0,MIN(Calc!$C$206*(1+'财富模型'!$E$20/12)+'Calc'!$B$6,IF(Calc!$A$207&lt;='财富模型'!$E$11*12,'Calc'!$W$12,'Calc'!$Y$12))))))),0))</x:f>
      </x:c>
      <x:c r="C207" t="str">
        <x:f>IF(Calc!$A$207&gt;'Calc'!$B$8,"",MAX(Calc!$C$206*(1+'财富模型'!$E$20/12)+'Calc'!$B$6-(IF('Calc'!$E$12=1,0,MIN(Calc!$C$206*(1+'财富模型'!$E$20/12)+'Calc'!$B$6,IF(Calc!$A$207&lt;='财富模型'!$E$11*12,'Calc'!$W$12,'Calc'!$Y$12)))),0))</x:f>
      </x:c>
      <x:c r="D207" t="str">
        <x:f>IF(Calc!$A$207&gt;'Calc'!$B$8,"",IF('Calc'!$E$12=1,'财富模型'!$E$9,'财富模型'!$M$4+IF(Calc!$A$207&lt;='财富模型'!$E$11*12,'Calc'!$W$12,'Calc'!$Y$12)-(IF('Calc'!$E$12=1,0,MIN(Calc!$C$206*(1+'财富模型'!$E$20/12)+'Calc'!$B$6,IF(Calc!$A$207&lt;='财富模型'!$E$11*12,'Calc'!$W$12,'Calc'!$Y$12))))))</x:f>
      </x:c>
      <x:c r="E207" t="str">
        <x:f>IF(Calc!$A$207&gt;'Calc'!$B$8,"",IF('Calc'!$E$12=1,0,MIN(Calc!$C$206*(1+'财富模型'!$E$20/12)+'Calc'!$B$6,IF(Calc!$A$207&lt;='财富模型'!$E$11*12,'Calc'!$W$12,'Calc'!$Y$12))))</x:f>
      </x:c>
      <x:c r="F207" t="str">
        <x:f>IF(Calc!$A$207&gt;'Calc'!$B$8,"",'Calc'!$B$5-'财富模型'!$E$5-(IF('Calc'!$E$12=1,'财富模型'!$E$9,'财富模型'!$M$4+IF(Calc!$A$207&lt;='财富模型'!$E$11*12,'Calc'!$W$12,'Calc'!$Y$12)-(IF('Calc'!$E$12=1,0,MIN(Calc!$C$206*(1+'财富模型'!$E$20/12)+'Calc'!$B$6,IF(Calc!$A$207&lt;='财富模型'!$E$11*12,'Calc'!$W$12,'Calc'!$Y$12)))))))</x:f>
      </x:c>
      <x:c r="G207" t="str">
        <x:f>IF(Calc!$A$207&gt;'Calc'!$B$8,"",IF('Calc'!$E$12=1,0,MAX(Calc!$G$206*(1+IF(Calc!$A$207&lt;='财富模型'!$E$11*12,'财富模型'!$E$10,'财富模型'!$E$12)/12)-IF('Calc'!$E$12=1,0,IF(Calc!$A$207&lt;='财富模型'!$E$11*12,'Calc'!$W$12,'Calc'!$Y$12)),0)))</x:f>
      </x:c>
      <x:c r="I207" t="n">
        <x:v>186</x:v>
      </x:c>
      <x:c r="J207" t="str">
        <x:f>IF(Calc!$I$207&gt;'Calc'!$B$8,"",MAX(Calc!$J$206*(1+'财富模型'!$E$6/12)+('Calc'!$B$5-'财富模型'!$E$5-(IF('Calc'!$E$13=1,'财富模型'!$E$9,'财富模型'!$M$5+IF(Calc!$I$207&lt;='财富模型'!$E$11*12,'Calc'!$W$13,'Calc'!$Y$13)-(IF('Calc'!$E$13=1,0,MIN(Calc!$K$206*(1+'财富模型'!$E$20/12)+'Calc'!$B$6,IF(Calc!$I$207&lt;='财富模型'!$E$11*12,'Calc'!$W$13,'Calc'!$Y$13))))))),0))</x:f>
      </x:c>
      <x:c r="K207" t="str">
        <x:f>IF(Calc!$I$207&gt;'Calc'!$B$8,"",MAX(Calc!$K$206*(1+'财富模型'!$E$20/12)+'Calc'!$B$6-(IF('Calc'!$E$13=1,0,MIN(Calc!$K$206*(1+'财富模型'!$E$20/12)+'Calc'!$B$6,IF(Calc!$I$207&lt;='财富模型'!$E$11*12,'Calc'!$W$13,'Calc'!$Y$13)))),0))</x:f>
      </x:c>
      <x:c r="L207" t="str">
        <x:f>IF(Calc!$I$207&gt;'Calc'!$B$8,"",IF('Calc'!$E$13=1,'财富模型'!$E$9,'财富模型'!$M$5+IF(Calc!$I$207&lt;='财富模型'!$E$11*12,'Calc'!$W$13,'Calc'!$Y$13)-(IF('Calc'!$E$13=1,0,MIN(Calc!$K$206*(1+'财富模型'!$E$20/12)+'Calc'!$B$6,IF(Calc!$I$207&lt;='财富模型'!$E$11*12,'Calc'!$W$13,'Calc'!$Y$13))))))</x:f>
      </x:c>
      <x:c r="M207" t="str">
        <x:f>IF(Calc!$I$207&gt;'Calc'!$B$8,"",IF('Calc'!$E$13=1,0,MIN(Calc!$K$206*(1+'财富模型'!$E$20/12)+'Calc'!$B$6,IF(Calc!$I$207&lt;='财富模型'!$E$11*12,'Calc'!$W$13,'Calc'!$Y$13))))</x:f>
      </x:c>
      <x:c r="N207" t="str">
        <x:f>IF(Calc!$I$207&gt;'Calc'!$B$8,"",'Calc'!$B$5-'财富模型'!$E$5-(IF('Calc'!$E$13=1,'财富模型'!$E$9,'财富模型'!$M$5+IF(Calc!$I$207&lt;='财富模型'!$E$11*12,'Calc'!$W$13,'Calc'!$Y$13)-(IF('Calc'!$E$13=1,0,MIN(Calc!$K$206*(1+'财富模型'!$E$20/12)+'Calc'!$B$6,IF(Calc!$I$207&lt;='财富模型'!$E$11*12,'Calc'!$W$13,'Calc'!$Y$13)))))))</x:f>
      </x:c>
      <x:c r="O207" t="str">
        <x:f>IF(Calc!$I$207&gt;'Calc'!$B$8,"",IF('Calc'!$E$13=1,0,MAX(Calc!$O$206*(1+IF(Calc!$I$207&lt;='财富模型'!$E$11*12,'财富模型'!$E$10,'财富模型'!$E$12)/12)-IF('Calc'!$E$13=1,0,IF(Calc!$I$207&lt;='财富模型'!$E$11*12,'Calc'!$W$13,'Calc'!$Y$13)),0)))</x:f>
      </x:c>
      <x:c r="Q207" t="n">
        <x:v>186</x:v>
      </x:c>
      <x:c r="R207" t="str">
        <x:f>IF(Calc!$Q$207&gt;'Calc'!$B$8,"",MAX(Calc!$R$206*(1+'财富模型'!$E$6/12)+('Calc'!$B$5-'财富模型'!$E$5-(IF('Calc'!$E$14=1,'财富模型'!$E$9,'财富模型'!$M$6+IF(Calc!$Q$207&lt;='财富模型'!$E$11*12,'Calc'!$W$14,'Calc'!$Y$14)-(IF('Calc'!$E$14=1,0,MIN(Calc!$S$206*(1+'财富模型'!$E$20/12)+'Calc'!$B$6,IF(Calc!$Q$207&lt;='财富模型'!$E$11*12,'Calc'!$W$14,'Calc'!$Y$14))))))),0))</x:f>
      </x:c>
      <x:c r="S207" t="str">
        <x:f>IF(Calc!$Q$207&gt;'Calc'!$B$8,"",MAX(Calc!$S$206*(1+'财富模型'!$E$20/12)+'Calc'!$B$6-(IF('Calc'!$E$14=1,0,MIN(Calc!$S$206*(1+'财富模型'!$E$20/12)+'Calc'!$B$6,IF(Calc!$Q$207&lt;='财富模型'!$E$11*12,'Calc'!$W$14,'Calc'!$Y$14)))),0))</x:f>
      </x:c>
      <x:c r="T207" t="str">
        <x:f>IF(Calc!$Q$207&gt;'Calc'!$B$8,"",IF('Calc'!$E$14=1,'财富模型'!$E$9,'财富模型'!$M$6+IF(Calc!$Q$207&lt;='财富模型'!$E$11*12,'Calc'!$W$14,'Calc'!$Y$14)-(IF('Calc'!$E$14=1,0,MIN(Calc!$S$206*(1+'财富模型'!$E$20/12)+'Calc'!$B$6,IF(Calc!$Q$207&lt;='财富模型'!$E$11*12,'Calc'!$W$14,'Calc'!$Y$14))))))</x:f>
      </x:c>
      <x:c r="U207" t="str">
        <x:f>IF(Calc!$Q$207&gt;'Calc'!$B$8,"",IF('Calc'!$E$14=1,0,MIN(Calc!$S$206*(1+'财富模型'!$E$20/12)+'Calc'!$B$6,IF(Calc!$Q$207&lt;='财富模型'!$E$11*12,'Calc'!$W$14,'Calc'!$Y$14))))</x:f>
      </x:c>
      <x:c r="V207" t="str">
        <x:f>IF(Calc!$Q$207&gt;'Calc'!$B$8,"",'Calc'!$B$5-'财富模型'!$E$5-(IF('Calc'!$E$14=1,'财富模型'!$E$9,'财富模型'!$M$6+IF(Calc!$Q$207&lt;='财富模型'!$E$11*12,'Calc'!$W$14,'Calc'!$Y$14)-(IF('Calc'!$E$14=1,0,MIN(Calc!$S$206*(1+'财富模型'!$E$20/12)+'Calc'!$B$6,IF(Calc!$Q$207&lt;='财富模型'!$E$11*12,'Calc'!$W$14,'Calc'!$Y$14)))))))</x:f>
      </x:c>
      <x:c r="W207" t="str">
        <x:f>IF(Calc!$Q$207&gt;'Calc'!$B$8,"",IF('Calc'!$E$14=1,0,MAX(Calc!$W$206*(1+IF(Calc!$Q$207&lt;='财富模型'!$E$11*12,'财富模型'!$E$10,'财富模型'!$E$12)/12)-IF('Calc'!$E$14=1,0,IF(Calc!$Q$207&lt;='财富模型'!$E$11*12,'Calc'!$W$14,'Calc'!$Y$14)),0)))</x:f>
      </x:c>
      <x:c r="Y207" t="n">
        <x:v>186</x:v>
      </x:c>
      <x:c r="Z207" t="str">
        <x:f>IF(Calc!$Y$207&gt;'Calc'!$B$8,"",MAX(Calc!$Z$206*(1+'财富模型'!$E$6/12)+('Calc'!$B$5-'财富模型'!$E$5-(IF('Calc'!$E$15=1,'财富模型'!$E$9,'财富模型'!$M$7+IF(Calc!$Y$207&lt;='财富模型'!$E$11*12,'Calc'!$W$15,'Calc'!$Y$15)-(IF('Calc'!$E$15=1,0,MIN(Calc!$AA$206*(1+'财富模型'!$E$20/12)+'Calc'!$B$6,IF(Calc!$Y$207&lt;='财富模型'!$E$11*12,'Calc'!$W$15,'Calc'!$Y$15))))))),0))</x:f>
      </x:c>
      <x:c r="AA207" t="str">
        <x:f>IF(Calc!$Y$207&gt;'Calc'!$B$8,"",MAX(Calc!$AA$206*(1+'财富模型'!$E$20/12)+'Calc'!$B$6-(IF('Calc'!$E$15=1,0,MIN(Calc!$AA$206*(1+'财富模型'!$E$20/12)+'Calc'!$B$6,IF(Calc!$Y$207&lt;='财富模型'!$E$11*12,'Calc'!$W$15,'Calc'!$Y$15)))),0))</x:f>
      </x:c>
      <x:c r="AB207" t="str">
        <x:f>IF(Calc!$Y$207&gt;'Calc'!$B$8,"",IF('Calc'!$E$15=1,'财富模型'!$E$9,'财富模型'!$M$7+IF(Calc!$Y$207&lt;='财富模型'!$E$11*12,'Calc'!$W$15,'Calc'!$Y$15)-(IF('Calc'!$E$15=1,0,MIN(Calc!$AA$206*(1+'财富模型'!$E$20/12)+'Calc'!$B$6,IF(Calc!$Y$207&lt;='财富模型'!$E$11*12,'Calc'!$W$15,'Calc'!$Y$15))))))</x:f>
      </x:c>
      <x:c r="AC207" t="str">
        <x:f>IF(Calc!$Y$207&gt;'Calc'!$B$8,"",IF('Calc'!$E$15=1,0,MIN(Calc!$AA$206*(1+'财富模型'!$E$20/12)+'Calc'!$B$6,IF(Calc!$Y$207&lt;='财富模型'!$E$11*12,'Calc'!$W$15,'Calc'!$Y$15))))</x:f>
      </x:c>
      <x:c r="AD207" t="str">
        <x:f>IF(Calc!$Y$207&gt;'Calc'!$B$8,"",'Calc'!$B$5-'财富模型'!$E$5-(IF('Calc'!$E$15=1,'财富模型'!$E$9,'财富模型'!$M$7+IF(Calc!$Y$207&lt;='财富模型'!$E$11*12,'Calc'!$W$15,'Calc'!$Y$15)-(IF('Calc'!$E$15=1,0,MIN(Calc!$AA$206*(1+'财富模型'!$E$20/12)+'Calc'!$B$6,IF(Calc!$Y$207&lt;='财富模型'!$E$11*12,'Calc'!$W$15,'Calc'!$Y$15)))))))</x:f>
      </x:c>
      <x:c r="AE207" t="str">
        <x:f>IF(Calc!$Y$207&gt;'Calc'!$B$8,"",IF('Calc'!$E$15=1,0,MAX(Calc!$AE$206*(1+IF(Calc!$Y$207&lt;='财富模型'!$E$11*12,'财富模型'!$E$10,'财富模型'!$E$12)/12)-IF('Calc'!$E$15=1,0,IF(Calc!$Y$207&lt;='财富模型'!$E$11*12,'Calc'!$W$15,'Calc'!$Y$15)),0)))</x:f>
      </x:c>
      <x:c r="AG207" t="n">
        <x:v>186</x:v>
      </x:c>
      <x:c r="AH207" t="str">
        <x:f>IF(Calc!$AG$207&gt;'Calc'!$B$8,"",MAX(Calc!$AH$206*(1+'财富模型'!$E$6/12)+('Calc'!$B$5-'财富模型'!$E$5-(IF('Calc'!$E$16=1,'财富模型'!$E$9,'财富模型'!$M$8+IF(Calc!$AG$207&lt;='财富模型'!$E$11*12,'Calc'!$W$16,'Calc'!$Y$16)-(IF('Calc'!$E$16=1,0,MIN(Calc!$AI$206*(1+'财富模型'!$E$20/12)+'Calc'!$B$6,IF(Calc!$AG$207&lt;='财富模型'!$E$11*12,'Calc'!$W$16,'Calc'!$Y$16))))))),0))</x:f>
      </x:c>
      <x:c r="AI207" t="str">
        <x:f>IF(Calc!$AG$207&gt;'Calc'!$B$8,"",MAX(Calc!$AI$206*(1+'财富模型'!$E$20/12)+'Calc'!$B$6-(IF('Calc'!$E$16=1,0,MIN(Calc!$AI$206*(1+'财富模型'!$E$20/12)+'Calc'!$B$6,IF(Calc!$AG$207&lt;='财富模型'!$E$11*12,'Calc'!$W$16,'Calc'!$Y$16)))),0))</x:f>
      </x:c>
      <x:c r="AJ207" t="str">
        <x:f>IF(Calc!$AG$207&gt;'Calc'!$B$8,"",IF('Calc'!$E$16=1,'财富模型'!$E$9,'财富模型'!$M$8+IF(Calc!$AG$207&lt;='财富模型'!$E$11*12,'Calc'!$W$16,'Calc'!$Y$16)-(IF('Calc'!$E$16=1,0,MIN(Calc!$AI$206*(1+'财富模型'!$E$20/12)+'Calc'!$B$6,IF(Calc!$AG$207&lt;='财富模型'!$E$11*12,'Calc'!$W$16,'Calc'!$Y$16))))))</x:f>
      </x:c>
      <x:c r="AK207" t="str">
        <x:f>IF(Calc!$AG$207&gt;'Calc'!$B$8,"",IF('Calc'!$E$16=1,0,MIN(Calc!$AI$206*(1+'财富模型'!$E$20/12)+'Calc'!$B$6,IF(Calc!$AG$207&lt;='财富模型'!$E$11*12,'Calc'!$W$16,'Calc'!$Y$16))))</x:f>
      </x:c>
      <x:c r="AL207" t="str">
        <x:f>IF(Calc!$AG$207&gt;'Calc'!$B$8,"",'Calc'!$B$5-'财富模型'!$E$5-(IF('Calc'!$E$16=1,'财富模型'!$E$9,'财富模型'!$M$8+IF(Calc!$AG$207&lt;='财富模型'!$E$11*12,'Calc'!$W$16,'Calc'!$Y$16)-(IF('Calc'!$E$16=1,0,MIN(Calc!$AI$206*(1+'财富模型'!$E$20/12)+'Calc'!$B$6,IF(Calc!$AG$207&lt;='财富模型'!$E$11*12,'Calc'!$W$16,'Calc'!$Y$16)))))))</x:f>
      </x:c>
      <x:c r="AM207" t="str">
        <x:f>IF(Calc!$AG$207&gt;'Calc'!$B$8,"",IF('Calc'!$E$16=1,0,MAX(Calc!$AM$206*(1+IF(Calc!$AG$207&lt;='财富模型'!$E$11*12,'财富模型'!$E$10,'财富模型'!$E$12)/12)-IF('Calc'!$E$16=1,0,IF(Calc!$AG$207&lt;='财富模型'!$E$11*12,'Calc'!$W$16,'Calc'!$Y$16)),0)))</x:f>
      </x:c>
      <x:c r="AO207" t="n">
        <x:v>186</x:v>
      </x:c>
      <x:c r="AP207" t="str">
        <x:f>IF(Calc!$AO$207&gt;'Calc'!$B$8,"",MAX(Calc!$AP$206*(1+'财富模型'!$E$6/12)+('Calc'!$B$5-'财富模型'!$E$5-(IF('Calc'!$E$17=1,'财富模型'!$E$9,'财富模型'!$M$9+IF(Calc!$AO$207&lt;='财富模型'!$E$11*12,'Calc'!$W$17,'Calc'!$Y$17)-(IF('Calc'!$E$17=1,0,MIN(Calc!$AQ$206*(1+'财富模型'!$E$20/12)+'Calc'!$B$6,IF(Calc!$AO$207&lt;='财富模型'!$E$11*12,'Calc'!$W$17,'Calc'!$Y$17))))))),0))</x:f>
      </x:c>
      <x:c r="AQ207" t="str">
        <x:f>IF(Calc!$AO$207&gt;'Calc'!$B$8,"",MAX(Calc!$AQ$206*(1+'财富模型'!$E$20/12)+'Calc'!$B$6-(IF('Calc'!$E$17=1,0,MIN(Calc!$AQ$206*(1+'财富模型'!$E$20/12)+'Calc'!$B$6,IF(Calc!$AO$207&lt;='财富模型'!$E$11*12,'Calc'!$W$17,'Calc'!$Y$17)))),0))</x:f>
      </x:c>
      <x:c r="AR207" t="str">
        <x:f>IF(Calc!$AO$207&gt;'Calc'!$B$8,"",IF('Calc'!$E$17=1,'财富模型'!$E$9,'财富模型'!$M$9+IF(Calc!$AO$207&lt;='财富模型'!$E$11*12,'Calc'!$W$17,'Calc'!$Y$17)-(IF('Calc'!$E$17=1,0,MIN(Calc!$AQ$206*(1+'财富模型'!$E$20/12)+'Calc'!$B$6,IF(Calc!$AO$207&lt;='财富模型'!$E$11*12,'Calc'!$W$17,'Calc'!$Y$17))))))</x:f>
      </x:c>
      <x:c r="AS207" t="str">
        <x:f>IF(Calc!$AO$207&gt;'Calc'!$B$8,"",IF('Calc'!$E$17=1,0,MIN(Calc!$AQ$206*(1+'财富模型'!$E$20/12)+'Calc'!$B$6,IF(Calc!$AO$207&lt;='财富模型'!$E$11*12,'Calc'!$W$17,'Calc'!$Y$17))))</x:f>
      </x:c>
      <x:c r="AT207" t="str">
        <x:f>IF(Calc!$AO$207&gt;'Calc'!$B$8,"",'Calc'!$B$5-'财富模型'!$E$5-(IF('Calc'!$E$17=1,'财富模型'!$E$9,'财富模型'!$M$9+IF(Calc!$AO$207&lt;='财富模型'!$E$11*12,'Calc'!$W$17,'Calc'!$Y$17)-(IF('Calc'!$E$17=1,0,MIN(Calc!$AQ$206*(1+'财富模型'!$E$20/12)+'Calc'!$B$6,IF(Calc!$AO$207&lt;='财富模型'!$E$11*12,'Calc'!$W$17,'Calc'!$Y$17)))))))</x:f>
      </x:c>
      <x:c r="AU207" t="str">
        <x:f>IF(Calc!$AO$207&gt;'Calc'!$B$8,"",IF('Calc'!$E$17=1,0,MAX(Calc!$AU$206*(1+IF(Calc!$AO$207&lt;='财富模型'!$E$11*12,'财富模型'!$E$10,'财富模型'!$E$12)/12)-IF('Calc'!$E$17=1,0,IF(Calc!$AO$207&lt;='财富模型'!$E$11*12,'Calc'!$W$17,'Calc'!$Y$17)),0)))</x:f>
      </x:c>
    </x:row>
    <x:row r="208">
      <x:c r="A208" t="n">
        <x:v>187</x:v>
      </x:c>
      <x:c r="B208" t="str">
        <x:f>IF(Calc!$A$208&gt;'Calc'!$B$8,"",MAX(Calc!$B$207*(1+'财富模型'!$E$6/12)+('Calc'!$B$5-'财富模型'!$E$5-(IF('Calc'!$E$12=1,'财富模型'!$E$9,'财富模型'!$M$4+IF(Calc!$A$208&lt;='财富模型'!$E$11*12,'Calc'!$W$12,'Calc'!$Y$12)-(IF('Calc'!$E$12=1,0,MIN(Calc!$C$207*(1+'财富模型'!$E$20/12)+'Calc'!$B$6,IF(Calc!$A$208&lt;='财富模型'!$E$11*12,'Calc'!$W$12,'Calc'!$Y$12))))))),0))</x:f>
      </x:c>
      <x:c r="C208" t="str">
        <x:f>IF(Calc!$A$208&gt;'Calc'!$B$8,"",MAX(Calc!$C$207*(1+'财富模型'!$E$20/12)+'Calc'!$B$6-(IF('Calc'!$E$12=1,0,MIN(Calc!$C$207*(1+'财富模型'!$E$20/12)+'Calc'!$B$6,IF(Calc!$A$208&lt;='财富模型'!$E$11*12,'Calc'!$W$12,'Calc'!$Y$12)))),0))</x:f>
      </x:c>
      <x:c r="D208" t="str">
        <x:f>IF(Calc!$A$208&gt;'Calc'!$B$8,"",IF('Calc'!$E$12=1,'财富模型'!$E$9,'财富模型'!$M$4+IF(Calc!$A$208&lt;='财富模型'!$E$11*12,'Calc'!$W$12,'Calc'!$Y$12)-(IF('Calc'!$E$12=1,0,MIN(Calc!$C$207*(1+'财富模型'!$E$20/12)+'Calc'!$B$6,IF(Calc!$A$208&lt;='财富模型'!$E$11*12,'Calc'!$W$12,'Calc'!$Y$12))))))</x:f>
      </x:c>
      <x:c r="E208" t="str">
        <x:f>IF(Calc!$A$208&gt;'Calc'!$B$8,"",IF('Calc'!$E$12=1,0,MIN(Calc!$C$207*(1+'财富模型'!$E$20/12)+'Calc'!$B$6,IF(Calc!$A$208&lt;='财富模型'!$E$11*12,'Calc'!$W$12,'Calc'!$Y$12))))</x:f>
      </x:c>
      <x:c r="F208" t="str">
        <x:f>IF(Calc!$A$208&gt;'Calc'!$B$8,"",'Calc'!$B$5-'财富模型'!$E$5-(IF('Calc'!$E$12=1,'财富模型'!$E$9,'财富模型'!$M$4+IF(Calc!$A$208&lt;='财富模型'!$E$11*12,'Calc'!$W$12,'Calc'!$Y$12)-(IF('Calc'!$E$12=1,0,MIN(Calc!$C$207*(1+'财富模型'!$E$20/12)+'Calc'!$B$6,IF(Calc!$A$208&lt;='财富模型'!$E$11*12,'Calc'!$W$12,'Calc'!$Y$12)))))))</x:f>
      </x:c>
      <x:c r="G208" t="str">
        <x:f>IF(Calc!$A$208&gt;'Calc'!$B$8,"",IF('Calc'!$E$12=1,0,MAX(Calc!$G$207*(1+IF(Calc!$A$208&lt;='财富模型'!$E$11*12,'财富模型'!$E$10,'财富模型'!$E$12)/12)-IF('Calc'!$E$12=1,0,IF(Calc!$A$208&lt;='财富模型'!$E$11*12,'Calc'!$W$12,'Calc'!$Y$12)),0)))</x:f>
      </x:c>
      <x:c r="I208" t="n">
        <x:v>187</x:v>
      </x:c>
      <x:c r="J208" t="str">
        <x:f>IF(Calc!$I$208&gt;'Calc'!$B$8,"",MAX(Calc!$J$207*(1+'财富模型'!$E$6/12)+('Calc'!$B$5-'财富模型'!$E$5-(IF('Calc'!$E$13=1,'财富模型'!$E$9,'财富模型'!$M$5+IF(Calc!$I$208&lt;='财富模型'!$E$11*12,'Calc'!$W$13,'Calc'!$Y$13)-(IF('Calc'!$E$13=1,0,MIN(Calc!$K$207*(1+'财富模型'!$E$20/12)+'Calc'!$B$6,IF(Calc!$I$208&lt;='财富模型'!$E$11*12,'Calc'!$W$13,'Calc'!$Y$13))))))),0))</x:f>
      </x:c>
      <x:c r="K208" t="str">
        <x:f>IF(Calc!$I$208&gt;'Calc'!$B$8,"",MAX(Calc!$K$207*(1+'财富模型'!$E$20/12)+'Calc'!$B$6-(IF('Calc'!$E$13=1,0,MIN(Calc!$K$207*(1+'财富模型'!$E$20/12)+'Calc'!$B$6,IF(Calc!$I$208&lt;='财富模型'!$E$11*12,'Calc'!$W$13,'Calc'!$Y$13)))),0))</x:f>
      </x:c>
      <x:c r="L208" t="str">
        <x:f>IF(Calc!$I$208&gt;'Calc'!$B$8,"",IF('Calc'!$E$13=1,'财富模型'!$E$9,'财富模型'!$M$5+IF(Calc!$I$208&lt;='财富模型'!$E$11*12,'Calc'!$W$13,'Calc'!$Y$13)-(IF('Calc'!$E$13=1,0,MIN(Calc!$K$207*(1+'财富模型'!$E$20/12)+'Calc'!$B$6,IF(Calc!$I$208&lt;='财富模型'!$E$11*12,'Calc'!$W$13,'Calc'!$Y$13))))))</x:f>
      </x:c>
      <x:c r="M208" t="str">
        <x:f>IF(Calc!$I$208&gt;'Calc'!$B$8,"",IF('Calc'!$E$13=1,0,MIN(Calc!$K$207*(1+'财富模型'!$E$20/12)+'Calc'!$B$6,IF(Calc!$I$208&lt;='财富模型'!$E$11*12,'Calc'!$W$13,'Calc'!$Y$13))))</x:f>
      </x:c>
      <x:c r="N208" t="str">
        <x:f>IF(Calc!$I$208&gt;'Calc'!$B$8,"",'Calc'!$B$5-'财富模型'!$E$5-(IF('Calc'!$E$13=1,'财富模型'!$E$9,'财富模型'!$M$5+IF(Calc!$I$208&lt;='财富模型'!$E$11*12,'Calc'!$W$13,'Calc'!$Y$13)-(IF('Calc'!$E$13=1,0,MIN(Calc!$K$207*(1+'财富模型'!$E$20/12)+'Calc'!$B$6,IF(Calc!$I$208&lt;='财富模型'!$E$11*12,'Calc'!$W$13,'Calc'!$Y$13)))))))</x:f>
      </x:c>
      <x:c r="O208" t="str">
        <x:f>IF(Calc!$I$208&gt;'Calc'!$B$8,"",IF('Calc'!$E$13=1,0,MAX(Calc!$O$207*(1+IF(Calc!$I$208&lt;='财富模型'!$E$11*12,'财富模型'!$E$10,'财富模型'!$E$12)/12)-IF('Calc'!$E$13=1,0,IF(Calc!$I$208&lt;='财富模型'!$E$11*12,'Calc'!$W$13,'Calc'!$Y$13)),0)))</x:f>
      </x:c>
      <x:c r="Q208" t="n">
        <x:v>187</x:v>
      </x:c>
      <x:c r="R208" t="str">
        <x:f>IF(Calc!$Q$208&gt;'Calc'!$B$8,"",MAX(Calc!$R$207*(1+'财富模型'!$E$6/12)+('Calc'!$B$5-'财富模型'!$E$5-(IF('Calc'!$E$14=1,'财富模型'!$E$9,'财富模型'!$M$6+IF(Calc!$Q$208&lt;='财富模型'!$E$11*12,'Calc'!$W$14,'Calc'!$Y$14)-(IF('Calc'!$E$14=1,0,MIN(Calc!$S$207*(1+'财富模型'!$E$20/12)+'Calc'!$B$6,IF(Calc!$Q$208&lt;='财富模型'!$E$11*12,'Calc'!$W$14,'Calc'!$Y$14))))))),0))</x:f>
      </x:c>
      <x:c r="S208" t="str">
        <x:f>IF(Calc!$Q$208&gt;'Calc'!$B$8,"",MAX(Calc!$S$207*(1+'财富模型'!$E$20/12)+'Calc'!$B$6-(IF('Calc'!$E$14=1,0,MIN(Calc!$S$207*(1+'财富模型'!$E$20/12)+'Calc'!$B$6,IF(Calc!$Q$208&lt;='财富模型'!$E$11*12,'Calc'!$W$14,'Calc'!$Y$14)))),0))</x:f>
      </x:c>
      <x:c r="T208" t="str">
        <x:f>IF(Calc!$Q$208&gt;'Calc'!$B$8,"",IF('Calc'!$E$14=1,'财富模型'!$E$9,'财富模型'!$M$6+IF(Calc!$Q$208&lt;='财富模型'!$E$11*12,'Calc'!$W$14,'Calc'!$Y$14)-(IF('Calc'!$E$14=1,0,MIN(Calc!$S$207*(1+'财富模型'!$E$20/12)+'Calc'!$B$6,IF(Calc!$Q$208&lt;='财富模型'!$E$11*12,'Calc'!$W$14,'Calc'!$Y$14))))))</x:f>
      </x:c>
      <x:c r="U208" t="str">
        <x:f>IF(Calc!$Q$208&gt;'Calc'!$B$8,"",IF('Calc'!$E$14=1,0,MIN(Calc!$S$207*(1+'财富模型'!$E$20/12)+'Calc'!$B$6,IF(Calc!$Q$208&lt;='财富模型'!$E$11*12,'Calc'!$W$14,'Calc'!$Y$14))))</x:f>
      </x:c>
      <x:c r="V208" t="str">
        <x:f>IF(Calc!$Q$208&gt;'Calc'!$B$8,"",'Calc'!$B$5-'财富模型'!$E$5-(IF('Calc'!$E$14=1,'财富模型'!$E$9,'财富模型'!$M$6+IF(Calc!$Q$208&lt;='财富模型'!$E$11*12,'Calc'!$W$14,'Calc'!$Y$14)-(IF('Calc'!$E$14=1,0,MIN(Calc!$S$207*(1+'财富模型'!$E$20/12)+'Calc'!$B$6,IF(Calc!$Q$208&lt;='财富模型'!$E$11*12,'Calc'!$W$14,'Calc'!$Y$14)))))))</x:f>
      </x:c>
      <x:c r="W208" t="str">
        <x:f>IF(Calc!$Q$208&gt;'Calc'!$B$8,"",IF('Calc'!$E$14=1,0,MAX(Calc!$W$207*(1+IF(Calc!$Q$208&lt;='财富模型'!$E$11*12,'财富模型'!$E$10,'财富模型'!$E$12)/12)-IF('Calc'!$E$14=1,0,IF(Calc!$Q$208&lt;='财富模型'!$E$11*12,'Calc'!$W$14,'Calc'!$Y$14)),0)))</x:f>
      </x:c>
      <x:c r="Y208" t="n">
        <x:v>187</x:v>
      </x:c>
      <x:c r="Z208" t="str">
        <x:f>IF(Calc!$Y$208&gt;'Calc'!$B$8,"",MAX(Calc!$Z$207*(1+'财富模型'!$E$6/12)+('Calc'!$B$5-'财富模型'!$E$5-(IF('Calc'!$E$15=1,'财富模型'!$E$9,'财富模型'!$M$7+IF(Calc!$Y$208&lt;='财富模型'!$E$11*12,'Calc'!$W$15,'Calc'!$Y$15)-(IF('Calc'!$E$15=1,0,MIN(Calc!$AA$207*(1+'财富模型'!$E$20/12)+'Calc'!$B$6,IF(Calc!$Y$208&lt;='财富模型'!$E$11*12,'Calc'!$W$15,'Calc'!$Y$15))))))),0))</x:f>
      </x:c>
      <x:c r="AA208" t="str">
        <x:f>IF(Calc!$Y$208&gt;'Calc'!$B$8,"",MAX(Calc!$AA$207*(1+'财富模型'!$E$20/12)+'Calc'!$B$6-(IF('Calc'!$E$15=1,0,MIN(Calc!$AA$207*(1+'财富模型'!$E$20/12)+'Calc'!$B$6,IF(Calc!$Y$208&lt;='财富模型'!$E$11*12,'Calc'!$W$15,'Calc'!$Y$15)))),0))</x:f>
      </x:c>
      <x:c r="AB208" t="str">
        <x:f>IF(Calc!$Y$208&gt;'Calc'!$B$8,"",IF('Calc'!$E$15=1,'财富模型'!$E$9,'财富模型'!$M$7+IF(Calc!$Y$208&lt;='财富模型'!$E$11*12,'Calc'!$W$15,'Calc'!$Y$15)-(IF('Calc'!$E$15=1,0,MIN(Calc!$AA$207*(1+'财富模型'!$E$20/12)+'Calc'!$B$6,IF(Calc!$Y$208&lt;='财富模型'!$E$11*12,'Calc'!$W$15,'Calc'!$Y$15))))))</x:f>
      </x:c>
      <x:c r="AC208" t="str">
        <x:f>IF(Calc!$Y$208&gt;'Calc'!$B$8,"",IF('Calc'!$E$15=1,0,MIN(Calc!$AA$207*(1+'财富模型'!$E$20/12)+'Calc'!$B$6,IF(Calc!$Y$208&lt;='财富模型'!$E$11*12,'Calc'!$W$15,'Calc'!$Y$15))))</x:f>
      </x:c>
      <x:c r="AD208" t="str">
        <x:f>IF(Calc!$Y$208&gt;'Calc'!$B$8,"",'Calc'!$B$5-'财富模型'!$E$5-(IF('Calc'!$E$15=1,'财富模型'!$E$9,'财富模型'!$M$7+IF(Calc!$Y$208&lt;='财富模型'!$E$11*12,'Calc'!$W$15,'Calc'!$Y$15)-(IF('Calc'!$E$15=1,0,MIN(Calc!$AA$207*(1+'财富模型'!$E$20/12)+'Calc'!$B$6,IF(Calc!$Y$208&lt;='财富模型'!$E$11*12,'Calc'!$W$15,'Calc'!$Y$15)))))))</x:f>
      </x:c>
      <x:c r="AE208" t="str">
        <x:f>IF(Calc!$Y$208&gt;'Calc'!$B$8,"",IF('Calc'!$E$15=1,0,MAX(Calc!$AE$207*(1+IF(Calc!$Y$208&lt;='财富模型'!$E$11*12,'财富模型'!$E$10,'财富模型'!$E$12)/12)-IF('Calc'!$E$15=1,0,IF(Calc!$Y$208&lt;='财富模型'!$E$11*12,'Calc'!$W$15,'Calc'!$Y$15)),0)))</x:f>
      </x:c>
      <x:c r="AG208" t="n">
        <x:v>187</x:v>
      </x:c>
      <x:c r="AH208" t="str">
        <x:f>IF(Calc!$AG$208&gt;'Calc'!$B$8,"",MAX(Calc!$AH$207*(1+'财富模型'!$E$6/12)+('Calc'!$B$5-'财富模型'!$E$5-(IF('Calc'!$E$16=1,'财富模型'!$E$9,'财富模型'!$M$8+IF(Calc!$AG$208&lt;='财富模型'!$E$11*12,'Calc'!$W$16,'Calc'!$Y$16)-(IF('Calc'!$E$16=1,0,MIN(Calc!$AI$207*(1+'财富模型'!$E$20/12)+'Calc'!$B$6,IF(Calc!$AG$208&lt;='财富模型'!$E$11*12,'Calc'!$W$16,'Calc'!$Y$16))))))),0))</x:f>
      </x:c>
      <x:c r="AI208" t="str">
        <x:f>IF(Calc!$AG$208&gt;'Calc'!$B$8,"",MAX(Calc!$AI$207*(1+'财富模型'!$E$20/12)+'Calc'!$B$6-(IF('Calc'!$E$16=1,0,MIN(Calc!$AI$207*(1+'财富模型'!$E$20/12)+'Calc'!$B$6,IF(Calc!$AG$208&lt;='财富模型'!$E$11*12,'Calc'!$W$16,'Calc'!$Y$16)))),0))</x:f>
      </x:c>
      <x:c r="AJ208" t="str">
        <x:f>IF(Calc!$AG$208&gt;'Calc'!$B$8,"",IF('Calc'!$E$16=1,'财富模型'!$E$9,'财富模型'!$M$8+IF(Calc!$AG$208&lt;='财富模型'!$E$11*12,'Calc'!$W$16,'Calc'!$Y$16)-(IF('Calc'!$E$16=1,0,MIN(Calc!$AI$207*(1+'财富模型'!$E$20/12)+'Calc'!$B$6,IF(Calc!$AG$208&lt;='财富模型'!$E$11*12,'Calc'!$W$16,'Calc'!$Y$16))))))</x:f>
      </x:c>
      <x:c r="AK208" t="str">
        <x:f>IF(Calc!$AG$208&gt;'Calc'!$B$8,"",IF('Calc'!$E$16=1,0,MIN(Calc!$AI$207*(1+'财富模型'!$E$20/12)+'Calc'!$B$6,IF(Calc!$AG$208&lt;='财富模型'!$E$11*12,'Calc'!$W$16,'Calc'!$Y$16))))</x:f>
      </x:c>
      <x:c r="AL208" t="str">
        <x:f>IF(Calc!$AG$208&gt;'Calc'!$B$8,"",'Calc'!$B$5-'财富模型'!$E$5-(IF('Calc'!$E$16=1,'财富模型'!$E$9,'财富模型'!$M$8+IF(Calc!$AG$208&lt;='财富模型'!$E$11*12,'Calc'!$W$16,'Calc'!$Y$16)-(IF('Calc'!$E$16=1,0,MIN(Calc!$AI$207*(1+'财富模型'!$E$20/12)+'Calc'!$B$6,IF(Calc!$AG$208&lt;='财富模型'!$E$11*12,'Calc'!$W$16,'Calc'!$Y$16)))))))</x:f>
      </x:c>
      <x:c r="AM208" t="str">
        <x:f>IF(Calc!$AG$208&gt;'Calc'!$B$8,"",IF('Calc'!$E$16=1,0,MAX(Calc!$AM$207*(1+IF(Calc!$AG$208&lt;='财富模型'!$E$11*12,'财富模型'!$E$10,'财富模型'!$E$12)/12)-IF('Calc'!$E$16=1,0,IF(Calc!$AG$208&lt;='财富模型'!$E$11*12,'Calc'!$W$16,'Calc'!$Y$16)),0)))</x:f>
      </x:c>
      <x:c r="AO208" t="n">
        <x:v>187</x:v>
      </x:c>
      <x:c r="AP208" t="str">
        <x:f>IF(Calc!$AO$208&gt;'Calc'!$B$8,"",MAX(Calc!$AP$207*(1+'财富模型'!$E$6/12)+('Calc'!$B$5-'财富模型'!$E$5-(IF('Calc'!$E$17=1,'财富模型'!$E$9,'财富模型'!$M$9+IF(Calc!$AO$208&lt;='财富模型'!$E$11*12,'Calc'!$W$17,'Calc'!$Y$17)-(IF('Calc'!$E$17=1,0,MIN(Calc!$AQ$207*(1+'财富模型'!$E$20/12)+'Calc'!$B$6,IF(Calc!$AO$208&lt;='财富模型'!$E$11*12,'Calc'!$W$17,'Calc'!$Y$17))))))),0))</x:f>
      </x:c>
      <x:c r="AQ208" t="str">
        <x:f>IF(Calc!$AO$208&gt;'Calc'!$B$8,"",MAX(Calc!$AQ$207*(1+'财富模型'!$E$20/12)+'Calc'!$B$6-(IF('Calc'!$E$17=1,0,MIN(Calc!$AQ$207*(1+'财富模型'!$E$20/12)+'Calc'!$B$6,IF(Calc!$AO$208&lt;='财富模型'!$E$11*12,'Calc'!$W$17,'Calc'!$Y$17)))),0))</x:f>
      </x:c>
      <x:c r="AR208" t="str">
        <x:f>IF(Calc!$AO$208&gt;'Calc'!$B$8,"",IF('Calc'!$E$17=1,'财富模型'!$E$9,'财富模型'!$M$9+IF(Calc!$AO$208&lt;='财富模型'!$E$11*12,'Calc'!$W$17,'Calc'!$Y$17)-(IF('Calc'!$E$17=1,0,MIN(Calc!$AQ$207*(1+'财富模型'!$E$20/12)+'Calc'!$B$6,IF(Calc!$AO$208&lt;='财富模型'!$E$11*12,'Calc'!$W$17,'Calc'!$Y$17))))))</x:f>
      </x:c>
      <x:c r="AS208" t="str">
        <x:f>IF(Calc!$AO$208&gt;'Calc'!$B$8,"",IF('Calc'!$E$17=1,0,MIN(Calc!$AQ$207*(1+'财富模型'!$E$20/12)+'Calc'!$B$6,IF(Calc!$AO$208&lt;='财富模型'!$E$11*12,'Calc'!$W$17,'Calc'!$Y$17))))</x:f>
      </x:c>
      <x:c r="AT208" t="str">
        <x:f>IF(Calc!$AO$208&gt;'Calc'!$B$8,"",'Calc'!$B$5-'财富模型'!$E$5-(IF('Calc'!$E$17=1,'财富模型'!$E$9,'财富模型'!$M$9+IF(Calc!$AO$208&lt;='财富模型'!$E$11*12,'Calc'!$W$17,'Calc'!$Y$17)-(IF('Calc'!$E$17=1,0,MIN(Calc!$AQ$207*(1+'财富模型'!$E$20/12)+'Calc'!$B$6,IF(Calc!$AO$208&lt;='财富模型'!$E$11*12,'Calc'!$W$17,'Calc'!$Y$17)))))))</x:f>
      </x:c>
      <x:c r="AU208" t="str">
        <x:f>IF(Calc!$AO$208&gt;'Calc'!$B$8,"",IF('Calc'!$E$17=1,0,MAX(Calc!$AU$207*(1+IF(Calc!$AO$208&lt;='财富模型'!$E$11*12,'财富模型'!$E$10,'财富模型'!$E$12)/12)-IF('Calc'!$E$17=1,0,IF(Calc!$AO$208&lt;='财富模型'!$E$11*12,'Calc'!$W$17,'Calc'!$Y$17)),0)))</x:f>
      </x:c>
    </x:row>
    <x:row r="209">
      <x:c r="A209" t="n">
        <x:v>188</x:v>
      </x:c>
      <x:c r="B209" t="str">
        <x:f>IF(Calc!$A$209&gt;'Calc'!$B$8,"",MAX(Calc!$B$208*(1+'财富模型'!$E$6/12)+('Calc'!$B$5-'财富模型'!$E$5-(IF('Calc'!$E$12=1,'财富模型'!$E$9,'财富模型'!$M$4+IF(Calc!$A$209&lt;='财富模型'!$E$11*12,'Calc'!$W$12,'Calc'!$Y$12)-(IF('Calc'!$E$12=1,0,MIN(Calc!$C$208*(1+'财富模型'!$E$20/12)+'Calc'!$B$6,IF(Calc!$A$209&lt;='财富模型'!$E$11*12,'Calc'!$W$12,'Calc'!$Y$12))))))),0))</x:f>
      </x:c>
      <x:c r="C209" t="str">
        <x:f>IF(Calc!$A$209&gt;'Calc'!$B$8,"",MAX(Calc!$C$208*(1+'财富模型'!$E$20/12)+'Calc'!$B$6-(IF('Calc'!$E$12=1,0,MIN(Calc!$C$208*(1+'财富模型'!$E$20/12)+'Calc'!$B$6,IF(Calc!$A$209&lt;='财富模型'!$E$11*12,'Calc'!$W$12,'Calc'!$Y$12)))),0))</x:f>
      </x:c>
      <x:c r="D209" t="str">
        <x:f>IF(Calc!$A$209&gt;'Calc'!$B$8,"",IF('Calc'!$E$12=1,'财富模型'!$E$9,'财富模型'!$M$4+IF(Calc!$A$209&lt;='财富模型'!$E$11*12,'Calc'!$W$12,'Calc'!$Y$12)-(IF('Calc'!$E$12=1,0,MIN(Calc!$C$208*(1+'财富模型'!$E$20/12)+'Calc'!$B$6,IF(Calc!$A$209&lt;='财富模型'!$E$11*12,'Calc'!$W$12,'Calc'!$Y$12))))))</x:f>
      </x:c>
      <x:c r="E209" t="str">
        <x:f>IF(Calc!$A$209&gt;'Calc'!$B$8,"",IF('Calc'!$E$12=1,0,MIN(Calc!$C$208*(1+'财富模型'!$E$20/12)+'Calc'!$B$6,IF(Calc!$A$209&lt;='财富模型'!$E$11*12,'Calc'!$W$12,'Calc'!$Y$12))))</x:f>
      </x:c>
      <x:c r="F209" t="str">
        <x:f>IF(Calc!$A$209&gt;'Calc'!$B$8,"",'Calc'!$B$5-'财富模型'!$E$5-(IF('Calc'!$E$12=1,'财富模型'!$E$9,'财富模型'!$M$4+IF(Calc!$A$209&lt;='财富模型'!$E$11*12,'Calc'!$W$12,'Calc'!$Y$12)-(IF('Calc'!$E$12=1,0,MIN(Calc!$C$208*(1+'财富模型'!$E$20/12)+'Calc'!$B$6,IF(Calc!$A$209&lt;='财富模型'!$E$11*12,'Calc'!$W$12,'Calc'!$Y$12)))))))</x:f>
      </x:c>
      <x:c r="G209" t="str">
        <x:f>IF(Calc!$A$209&gt;'Calc'!$B$8,"",IF('Calc'!$E$12=1,0,MAX(Calc!$G$208*(1+IF(Calc!$A$209&lt;='财富模型'!$E$11*12,'财富模型'!$E$10,'财富模型'!$E$12)/12)-IF('Calc'!$E$12=1,0,IF(Calc!$A$209&lt;='财富模型'!$E$11*12,'Calc'!$W$12,'Calc'!$Y$12)),0)))</x:f>
      </x:c>
      <x:c r="I209" t="n">
        <x:v>188</x:v>
      </x:c>
      <x:c r="J209" t="str">
        <x:f>IF(Calc!$I$209&gt;'Calc'!$B$8,"",MAX(Calc!$J$208*(1+'财富模型'!$E$6/12)+('Calc'!$B$5-'财富模型'!$E$5-(IF('Calc'!$E$13=1,'财富模型'!$E$9,'财富模型'!$M$5+IF(Calc!$I$209&lt;='财富模型'!$E$11*12,'Calc'!$W$13,'Calc'!$Y$13)-(IF('Calc'!$E$13=1,0,MIN(Calc!$K$208*(1+'财富模型'!$E$20/12)+'Calc'!$B$6,IF(Calc!$I$209&lt;='财富模型'!$E$11*12,'Calc'!$W$13,'Calc'!$Y$13))))))),0))</x:f>
      </x:c>
      <x:c r="K209" t="str">
        <x:f>IF(Calc!$I$209&gt;'Calc'!$B$8,"",MAX(Calc!$K$208*(1+'财富模型'!$E$20/12)+'Calc'!$B$6-(IF('Calc'!$E$13=1,0,MIN(Calc!$K$208*(1+'财富模型'!$E$20/12)+'Calc'!$B$6,IF(Calc!$I$209&lt;='财富模型'!$E$11*12,'Calc'!$W$13,'Calc'!$Y$13)))),0))</x:f>
      </x:c>
      <x:c r="L209" t="str">
        <x:f>IF(Calc!$I$209&gt;'Calc'!$B$8,"",IF('Calc'!$E$13=1,'财富模型'!$E$9,'财富模型'!$M$5+IF(Calc!$I$209&lt;='财富模型'!$E$11*12,'Calc'!$W$13,'Calc'!$Y$13)-(IF('Calc'!$E$13=1,0,MIN(Calc!$K$208*(1+'财富模型'!$E$20/12)+'Calc'!$B$6,IF(Calc!$I$209&lt;='财富模型'!$E$11*12,'Calc'!$W$13,'Calc'!$Y$13))))))</x:f>
      </x:c>
      <x:c r="M209" t="str">
        <x:f>IF(Calc!$I$209&gt;'Calc'!$B$8,"",IF('Calc'!$E$13=1,0,MIN(Calc!$K$208*(1+'财富模型'!$E$20/12)+'Calc'!$B$6,IF(Calc!$I$209&lt;='财富模型'!$E$11*12,'Calc'!$W$13,'Calc'!$Y$13))))</x:f>
      </x:c>
      <x:c r="N209" t="str">
        <x:f>IF(Calc!$I$209&gt;'Calc'!$B$8,"",'Calc'!$B$5-'财富模型'!$E$5-(IF('Calc'!$E$13=1,'财富模型'!$E$9,'财富模型'!$M$5+IF(Calc!$I$209&lt;='财富模型'!$E$11*12,'Calc'!$W$13,'Calc'!$Y$13)-(IF('Calc'!$E$13=1,0,MIN(Calc!$K$208*(1+'财富模型'!$E$20/12)+'Calc'!$B$6,IF(Calc!$I$209&lt;='财富模型'!$E$11*12,'Calc'!$W$13,'Calc'!$Y$13)))))))</x:f>
      </x:c>
      <x:c r="O209" t="str">
        <x:f>IF(Calc!$I$209&gt;'Calc'!$B$8,"",IF('Calc'!$E$13=1,0,MAX(Calc!$O$208*(1+IF(Calc!$I$209&lt;='财富模型'!$E$11*12,'财富模型'!$E$10,'财富模型'!$E$12)/12)-IF('Calc'!$E$13=1,0,IF(Calc!$I$209&lt;='财富模型'!$E$11*12,'Calc'!$W$13,'Calc'!$Y$13)),0)))</x:f>
      </x:c>
      <x:c r="Q209" t="n">
        <x:v>188</x:v>
      </x:c>
      <x:c r="R209" t="str">
        <x:f>IF(Calc!$Q$209&gt;'Calc'!$B$8,"",MAX(Calc!$R$208*(1+'财富模型'!$E$6/12)+('Calc'!$B$5-'财富模型'!$E$5-(IF('Calc'!$E$14=1,'财富模型'!$E$9,'财富模型'!$M$6+IF(Calc!$Q$209&lt;='财富模型'!$E$11*12,'Calc'!$W$14,'Calc'!$Y$14)-(IF('Calc'!$E$14=1,0,MIN(Calc!$S$208*(1+'财富模型'!$E$20/12)+'Calc'!$B$6,IF(Calc!$Q$209&lt;='财富模型'!$E$11*12,'Calc'!$W$14,'Calc'!$Y$14))))))),0))</x:f>
      </x:c>
      <x:c r="S209" t="str">
        <x:f>IF(Calc!$Q$209&gt;'Calc'!$B$8,"",MAX(Calc!$S$208*(1+'财富模型'!$E$20/12)+'Calc'!$B$6-(IF('Calc'!$E$14=1,0,MIN(Calc!$S$208*(1+'财富模型'!$E$20/12)+'Calc'!$B$6,IF(Calc!$Q$209&lt;='财富模型'!$E$11*12,'Calc'!$W$14,'Calc'!$Y$14)))),0))</x:f>
      </x:c>
      <x:c r="T209" t="str">
        <x:f>IF(Calc!$Q$209&gt;'Calc'!$B$8,"",IF('Calc'!$E$14=1,'财富模型'!$E$9,'财富模型'!$M$6+IF(Calc!$Q$209&lt;='财富模型'!$E$11*12,'Calc'!$W$14,'Calc'!$Y$14)-(IF('Calc'!$E$14=1,0,MIN(Calc!$S$208*(1+'财富模型'!$E$20/12)+'Calc'!$B$6,IF(Calc!$Q$209&lt;='财富模型'!$E$11*12,'Calc'!$W$14,'Calc'!$Y$14))))))</x:f>
      </x:c>
      <x:c r="U209" t="str">
        <x:f>IF(Calc!$Q$209&gt;'Calc'!$B$8,"",IF('Calc'!$E$14=1,0,MIN(Calc!$S$208*(1+'财富模型'!$E$20/12)+'Calc'!$B$6,IF(Calc!$Q$209&lt;='财富模型'!$E$11*12,'Calc'!$W$14,'Calc'!$Y$14))))</x:f>
      </x:c>
      <x:c r="V209" t="str">
        <x:f>IF(Calc!$Q$209&gt;'Calc'!$B$8,"",'Calc'!$B$5-'财富模型'!$E$5-(IF('Calc'!$E$14=1,'财富模型'!$E$9,'财富模型'!$M$6+IF(Calc!$Q$209&lt;='财富模型'!$E$11*12,'Calc'!$W$14,'Calc'!$Y$14)-(IF('Calc'!$E$14=1,0,MIN(Calc!$S$208*(1+'财富模型'!$E$20/12)+'Calc'!$B$6,IF(Calc!$Q$209&lt;='财富模型'!$E$11*12,'Calc'!$W$14,'Calc'!$Y$14)))))))</x:f>
      </x:c>
      <x:c r="W209" t="str">
        <x:f>IF(Calc!$Q$209&gt;'Calc'!$B$8,"",IF('Calc'!$E$14=1,0,MAX(Calc!$W$208*(1+IF(Calc!$Q$209&lt;='财富模型'!$E$11*12,'财富模型'!$E$10,'财富模型'!$E$12)/12)-IF('Calc'!$E$14=1,0,IF(Calc!$Q$209&lt;='财富模型'!$E$11*12,'Calc'!$W$14,'Calc'!$Y$14)),0)))</x:f>
      </x:c>
      <x:c r="Y209" t="n">
        <x:v>188</x:v>
      </x:c>
      <x:c r="Z209" t="str">
        <x:f>IF(Calc!$Y$209&gt;'Calc'!$B$8,"",MAX(Calc!$Z$208*(1+'财富模型'!$E$6/12)+('Calc'!$B$5-'财富模型'!$E$5-(IF('Calc'!$E$15=1,'财富模型'!$E$9,'财富模型'!$M$7+IF(Calc!$Y$209&lt;='财富模型'!$E$11*12,'Calc'!$W$15,'Calc'!$Y$15)-(IF('Calc'!$E$15=1,0,MIN(Calc!$AA$208*(1+'财富模型'!$E$20/12)+'Calc'!$B$6,IF(Calc!$Y$209&lt;='财富模型'!$E$11*12,'Calc'!$W$15,'Calc'!$Y$15))))))),0))</x:f>
      </x:c>
      <x:c r="AA209" t="str">
        <x:f>IF(Calc!$Y$209&gt;'Calc'!$B$8,"",MAX(Calc!$AA$208*(1+'财富模型'!$E$20/12)+'Calc'!$B$6-(IF('Calc'!$E$15=1,0,MIN(Calc!$AA$208*(1+'财富模型'!$E$20/12)+'Calc'!$B$6,IF(Calc!$Y$209&lt;='财富模型'!$E$11*12,'Calc'!$W$15,'Calc'!$Y$15)))),0))</x:f>
      </x:c>
      <x:c r="AB209" t="str">
        <x:f>IF(Calc!$Y$209&gt;'Calc'!$B$8,"",IF('Calc'!$E$15=1,'财富模型'!$E$9,'财富模型'!$M$7+IF(Calc!$Y$209&lt;='财富模型'!$E$11*12,'Calc'!$W$15,'Calc'!$Y$15)-(IF('Calc'!$E$15=1,0,MIN(Calc!$AA$208*(1+'财富模型'!$E$20/12)+'Calc'!$B$6,IF(Calc!$Y$209&lt;='财富模型'!$E$11*12,'Calc'!$W$15,'Calc'!$Y$15))))))</x:f>
      </x:c>
      <x:c r="AC209" t="str">
        <x:f>IF(Calc!$Y$209&gt;'Calc'!$B$8,"",IF('Calc'!$E$15=1,0,MIN(Calc!$AA$208*(1+'财富模型'!$E$20/12)+'Calc'!$B$6,IF(Calc!$Y$209&lt;='财富模型'!$E$11*12,'Calc'!$W$15,'Calc'!$Y$15))))</x:f>
      </x:c>
      <x:c r="AD209" t="str">
        <x:f>IF(Calc!$Y$209&gt;'Calc'!$B$8,"",'Calc'!$B$5-'财富模型'!$E$5-(IF('Calc'!$E$15=1,'财富模型'!$E$9,'财富模型'!$M$7+IF(Calc!$Y$209&lt;='财富模型'!$E$11*12,'Calc'!$W$15,'Calc'!$Y$15)-(IF('Calc'!$E$15=1,0,MIN(Calc!$AA$208*(1+'财富模型'!$E$20/12)+'Calc'!$B$6,IF(Calc!$Y$209&lt;='财富模型'!$E$11*12,'Calc'!$W$15,'Calc'!$Y$15)))))))</x:f>
      </x:c>
      <x:c r="AE209" t="str">
        <x:f>IF(Calc!$Y$209&gt;'Calc'!$B$8,"",IF('Calc'!$E$15=1,0,MAX(Calc!$AE$208*(1+IF(Calc!$Y$209&lt;='财富模型'!$E$11*12,'财富模型'!$E$10,'财富模型'!$E$12)/12)-IF('Calc'!$E$15=1,0,IF(Calc!$Y$209&lt;='财富模型'!$E$11*12,'Calc'!$W$15,'Calc'!$Y$15)),0)))</x:f>
      </x:c>
      <x:c r="AG209" t="n">
        <x:v>188</x:v>
      </x:c>
      <x:c r="AH209" t="str">
        <x:f>IF(Calc!$AG$209&gt;'Calc'!$B$8,"",MAX(Calc!$AH$208*(1+'财富模型'!$E$6/12)+('Calc'!$B$5-'财富模型'!$E$5-(IF('Calc'!$E$16=1,'财富模型'!$E$9,'财富模型'!$M$8+IF(Calc!$AG$209&lt;='财富模型'!$E$11*12,'Calc'!$W$16,'Calc'!$Y$16)-(IF('Calc'!$E$16=1,0,MIN(Calc!$AI$208*(1+'财富模型'!$E$20/12)+'Calc'!$B$6,IF(Calc!$AG$209&lt;='财富模型'!$E$11*12,'Calc'!$W$16,'Calc'!$Y$16))))))),0))</x:f>
      </x:c>
      <x:c r="AI209" t="str">
        <x:f>IF(Calc!$AG$209&gt;'Calc'!$B$8,"",MAX(Calc!$AI$208*(1+'财富模型'!$E$20/12)+'Calc'!$B$6-(IF('Calc'!$E$16=1,0,MIN(Calc!$AI$208*(1+'财富模型'!$E$20/12)+'Calc'!$B$6,IF(Calc!$AG$209&lt;='财富模型'!$E$11*12,'Calc'!$W$16,'Calc'!$Y$16)))),0))</x:f>
      </x:c>
      <x:c r="AJ209" t="str">
        <x:f>IF(Calc!$AG$209&gt;'Calc'!$B$8,"",IF('Calc'!$E$16=1,'财富模型'!$E$9,'财富模型'!$M$8+IF(Calc!$AG$209&lt;='财富模型'!$E$11*12,'Calc'!$W$16,'Calc'!$Y$16)-(IF('Calc'!$E$16=1,0,MIN(Calc!$AI$208*(1+'财富模型'!$E$20/12)+'Calc'!$B$6,IF(Calc!$AG$209&lt;='财富模型'!$E$11*12,'Calc'!$W$16,'Calc'!$Y$16))))))</x:f>
      </x:c>
      <x:c r="AK209" t="str">
        <x:f>IF(Calc!$AG$209&gt;'Calc'!$B$8,"",IF('Calc'!$E$16=1,0,MIN(Calc!$AI$208*(1+'财富模型'!$E$20/12)+'Calc'!$B$6,IF(Calc!$AG$209&lt;='财富模型'!$E$11*12,'Calc'!$W$16,'Calc'!$Y$16))))</x:f>
      </x:c>
      <x:c r="AL209" t="str">
        <x:f>IF(Calc!$AG$209&gt;'Calc'!$B$8,"",'Calc'!$B$5-'财富模型'!$E$5-(IF('Calc'!$E$16=1,'财富模型'!$E$9,'财富模型'!$M$8+IF(Calc!$AG$209&lt;='财富模型'!$E$11*12,'Calc'!$W$16,'Calc'!$Y$16)-(IF('Calc'!$E$16=1,0,MIN(Calc!$AI$208*(1+'财富模型'!$E$20/12)+'Calc'!$B$6,IF(Calc!$AG$209&lt;='财富模型'!$E$11*12,'Calc'!$W$16,'Calc'!$Y$16)))))))</x:f>
      </x:c>
      <x:c r="AM209" t="str">
        <x:f>IF(Calc!$AG$209&gt;'Calc'!$B$8,"",IF('Calc'!$E$16=1,0,MAX(Calc!$AM$208*(1+IF(Calc!$AG$209&lt;='财富模型'!$E$11*12,'财富模型'!$E$10,'财富模型'!$E$12)/12)-IF('Calc'!$E$16=1,0,IF(Calc!$AG$209&lt;='财富模型'!$E$11*12,'Calc'!$W$16,'Calc'!$Y$16)),0)))</x:f>
      </x:c>
      <x:c r="AO209" t="n">
        <x:v>188</x:v>
      </x:c>
      <x:c r="AP209" t="str">
        <x:f>IF(Calc!$AO$209&gt;'Calc'!$B$8,"",MAX(Calc!$AP$208*(1+'财富模型'!$E$6/12)+('Calc'!$B$5-'财富模型'!$E$5-(IF('Calc'!$E$17=1,'财富模型'!$E$9,'财富模型'!$M$9+IF(Calc!$AO$209&lt;='财富模型'!$E$11*12,'Calc'!$W$17,'Calc'!$Y$17)-(IF('Calc'!$E$17=1,0,MIN(Calc!$AQ$208*(1+'财富模型'!$E$20/12)+'Calc'!$B$6,IF(Calc!$AO$209&lt;='财富模型'!$E$11*12,'Calc'!$W$17,'Calc'!$Y$17))))))),0))</x:f>
      </x:c>
      <x:c r="AQ209" t="str">
        <x:f>IF(Calc!$AO$209&gt;'Calc'!$B$8,"",MAX(Calc!$AQ$208*(1+'财富模型'!$E$20/12)+'Calc'!$B$6-(IF('Calc'!$E$17=1,0,MIN(Calc!$AQ$208*(1+'财富模型'!$E$20/12)+'Calc'!$B$6,IF(Calc!$AO$209&lt;='财富模型'!$E$11*12,'Calc'!$W$17,'Calc'!$Y$17)))),0))</x:f>
      </x:c>
      <x:c r="AR209" t="str">
        <x:f>IF(Calc!$AO$209&gt;'Calc'!$B$8,"",IF('Calc'!$E$17=1,'财富模型'!$E$9,'财富模型'!$M$9+IF(Calc!$AO$209&lt;='财富模型'!$E$11*12,'Calc'!$W$17,'Calc'!$Y$17)-(IF('Calc'!$E$17=1,0,MIN(Calc!$AQ$208*(1+'财富模型'!$E$20/12)+'Calc'!$B$6,IF(Calc!$AO$209&lt;='财富模型'!$E$11*12,'Calc'!$W$17,'Calc'!$Y$17))))))</x:f>
      </x:c>
      <x:c r="AS209" t="str">
        <x:f>IF(Calc!$AO$209&gt;'Calc'!$B$8,"",IF('Calc'!$E$17=1,0,MIN(Calc!$AQ$208*(1+'财富模型'!$E$20/12)+'Calc'!$B$6,IF(Calc!$AO$209&lt;='财富模型'!$E$11*12,'Calc'!$W$17,'Calc'!$Y$17))))</x:f>
      </x:c>
      <x:c r="AT209" t="str">
        <x:f>IF(Calc!$AO$209&gt;'Calc'!$B$8,"",'Calc'!$B$5-'财富模型'!$E$5-(IF('Calc'!$E$17=1,'财富模型'!$E$9,'财富模型'!$M$9+IF(Calc!$AO$209&lt;='财富模型'!$E$11*12,'Calc'!$W$17,'Calc'!$Y$17)-(IF('Calc'!$E$17=1,0,MIN(Calc!$AQ$208*(1+'财富模型'!$E$20/12)+'Calc'!$B$6,IF(Calc!$AO$209&lt;='财富模型'!$E$11*12,'Calc'!$W$17,'Calc'!$Y$17)))))))</x:f>
      </x:c>
      <x:c r="AU209" t="str">
        <x:f>IF(Calc!$AO$209&gt;'Calc'!$B$8,"",IF('Calc'!$E$17=1,0,MAX(Calc!$AU$208*(1+IF(Calc!$AO$209&lt;='财富模型'!$E$11*12,'财富模型'!$E$10,'财富模型'!$E$12)/12)-IF('Calc'!$E$17=1,0,IF(Calc!$AO$209&lt;='财富模型'!$E$11*12,'Calc'!$W$17,'Calc'!$Y$17)),0)))</x:f>
      </x:c>
    </x:row>
    <x:row r="210">
      <x:c r="A210" t="n">
        <x:v>189</x:v>
      </x:c>
      <x:c r="B210" t="str">
        <x:f>IF(Calc!$A$210&gt;'Calc'!$B$8,"",MAX(Calc!$B$209*(1+'财富模型'!$E$6/12)+('Calc'!$B$5-'财富模型'!$E$5-(IF('Calc'!$E$12=1,'财富模型'!$E$9,'财富模型'!$M$4+IF(Calc!$A$210&lt;='财富模型'!$E$11*12,'Calc'!$W$12,'Calc'!$Y$12)-(IF('Calc'!$E$12=1,0,MIN(Calc!$C$209*(1+'财富模型'!$E$20/12)+'Calc'!$B$6,IF(Calc!$A$210&lt;='财富模型'!$E$11*12,'Calc'!$W$12,'Calc'!$Y$12))))))),0))</x:f>
      </x:c>
      <x:c r="C210" t="str">
        <x:f>IF(Calc!$A$210&gt;'Calc'!$B$8,"",MAX(Calc!$C$209*(1+'财富模型'!$E$20/12)+'Calc'!$B$6-(IF('Calc'!$E$12=1,0,MIN(Calc!$C$209*(1+'财富模型'!$E$20/12)+'Calc'!$B$6,IF(Calc!$A$210&lt;='财富模型'!$E$11*12,'Calc'!$W$12,'Calc'!$Y$12)))),0))</x:f>
      </x:c>
      <x:c r="D210" t="str">
        <x:f>IF(Calc!$A$210&gt;'Calc'!$B$8,"",IF('Calc'!$E$12=1,'财富模型'!$E$9,'财富模型'!$M$4+IF(Calc!$A$210&lt;='财富模型'!$E$11*12,'Calc'!$W$12,'Calc'!$Y$12)-(IF('Calc'!$E$12=1,0,MIN(Calc!$C$209*(1+'财富模型'!$E$20/12)+'Calc'!$B$6,IF(Calc!$A$210&lt;='财富模型'!$E$11*12,'Calc'!$W$12,'Calc'!$Y$12))))))</x:f>
      </x:c>
      <x:c r="E210" t="str">
        <x:f>IF(Calc!$A$210&gt;'Calc'!$B$8,"",IF('Calc'!$E$12=1,0,MIN(Calc!$C$209*(1+'财富模型'!$E$20/12)+'Calc'!$B$6,IF(Calc!$A$210&lt;='财富模型'!$E$11*12,'Calc'!$W$12,'Calc'!$Y$12))))</x:f>
      </x:c>
      <x:c r="F210" t="str">
        <x:f>IF(Calc!$A$210&gt;'Calc'!$B$8,"",'Calc'!$B$5-'财富模型'!$E$5-(IF('Calc'!$E$12=1,'财富模型'!$E$9,'财富模型'!$M$4+IF(Calc!$A$210&lt;='财富模型'!$E$11*12,'Calc'!$W$12,'Calc'!$Y$12)-(IF('Calc'!$E$12=1,0,MIN(Calc!$C$209*(1+'财富模型'!$E$20/12)+'Calc'!$B$6,IF(Calc!$A$210&lt;='财富模型'!$E$11*12,'Calc'!$W$12,'Calc'!$Y$12)))))))</x:f>
      </x:c>
      <x:c r="G210" t="str">
        <x:f>IF(Calc!$A$210&gt;'Calc'!$B$8,"",IF('Calc'!$E$12=1,0,MAX(Calc!$G$209*(1+IF(Calc!$A$210&lt;='财富模型'!$E$11*12,'财富模型'!$E$10,'财富模型'!$E$12)/12)-IF('Calc'!$E$12=1,0,IF(Calc!$A$210&lt;='财富模型'!$E$11*12,'Calc'!$W$12,'Calc'!$Y$12)),0)))</x:f>
      </x:c>
      <x:c r="I210" t="n">
        <x:v>189</x:v>
      </x:c>
      <x:c r="J210" t="str">
        <x:f>IF(Calc!$I$210&gt;'Calc'!$B$8,"",MAX(Calc!$J$209*(1+'财富模型'!$E$6/12)+('Calc'!$B$5-'财富模型'!$E$5-(IF('Calc'!$E$13=1,'财富模型'!$E$9,'财富模型'!$M$5+IF(Calc!$I$210&lt;='财富模型'!$E$11*12,'Calc'!$W$13,'Calc'!$Y$13)-(IF('Calc'!$E$13=1,0,MIN(Calc!$K$209*(1+'财富模型'!$E$20/12)+'Calc'!$B$6,IF(Calc!$I$210&lt;='财富模型'!$E$11*12,'Calc'!$W$13,'Calc'!$Y$13))))))),0))</x:f>
      </x:c>
      <x:c r="K210" t="str">
        <x:f>IF(Calc!$I$210&gt;'Calc'!$B$8,"",MAX(Calc!$K$209*(1+'财富模型'!$E$20/12)+'Calc'!$B$6-(IF('Calc'!$E$13=1,0,MIN(Calc!$K$209*(1+'财富模型'!$E$20/12)+'Calc'!$B$6,IF(Calc!$I$210&lt;='财富模型'!$E$11*12,'Calc'!$W$13,'Calc'!$Y$13)))),0))</x:f>
      </x:c>
      <x:c r="L210" t="str">
        <x:f>IF(Calc!$I$210&gt;'Calc'!$B$8,"",IF('Calc'!$E$13=1,'财富模型'!$E$9,'财富模型'!$M$5+IF(Calc!$I$210&lt;='财富模型'!$E$11*12,'Calc'!$W$13,'Calc'!$Y$13)-(IF('Calc'!$E$13=1,0,MIN(Calc!$K$209*(1+'财富模型'!$E$20/12)+'Calc'!$B$6,IF(Calc!$I$210&lt;='财富模型'!$E$11*12,'Calc'!$W$13,'Calc'!$Y$13))))))</x:f>
      </x:c>
      <x:c r="M210" t="str">
        <x:f>IF(Calc!$I$210&gt;'Calc'!$B$8,"",IF('Calc'!$E$13=1,0,MIN(Calc!$K$209*(1+'财富模型'!$E$20/12)+'Calc'!$B$6,IF(Calc!$I$210&lt;='财富模型'!$E$11*12,'Calc'!$W$13,'Calc'!$Y$13))))</x:f>
      </x:c>
      <x:c r="N210" t="str">
        <x:f>IF(Calc!$I$210&gt;'Calc'!$B$8,"",'Calc'!$B$5-'财富模型'!$E$5-(IF('Calc'!$E$13=1,'财富模型'!$E$9,'财富模型'!$M$5+IF(Calc!$I$210&lt;='财富模型'!$E$11*12,'Calc'!$W$13,'Calc'!$Y$13)-(IF('Calc'!$E$13=1,0,MIN(Calc!$K$209*(1+'财富模型'!$E$20/12)+'Calc'!$B$6,IF(Calc!$I$210&lt;='财富模型'!$E$11*12,'Calc'!$W$13,'Calc'!$Y$13)))))))</x:f>
      </x:c>
      <x:c r="O210" t="str">
        <x:f>IF(Calc!$I$210&gt;'Calc'!$B$8,"",IF('Calc'!$E$13=1,0,MAX(Calc!$O$209*(1+IF(Calc!$I$210&lt;='财富模型'!$E$11*12,'财富模型'!$E$10,'财富模型'!$E$12)/12)-IF('Calc'!$E$13=1,0,IF(Calc!$I$210&lt;='财富模型'!$E$11*12,'Calc'!$W$13,'Calc'!$Y$13)),0)))</x:f>
      </x:c>
      <x:c r="Q210" t="n">
        <x:v>189</x:v>
      </x:c>
      <x:c r="R210" t="str">
        <x:f>IF(Calc!$Q$210&gt;'Calc'!$B$8,"",MAX(Calc!$R$209*(1+'财富模型'!$E$6/12)+('Calc'!$B$5-'财富模型'!$E$5-(IF('Calc'!$E$14=1,'财富模型'!$E$9,'财富模型'!$M$6+IF(Calc!$Q$210&lt;='财富模型'!$E$11*12,'Calc'!$W$14,'Calc'!$Y$14)-(IF('Calc'!$E$14=1,0,MIN(Calc!$S$209*(1+'财富模型'!$E$20/12)+'Calc'!$B$6,IF(Calc!$Q$210&lt;='财富模型'!$E$11*12,'Calc'!$W$14,'Calc'!$Y$14))))))),0))</x:f>
      </x:c>
      <x:c r="S210" t="str">
        <x:f>IF(Calc!$Q$210&gt;'Calc'!$B$8,"",MAX(Calc!$S$209*(1+'财富模型'!$E$20/12)+'Calc'!$B$6-(IF('Calc'!$E$14=1,0,MIN(Calc!$S$209*(1+'财富模型'!$E$20/12)+'Calc'!$B$6,IF(Calc!$Q$210&lt;='财富模型'!$E$11*12,'Calc'!$W$14,'Calc'!$Y$14)))),0))</x:f>
      </x:c>
      <x:c r="T210" t="str">
        <x:f>IF(Calc!$Q$210&gt;'Calc'!$B$8,"",IF('Calc'!$E$14=1,'财富模型'!$E$9,'财富模型'!$M$6+IF(Calc!$Q$210&lt;='财富模型'!$E$11*12,'Calc'!$W$14,'Calc'!$Y$14)-(IF('Calc'!$E$14=1,0,MIN(Calc!$S$209*(1+'财富模型'!$E$20/12)+'Calc'!$B$6,IF(Calc!$Q$210&lt;='财富模型'!$E$11*12,'Calc'!$W$14,'Calc'!$Y$14))))))</x:f>
      </x:c>
      <x:c r="U210" t="str">
        <x:f>IF(Calc!$Q$210&gt;'Calc'!$B$8,"",IF('Calc'!$E$14=1,0,MIN(Calc!$S$209*(1+'财富模型'!$E$20/12)+'Calc'!$B$6,IF(Calc!$Q$210&lt;='财富模型'!$E$11*12,'Calc'!$W$14,'Calc'!$Y$14))))</x:f>
      </x:c>
      <x:c r="V210" t="str">
        <x:f>IF(Calc!$Q$210&gt;'Calc'!$B$8,"",'Calc'!$B$5-'财富模型'!$E$5-(IF('Calc'!$E$14=1,'财富模型'!$E$9,'财富模型'!$M$6+IF(Calc!$Q$210&lt;='财富模型'!$E$11*12,'Calc'!$W$14,'Calc'!$Y$14)-(IF('Calc'!$E$14=1,0,MIN(Calc!$S$209*(1+'财富模型'!$E$20/12)+'Calc'!$B$6,IF(Calc!$Q$210&lt;='财富模型'!$E$11*12,'Calc'!$W$14,'Calc'!$Y$14)))))))</x:f>
      </x:c>
      <x:c r="W210" t="str">
        <x:f>IF(Calc!$Q$210&gt;'Calc'!$B$8,"",IF('Calc'!$E$14=1,0,MAX(Calc!$W$209*(1+IF(Calc!$Q$210&lt;='财富模型'!$E$11*12,'财富模型'!$E$10,'财富模型'!$E$12)/12)-IF('Calc'!$E$14=1,0,IF(Calc!$Q$210&lt;='财富模型'!$E$11*12,'Calc'!$W$14,'Calc'!$Y$14)),0)))</x:f>
      </x:c>
      <x:c r="Y210" t="n">
        <x:v>189</x:v>
      </x:c>
      <x:c r="Z210" t="str">
        <x:f>IF(Calc!$Y$210&gt;'Calc'!$B$8,"",MAX(Calc!$Z$209*(1+'财富模型'!$E$6/12)+('Calc'!$B$5-'财富模型'!$E$5-(IF('Calc'!$E$15=1,'财富模型'!$E$9,'财富模型'!$M$7+IF(Calc!$Y$210&lt;='财富模型'!$E$11*12,'Calc'!$W$15,'Calc'!$Y$15)-(IF('Calc'!$E$15=1,0,MIN(Calc!$AA$209*(1+'财富模型'!$E$20/12)+'Calc'!$B$6,IF(Calc!$Y$210&lt;='财富模型'!$E$11*12,'Calc'!$W$15,'Calc'!$Y$15))))))),0))</x:f>
      </x:c>
      <x:c r="AA210" t="str">
        <x:f>IF(Calc!$Y$210&gt;'Calc'!$B$8,"",MAX(Calc!$AA$209*(1+'财富模型'!$E$20/12)+'Calc'!$B$6-(IF('Calc'!$E$15=1,0,MIN(Calc!$AA$209*(1+'财富模型'!$E$20/12)+'Calc'!$B$6,IF(Calc!$Y$210&lt;='财富模型'!$E$11*12,'Calc'!$W$15,'Calc'!$Y$15)))),0))</x:f>
      </x:c>
      <x:c r="AB210" t="str">
        <x:f>IF(Calc!$Y$210&gt;'Calc'!$B$8,"",IF('Calc'!$E$15=1,'财富模型'!$E$9,'财富模型'!$M$7+IF(Calc!$Y$210&lt;='财富模型'!$E$11*12,'Calc'!$W$15,'Calc'!$Y$15)-(IF('Calc'!$E$15=1,0,MIN(Calc!$AA$209*(1+'财富模型'!$E$20/12)+'Calc'!$B$6,IF(Calc!$Y$210&lt;='财富模型'!$E$11*12,'Calc'!$W$15,'Calc'!$Y$15))))))</x:f>
      </x:c>
      <x:c r="AC210" t="str">
        <x:f>IF(Calc!$Y$210&gt;'Calc'!$B$8,"",IF('Calc'!$E$15=1,0,MIN(Calc!$AA$209*(1+'财富模型'!$E$20/12)+'Calc'!$B$6,IF(Calc!$Y$210&lt;='财富模型'!$E$11*12,'Calc'!$W$15,'Calc'!$Y$15))))</x:f>
      </x:c>
      <x:c r="AD210" t="str">
        <x:f>IF(Calc!$Y$210&gt;'Calc'!$B$8,"",'Calc'!$B$5-'财富模型'!$E$5-(IF('Calc'!$E$15=1,'财富模型'!$E$9,'财富模型'!$M$7+IF(Calc!$Y$210&lt;='财富模型'!$E$11*12,'Calc'!$W$15,'Calc'!$Y$15)-(IF('Calc'!$E$15=1,0,MIN(Calc!$AA$209*(1+'财富模型'!$E$20/12)+'Calc'!$B$6,IF(Calc!$Y$210&lt;='财富模型'!$E$11*12,'Calc'!$W$15,'Calc'!$Y$15)))))))</x:f>
      </x:c>
      <x:c r="AE210" t="str">
        <x:f>IF(Calc!$Y$210&gt;'Calc'!$B$8,"",IF('Calc'!$E$15=1,0,MAX(Calc!$AE$209*(1+IF(Calc!$Y$210&lt;='财富模型'!$E$11*12,'财富模型'!$E$10,'财富模型'!$E$12)/12)-IF('Calc'!$E$15=1,0,IF(Calc!$Y$210&lt;='财富模型'!$E$11*12,'Calc'!$W$15,'Calc'!$Y$15)),0)))</x:f>
      </x:c>
      <x:c r="AG210" t="n">
        <x:v>189</x:v>
      </x:c>
      <x:c r="AH210" t="str">
        <x:f>IF(Calc!$AG$210&gt;'Calc'!$B$8,"",MAX(Calc!$AH$209*(1+'财富模型'!$E$6/12)+('Calc'!$B$5-'财富模型'!$E$5-(IF('Calc'!$E$16=1,'财富模型'!$E$9,'财富模型'!$M$8+IF(Calc!$AG$210&lt;='财富模型'!$E$11*12,'Calc'!$W$16,'Calc'!$Y$16)-(IF('Calc'!$E$16=1,0,MIN(Calc!$AI$209*(1+'财富模型'!$E$20/12)+'Calc'!$B$6,IF(Calc!$AG$210&lt;='财富模型'!$E$11*12,'Calc'!$W$16,'Calc'!$Y$16))))))),0))</x:f>
      </x:c>
      <x:c r="AI210" t="str">
        <x:f>IF(Calc!$AG$210&gt;'Calc'!$B$8,"",MAX(Calc!$AI$209*(1+'财富模型'!$E$20/12)+'Calc'!$B$6-(IF('Calc'!$E$16=1,0,MIN(Calc!$AI$209*(1+'财富模型'!$E$20/12)+'Calc'!$B$6,IF(Calc!$AG$210&lt;='财富模型'!$E$11*12,'Calc'!$W$16,'Calc'!$Y$16)))),0))</x:f>
      </x:c>
      <x:c r="AJ210" t="str">
        <x:f>IF(Calc!$AG$210&gt;'Calc'!$B$8,"",IF('Calc'!$E$16=1,'财富模型'!$E$9,'财富模型'!$M$8+IF(Calc!$AG$210&lt;='财富模型'!$E$11*12,'Calc'!$W$16,'Calc'!$Y$16)-(IF('Calc'!$E$16=1,0,MIN(Calc!$AI$209*(1+'财富模型'!$E$20/12)+'Calc'!$B$6,IF(Calc!$AG$210&lt;='财富模型'!$E$11*12,'Calc'!$W$16,'Calc'!$Y$16))))))</x:f>
      </x:c>
      <x:c r="AK210" t="str">
        <x:f>IF(Calc!$AG$210&gt;'Calc'!$B$8,"",IF('Calc'!$E$16=1,0,MIN(Calc!$AI$209*(1+'财富模型'!$E$20/12)+'Calc'!$B$6,IF(Calc!$AG$210&lt;='财富模型'!$E$11*12,'Calc'!$W$16,'Calc'!$Y$16))))</x:f>
      </x:c>
      <x:c r="AL210" t="str">
        <x:f>IF(Calc!$AG$210&gt;'Calc'!$B$8,"",'Calc'!$B$5-'财富模型'!$E$5-(IF('Calc'!$E$16=1,'财富模型'!$E$9,'财富模型'!$M$8+IF(Calc!$AG$210&lt;='财富模型'!$E$11*12,'Calc'!$W$16,'Calc'!$Y$16)-(IF('Calc'!$E$16=1,0,MIN(Calc!$AI$209*(1+'财富模型'!$E$20/12)+'Calc'!$B$6,IF(Calc!$AG$210&lt;='财富模型'!$E$11*12,'Calc'!$W$16,'Calc'!$Y$16)))))))</x:f>
      </x:c>
      <x:c r="AM210" t="str">
        <x:f>IF(Calc!$AG$210&gt;'Calc'!$B$8,"",IF('Calc'!$E$16=1,0,MAX(Calc!$AM$209*(1+IF(Calc!$AG$210&lt;='财富模型'!$E$11*12,'财富模型'!$E$10,'财富模型'!$E$12)/12)-IF('Calc'!$E$16=1,0,IF(Calc!$AG$210&lt;='财富模型'!$E$11*12,'Calc'!$W$16,'Calc'!$Y$16)),0)))</x:f>
      </x:c>
      <x:c r="AO210" t="n">
        <x:v>189</x:v>
      </x:c>
      <x:c r="AP210" t="str">
        <x:f>IF(Calc!$AO$210&gt;'Calc'!$B$8,"",MAX(Calc!$AP$209*(1+'财富模型'!$E$6/12)+('Calc'!$B$5-'财富模型'!$E$5-(IF('Calc'!$E$17=1,'财富模型'!$E$9,'财富模型'!$M$9+IF(Calc!$AO$210&lt;='财富模型'!$E$11*12,'Calc'!$W$17,'Calc'!$Y$17)-(IF('Calc'!$E$17=1,0,MIN(Calc!$AQ$209*(1+'财富模型'!$E$20/12)+'Calc'!$B$6,IF(Calc!$AO$210&lt;='财富模型'!$E$11*12,'Calc'!$W$17,'Calc'!$Y$17))))))),0))</x:f>
      </x:c>
      <x:c r="AQ210" t="str">
        <x:f>IF(Calc!$AO$210&gt;'Calc'!$B$8,"",MAX(Calc!$AQ$209*(1+'财富模型'!$E$20/12)+'Calc'!$B$6-(IF('Calc'!$E$17=1,0,MIN(Calc!$AQ$209*(1+'财富模型'!$E$20/12)+'Calc'!$B$6,IF(Calc!$AO$210&lt;='财富模型'!$E$11*12,'Calc'!$W$17,'Calc'!$Y$17)))),0))</x:f>
      </x:c>
      <x:c r="AR210" t="str">
        <x:f>IF(Calc!$AO$210&gt;'Calc'!$B$8,"",IF('Calc'!$E$17=1,'财富模型'!$E$9,'财富模型'!$M$9+IF(Calc!$AO$210&lt;='财富模型'!$E$11*12,'Calc'!$W$17,'Calc'!$Y$17)-(IF('Calc'!$E$17=1,0,MIN(Calc!$AQ$209*(1+'财富模型'!$E$20/12)+'Calc'!$B$6,IF(Calc!$AO$210&lt;='财富模型'!$E$11*12,'Calc'!$W$17,'Calc'!$Y$17))))))</x:f>
      </x:c>
      <x:c r="AS210" t="str">
        <x:f>IF(Calc!$AO$210&gt;'Calc'!$B$8,"",IF('Calc'!$E$17=1,0,MIN(Calc!$AQ$209*(1+'财富模型'!$E$20/12)+'Calc'!$B$6,IF(Calc!$AO$210&lt;='财富模型'!$E$11*12,'Calc'!$W$17,'Calc'!$Y$17))))</x:f>
      </x:c>
      <x:c r="AT210" t="str">
        <x:f>IF(Calc!$AO$210&gt;'Calc'!$B$8,"",'Calc'!$B$5-'财富模型'!$E$5-(IF('Calc'!$E$17=1,'财富模型'!$E$9,'财富模型'!$M$9+IF(Calc!$AO$210&lt;='财富模型'!$E$11*12,'Calc'!$W$17,'Calc'!$Y$17)-(IF('Calc'!$E$17=1,0,MIN(Calc!$AQ$209*(1+'财富模型'!$E$20/12)+'Calc'!$B$6,IF(Calc!$AO$210&lt;='财富模型'!$E$11*12,'Calc'!$W$17,'Calc'!$Y$17)))))))</x:f>
      </x:c>
      <x:c r="AU210" t="str">
        <x:f>IF(Calc!$AO$210&gt;'Calc'!$B$8,"",IF('Calc'!$E$17=1,0,MAX(Calc!$AU$209*(1+IF(Calc!$AO$210&lt;='财富模型'!$E$11*12,'财富模型'!$E$10,'财富模型'!$E$12)/12)-IF('Calc'!$E$17=1,0,IF(Calc!$AO$210&lt;='财富模型'!$E$11*12,'Calc'!$W$17,'Calc'!$Y$17)),0)))</x:f>
      </x:c>
    </x:row>
    <x:row r="211">
      <x:c r="A211" t="n">
        <x:v>190</x:v>
      </x:c>
      <x:c r="B211" t="str">
        <x:f>IF(Calc!$A$211&gt;'Calc'!$B$8,"",MAX(Calc!$B$210*(1+'财富模型'!$E$6/12)+('Calc'!$B$5-'财富模型'!$E$5-(IF('Calc'!$E$12=1,'财富模型'!$E$9,'财富模型'!$M$4+IF(Calc!$A$211&lt;='财富模型'!$E$11*12,'Calc'!$W$12,'Calc'!$Y$12)-(IF('Calc'!$E$12=1,0,MIN(Calc!$C$210*(1+'财富模型'!$E$20/12)+'Calc'!$B$6,IF(Calc!$A$211&lt;='财富模型'!$E$11*12,'Calc'!$W$12,'Calc'!$Y$12))))))),0))</x:f>
      </x:c>
      <x:c r="C211" t="str">
        <x:f>IF(Calc!$A$211&gt;'Calc'!$B$8,"",MAX(Calc!$C$210*(1+'财富模型'!$E$20/12)+'Calc'!$B$6-(IF('Calc'!$E$12=1,0,MIN(Calc!$C$210*(1+'财富模型'!$E$20/12)+'Calc'!$B$6,IF(Calc!$A$211&lt;='财富模型'!$E$11*12,'Calc'!$W$12,'Calc'!$Y$12)))),0))</x:f>
      </x:c>
      <x:c r="D211" t="str">
        <x:f>IF(Calc!$A$211&gt;'Calc'!$B$8,"",IF('Calc'!$E$12=1,'财富模型'!$E$9,'财富模型'!$M$4+IF(Calc!$A$211&lt;='财富模型'!$E$11*12,'Calc'!$W$12,'Calc'!$Y$12)-(IF('Calc'!$E$12=1,0,MIN(Calc!$C$210*(1+'财富模型'!$E$20/12)+'Calc'!$B$6,IF(Calc!$A$211&lt;='财富模型'!$E$11*12,'Calc'!$W$12,'Calc'!$Y$12))))))</x:f>
      </x:c>
      <x:c r="E211" t="str">
        <x:f>IF(Calc!$A$211&gt;'Calc'!$B$8,"",IF('Calc'!$E$12=1,0,MIN(Calc!$C$210*(1+'财富模型'!$E$20/12)+'Calc'!$B$6,IF(Calc!$A$211&lt;='财富模型'!$E$11*12,'Calc'!$W$12,'Calc'!$Y$12))))</x:f>
      </x:c>
      <x:c r="F211" t="str">
        <x:f>IF(Calc!$A$211&gt;'Calc'!$B$8,"",'Calc'!$B$5-'财富模型'!$E$5-(IF('Calc'!$E$12=1,'财富模型'!$E$9,'财富模型'!$M$4+IF(Calc!$A$211&lt;='财富模型'!$E$11*12,'Calc'!$W$12,'Calc'!$Y$12)-(IF('Calc'!$E$12=1,0,MIN(Calc!$C$210*(1+'财富模型'!$E$20/12)+'Calc'!$B$6,IF(Calc!$A$211&lt;='财富模型'!$E$11*12,'Calc'!$W$12,'Calc'!$Y$12)))))))</x:f>
      </x:c>
      <x:c r="G211" t="str">
        <x:f>IF(Calc!$A$211&gt;'Calc'!$B$8,"",IF('Calc'!$E$12=1,0,MAX(Calc!$G$210*(1+IF(Calc!$A$211&lt;='财富模型'!$E$11*12,'财富模型'!$E$10,'财富模型'!$E$12)/12)-IF('Calc'!$E$12=1,0,IF(Calc!$A$211&lt;='财富模型'!$E$11*12,'Calc'!$W$12,'Calc'!$Y$12)),0)))</x:f>
      </x:c>
      <x:c r="I211" t="n">
        <x:v>190</x:v>
      </x:c>
      <x:c r="J211" t="str">
        <x:f>IF(Calc!$I$211&gt;'Calc'!$B$8,"",MAX(Calc!$J$210*(1+'财富模型'!$E$6/12)+('Calc'!$B$5-'财富模型'!$E$5-(IF('Calc'!$E$13=1,'财富模型'!$E$9,'财富模型'!$M$5+IF(Calc!$I$211&lt;='财富模型'!$E$11*12,'Calc'!$W$13,'Calc'!$Y$13)-(IF('Calc'!$E$13=1,0,MIN(Calc!$K$210*(1+'财富模型'!$E$20/12)+'Calc'!$B$6,IF(Calc!$I$211&lt;='财富模型'!$E$11*12,'Calc'!$W$13,'Calc'!$Y$13))))))),0))</x:f>
      </x:c>
      <x:c r="K211" t="str">
        <x:f>IF(Calc!$I$211&gt;'Calc'!$B$8,"",MAX(Calc!$K$210*(1+'财富模型'!$E$20/12)+'Calc'!$B$6-(IF('Calc'!$E$13=1,0,MIN(Calc!$K$210*(1+'财富模型'!$E$20/12)+'Calc'!$B$6,IF(Calc!$I$211&lt;='财富模型'!$E$11*12,'Calc'!$W$13,'Calc'!$Y$13)))),0))</x:f>
      </x:c>
      <x:c r="L211" t="str">
        <x:f>IF(Calc!$I$211&gt;'Calc'!$B$8,"",IF('Calc'!$E$13=1,'财富模型'!$E$9,'财富模型'!$M$5+IF(Calc!$I$211&lt;='财富模型'!$E$11*12,'Calc'!$W$13,'Calc'!$Y$13)-(IF('Calc'!$E$13=1,0,MIN(Calc!$K$210*(1+'财富模型'!$E$20/12)+'Calc'!$B$6,IF(Calc!$I$211&lt;='财富模型'!$E$11*12,'Calc'!$W$13,'Calc'!$Y$13))))))</x:f>
      </x:c>
      <x:c r="M211" t="str">
        <x:f>IF(Calc!$I$211&gt;'Calc'!$B$8,"",IF('Calc'!$E$13=1,0,MIN(Calc!$K$210*(1+'财富模型'!$E$20/12)+'Calc'!$B$6,IF(Calc!$I$211&lt;='财富模型'!$E$11*12,'Calc'!$W$13,'Calc'!$Y$13))))</x:f>
      </x:c>
      <x:c r="N211" t="str">
        <x:f>IF(Calc!$I$211&gt;'Calc'!$B$8,"",'Calc'!$B$5-'财富模型'!$E$5-(IF('Calc'!$E$13=1,'财富模型'!$E$9,'财富模型'!$M$5+IF(Calc!$I$211&lt;='财富模型'!$E$11*12,'Calc'!$W$13,'Calc'!$Y$13)-(IF('Calc'!$E$13=1,0,MIN(Calc!$K$210*(1+'财富模型'!$E$20/12)+'Calc'!$B$6,IF(Calc!$I$211&lt;='财富模型'!$E$11*12,'Calc'!$W$13,'Calc'!$Y$13)))))))</x:f>
      </x:c>
      <x:c r="O211" t="str">
        <x:f>IF(Calc!$I$211&gt;'Calc'!$B$8,"",IF('Calc'!$E$13=1,0,MAX(Calc!$O$210*(1+IF(Calc!$I$211&lt;='财富模型'!$E$11*12,'财富模型'!$E$10,'财富模型'!$E$12)/12)-IF('Calc'!$E$13=1,0,IF(Calc!$I$211&lt;='财富模型'!$E$11*12,'Calc'!$W$13,'Calc'!$Y$13)),0)))</x:f>
      </x:c>
      <x:c r="Q211" t="n">
        <x:v>190</x:v>
      </x:c>
      <x:c r="R211" t="str">
        <x:f>IF(Calc!$Q$211&gt;'Calc'!$B$8,"",MAX(Calc!$R$210*(1+'财富模型'!$E$6/12)+('Calc'!$B$5-'财富模型'!$E$5-(IF('Calc'!$E$14=1,'财富模型'!$E$9,'财富模型'!$M$6+IF(Calc!$Q$211&lt;='财富模型'!$E$11*12,'Calc'!$W$14,'Calc'!$Y$14)-(IF('Calc'!$E$14=1,0,MIN(Calc!$S$210*(1+'财富模型'!$E$20/12)+'Calc'!$B$6,IF(Calc!$Q$211&lt;='财富模型'!$E$11*12,'Calc'!$W$14,'Calc'!$Y$14))))))),0))</x:f>
      </x:c>
      <x:c r="S211" t="str">
        <x:f>IF(Calc!$Q$211&gt;'Calc'!$B$8,"",MAX(Calc!$S$210*(1+'财富模型'!$E$20/12)+'Calc'!$B$6-(IF('Calc'!$E$14=1,0,MIN(Calc!$S$210*(1+'财富模型'!$E$20/12)+'Calc'!$B$6,IF(Calc!$Q$211&lt;='财富模型'!$E$11*12,'Calc'!$W$14,'Calc'!$Y$14)))),0))</x:f>
      </x:c>
      <x:c r="T211" t="str">
        <x:f>IF(Calc!$Q$211&gt;'Calc'!$B$8,"",IF('Calc'!$E$14=1,'财富模型'!$E$9,'财富模型'!$M$6+IF(Calc!$Q$211&lt;='财富模型'!$E$11*12,'Calc'!$W$14,'Calc'!$Y$14)-(IF('Calc'!$E$14=1,0,MIN(Calc!$S$210*(1+'财富模型'!$E$20/12)+'Calc'!$B$6,IF(Calc!$Q$211&lt;='财富模型'!$E$11*12,'Calc'!$W$14,'Calc'!$Y$14))))))</x:f>
      </x:c>
      <x:c r="U211" t="str">
        <x:f>IF(Calc!$Q$211&gt;'Calc'!$B$8,"",IF('Calc'!$E$14=1,0,MIN(Calc!$S$210*(1+'财富模型'!$E$20/12)+'Calc'!$B$6,IF(Calc!$Q$211&lt;='财富模型'!$E$11*12,'Calc'!$W$14,'Calc'!$Y$14))))</x:f>
      </x:c>
      <x:c r="V211" t="str">
        <x:f>IF(Calc!$Q$211&gt;'Calc'!$B$8,"",'Calc'!$B$5-'财富模型'!$E$5-(IF('Calc'!$E$14=1,'财富模型'!$E$9,'财富模型'!$M$6+IF(Calc!$Q$211&lt;='财富模型'!$E$11*12,'Calc'!$W$14,'Calc'!$Y$14)-(IF('Calc'!$E$14=1,0,MIN(Calc!$S$210*(1+'财富模型'!$E$20/12)+'Calc'!$B$6,IF(Calc!$Q$211&lt;='财富模型'!$E$11*12,'Calc'!$W$14,'Calc'!$Y$14)))))))</x:f>
      </x:c>
      <x:c r="W211" t="str">
        <x:f>IF(Calc!$Q$211&gt;'Calc'!$B$8,"",IF('Calc'!$E$14=1,0,MAX(Calc!$W$210*(1+IF(Calc!$Q$211&lt;='财富模型'!$E$11*12,'财富模型'!$E$10,'财富模型'!$E$12)/12)-IF('Calc'!$E$14=1,0,IF(Calc!$Q$211&lt;='财富模型'!$E$11*12,'Calc'!$W$14,'Calc'!$Y$14)),0)))</x:f>
      </x:c>
      <x:c r="Y211" t="n">
        <x:v>190</x:v>
      </x:c>
      <x:c r="Z211" t="str">
        <x:f>IF(Calc!$Y$211&gt;'Calc'!$B$8,"",MAX(Calc!$Z$210*(1+'财富模型'!$E$6/12)+('Calc'!$B$5-'财富模型'!$E$5-(IF('Calc'!$E$15=1,'财富模型'!$E$9,'财富模型'!$M$7+IF(Calc!$Y$211&lt;='财富模型'!$E$11*12,'Calc'!$W$15,'Calc'!$Y$15)-(IF('Calc'!$E$15=1,0,MIN(Calc!$AA$210*(1+'财富模型'!$E$20/12)+'Calc'!$B$6,IF(Calc!$Y$211&lt;='财富模型'!$E$11*12,'Calc'!$W$15,'Calc'!$Y$15))))))),0))</x:f>
      </x:c>
      <x:c r="AA211" t="str">
        <x:f>IF(Calc!$Y$211&gt;'Calc'!$B$8,"",MAX(Calc!$AA$210*(1+'财富模型'!$E$20/12)+'Calc'!$B$6-(IF('Calc'!$E$15=1,0,MIN(Calc!$AA$210*(1+'财富模型'!$E$20/12)+'Calc'!$B$6,IF(Calc!$Y$211&lt;='财富模型'!$E$11*12,'Calc'!$W$15,'Calc'!$Y$15)))),0))</x:f>
      </x:c>
      <x:c r="AB211" t="str">
        <x:f>IF(Calc!$Y$211&gt;'Calc'!$B$8,"",IF('Calc'!$E$15=1,'财富模型'!$E$9,'财富模型'!$M$7+IF(Calc!$Y$211&lt;='财富模型'!$E$11*12,'Calc'!$W$15,'Calc'!$Y$15)-(IF('Calc'!$E$15=1,0,MIN(Calc!$AA$210*(1+'财富模型'!$E$20/12)+'Calc'!$B$6,IF(Calc!$Y$211&lt;='财富模型'!$E$11*12,'Calc'!$W$15,'Calc'!$Y$15))))))</x:f>
      </x:c>
      <x:c r="AC211" t="str">
        <x:f>IF(Calc!$Y$211&gt;'Calc'!$B$8,"",IF('Calc'!$E$15=1,0,MIN(Calc!$AA$210*(1+'财富模型'!$E$20/12)+'Calc'!$B$6,IF(Calc!$Y$211&lt;='财富模型'!$E$11*12,'Calc'!$W$15,'Calc'!$Y$15))))</x:f>
      </x:c>
      <x:c r="AD211" t="str">
        <x:f>IF(Calc!$Y$211&gt;'Calc'!$B$8,"",'Calc'!$B$5-'财富模型'!$E$5-(IF('Calc'!$E$15=1,'财富模型'!$E$9,'财富模型'!$M$7+IF(Calc!$Y$211&lt;='财富模型'!$E$11*12,'Calc'!$W$15,'Calc'!$Y$15)-(IF('Calc'!$E$15=1,0,MIN(Calc!$AA$210*(1+'财富模型'!$E$20/12)+'Calc'!$B$6,IF(Calc!$Y$211&lt;='财富模型'!$E$11*12,'Calc'!$W$15,'Calc'!$Y$15)))))))</x:f>
      </x:c>
      <x:c r="AE211" t="str">
        <x:f>IF(Calc!$Y$211&gt;'Calc'!$B$8,"",IF('Calc'!$E$15=1,0,MAX(Calc!$AE$210*(1+IF(Calc!$Y$211&lt;='财富模型'!$E$11*12,'财富模型'!$E$10,'财富模型'!$E$12)/12)-IF('Calc'!$E$15=1,0,IF(Calc!$Y$211&lt;='财富模型'!$E$11*12,'Calc'!$W$15,'Calc'!$Y$15)),0)))</x:f>
      </x:c>
      <x:c r="AG211" t="n">
        <x:v>190</x:v>
      </x:c>
      <x:c r="AH211" t="str">
        <x:f>IF(Calc!$AG$211&gt;'Calc'!$B$8,"",MAX(Calc!$AH$210*(1+'财富模型'!$E$6/12)+('Calc'!$B$5-'财富模型'!$E$5-(IF('Calc'!$E$16=1,'财富模型'!$E$9,'财富模型'!$M$8+IF(Calc!$AG$211&lt;='财富模型'!$E$11*12,'Calc'!$W$16,'Calc'!$Y$16)-(IF('Calc'!$E$16=1,0,MIN(Calc!$AI$210*(1+'财富模型'!$E$20/12)+'Calc'!$B$6,IF(Calc!$AG$211&lt;='财富模型'!$E$11*12,'Calc'!$W$16,'Calc'!$Y$16))))))),0))</x:f>
      </x:c>
      <x:c r="AI211" t="str">
        <x:f>IF(Calc!$AG$211&gt;'Calc'!$B$8,"",MAX(Calc!$AI$210*(1+'财富模型'!$E$20/12)+'Calc'!$B$6-(IF('Calc'!$E$16=1,0,MIN(Calc!$AI$210*(1+'财富模型'!$E$20/12)+'Calc'!$B$6,IF(Calc!$AG$211&lt;='财富模型'!$E$11*12,'Calc'!$W$16,'Calc'!$Y$16)))),0))</x:f>
      </x:c>
      <x:c r="AJ211" t="str">
        <x:f>IF(Calc!$AG$211&gt;'Calc'!$B$8,"",IF('Calc'!$E$16=1,'财富模型'!$E$9,'财富模型'!$M$8+IF(Calc!$AG$211&lt;='财富模型'!$E$11*12,'Calc'!$W$16,'Calc'!$Y$16)-(IF('Calc'!$E$16=1,0,MIN(Calc!$AI$210*(1+'财富模型'!$E$20/12)+'Calc'!$B$6,IF(Calc!$AG$211&lt;='财富模型'!$E$11*12,'Calc'!$W$16,'Calc'!$Y$16))))))</x:f>
      </x:c>
      <x:c r="AK211" t="str">
        <x:f>IF(Calc!$AG$211&gt;'Calc'!$B$8,"",IF('Calc'!$E$16=1,0,MIN(Calc!$AI$210*(1+'财富模型'!$E$20/12)+'Calc'!$B$6,IF(Calc!$AG$211&lt;='财富模型'!$E$11*12,'Calc'!$W$16,'Calc'!$Y$16))))</x:f>
      </x:c>
      <x:c r="AL211" t="str">
        <x:f>IF(Calc!$AG$211&gt;'Calc'!$B$8,"",'Calc'!$B$5-'财富模型'!$E$5-(IF('Calc'!$E$16=1,'财富模型'!$E$9,'财富模型'!$M$8+IF(Calc!$AG$211&lt;='财富模型'!$E$11*12,'Calc'!$W$16,'Calc'!$Y$16)-(IF('Calc'!$E$16=1,0,MIN(Calc!$AI$210*(1+'财富模型'!$E$20/12)+'Calc'!$B$6,IF(Calc!$AG$211&lt;='财富模型'!$E$11*12,'Calc'!$W$16,'Calc'!$Y$16)))))))</x:f>
      </x:c>
      <x:c r="AM211" t="str">
        <x:f>IF(Calc!$AG$211&gt;'Calc'!$B$8,"",IF('Calc'!$E$16=1,0,MAX(Calc!$AM$210*(1+IF(Calc!$AG$211&lt;='财富模型'!$E$11*12,'财富模型'!$E$10,'财富模型'!$E$12)/12)-IF('Calc'!$E$16=1,0,IF(Calc!$AG$211&lt;='财富模型'!$E$11*12,'Calc'!$W$16,'Calc'!$Y$16)),0)))</x:f>
      </x:c>
      <x:c r="AO211" t="n">
        <x:v>190</x:v>
      </x:c>
      <x:c r="AP211" t="str">
        <x:f>IF(Calc!$AO$211&gt;'Calc'!$B$8,"",MAX(Calc!$AP$210*(1+'财富模型'!$E$6/12)+('Calc'!$B$5-'财富模型'!$E$5-(IF('Calc'!$E$17=1,'财富模型'!$E$9,'财富模型'!$M$9+IF(Calc!$AO$211&lt;='财富模型'!$E$11*12,'Calc'!$W$17,'Calc'!$Y$17)-(IF('Calc'!$E$17=1,0,MIN(Calc!$AQ$210*(1+'财富模型'!$E$20/12)+'Calc'!$B$6,IF(Calc!$AO$211&lt;='财富模型'!$E$11*12,'Calc'!$W$17,'Calc'!$Y$17))))))),0))</x:f>
      </x:c>
      <x:c r="AQ211" t="str">
        <x:f>IF(Calc!$AO$211&gt;'Calc'!$B$8,"",MAX(Calc!$AQ$210*(1+'财富模型'!$E$20/12)+'Calc'!$B$6-(IF('Calc'!$E$17=1,0,MIN(Calc!$AQ$210*(1+'财富模型'!$E$20/12)+'Calc'!$B$6,IF(Calc!$AO$211&lt;='财富模型'!$E$11*12,'Calc'!$W$17,'Calc'!$Y$17)))),0))</x:f>
      </x:c>
      <x:c r="AR211" t="str">
        <x:f>IF(Calc!$AO$211&gt;'Calc'!$B$8,"",IF('Calc'!$E$17=1,'财富模型'!$E$9,'财富模型'!$M$9+IF(Calc!$AO$211&lt;='财富模型'!$E$11*12,'Calc'!$W$17,'Calc'!$Y$17)-(IF('Calc'!$E$17=1,0,MIN(Calc!$AQ$210*(1+'财富模型'!$E$20/12)+'Calc'!$B$6,IF(Calc!$AO$211&lt;='财富模型'!$E$11*12,'Calc'!$W$17,'Calc'!$Y$17))))))</x:f>
      </x:c>
      <x:c r="AS211" t="str">
        <x:f>IF(Calc!$AO$211&gt;'Calc'!$B$8,"",IF('Calc'!$E$17=1,0,MIN(Calc!$AQ$210*(1+'财富模型'!$E$20/12)+'Calc'!$B$6,IF(Calc!$AO$211&lt;='财富模型'!$E$11*12,'Calc'!$W$17,'Calc'!$Y$17))))</x:f>
      </x:c>
      <x:c r="AT211" t="str">
        <x:f>IF(Calc!$AO$211&gt;'Calc'!$B$8,"",'Calc'!$B$5-'财富模型'!$E$5-(IF('Calc'!$E$17=1,'财富模型'!$E$9,'财富模型'!$M$9+IF(Calc!$AO$211&lt;='财富模型'!$E$11*12,'Calc'!$W$17,'Calc'!$Y$17)-(IF('Calc'!$E$17=1,0,MIN(Calc!$AQ$210*(1+'财富模型'!$E$20/12)+'Calc'!$B$6,IF(Calc!$AO$211&lt;='财富模型'!$E$11*12,'Calc'!$W$17,'Calc'!$Y$17)))))))</x:f>
      </x:c>
      <x:c r="AU211" t="str">
        <x:f>IF(Calc!$AO$211&gt;'Calc'!$B$8,"",IF('Calc'!$E$17=1,0,MAX(Calc!$AU$210*(1+IF(Calc!$AO$211&lt;='财富模型'!$E$11*12,'财富模型'!$E$10,'财富模型'!$E$12)/12)-IF('Calc'!$E$17=1,0,IF(Calc!$AO$211&lt;='财富模型'!$E$11*12,'Calc'!$W$17,'Calc'!$Y$17)),0)))</x:f>
      </x:c>
    </x:row>
    <x:row r="212">
      <x:c r="A212" t="n">
        <x:v>191</x:v>
      </x:c>
      <x:c r="B212" t="str">
        <x:f>IF(Calc!$A$212&gt;'Calc'!$B$8,"",MAX(Calc!$B$211*(1+'财富模型'!$E$6/12)+('Calc'!$B$5-'财富模型'!$E$5-(IF('Calc'!$E$12=1,'财富模型'!$E$9,'财富模型'!$M$4+IF(Calc!$A$212&lt;='财富模型'!$E$11*12,'Calc'!$W$12,'Calc'!$Y$12)-(IF('Calc'!$E$12=1,0,MIN(Calc!$C$211*(1+'财富模型'!$E$20/12)+'Calc'!$B$6,IF(Calc!$A$212&lt;='财富模型'!$E$11*12,'Calc'!$W$12,'Calc'!$Y$12))))))),0))</x:f>
      </x:c>
      <x:c r="C212" t="str">
        <x:f>IF(Calc!$A$212&gt;'Calc'!$B$8,"",MAX(Calc!$C$211*(1+'财富模型'!$E$20/12)+'Calc'!$B$6-(IF('Calc'!$E$12=1,0,MIN(Calc!$C$211*(1+'财富模型'!$E$20/12)+'Calc'!$B$6,IF(Calc!$A$212&lt;='财富模型'!$E$11*12,'Calc'!$W$12,'Calc'!$Y$12)))),0))</x:f>
      </x:c>
      <x:c r="D212" t="str">
        <x:f>IF(Calc!$A$212&gt;'Calc'!$B$8,"",IF('Calc'!$E$12=1,'财富模型'!$E$9,'财富模型'!$M$4+IF(Calc!$A$212&lt;='财富模型'!$E$11*12,'Calc'!$W$12,'Calc'!$Y$12)-(IF('Calc'!$E$12=1,0,MIN(Calc!$C$211*(1+'财富模型'!$E$20/12)+'Calc'!$B$6,IF(Calc!$A$212&lt;='财富模型'!$E$11*12,'Calc'!$W$12,'Calc'!$Y$12))))))</x:f>
      </x:c>
      <x:c r="E212" t="str">
        <x:f>IF(Calc!$A$212&gt;'Calc'!$B$8,"",IF('Calc'!$E$12=1,0,MIN(Calc!$C$211*(1+'财富模型'!$E$20/12)+'Calc'!$B$6,IF(Calc!$A$212&lt;='财富模型'!$E$11*12,'Calc'!$W$12,'Calc'!$Y$12))))</x:f>
      </x:c>
      <x:c r="F212" t="str">
        <x:f>IF(Calc!$A$212&gt;'Calc'!$B$8,"",'Calc'!$B$5-'财富模型'!$E$5-(IF('Calc'!$E$12=1,'财富模型'!$E$9,'财富模型'!$M$4+IF(Calc!$A$212&lt;='财富模型'!$E$11*12,'Calc'!$W$12,'Calc'!$Y$12)-(IF('Calc'!$E$12=1,0,MIN(Calc!$C$211*(1+'财富模型'!$E$20/12)+'Calc'!$B$6,IF(Calc!$A$212&lt;='财富模型'!$E$11*12,'Calc'!$W$12,'Calc'!$Y$12)))))))</x:f>
      </x:c>
      <x:c r="G212" t="str">
        <x:f>IF(Calc!$A$212&gt;'Calc'!$B$8,"",IF('Calc'!$E$12=1,0,MAX(Calc!$G$211*(1+IF(Calc!$A$212&lt;='财富模型'!$E$11*12,'财富模型'!$E$10,'财富模型'!$E$12)/12)-IF('Calc'!$E$12=1,0,IF(Calc!$A$212&lt;='财富模型'!$E$11*12,'Calc'!$W$12,'Calc'!$Y$12)),0)))</x:f>
      </x:c>
      <x:c r="I212" t="n">
        <x:v>191</x:v>
      </x:c>
      <x:c r="J212" t="str">
        <x:f>IF(Calc!$I$212&gt;'Calc'!$B$8,"",MAX(Calc!$J$211*(1+'财富模型'!$E$6/12)+('Calc'!$B$5-'财富模型'!$E$5-(IF('Calc'!$E$13=1,'财富模型'!$E$9,'财富模型'!$M$5+IF(Calc!$I$212&lt;='财富模型'!$E$11*12,'Calc'!$W$13,'Calc'!$Y$13)-(IF('Calc'!$E$13=1,0,MIN(Calc!$K$211*(1+'财富模型'!$E$20/12)+'Calc'!$B$6,IF(Calc!$I$212&lt;='财富模型'!$E$11*12,'Calc'!$W$13,'Calc'!$Y$13))))))),0))</x:f>
      </x:c>
      <x:c r="K212" t="str">
        <x:f>IF(Calc!$I$212&gt;'Calc'!$B$8,"",MAX(Calc!$K$211*(1+'财富模型'!$E$20/12)+'Calc'!$B$6-(IF('Calc'!$E$13=1,0,MIN(Calc!$K$211*(1+'财富模型'!$E$20/12)+'Calc'!$B$6,IF(Calc!$I$212&lt;='财富模型'!$E$11*12,'Calc'!$W$13,'Calc'!$Y$13)))),0))</x:f>
      </x:c>
      <x:c r="L212" t="str">
        <x:f>IF(Calc!$I$212&gt;'Calc'!$B$8,"",IF('Calc'!$E$13=1,'财富模型'!$E$9,'财富模型'!$M$5+IF(Calc!$I$212&lt;='财富模型'!$E$11*12,'Calc'!$W$13,'Calc'!$Y$13)-(IF('Calc'!$E$13=1,0,MIN(Calc!$K$211*(1+'财富模型'!$E$20/12)+'Calc'!$B$6,IF(Calc!$I$212&lt;='财富模型'!$E$11*12,'Calc'!$W$13,'Calc'!$Y$13))))))</x:f>
      </x:c>
      <x:c r="M212" t="str">
        <x:f>IF(Calc!$I$212&gt;'Calc'!$B$8,"",IF('Calc'!$E$13=1,0,MIN(Calc!$K$211*(1+'财富模型'!$E$20/12)+'Calc'!$B$6,IF(Calc!$I$212&lt;='财富模型'!$E$11*12,'Calc'!$W$13,'Calc'!$Y$13))))</x:f>
      </x:c>
      <x:c r="N212" t="str">
        <x:f>IF(Calc!$I$212&gt;'Calc'!$B$8,"",'Calc'!$B$5-'财富模型'!$E$5-(IF('Calc'!$E$13=1,'财富模型'!$E$9,'财富模型'!$M$5+IF(Calc!$I$212&lt;='财富模型'!$E$11*12,'Calc'!$W$13,'Calc'!$Y$13)-(IF('Calc'!$E$13=1,0,MIN(Calc!$K$211*(1+'财富模型'!$E$20/12)+'Calc'!$B$6,IF(Calc!$I$212&lt;='财富模型'!$E$11*12,'Calc'!$W$13,'Calc'!$Y$13)))))))</x:f>
      </x:c>
      <x:c r="O212" t="str">
        <x:f>IF(Calc!$I$212&gt;'Calc'!$B$8,"",IF('Calc'!$E$13=1,0,MAX(Calc!$O$211*(1+IF(Calc!$I$212&lt;='财富模型'!$E$11*12,'财富模型'!$E$10,'财富模型'!$E$12)/12)-IF('Calc'!$E$13=1,0,IF(Calc!$I$212&lt;='财富模型'!$E$11*12,'Calc'!$W$13,'Calc'!$Y$13)),0)))</x:f>
      </x:c>
      <x:c r="Q212" t="n">
        <x:v>191</x:v>
      </x:c>
      <x:c r="R212" t="str">
        <x:f>IF(Calc!$Q$212&gt;'Calc'!$B$8,"",MAX(Calc!$R$211*(1+'财富模型'!$E$6/12)+('Calc'!$B$5-'财富模型'!$E$5-(IF('Calc'!$E$14=1,'财富模型'!$E$9,'财富模型'!$M$6+IF(Calc!$Q$212&lt;='财富模型'!$E$11*12,'Calc'!$W$14,'Calc'!$Y$14)-(IF('Calc'!$E$14=1,0,MIN(Calc!$S$211*(1+'财富模型'!$E$20/12)+'Calc'!$B$6,IF(Calc!$Q$212&lt;='财富模型'!$E$11*12,'Calc'!$W$14,'Calc'!$Y$14))))))),0))</x:f>
      </x:c>
      <x:c r="S212" t="str">
        <x:f>IF(Calc!$Q$212&gt;'Calc'!$B$8,"",MAX(Calc!$S$211*(1+'财富模型'!$E$20/12)+'Calc'!$B$6-(IF('Calc'!$E$14=1,0,MIN(Calc!$S$211*(1+'财富模型'!$E$20/12)+'Calc'!$B$6,IF(Calc!$Q$212&lt;='财富模型'!$E$11*12,'Calc'!$W$14,'Calc'!$Y$14)))),0))</x:f>
      </x:c>
      <x:c r="T212" t="str">
        <x:f>IF(Calc!$Q$212&gt;'Calc'!$B$8,"",IF('Calc'!$E$14=1,'财富模型'!$E$9,'财富模型'!$M$6+IF(Calc!$Q$212&lt;='财富模型'!$E$11*12,'Calc'!$W$14,'Calc'!$Y$14)-(IF('Calc'!$E$14=1,0,MIN(Calc!$S$211*(1+'财富模型'!$E$20/12)+'Calc'!$B$6,IF(Calc!$Q$212&lt;='财富模型'!$E$11*12,'Calc'!$W$14,'Calc'!$Y$14))))))</x:f>
      </x:c>
      <x:c r="U212" t="str">
        <x:f>IF(Calc!$Q$212&gt;'Calc'!$B$8,"",IF('Calc'!$E$14=1,0,MIN(Calc!$S$211*(1+'财富模型'!$E$20/12)+'Calc'!$B$6,IF(Calc!$Q$212&lt;='财富模型'!$E$11*12,'Calc'!$W$14,'Calc'!$Y$14))))</x:f>
      </x:c>
      <x:c r="V212" t="str">
        <x:f>IF(Calc!$Q$212&gt;'Calc'!$B$8,"",'Calc'!$B$5-'财富模型'!$E$5-(IF('Calc'!$E$14=1,'财富模型'!$E$9,'财富模型'!$M$6+IF(Calc!$Q$212&lt;='财富模型'!$E$11*12,'Calc'!$W$14,'Calc'!$Y$14)-(IF('Calc'!$E$14=1,0,MIN(Calc!$S$211*(1+'财富模型'!$E$20/12)+'Calc'!$B$6,IF(Calc!$Q$212&lt;='财富模型'!$E$11*12,'Calc'!$W$14,'Calc'!$Y$14)))))))</x:f>
      </x:c>
      <x:c r="W212" t="str">
        <x:f>IF(Calc!$Q$212&gt;'Calc'!$B$8,"",IF('Calc'!$E$14=1,0,MAX(Calc!$W$211*(1+IF(Calc!$Q$212&lt;='财富模型'!$E$11*12,'财富模型'!$E$10,'财富模型'!$E$12)/12)-IF('Calc'!$E$14=1,0,IF(Calc!$Q$212&lt;='财富模型'!$E$11*12,'Calc'!$W$14,'Calc'!$Y$14)),0)))</x:f>
      </x:c>
      <x:c r="Y212" t="n">
        <x:v>191</x:v>
      </x:c>
      <x:c r="Z212" t="str">
        <x:f>IF(Calc!$Y$212&gt;'Calc'!$B$8,"",MAX(Calc!$Z$211*(1+'财富模型'!$E$6/12)+('Calc'!$B$5-'财富模型'!$E$5-(IF('Calc'!$E$15=1,'财富模型'!$E$9,'财富模型'!$M$7+IF(Calc!$Y$212&lt;='财富模型'!$E$11*12,'Calc'!$W$15,'Calc'!$Y$15)-(IF('Calc'!$E$15=1,0,MIN(Calc!$AA$211*(1+'财富模型'!$E$20/12)+'Calc'!$B$6,IF(Calc!$Y$212&lt;='财富模型'!$E$11*12,'Calc'!$W$15,'Calc'!$Y$15))))))),0))</x:f>
      </x:c>
      <x:c r="AA212" t="str">
        <x:f>IF(Calc!$Y$212&gt;'Calc'!$B$8,"",MAX(Calc!$AA$211*(1+'财富模型'!$E$20/12)+'Calc'!$B$6-(IF('Calc'!$E$15=1,0,MIN(Calc!$AA$211*(1+'财富模型'!$E$20/12)+'Calc'!$B$6,IF(Calc!$Y$212&lt;='财富模型'!$E$11*12,'Calc'!$W$15,'Calc'!$Y$15)))),0))</x:f>
      </x:c>
      <x:c r="AB212" t="str">
        <x:f>IF(Calc!$Y$212&gt;'Calc'!$B$8,"",IF('Calc'!$E$15=1,'财富模型'!$E$9,'财富模型'!$M$7+IF(Calc!$Y$212&lt;='财富模型'!$E$11*12,'Calc'!$W$15,'Calc'!$Y$15)-(IF('Calc'!$E$15=1,0,MIN(Calc!$AA$211*(1+'财富模型'!$E$20/12)+'Calc'!$B$6,IF(Calc!$Y$212&lt;='财富模型'!$E$11*12,'Calc'!$W$15,'Calc'!$Y$15))))))</x:f>
      </x:c>
      <x:c r="AC212" t="str">
        <x:f>IF(Calc!$Y$212&gt;'Calc'!$B$8,"",IF('Calc'!$E$15=1,0,MIN(Calc!$AA$211*(1+'财富模型'!$E$20/12)+'Calc'!$B$6,IF(Calc!$Y$212&lt;='财富模型'!$E$11*12,'Calc'!$W$15,'Calc'!$Y$15))))</x:f>
      </x:c>
      <x:c r="AD212" t="str">
        <x:f>IF(Calc!$Y$212&gt;'Calc'!$B$8,"",'Calc'!$B$5-'财富模型'!$E$5-(IF('Calc'!$E$15=1,'财富模型'!$E$9,'财富模型'!$M$7+IF(Calc!$Y$212&lt;='财富模型'!$E$11*12,'Calc'!$W$15,'Calc'!$Y$15)-(IF('Calc'!$E$15=1,0,MIN(Calc!$AA$211*(1+'财富模型'!$E$20/12)+'Calc'!$B$6,IF(Calc!$Y$212&lt;='财富模型'!$E$11*12,'Calc'!$W$15,'Calc'!$Y$15)))))))</x:f>
      </x:c>
      <x:c r="AE212" t="str">
        <x:f>IF(Calc!$Y$212&gt;'Calc'!$B$8,"",IF('Calc'!$E$15=1,0,MAX(Calc!$AE$211*(1+IF(Calc!$Y$212&lt;='财富模型'!$E$11*12,'财富模型'!$E$10,'财富模型'!$E$12)/12)-IF('Calc'!$E$15=1,0,IF(Calc!$Y$212&lt;='财富模型'!$E$11*12,'Calc'!$W$15,'Calc'!$Y$15)),0)))</x:f>
      </x:c>
      <x:c r="AG212" t="n">
        <x:v>191</x:v>
      </x:c>
      <x:c r="AH212" t="str">
        <x:f>IF(Calc!$AG$212&gt;'Calc'!$B$8,"",MAX(Calc!$AH$211*(1+'财富模型'!$E$6/12)+('Calc'!$B$5-'财富模型'!$E$5-(IF('Calc'!$E$16=1,'财富模型'!$E$9,'财富模型'!$M$8+IF(Calc!$AG$212&lt;='财富模型'!$E$11*12,'Calc'!$W$16,'Calc'!$Y$16)-(IF('Calc'!$E$16=1,0,MIN(Calc!$AI$211*(1+'财富模型'!$E$20/12)+'Calc'!$B$6,IF(Calc!$AG$212&lt;='财富模型'!$E$11*12,'Calc'!$W$16,'Calc'!$Y$16))))))),0))</x:f>
      </x:c>
      <x:c r="AI212" t="str">
        <x:f>IF(Calc!$AG$212&gt;'Calc'!$B$8,"",MAX(Calc!$AI$211*(1+'财富模型'!$E$20/12)+'Calc'!$B$6-(IF('Calc'!$E$16=1,0,MIN(Calc!$AI$211*(1+'财富模型'!$E$20/12)+'Calc'!$B$6,IF(Calc!$AG$212&lt;='财富模型'!$E$11*12,'Calc'!$W$16,'Calc'!$Y$16)))),0))</x:f>
      </x:c>
      <x:c r="AJ212" t="str">
        <x:f>IF(Calc!$AG$212&gt;'Calc'!$B$8,"",IF('Calc'!$E$16=1,'财富模型'!$E$9,'财富模型'!$M$8+IF(Calc!$AG$212&lt;='财富模型'!$E$11*12,'Calc'!$W$16,'Calc'!$Y$16)-(IF('Calc'!$E$16=1,0,MIN(Calc!$AI$211*(1+'财富模型'!$E$20/12)+'Calc'!$B$6,IF(Calc!$AG$212&lt;='财富模型'!$E$11*12,'Calc'!$W$16,'Calc'!$Y$16))))))</x:f>
      </x:c>
      <x:c r="AK212" t="str">
        <x:f>IF(Calc!$AG$212&gt;'Calc'!$B$8,"",IF('Calc'!$E$16=1,0,MIN(Calc!$AI$211*(1+'财富模型'!$E$20/12)+'Calc'!$B$6,IF(Calc!$AG$212&lt;='财富模型'!$E$11*12,'Calc'!$W$16,'Calc'!$Y$16))))</x:f>
      </x:c>
      <x:c r="AL212" t="str">
        <x:f>IF(Calc!$AG$212&gt;'Calc'!$B$8,"",'Calc'!$B$5-'财富模型'!$E$5-(IF('Calc'!$E$16=1,'财富模型'!$E$9,'财富模型'!$M$8+IF(Calc!$AG$212&lt;='财富模型'!$E$11*12,'Calc'!$W$16,'Calc'!$Y$16)-(IF('Calc'!$E$16=1,0,MIN(Calc!$AI$211*(1+'财富模型'!$E$20/12)+'Calc'!$B$6,IF(Calc!$AG$212&lt;='财富模型'!$E$11*12,'Calc'!$W$16,'Calc'!$Y$16)))))))</x:f>
      </x:c>
      <x:c r="AM212" t="str">
        <x:f>IF(Calc!$AG$212&gt;'Calc'!$B$8,"",IF('Calc'!$E$16=1,0,MAX(Calc!$AM$211*(1+IF(Calc!$AG$212&lt;='财富模型'!$E$11*12,'财富模型'!$E$10,'财富模型'!$E$12)/12)-IF('Calc'!$E$16=1,0,IF(Calc!$AG$212&lt;='财富模型'!$E$11*12,'Calc'!$W$16,'Calc'!$Y$16)),0)))</x:f>
      </x:c>
      <x:c r="AO212" t="n">
        <x:v>191</x:v>
      </x:c>
      <x:c r="AP212" t="str">
        <x:f>IF(Calc!$AO$212&gt;'Calc'!$B$8,"",MAX(Calc!$AP$211*(1+'财富模型'!$E$6/12)+('Calc'!$B$5-'财富模型'!$E$5-(IF('Calc'!$E$17=1,'财富模型'!$E$9,'财富模型'!$M$9+IF(Calc!$AO$212&lt;='财富模型'!$E$11*12,'Calc'!$W$17,'Calc'!$Y$17)-(IF('Calc'!$E$17=1,0,MIN(Calc!$AQ$211*(1+'财富模型'!$E$20/12)+'Calc'!$B$6,IF(Calc!$AO$212&lt;='财富模型'!$E$11*12,'Calc'!$W$17,'Calc'!$Y$17))))))),0))</x:f>
      </x:c>
      <x:c r="AQ212" t="str">
        <x:f>IF(Calc!$AO$212&gt;'Calc'!$B$8,"",MAX(Calc!$AQ$211*(1+'财富模型'!$E$20/12)+'Calc'!$B$6-(IF('Calc'!$E$17=1,0,MIN(Calc!$AQ$211*(1+'财富模型'!$E$20/12)+'Calc'!$B$6,IF(Calc!$AO$212&lt;='财富模型'!$E$11*12,'Calc'!$W$17,'Calc'!$Y$17)))),0))</x:f>
      </x:c>
      <x:c r="AR212" t="str">
        <x:f>IF(Calc!$AO$212&gt;'Calc'!$B$8,"",IF('Calc'!$E$17=1,'财富模型'!$E$9,'财富模型'!$M$9+IF(Calc!$AO$212&lt;='财富模型'!$E$11*12,'Calc'!$W$17,'Calc'!$Y$17)-(IF('Calc'!$E$17=1,0,MIN(Calc!$AQ$211*(1+'财富模型'!$E$20/12)+'Calc'!$B$6,IF(Calc!$AO$212&lt;='财富模型'!$E$11*12,'Calc'!$W$17,'Calc'!$Y$17))))))</x:f>
      </x:c>
      <x:c r="AS212" t="str">
        <x:f>IF(Calc!$AO$212&gt;'Calc'!$B$8,"",IF('Calc'!$E$17=1,0,MIN(Calc!$AQ$211*(1+'财富模型'!$E$20/12)+'Calc'!$B$6,IF(Calc!$AO$212&lt;='财富模型'!$E$11*12,'Calc'!$W$17,'Calc'!$Y$17))))</x:f>
      </x:c>
      <x:c r="AT212" t="str">
        <x:f>IF(Calc!$AO$212&gt;'Calc'!$B$8,"",'Calc'!$B$5-'财富模型'!$E$5-(IF('Calc'!$E$17=1,'财富模型'!$E$9,'财富模型'!$M$9+IF(Calc!$AO$212&lt;='财富模型'!$E$11*12,'Calc'!$W$17,'Calc'!$Y$17)-(IF('Calc'!$E$17=1,0,MIN(Calc!$AQ$211*(1+'财富模型'!$E$20/12)+'Calc'!$B$6,IF(Calc!$AO$212&lt;='财富模型'!$E$11*12,'Calc'!$W$17,'Calc'!$Y$17)))))))</x:f>
      </x:c>
      <x:c r="AU212" t="str">
        <x:f>IF(Calc!$AO$212&gt;'Calc'!$B$8,"",IF('Calc'!$E$17=1,0,MAX(Calc!$AU$211*(1+IF(Calc!$AO$212&lt;='财富模型'!$E$11*12,'财富模型'!$E$10,'财富模型'!$E$12)/12)-IF('Calc'!$E$17=1,0,IF(Calc!$AO$212&lt;='财富模型'!$E$11*12,'Calc'!$W$17,'Calc'!$Y$17)),0)))</x:f>
      </x:c>
    </x:row>
    <x:row r="213">
      <x:c r="A213" t="n">
        <x:v>192</x:v>
      </x:c>
      <x:c r="B213" t="str">
        <x:f>IF(Calc!$A$213&gt;'Calc'!$B$8,"",MAX(Calc!$B$212*(1+'财富模型'!$E$6/12)+('Calc'!$B$5-'财富模型'!$E$5-(IF('Calc'!$E$12=1,'财富模型'!$E$9,'财富模型'!$M$4+IF(Calc!$A$213&lt;='财富模型'!$E$11*12,'Calc'!$W$12,'Calc'!$Y$12)-(IF('Calc'!$E$12=1,0,MIN(Calc!$C$212*(1+'财富模型'!$E$20/12)+'Calc'!$B$6,IF(Calc!$A$213&lt;='财富模型'!$E$11*12,'Calc'!$W$12,'Calc'!$Y$12))))))),0))</x:f>
      </x:c>
      <x:c r="C213" t="str">
        <x:f>IF(Calc!$A$213&gt;'Calc'!$B$8,"",MAX(Calc!$C$212*(1+'财富模型'!$E$20/12)+'Calc'!$B$6-(IF('Calc'!$E$12=1,0,MIN(Calc!$C$212*(1+'财富模型'!$E$20/12)+'Calc'!$B$6,IF(Calc!$A$213&lt;='财富模型'!$E$11*12,'Calc'!$W$12,'Calc'!$Y$12)))),0))</x:f>
      </x:c>
      <x:c r="D213" t="str">
        <x:f>IF(Calc!$A$213&gt;'Calc'!$B$8,"",IF('Calc'!$E$12=1,'财富模型'!$E$9,'财富模型'!$M$4+IF(Calc!$A$213&lt;='财富模型'!$E$11*12,'Calc'!$W$12,'Calc'!$Y$12)-(IF('Calc'!$E$12=1,0,MIN(Calc!$C$212*(1+'财富模型'!$E$20/12)+'Calc'!$B$6,IF(Calc!$A$213&lt;='财富模型'!$E$11*12,'Calc'!$W$12,'Calc'!$Y$12))))))</x:f>
      </x:c>
      <x:c r="E213" t="str">
        <x:f>IF(Calc!$A$213&gt;'Calc'!$B$8,"",IF('Calc'!$E$12=1,0,MIN(Calc!$C$212*(1+'财富模型'!$E$20/12)+'Calc'!$B$6,IF(Calc!$A$213&lt;='财富模型'!$E$11*12,'Calc'!$W$12,'Calc'!$Y$12))))</x:f>
      </x:c>
      <x:c r="F213" t="str">
        <x:f>IF(Calc!$A$213&gt;'Calc'!$B$8,"",'Calc'!$B$5-'财富模型'!$E$5-(IF('Calc'!$E$12=1,'财富模型'!$E$9,'财富模型'!$M$4+IF(Calc!$A$213&lt;='财富模型'!$E$11*12,'Calc'!$W$12,'Calc'!$Y$12)-(IF('Calc'!$E$12=1,0,MIN(Calc!$C$212*(1+'财富模型'!$E$20/12)+'Calc'!$B$6,IF(Calc!$A$213&lt;='财富模型'!$E$11*12,'Calc'!$W$12,'Calc'!$Y$12)))))))</x:f>
      </x:c>
      <x:c r="G213" t="str">
        <x:f>IF(Calc!$A$213&gt;'Calc'!$B$8,"",IF('Calc'!$E$12=1,0,MAX(Calc!$G$212*(1+IF(Calc!$A$213&lt;='财富模型'!$E$11*12,'财富模型'!$E$10,'财富模型'!$E$12)/12)-IF('Calc'!$E$12=1,0,IF(Calc!$A$213&lt;='财富模型'!$E$11*12,'Calc'!$W$12,'Calc'!$Y$12)),0)))</x:f>
      </x:c>
      <x:c r="I213" t="n">
        <x:v>192</x:v>
      </x:c>
      <x:c r="J213" t="str">
        <x:f>IF(Calc!$I$213&gt;'Calc'!$B$8,"",MAX(Calc!$J$212*(1+'财富模型'!$E$6/12)+('Calc'!$B$5-'财富模型'!$E$5-(IF('Calc'!$E$13=1,'财富模型'!$E$9,'财富模型'!$M$5+IF(Calc!$I$213&lt;='财富模型'!$E$11*12,'Calc'!$W$13,'Calc'!$Y$13)-(IF('Calc'!$E$13=1,0,MIN(Calc!$K$212*(1+'财富模型'!$E$20/12)+'Calc'!$B$6,IF(Calc!$I$213&lt;='财富模型'!$E$11*12,'Calc'!$W$13,'Calc'!$Y$13))))))),0))</x:f>
      </x:c>
      <x:c r="K213" t="str">
        <x:f>IF(Calc!$I$213&gt;'Calc'!$B$8,"",MAX(Calc!$K$212*(1+'财富模型'!$E$20/12)+'Calc'!$B$6-(IF('Calc'!$E$13=1,0,MIN(Calc!$K$212*(1+'财富模型'!$E$20/12)+'Calc'!$B$6,IF(Calc!$I$213&lt;='财富模型'!$E$11*12,'Calc'!$W$13,'Calc'!$Y$13)))),0))</x:f>
      </x:c>
      <x:c r="L213" t="str">
        <x:f>IF(Calc!$I$213&gt;'Calc'!$B$8,"",IF('Calc'!$E$13=1,'财富模型'!$E$9,'财富模型'!$M$5+IF(Calc!$I$213&lt;='财富模型'!$E$11*12,'Calc'!$W$13,'Calc'!$Y$13)-(IF('Calc'!$E$13=1,0,MIN(Calc!$K$212*(1+'财富模型'!$E$20/12)+'Calc'!$B$6,IF(Calc!$I$213&lt;='财富模型'!$E$11*12,'Calc'!$W$13,'Calc'!$Y$13))))))</x:f>
      </x:c>
      <x:c r="M213" t="str">
        <x:f>IF(Calc!$I$213&gt;'Calc'!$B$8,"",IF('Calc'!$E$13=1,0,MIN(Calc!$K$212*(1+'财富模型'!$E$20/12)+'Calc'!$B$6,IF(Calc!$I$213&lt;='财富模型'!$E$11*12,'Calc'!$W$13,'Calc'!$Y$13))))</x:f>
      </x:c>
      <x:c r="N213" t="str">
        <x:f>IF(Calc!$I$213&gt;'Calc'!$B$8,"",'Calc'!$B$5-'财富模型'!$E$5-(IF('Calc'!$E$13=1,'财富模型'!$E$9,'财富模型'!$M$5+IF(Calc!$I$213&lt;='财富模型'!$E$11*12,'Calc'!$W$13,'Calc'!$Y$13)-(IF('Calc'!$E$13=1,0,MIN(Calc!$K$212*(1+'财富模型'!$E$20/12)+'Calc'!$B$6,IF(Calc!$I$213&lt;='财富模型'!$E$11*12,'Calc'!$W$13,'Calc'!$Y$13)))))))</x:f>
      </x:c>
      <x:c r="O213" t="str">
        <x:f>IF(Calc!$I$213&gt;'Calc'!$B$8,"",IF('Calc'!$E$13=1,0,MAX(Calc!$O$212*(1+IF(Calc!$I$213&lt;='财富模型'!$E$11*12,'财富模型'!$E$10,'财富模型'!$E$12)/12)-IF('Calc'!$E$13=1,0,IF(Calc!$I$213&lt;='财富模型'!$E$11*12,'Calc'!$W$13,'Calc'!$Y$13)),0)))</x:f>
      </x:c>
      <x:c r="Q213" t="n">
        <x:v>192</x:v>
      </x:c>
      <x:c r="R213" t="str">
        <x:f>IF(Calc!$Q$213&gt;'Calc'!$B$8,"",MAX(Calc!$R$212*(1+'财富模型'!$E$6/12)+('Calc'!$B$5-'财富模型'!$E$5-(IF('Calc'!$E$14=1,'财富模型'!$E$9,'财富模型'!$M$6+IF(Calc!$Q$213&lt;='财富模型'!$E$11*12,'Calc'!$W$14,'Calc'!$Y$14)-(IF('Calc'!$E$14=1,0,MIN(Calc!$S$212*(1+'财富模型'!$E$20/12)+'Calc'!$B$6,IF(Calc!$Q$213&lt;='财富模型'!$E$11*12,'Calc'!$W$14,'Calc'!$Y$14))))))),0))</x:f>
      </x:c>
      <x:c r="S213" t="str">
        <x:f>IF(Calc!$Q$213&gt;'Calc'!$B$8,"",MAX(Calc!$S$212*(1+'财富模型'!$E$20/12)+'Calc'!$B$6-(IF('Calc'!$E$14=1,0,MIN(Calc!$S$212*(1+'财富模型'!$E$20/12)+'Calc'!$B$6,IF(Calc!$Q$213&lt;='财富模型'!$E$11*12,'Calc'!$W$14,'Calc'!$Y$14)))),0))</x:f>
      </x:c>
      <x:c r="T213" t="str">
        <x:f>IF(Calc!$Q$213&gt;'Calc'!$B$8,"",IF('Calc'!$E$14=1,'财富模型'!$E$9,'财富模型'!$M$6+IF(Calc!$Q$213&lt;='财富模型'!$E$11*12,'Calc'!$W$14,'Calc'!$Y$14)-(IF('Calc'!$E$14=1,0,MIN(Calc!$S$212*(1+'财富模型'!$E$20/12)+'Calc'!$B$6,IF(Calc!$Q$213&lt;='财富模型'!$E$11*12,'Calc'!$W$14,'Calc'!$Y$14))))))</x:f>
      </x:c>
      <x:c r="U213" t="str">
        <x:f>IF(Calc!$Q$213&gt;'Calc'!$B$8,"",IF('Calc'!$E$14=1,0,MIN(Calc!$S$212*(1+'财富模型'!$E$20/12)+'Calc'!$B$6,IF(Calc!$Q$213&lt;='财富模型'!$E$11*12,'Calc'!$W$14,'Calc'!$Y$14))))</x:f>
      </x:c>
      <x:c r="V213" t="str">
        <x:f>IF(Calc!$Q$213&gt;'Calc'!$B$8,"",'Calc'!$B$5-'财富模型'!$E$5-(IF('Calc'!$E$14=1,'财富模型'!$E$9,'财富模型'!$M$6+IF(Calc!$Q$213&lt;='财富模型'!$E$11*12,'Calc'!$W$14,'Calc'!$Y$14)-(IF('Calc'!$E$14=1,0,MIN(Calc!$S$212*(1+'财富模型'!$E$20/12)+'Calc'!$B$6,IF(Calc!$Q$213&lt;='财富模型'!$E$11*12,'Calc'!$W$14,'Calc'!$Y$14)))))))</x:f>
      </x:c>
      <x:c r="W213" t="str">
        <x:f>IF(Calc!$Q$213&gt;'Calc'!$B$8,"",IF('Calc'!$E$14=1,0,MAX(Calc!$W$212*(1+IF(Calc!$Q$213&lt;='财富模型'!$E$11*12,'财富模型'!$E$10,'财富模型'!$E$12)/12)-IF('Calc'!$E$14=1,0,IF(Calc!$Q$213&lt;='财富模型'!$E$11*12,'Calc'!$W$14,'Calc'!$Y$14)),0)))</x:f>
      </x:c>
      <x:c r="Y213" t="n">
        <x:v>192</x:v>
      </x:c>
      <x:c r="Z213" t="str">
        <x:f>IF(Calc!$Y$213&gt;'Calc'!$B$8,"",MAX(Calc!$Z$212*(1+'财富模型'!$E$6/12)+('Calc'!$B$5-'财富模型'!$E$5-(IF('Calc'!$E$15=1,'财富模型'!$E$9,'财富模型'!$M$7+IF(Calc!$Y$213&lt;='财富模型'!$E$11*12,'Calc'!$W$15,'Calc'!$Y$15)-(IF('Calc'!$E$15=1,0,MIN(Calc!$AA$212*(1+'财富模型'!$E$20/12)+'Calc'!$B$6,IF(Calc!$Y$213&lt;='财富模型'!$E$11*12,'Calc'!$W$15,'Calc'!$Y$15))))))),0))</x:f>
      </x:c>
      <x:c r="AA213" t="str">
        <x:f>IF(Calc!$Y$213&gt;'Calc'!$B$8,"",MAX(Calc!$AA$212*(1+'财富模型'!$E$20/12)+'Calc'!$B$6-(IF('Calc'!$E$15=1,0,MIN(Calc!$AA$212*(1+'财富模型'!$E$20/12)+'Calc'!$B$6,IF(Calc!$Y$213&lt;='财富模型'!$E$11*12,'Calc'!$W$15,'Calc'!$Y$15)))),0))</x:f>
      </x:c>
      <x:c r="AB213" t="str">
        <x:f>IF(Calc!$Y$213&gt;'Calc'!$B$8,"",IF('Calc'!$E$15=1,'财富模型'!$E$9,'财富模型'!$M$7+IF(Calc!$Y$213&lt;='财富模型'!$E$11*12,'Calc'!$W$15,'Calc'!$Y$15)-(IF('Calc'!$E$15=1,0,MIN(Calc!$AA$212*(1+'财富模型'!$E$20/12)+'Calc'!$B$6,IF(Calc!$Y$213&lt;='财富模型'!$E$11*12,'Calc'!$W$15,'Calc'!$Y$15))))))</x:f>
      </x:c>
      <x:c r="AC213" t="str">
        <x:f>IF(Calc!$Y$213&gt;'Calc'!$B$8,"",IF('Calc'!$E$15=1,0,MIN(Calc!$AA$212*(1+'财富模型'!$E$20/12)+'Calc'!$B$6,IF(Calc!$Y$213&lt;='财富模型'!$E$11*12,'Calc'!$W$15,'Calc'!$Y$15))))</x:f>
      </x:c>
      <x:c r="AD213" t="str">
        <x:f>IF(Calc!$Y$213&gt;'Calc'!$B$8,"",'Calc'!$B$5-'财富模型'!$E$5-(IF('Calc'!$E$15=1,'财富模型'!$E$9,'财富模型'!$M$7+IF(Calc!$Y$213&lt;='财富模型'!$E$11*12,'Calc'!$W$15,'Calc'!$Y$15)-(IF('Calc'!$E$15=1,0,MIN(Calc!$AA$212*(1+'财富模型'!$E$20/12)+'Calc'!$B$6,IF(Calc!$Y$213&lt;='财富模型'!$E$11*12,'Calc'!$W$15,'Calc'!$Y$15)))))))</x:f>
      </x:c>
      <x:c r="AE213" t="str">
        <x:f>IF(Calc!$Y$213&gt;'Calc'!$B$8,"",IF('Calc'!$E$15=1,0,MAX(Calc!$AE$212*(1+IF(Calc!$Y$213&lt;='财富模型'!$E$11*12,'财富模型'!$E$10,'财富模型'!$E$12)/12)-IF('Calc'!$E$15=1,0,IF(Calc!$Y$213&lt;='财富模型'!$E$11*12,'Calc'!$W$15,'Calc'!$Y$15)),0)))</x:f>
      </x:c>
      <x:c r="AG213" t="n">
        <x:v>192</x:v>
      </x:c>
      <x:c r="AH213" t="str">
        <x:f>IF(Calc!$AG$213&gt;'Calc'!$B$8,"",MAX(Calc!$AH$212*(1+'财富模型'!$E$6/12)+('Calc'!$B$5-'财富模型'!$E$5-(IF('Calc'!$E$16=1,'财富模型'!$E$9,'财富模型'!$M$8+IF(Calc!$AG$213&lt;='财富模型'!$E$11*12,'Calc'!$W$16,'Calc'!$Y$16)-(IF('Calc'!$E$16=1,0,MIN(Calc!$AI$212*(1+'财富模型'!$E$20/12)+'Calc'!$B$6,IF(Calc!$AG$213&lt;='财富模型'!$E$11*12,'Calc'!$W$16,'Calc'!$Y$16))))))),0))</x:f>
      </x:c>
      <x:c r="AI213" t="str">
        <x:f>IF(Calc!$AG$213&gt;'Calc'!$B$8,"",MAX(Calc!$AI$212*(1+'财富模型'!$E$20/12)+'Calc'!$B$6-(IF('Calc'!$E$16=1,0,MIN(Calc!$AI$212*(1+'财富模型'!$E$20/12)+'Calc'!$B$6,IF(Calc!$AG$213&lt;='财富模型'!$E$11*12,'Calc'!$W$16,'Calc'!$Y$16)))),0))</x:f>
      </x:c>
      <x:c r="AJ213" t="str">
        <x:f>IF(Calc!$AG$213&gt;'Calc'!$B$8,"",IF('Calc'!$E$16=1,'财富模型'!$E$9,'财富模型'!$M$8+IF(Calc!$AG$213&lt;='财富模型'!$E$11*12,'Calc'!$W$16,'Calc'!$Y$16)-(IF('Calc'!$E$16=1,0,MIN(Calc!$AI$212*(1+'财富模型'!$E$20/12)+'Calc'!$B$6,IF(Calc!$AG$213&lt;='财富模型'!$E$11*12,'Calc'!$W$16,'Calc'!$Y$16))))))</x:f>
      </x:c>
      <x:c r="AK213" t="str">
        <x:f>IF(Calc!$AG$213&gt;'Calc'!$B$8,"",IF('Calc'!$E$16=1,0,MIN(Calc!$AI$212*(1+'财富模型'!$E$20/12)+'Calc'!$B$6,IF(Calc!$AG$213&lt;='财富模型'!$E$11*12,'Calc'!$W$16,'Calc'!$Y$16))))</x:f>
      </x:c>
      <x:c r="AL213" t="str">
        <x:f>IF(Calc!$AG$213&gt;'Calc'!$B$8,"",'Calc'!$B$5-'财富模型'!$E$5-(IF('Calc'!$E$16=1,'财富模型'!$E$9,'财富模型'!$M$8+IF(Calc!$AG$213&lt;='财富模型'!$E$11*12,'Calc'!$W$16,'Calc'!$Y$16)-(IF('Calc'!$E$16=1,0,MIN(Calc!$AI$212*(1+'财富模型'!$E$20/12)+'Calc'!$B$6,IF(Calc!$AG$213&lt;='财富模型'!$E$11*12,'Calc'!$W$16,'Calc'!$Y$16)))))))</x:f>
      </x:c>
      <x:c r="AM213" t="str">
        <x:f>IF(Calc!$AG$213&gt;'Calc'!$B$8,"",IF('Calc'!$E$16=1,0,MAX(Calc!$AM$212*(1+IF(Calc!$AG$213&lt;='财富模型'!$E$11*12,'财富模型'!$E$10,'财富模型'!$E$12)/12)-IF('Calc'!$E$16=1,0,IF(Calc!$AG$213&lt;='财富模型'!$E$11*12,'Calc'!$W$16,'Calc'!$Y$16)),0)))</x:f>
      </x:c>
      <x:c r="AO213" t="n">
        <x:v>192</x:v>
      </x:c>
      <x:c r="AP213" t="str">
        <x:f>IF(Calc!$AO$213&gt;'Calc'!$B$8,"",MAX(Calc!$AP$212*(1+'财富模型'!$E$6/12)+('Calc'!$B$5-'财富模型'!$E$5-(IF('Calc'!$E$17=1,'财富模型'!$E$9,'财富模型'!$M$9+IF(Calc!$AO$213&lt;='财富模型'!$E$11*12,'Calc'!$W$17,'Calc'!$Y$17)-(IF('Calc'!$E$17=1,0,MIN(Calc!$AQ$212*(1+'财富模型'!$E$20/12)+'Calc'!$B$6,IF(Calc!$AO$213&lt;='财富模型'!$E$11*12,'Calc'!$W$17,'Calc'!$Y$17))))))),0))</x:f>
      </x:c>
      <x:c r="AQ213" t="str">
        <x:f>IF(Calc!$AO$213&gt;'Calc'!$B$8,"",MAX(Calc!$AQ$212*(1+'财富模型'!$E$20/12)+'Calc'!$B$6-(IF('Calc'!$E$17=1,0,MIN(Calc!$AQ$212*(1+'财富模型'!$E$20/12)+'Calc'!$B$6,IF(Calc!$AO$213&lt;='财富模型'!$E$11*12,'Calc'!$W$17,'Calc'!$Y$17)))),0))</x:f>
      </x:c>
      <x:c r="AR213" t="str">
        <x:f>IF(Calc!$AO$213&gt;'Calc'!$B$8,"",IF('Calc'!$E$17=1,'财富模型'!$E$9,'财富模型'!$M$9+IF(Calc!$AO$213&lt;='财富模型'!$E$11*12,'Calc'!$W$17,'Calc'!$Y$17)-(IF('Calc'!$E$17=1,0,MIN(Calc!$AQ$212*(1+'财富模型'!$E$20/12)+'Calc'!$B$6,IF(Calc!$AO$213&lt;='财富模型'!$E$11*12,'Calc'!$W$17,'Calc'!$Y$17))))))</x:f>
      </x:c>
      <x:c r="AS213" t="str">
        <x:f>IF(Calc!$AO$213&gt;'Calc'!$B$8,"",IF('Calc'!$E$17=1,0,MIN(Calc!$AQ$212*(1+'财富模型'!$E$20/12)+'Calc'!$B$6,IF(Calc!$AO$213&lt;='财富模型'!$E$11*12,'Calc'!$W$17,'Calc'!$Y$17))))</x:f>
      </x:c>
      <x:c r="AT213" t="str">
        <x:f>IF(Calc!$AO$213&gt;'Calc'!$B$8,"",'Calc'!$B$5-'财富模型'!$E$5-(IF('Calc'!$E$17=1,'财富模型'!$E$9,'财富模型'!$M$9+IF(Calc!$AO$213&lt;='财富模型'!$E$11*12,'Calc'!$W$17,'Calc'!$Y$17)-(IF('Calc'!$E$17=1,0,MIN(Calc!$AQ$212*(1+'财富模型'!$E$20/12)+'Calc'!$B$6,IF(Calc!$AO$213&lt;='财富模型'!$E$11*12,'Calc'!$W$17,'Calc'!$Y$17)))))))</x:f>
      </x:c>
      <x:c r="AU213" t="str">
        <x:f>IF(Calc!$AO$213&gt;'Calc'!$B$8,"",IF('Calc'!$E$17=1,0,MAX(Calc!$AU$212*(1+IF(Calc!$AO$213&lt;='财富模型'!$E$11*12,'财富模型'!$E$10,'财富模型'!$E$12)/12)-IF('Calc'!$E$17=1,0,IF(Calc!$AO$213&lt;='财富模型'!$E$11*12,'Calc'!$W$17,'Calc'!$Y$17)),0)))</x:f>
      </x:c>
    </x:row>
    <x:row r="214">
      <x:c r="A214" t="n">
        <x:v>193</x:v>
      </x:c>
      <x:c r="B214" t="str">
        <x:f>IF(Calc!$A$214&gt;'Calc'!$B$8,"",MAX(Calc!$B$213*(1+'财富模型'!$E$6/12)+('Calc'!$B$5-'财富模型'!$E$5-(IF('Calc'!$E$12=1,'财富模型'!$E$9,'财富模型'!$M$4+IF(Calc!$A$214&lt;='财富模型'!$E$11*12,'Calc'!$W$12,'Calc'!$Y$12)-(IF('Calc'!$E$12=1,0,MIN(Calc!$C$213*(1+'财富模型'!$E$20/12)+'Calc'!$B$6,IF(Calc!$A$214&lt;='财富模型'!$E$11*12,'Calc'!$W$12,'Calc'!$Y$12))))))),0))</x:f>
      </x:c>
      <x:c r="C214" t="str">
        <x:f>IF(Calc!$A$214&gt;'Calc'!$B$8,"",MAX(Calc!$C$213*(1+'财富模型'!$E$20/12)+'Calc'!$B$6-(IF('Calc'!$E$12=1,0,MIN(Calc!$C$213*(1+'财富模型'!$E$20/12)+'Calc'!$B$6,IF(Calc!$A$214&lt;='财富模型'!$E$11*12,'Calc'!$W$12,'Calc'!$Y$12)))),0))</x:f>
      </x:c>
      <x:c r="D214" t="str">
        <x:f>IF(Calc!$A$214&gt;'Calc'!$B$8,"",IF('Calc'!$E$12=1,'财富模型'!$E$9,'财富模型'!$M$4+IF(Calc!$A$214&lt;='财富模型'!$E$11*12,'Calc'!$W$12,'Calc'!$Y$12)-(IF('Calc'!$E$12=1,0,MIN(Calc!$C$213*(1+'财富模型'!$E$20/12)+'Calc'!$B$6,IF(Calc!$A$214&lt;='财富模型'!$E$11*12,'Calc'!$W$12,'Calc'!$Y$12))))))</x:f>
      </x:c>
      <x:c r="E214" t="str">
        <x:f>IF(Calc!$A$214&gt;'Calc'!$B$8,"",IF('Calc'!$E$12=1,0,MIN(Calc!$C$213*(1+'财富模型'!$E$20/12)+'Calc'!$B$6,IF(Calc!$A$214&lt;='财富模型'!$E$11*12,'Calc'!$W$12,'Calc'!$Y$12))))</x:f>
      </x:c>
      <x:c r="F214" t="str">
        <x:f>IF(Calc!$A$214&gt;'Calc'!$B$8,"",'Calc'!$B$5-'财富模型'!$E$5-(IF('Calc'!$E$12=1,'财富模型'!$E$9,'财富模型'!$M$4+IF(Calc!$A$214&lt;='财富模型'!$E$11*12,'Calc'!$W$12,'Calc'!$Y$12)-(IF('Calc'!$E$12=1,0,MIN(Calc!$C$213*(1+'财富模型'!$E$20/12)+'Calc'!$B$6,IF(Calc!$A$214&lt;='财富模型'!$E$11*12,'Calc'!$W$12,'Calc'!$Y$12)))))))</x:f>
      </x:c>
      <x:c r="G214" t="str">
        <x:f>IF(Calc!$A$214&gt;'Calc'!$B$8,"",IF('Calc'!$E$12=1,0,MAX(Calc!$G$213*(1+IF(Calc!$A$214&lt;='财富模型'!$E$11*12,'财富模型'!$E$10,'财富模型'!$E$12)/12)-IF('Calc'!$E$12=1,0,IF(Calc!$A$214&lt;='财富模型'!$E$11*12,'Calc'!$W$12,'Calc'!$Y$12)),0)))</x:f>
      </x:c>
      <x:c r="I214" t="n">
        <x:v>193</x:v>
      </x:c>
      <x:c r="J214" t="str">
        <x:f>IF(Calc!$I$214&gt;'Calc'!$B$8,"",MAX(Calc!$J$213*(1+'财富模型'!$E$6/12)+('Calc'!$B$5-'财富模型'!$E$5-(IF('Calc'!$E$13=1,'财富模型'!$E$9,'财富模型'!$M$5+IF(Calc!$I$214&lt;='财富模型'!$E$11*12,'Calc'!$W$13,'Calc'!$Y$13)-(IF('Calc'!$E$13=1,0,MIN(Calc!$K$213*(1+'财富模型'!$E$20/12)+'Calc'!$B$6,IF(Calc!$I$214&lt;='财富模型'!$E$11*12,'Calc'!$W$13,'Calc'!$Y$13))))))),0))</x:f>
      </x:c>
      <x:c r="K214" t="str">
        <x:f>IF(Calc!$I$214&gt;'Calc'!$B$8,"",MAX(Calc!$K$213*(1+'财富模型'!$E$20/12)+'Calc'!$B$6-(IF('Calc'!$E$13=1,0,MIN(Calc!$K$213*(1+'财富模型'!$E$20/12)+'Calc'!$B$6,IF(Calc!$I$214&lt;='财富模型'!$E$11*12,'Calc'!$W$13,'Calc'!$Y$13)))),0))</x:f>
      </x:c>
      <x:c r="L214" t="str">
        <x:f>IF(Calc!$I$214&gt;'Calc'!$B$8,"",IF('Calc'!$E$13=1,'财富模型'!$E$9,'财富模型'!$M$5+IF(Calc!$I$214&lt;='财富模型'!$E$11*12,'Calc'!$W$13,'Calc'!$Y$13)-(IF('Calc'!$E$13=1,0,MIN(Calc!$K$213*(1+'财富模型'!$E$20/12)+'Calc'!$B$6,IF(Calc!$I$214&lt;='财富模型'!$E$11*12,'Calc'!$W$13,'Calc'!$Y$13))))))</x:f>
      </x:c>
      <x:c r="M214" t="str">
        <x:f>IF(Calc!$I$214&gt;'Calc'!$B$8,"",IF('Calc'!$E$13=1,0,MIN(Calc!$K$213*(1+'财富模型'!$E$20/12)+'Calc'!$B$6,IF(Calc!$I$214&lt;='财富模型'!$E$11*12,'Calc'!$W$13,'Calc'!$Y$13))))</x:f>
      </x:c>
      <x:c r="N214" t="str">
        <x:f>IF(Calc!$I$214&gt;'Calc'!$B$8,"",'Calc'!$B$5-'财富模型'!$E$5-(IF('Calc'!$E$13=1,'财富模型'!$E$9,'财富模型'!$M$5+IF(Calc!$I$214&lt;='财富模型'!$E$11*12,'Calc'!$W$13,'Calc'!$Y$13)-(IF('Calc'!$E$13=1,0,MIN(Calc!$K$213*(1+'财富模型'!$E$20/12)+'Calc'!$B$6,IF(Calc!$I$214&lt;='财富模型'!$E$11*12,'Calc'!$W$13,'Calc'!$Y$13)))))))</x:f>
      </x:c>
      <x:c r="O214" t="str">
        <x:f>IF(Calc!$I$214&gt;'Calc'!$B$8,"",IF('Calc'!$E$13=1,0,MAX(Calc!$O$213*(1+IF(Calc!$I$214&lt;='财富模型'!$E$11*12,'财富模型'!$E$10,'财富模型'!$E$12)/12)-IF('Calc'!$E$13=1,0,IF(Calc!$I$214&lt;='财富模型'!$E$11*12,'Calc'!$W$13,'Calc'!$Y$13)),0)))</x:f>
      </x:c>
      <x:c r="Q214" t="n">
        <x:v>193</x:v>
      </x:c>
      <x:c r="R214" t="str">
        <x:f>IF(Calc!$Q$214&gt;'Calc'!$B$8,"",MAX(Calc!$R$213*(1+'财富模型'!$E$6/12)+('Calc'!$B$5-'财富模型'!$E$5-(IF('Calc'!$E$14=1,'财富模型'!$E$9,'财富模型'!$M$6+IF(Calc!$Q$214&lt;='财富模型'!$E$11*12,'Calc'!$W$14,'Calc'!$Y$14)-(IF('Calc'!$E$14=1,0,MIN(Calc!$S$213*(1+'财富模型'!$E$20/12)+'Calc'!$B$6,IF(Calc!$Q$214&lt;='财富模型'!$E$11*12,'Calc'!$W$14,'Calc'!$Y$14))))))),0))</x:f>
      </x:c>
      <x:c r="S214" t="str">
        <x:f>IF(Calc!$Q$214&gt;'Calc'!$B$8,"",MAX(Calc!$S$213*(1+'财富模型'!$E$20/12)+'Calc'!$B$6-(IF('Calc'!$E$14=1,0,MIN(Calc!$S$213*(1+'财富模型'!$E$20/12)+'Calc'!$B$6,IF(Calc!$Q$214&lt;='财富模型'!$E$11*12,'Calc'!$W$14,'Calc'!$Y$14)))),0))</x:f>
      </x:c>
      <x:c r="T214" t="str">
        <x:f>IF(Calc!$Q$214&gt;'Calc'!$B$8,"",IF('Calc'!$E$14=1,'财富模型'!$E$9,'财富模型'!$M$6+IF(Calc!$Q$214&lt;='财富模型'!$E$11*12,'Calc'!$W$14,'Calc'!$Y$14)-(IF('Calc'!$E$14=1,0,MIN(Calc!$S$213*(1+'财富模型'!$E$20/12)+'Calc'!$B$6,IF(Calc!$Q$214&lt;='财富模型'!$E$11*12,'Calc'!$W$14,'Calc'!$Y$14))))))</x:f>
      </x:c>
      <x:c r="U214" t="str">
        <x:f>IF(Calc!$Q$214&gt;'Calc'!$B$8,"",IF('Calc'!$E$14=1,0,MIN(Calc!$S$213*(1+'财富模型'!$E$20/12)+'Calc'!$B$6,IF(Calc!$Q$214&lt;='财富模型'!$E$11*12,'Calc'!$W$14,'Calc'!$Y$14))))</x:f>
      </x:c>
      <x:c r="V214" t="str">
        <x:f>IF(Calc!$Q$214&gt;'Calc'!$B$8,"",'Calc'!$B$5-'财富模型'!$E$5-(IF('Calc'!$E$14=1,'财富模型'!$E$9,'财富模型'!$M$6+IF(Calc!$Q$214&lt;='财富模型'!$E$11*12,'Calc'!$W$14,'Calc'!$Y$14)-(IF('Calc'!$E$14=1,0,MIN(Calc!$S$213*(1+'财富模型'!$E$20/12)+'Calc'!$B$6,IF(Calc!$Q$214&lt;='财富模型'!$E$11*12,'Calc'!$W$14,'Calc'!$Y$14)))))))</x:f>
      </x:c>
      <x:c r="W214" t="str">
        <x:f>IF(Calc!$Q$214&gt;'Calc'!$B$8,"",IF('Calc'!$E$14=1,0,MAX(Calc!$W$213*(1+IF(Calc!$Q$214&lt;='财富模型'!$E$11*12,'财富模型'!$E$10,'财富模型'!$E$12)/12)-IF('Calc'!$E$14=1,0,IF(Calc!$Q$214&lt;='财富模型'!$E$11*12,'Calc'!$W$14,'Calc'!$Y$14)),0)))</x:f>
      </x:c>
      <x:c r="Y214" t="n">
        <x:v>193</x:v>
      </x:c>
      <x:c r="Z214" t="str">
        <x:f>IF(Calc!$Y$214&gt;'Calc'!$B$8,"",MAX(Calc!$Z$213*(1+'财富模型'!$E$6/12)+('Calc'!$B$5-'财富模型'!$E$5-(IF('Calc'!$E$15=1,'财富模型'!$E$9,'财富模型'!$M$7+IF(Calc!$Y$214&lt;='财富模型'!$E$11*12,'Calc'!$W$15,'Calc'!$Y$15)-(IF('Calc'!$E$15=1,0,MIN(Calc!$AA$213*(1+'财富模型'!$E$20/12)+'Calc'!$B$6,IF(Calc!$Y$214&lt;='财富模型'!$E$11*12,'Calc'!$W$15,'Calc'!$Y$15))))))),0))</x:f>
      </x:c>
      <x:c r="AA214" t="str">
        <x:f>IF(Calc!$Y$214&gt;'Calc'!$B$8,"",MAX(Calc!$AA$213*(1+'财富模型'!$E$20/12)+'Calc'!$B$6-(IF('Calc'!$E$15=1,0,MIN(Calc!$AA$213*(1+'财富模型'!$E$20/12)+'Calc'!$B$6,IF(Calc!$Y$214&lt;='财富模型'!$E$11*12,'Calc'!$W$15,'Calc'!$Y$15)))),0))</x:f>
      </x:c>
      <x:c r="AB214" t="str">
        <x:f>IF(Calc!$Y$214&gt;'Calc'!$B$8,"",IF('Calc'!$E$15=1,'财富模型'!$E$9,'财富模型'!$M$7+IF(Calc!$Y$214&lt;='财富模型'!$E$11*12,'Calc'!$W$15,'Calc'!$Y$15)-(IF('Calc'!$E$15=1,0,MIN(Calc!$AA$213*(1+'财富模型'!$E$20/12)+'Calc'!$B$6,IF(Calc!$Y$214&lt;='财富模型'!$E$11*12,'Calc'!$W$15,'Calc'!$Y$15))))))</x:f>
      </x:c>
      <x:c r="AC214" t="str">
        <x:f>IF(Calc!$Y$214&gt;'Calc'!$B$8,"",IF('Calc'!$E$15=1,0,MIN(Calc!$AA$213*(1+'财富模型'!$E$20/12)+'Calc'!$B$6,IF(Calc!$Y$214&lt;='财富模型'!$E$11*12,'Calc'!$W$15,'Calc'!$Y$15))))</x:f>
      </x:c>
      <x:c r="AD214" t="str">
        <x:f>IF(Calc!$Y$214&gt;'Calc'!$B$8,"",'Calc'!$B$5-'财富模型'!$E$5-(IF('Calc'!$E$15=1,'财富模型'!$E$9,'财富模型'!$M$7+IF(Calc!$Y$214&lt;='财富模型'!$E$11*12,'Calc'!$W$15,'Calc'!$Y$15)-(IF('Calc'!$E$15=1,0,MIN(Calc!$AA$213*(1+'财富模型'!$E$20/12)+'Calc'!$B$6,IF(Calc!$Y$214&lt;='财富模型'!$E$11*12,'Calc'!$W$15,'Calc'!$Y$15)))))))</x:f>
      </x:c>
      <x:c r="AE214" t="str">
        <x:f>IF(Calc!$Y$214&gt;'Calc'!$B$8,"",IF('Calc'!$E$15=1,0,MAX(Calc!$AE$213*(1+IF(Calc!$Y$214&lt;='财富模型'!$E$11*12,'财富模型'!$E$10,'财富模型'!$E$12)/12)-IF('Calc'!$E$15=1,0,IF(Calc!$Y$214&lt;='财富模型'!$E$11*12,'Calc'!$W$15,'Calc'!$Y$15)),0)))</x:f>
      </x:c>
      <x:c r="AG214" t="n">
        <x:v>193</x:v>
      </x:c>
      <x:c r="AH214" t="str">
        <x:f>IF(Calc!$AG$214&gt;'Calc'!$B$8,"",MAX(Calc!$AH$213*(1+'财富模型'!$E$6/12)+('Calc'!$B$5-'财富模型'!$E$5-(IF('Calc'!$E$16=1,'财富模型'!$E$9,'财富模型'!$M$8+IF(Calc!$AG$214&lt;='财富模型'!$E$11*12,'Calc'!$W$16,'Calc'!$Y$16)-(IF('Calc'!$E$16=1,0,MIN(Calc!$AI$213*(1+'财富模型'!$E$20/12)+'Calc'!$B$6,IF(Calc!$AG$214&lt;='财富模型'!$E$11*12,'Calc'!$W$16,'Calc'!$Y$16))))))),0))</x:f>
      </x:c>
      <x:c r="AI214" t="str">
        <x:f>IF(Calc!$AG$214&gt;'Calc'!$B$8,"",MAX(Calc!$AI$213*(1+'财富模型'!$E$20/12)+'Calc'!$B$6-(IF('Calc'!$E$16=1,0,MIN(Calc!$AI$213*(1+'财富模型'!$E$20/12)+'Calc'!$B$6,IF(Calc!$AG$214&lt;='财富模型'!$E$11*12,'Calc'!$W$16,'Calc'!$Y$16)))),0))</x:f>
      </x:c>
      <x:c r="AJ214" t="str">
        <x:f>IF(Calc!$AG$214&gt;'Calc'!$B$8,"",IF('Calc'!$E$16=1,'财富模型'!$E$9,'财富模型'!$M$8+IF(Calc!$AG$214&lt;='财富模型'!$E$11*12,'Calc'!$W$16,'Calc'!$Y$16)-(IF('Calc'!$E$16=1,0,MIN(Calc!$AI$213*(1+'财富模型'!$E$20/12)+'Calc'!$B$6,IF(Calc!$AG$214&lt;='财富模型'!$E$11*12,'Calc'!$W$16,'Calc'!$Y$16))))))</x:f>
      </x:c>
      <x:c r="AK214" t="str">
        <x:f>IF(Calc!$AG$214&gt;'Calc'!$B$8,"",IF('Calc'!$E$16=1,0,MIN(Calc!$AI$213*(1+'财富模型'!$E$20/12)+'Calc'!$B$6,IF(Calc!$AG$214&lt;='财富模型'!$E$11*12,'Calc'!$W$16,'Calc'!$Y$16))))</x:f>
      </x:c>
      <x:c r="AL214" t="str">
        <x:f>IF(Calc!$AG$214&gt;'Calc'!$B$8,"",'Calc'!$B$5-'财富模型'!$E$5-(IF('Calc'!$E$16=1,'财富模型'!$E$9,'财富模型'!$M$8+IF(Calc!$AG$214&lt;='财富模型'!$E$11*12,'Calc'!$W$16,'Calc'!$Y$16)-(IF('Calc'!$E$16=1,0,MIN(Calc!$AI$213*(1+'财富模型'!$E$20/12)+'Calc'!$B$6,IF(Calc!$AG$214&lt;='财富模型'!$E$11*12,'Calc'!$W$16,'Calc'!$Y$16)))))))</x:f>
      </x:c>
      <x:c r="AM214" t="str">
        <x:f>IF(Calc!$AG$214&gt;'Calc'!$B$8,"",IF('Calc'!$E$16=1,0,MAX(Calc!$AM$213*(1+IF(Calc!$AG$214&lt;='财富模型'!$E$11*12,'财富模型'!$E$10,'财富模型'!$E$12)/12)-IF('Calc'!$E$16=1,0,IF(Calc!$AG$214&lt;='财富模型'!$E$11*12,'Calc'!$W$16,'Calc'!$Y$16)),0)))</x:f>
      </x:c>
      <x:c r="AO214" t="n">
        <x:v>193</x:v>
      </x:c>
      <x:c r="AP214" t="str">
        <x:f>IF(Calc!$AO$214&gt;'Calc'!$B$8,"",MAX(Calc!$AP$213*(1+'财富模型'!$E$6/12)+('Calc'!$B$5-'财富模型'!$E$5-(IF('Calc'!$E$17=1,'财富模型'!$E$9,'财富模型'!$M$9+IF(Calc!$AO$214&lt;='财富模型'!$E$11*12,'Calc'!$W$17,'Calc'!$Y$17)-(IF('Calc'!$E$17=1,0,MIN(Calc!$AQ$213*(1+'财富模型'!$E$20/12)+'Calc'!$B$6,IF(Calc!$AO$214&lt;='财富模型'!$E$11*12,'Calc'!$W$17,'Calc'!$Y$17))))))),0))</x:f>
      </x:c>
      <x:c r="AQ214" t="str">
        <x:f>IF(Calc!$AO$214&gt;'Calc'!$B$8,"",MAX(Calc!$AQ$213*(1+'财富模型'!$E$20/12)+'Calc'!$B$6-(IF('Calc'!$E$17=1,0,MIN(Calc!$AQ$213*(1+'财富模型'!$E$20/12)+'Calc'!$B$6,IF(Calc!$AO$214&lt;='财富模型'!$E$11*12,'Calc'!$W$17,'Calc'!$Y$17)))),0))</x:f>
      </x:c>
      <x:c r="AR214" t="str">
        <x:f>IF(Calc!$AO$214&gt;'Calc'!$B$8,"",IF('Calc'!$E$17=1,'财富模型'!$E$9,'财富模型'!$M$9+IF(Calc!$AO$214&lt;='财富模型'!$E$11*12,'Calc'!$W$17,'Calc'!$Y$17)-(IF('Calc'!$E$17=1,0,MIN(Calc!$AQ$213*(1+'财富模型'!$E$20/12)+'Calc'!$B$6,IF(Calc!$AO$214&lt;='财富模型'!$E$11*12,'Calc'!$W$17,'Calc'!$Y$17))))))</x:f>
      </x:c>
      <x:c r="AS214" t="str">
        <x:f>IF(Calc!$AO$214&gt;'Calc'!$B$8,"",IF('Calc'!$E$17=1,0,MIN(Calc!$AQ$213*(1+'财富模型'!$E$20/12)+'Calc'!$B$6,IF(Calc!$AO$214&lt;='财富模型'!$E$11*12,'Calc'!$W$17,'Calc'!$Y$17))))</x:f>
      </x:c>
      <x:c r="AT214" t="str">
        <x:f>IF(Calc!$AO$214&gt;'Calc'!$B$8,"",'Calc'!$B$5-'财富模型'!$E$5-(IF('Calc'!$E$17=1,'财富模型'!$E$9,'财富模型'!$M$9+IF(Calc!$AO$214&lt;='财富模型'!$E$11*12,'Calc'!$W$17,'Calc'!$Y$17)-(IF('Calc'!$E$17=1,0,MIN(Calc!$AQ$213*(1+'财富模型'!$E$20/12)+'Calc'!$B$6,IF(Calc!$AO$214&lt;='财富模型'!$E$11*12,'Calc'!$W$17,'Calc'!$Y$17)))))))</x:f>
      </x:c>
      <x:c r="AU214" t="str">
        <x:f>IF(Calc!$AO$214&gt;'Calc'!$B$8,"",IF('Calc'!$E$17=1,0,MAX(Calc!$AU$213*(1+IF(Calc!$AO$214&lt;='财富模型'!$E$11*12,'财富模型'!$E$10,'财富模型'!$E$12)/12)-IF('Calc'!$E$17=1,0,IF(Calc!$AO$214&lt;='财富模型'!$E$11*12,'Calc'!$W$17,'Calc'!$Y$17)),0)))</x:f>
      </x:c>
    </x:row>
    <x:row r="215">
      <x:c r="A215" t="n">
        <x:v>194</x:v>
      </x:c>
      <x:c r="B215" t="str">
        <x:f>IF(Calc!$A$215&gt;'Calc'!$B$8,"",MAX(Calc!$B$214*(1+'财富模型'!$E$6/12)+('Calc'!$B$5-'财富模型'!$E$5-(IF('Calc'!$E$12=1,'财富模型'!$E$9,'财富模型'!$M$4+IF(Calc!$A$215&lt;='财富模型'!$E$11*12,'Calc'!$W$12,'Calc'!$Y$12)-(IF('Calc'!$E$12=1,0,MIN(Calc!$C$214*(1+'财富模型'!$E$20/12)+'Calc'!$B$6,IF(Calc!$A$215&lt;='财富模型'!$E$11*12,'Calc'!$W$12,'Calc'!$Y$12))))))),0))</x:f>
      </x:c>
      <x:c r="C215" t="str">
        <x:f>IF(Calc!$A$215&gt;'Calc'!$B$8,"",MAX(Calc!$C$214*(1+'财富模型'!$E$20/12)+'Calc'!$B$6-(IF('Calc'!$E$12=1,0,MIN(Calc!$C$214*(1+'财富模型'!$E$20/12)+'Calc'!$B$6,IF(Calc!$A$215&lt;='财富模型'!$E$11*12,'Calc'!$W$12,'Calc'!$Y$12)))),0))</x:f>
      </x:c>
      <x:c r="D215" t="str">
        <x:f>IF(Calc!$A$215&gt;'Calc'!$B$8,"",IF('Calc'!$E$12=1,'财富模型'!$E$9,'财富模型'!$M$4+IF(Calc!$A$215&lt;='财富模型'!$E$11*12,'Calc'!$W$12,'Calc'!$Y$12)-(IF('Calc'!$E$12=1,0,MIN(Calc!$C$214*(1+'财富模型'!$E$20/12)+'Calc'!$B$6,IF(Calc!$A$215&lt;='财富模型'!$E$11*12,'Calc'!$W$12,'Calc'!$Y$12))))))</x:f>
      </x:c>
      <x:c r="E215" t="str">
        <x:f>IF(Calc!$A$215&gt;'Calc'!$B$8,"",IF('Calc'!$E$12=1,0,MIN(Calc!$C$214*(1+'财富模型'!$E$20/12)+'Calc'!$B$6,IF(Calc!$A$215&lt;='财富模型'!$E$11*12,'Calc'!$W$12,'Calc'!$Y$12))))</x:f>
      </x:c>
      <x:c r="F215" t="str">
        <x:f>IF(Calc!$A$215&gt;'Calc'!$B$8,"",'Calc'!$B$5-'财富模型'!$E$5-(IF('Calc'!$E$12=1,'财富模型'!$E$9,'财富模型'!$M$4+IF(Calc!$A$215&lt;='财富模型'!$E$11*12,'Calc'!$W$12,'Calc'!$Y$12)-(IF('Calc'!$E$12=1,0,MIN(Calc!$C$214*(1+'财富模型'!$E$20/12)+'Calc'!$B$6,IF(Calc!$A$215&lt;='财富模型'!$E$11*12,'Calc'!$W$12,'Calc'!$Y$12)))))))</x:f>
      </x:c>
      <x:c r="G215" t="str">
        <x:f>IF(Calc!$A$215&gt;'Calc'!$B$8,"",IF('Calc'!$E$12=1,0,MAX(Calc!$G$214*(1+IF(Calc!$A$215&lt;='财富模型'!$E$11*12,'财富模型'!$E$10,'财富模型'!$E$12)/12)-IF('Calc'!$E$12=1,0,IF(Calc!$A$215&lt;='财富模型'!$E$11*12,'Calc'!$W$12,'Calc'!$Y$12)),0)))</x:f>
      </x:c>
      <x:c r="I215" t="n">
        <x:v>194</x:v>
      </x:c>
      <x:c r="J215" t="str">
        <x:f>IF(Calc!$I$215&gt;'Calc'!$B$8,"",MAX(Calc!$J$214*(1+'财富模型'!$E$6/12)+('Calc'!$B$5-'财富模型'!$E$5-(IF('Calc'!$E$13=1,'财富模型'!$E$9,'财富模型'!$M$5+IF(Calc!$I$215&lt;='财富模型'!$E$11*12,'Calc'!$W$13,'Calc'!$Y$13)-(IF('Calc'!$E$13=1,0,MIN(Calc!$K$214*(1+'财富模型'!$E$20/12)+'Calc'!$B$6,IF(Calc!$I$215&lt;='财富模型'!$E$11*12,'Calc'!$W$13,'Calc'!$Y$13))))))),0))</x:f>
      </x:c>
      <x:c r="K215" t="str">
        <x:f>IF(Calc!$I$215&gt;'Calc'!$B$8,"",MAX(Calc!$K$214*(1+'财富模型'!$E$20/12)+'Calc'!$B$6-(IF('Calc'!$E$13=1,0,MIN(Calc!$K$214*(1+'财富模型'!$E$20/12)+'Calc'!$B$6,IF(Calc!$I$215&lt;='财富模型'!$E$11*12,'Calc'!$W$13,'Calc'!$Y$13)))),0))</x:f>
      </x:c>
      <x:c r="L215" t="str">
        <x:f>IF(Calc!$I$215&gt;'Calc'!$B$8,"",IF('Calc'!$E$13=1,'财富模型'!$E$9,'财富模型'!$M$5+IF(Calc!$I$215&lt;='财富模型'!$E$11*12,'Calc'!$W$13,'Calc'!$Y$13)-(IF('Calc'!$E$13=1,0,MIN(Calc!$K$214*(1+'财富模型'!$E$20/12)+'Calc'!$B$6,IF(Calc!$I$215&lt;='财富模型'!$E$11*12,'Calc'!$W$13,'Calc'!$Y$13))))))</x:f>
      </x:c>
      <x:c r="M215" t="str">
        <x:f>IF(Calc!$I$215&gt;'Calc'!$B$8,"",IF('Calc'!$E$13=1,0,MIN(Calc!$K$214*(1+'财富模型'!$E$20/12)+'Calc'!$B$6,IF(Calc!$I$215&lt;='财富模型'!$E$11*12,'Calc'!$W$13,'Calc'!$Y$13))))</x:f>
      </x:c>
      <x:c r="N215" t="str">
        <x:f>IF(Calc!$I$215&gt;'Calc'!$B$8,"",'Calc'!$B$5-'财富模型'!$E$5-(IF('Calc'!$E$13=1,'财富模型'!$E$9,'财富模型'!$M$5+IF(Calc!$I$215&lt;='财富模型'!$E$11*12,'Calc'!$W$13,'Calc'!$Y$13)-(IF('Calc'!$E$13=1,0,MIN(Calc!$K$214*(1+'财富模型'!$E$20/12)+'Calc'!$B$6,IF(Calc!$I$215&lt;='财富模型'!$E$11*12,'Calc'!$W$13,'Calc'!$Y$13)))))))</x:f>
      </x:c>
      <x:c r="O215" t="str">
        <x:f>IF(Calc!$I$215&gt;'Calc'!$B$8,"",IF('Calc'!$E$13=1,0,MAX(Calc!$O$214*(1+IF(Calc!$I$215&lt;='财富模型'!$E$11*12,'财富模型'!$E$10,'财富模型'!$E$12)/12)-IF('Calc'!$E$13=1,0,IF(Calc!$I$215&lt;='财富模型'!$E$11*12,'Calc'!$W$13,'Calc'!$Y$13)),0)))</x:f>
      </x:c>
      <x:c r="Q215" t="n">
        <x:v>194</x:v>
      </x:c>
      <x:c r="R215" t="str">
        <x:f>IF(Calc!$Q$215&gt;'Calc'!$B$8,"",MAX(Calc!$R$214*(1+'财富模型'!$E$6/12)+('Calc'!$B$5-'财富模型'!$E$5-(IF('Calc'!$E$14=1,'财富模型'!$E$9,'财富模型'!$M$6+IF(Calc!$Q$215&lt;='财富模型'!$E$11*12,'Calc'!$W$14,'Calc'!$Y$14)-(IF('Calc'!$E$14=1,0,MIN(Calc!$S$214*(1+'财富模型'!$E$20/12)+'Calc'!$B$6,IF(Calc!$Q$215&lt;='财富模型'!$E$11*12,'Calc'!$W$14,'Calc'!$Y$14))))))),0))</x:f>
      </x:c>
      <x:c r="S215" t="str">
        <x:f>IF(Calc!$Q$215&gt;'Calc'!$B$8,"",MAX(Calc!$S$214*(1+'财富模型'!$E$20/12)+'Calc'!$B$6-(IF('Calc'!$E$14=1,0,MIN(Calc!$S$214*(1+'财富模型'!$E$20/12)+'Calc'!$B$6,IF(Calc!$Q$215&lt;='财富模型'!$E$11*12,'Calc'!$W$14,'Calc'!$Y$14)))),0))</x:f>
      </x:c>
      <x:c r="T215" t="str">
        <x:f>IF(Calc!$Q$215&gt;'Calc'!$B$8,"",IF('Calc'!$E$14=1,'财富模型'!$E$9,'财富模型'!$M$6+IF(Calc!$Q$215&lt;='财富模型'!$E$11*12,'Calc'!$W$14,'Calc'!$Y$14)-(IF('Calc'!$E$14=1,0,MIN(Calc!$S$214*(1+'财富模型'!$E$20/12)+'Calc'!$B$6,IF(Calc!$Q$215&lt;='财富模型'!$E$11*12,'Calc'!$W$14,'Calc'!$Y$14))))))</x:f>
      </x:c>
      <x:c r="U215" t="str">
        <x:f>IF(Calc!$Q$215&gt;'Calc'!$B$8,"",IF('Calc'!$E$14=1,0,MIN(Calc!$S$214*(1+'财富模型'!$E$20/12)+'Calc'!$B$6,IF(Calc!$Q$215&lt;='财富模型'!$E$11*12,'Calc'!$W$14,'Calc'!$Y$14))))</x:f>
      </x:c>
      <x:c r="V215" t="str">
        <x:f>IF(Calc!$Q$215&gt;'Calc'!$B$8,"",'Calc'!$B$5-'财富模型'!$E$5-(IF('Calc'!$E$14=1,'财富模型'!$E$9,'财富模型'!$M$6+IF(Calc!$Q$215&lt;='财富模型'!$E$11*12,'Calc'!$W$14,'Calc'!$Y$14)-(IF('Calc'!$E$14=1,0,MIN(Calc!$S$214*(1+'财富模型'!$E$20/12)+'Calc'!$B$6,IF(Calc!$Q$215&lt;='财富模型'!$E$11*12,'Calc'!$W$14,'Calc'!$Y$14)))))))</x:f>
      </x:c>
      <x:c r="W215" t="str">
        <x:f>IF(Calc!$Q$215&gt;'Calc'!$B$8,"",IF('Calc'!$E$14=1,0,MAX(Calc!$W$214*(1+IF(Calc!$Q$215&lt;='财富模型'!$E$11*12,'财富模型'!$E$10,'财富模型'!$E$12)/12)-IF('Calc'!$E$14=1,0,IF(Calc!$Q$215&lt;='财富模型'!$E$11*12,'Calc'!$W$14,'Calc'!$Y$14)),0)))</x:f>
      </x:c>
      <x:c r="Y215" t="n">
        <x:v>194</x:v>
      </x:c>
      <x:c r="Z215" t="str">
        <x:f>IF(Calc!$Y$215&gt;'Calc'!$B$8,"",MAX(Calc!$Z$214*(1+'财富模型'!$E$6/12)+('Calc'!$B$5-'财富模型'!$E$5-(IF('Calc'!$E$15=1,'财富模型'!$E$9,'财富模型'!$M$7+IF(Calc!$Y$215&lt;='财富模型'!$E$11*12,'Calc'!$W$15,'Calc'!$Y$15)-(IF('Calc'!$E$15=1,0,MIN(Calc!$AA$214*(1+'财富模型'!$E$20/12)+'Calc'!$B$6,IF(Calc!$Y$215&lt;='财富模型'!$E$11*12,'Calc'!$W$15,'Calc'!$Y$15))))))),0))</x:f>
      </x:c>
      <x:c r="AA215" t="str">
        <x:f>IF(Calc!$Y$215&gt;'Calc'!$B$8,"",MAX(Calc!$AA$214*(1+'财富模型'!$E$20/12)+'Calc'!$B$6-(IF('Calc'!$E$15=1,0,MIN(Calc!$AA$214*(1+'财富模型'!$E$20/12)+'Calc'!$B$6,IF(Calc!$Y$215&lt;='财富模型'!$E$11*12,'Calc'!$W$15,'Calc'!$Y$15)))),0))</x:f>
      </x:c>
      <x:c r="AB215" t="str">
        <x:f>IF(Calc!$Y$215&gt;'Calc'!$B$8,"",IF('Calc'!$E$15=1,'财富模型'!$E$9,'财富模型'!$M$7+IF(Calc!$Y$215&lt;='财富模型'!$E$11*12,'Calc'!$W$15,'Calc'!$Y$15)-(IF('Calc'!$E$15=1,0,MIN(Calc!$AA$214*(1+'财富模型'!$E$20/12)+'Calc'!$B$6,IF(Calc!$Y$215&lt;='财富模型'!$E$11*12,'Calc'!$W$15,'Calc'!$Y$15))))))</x:f>
      </x:c>
      <x:c r="AC215" t="str">
        <x:f>IF(Calc!$Y$215&gt;'Calc'!$B$8,"",IF('Calc'!$E$15=1,0,MIN(Calc!$AA$214*(1+'财富模型'!$E$20/12)+'Calc'!$B$6,IF(Calc!$Y$215&lt;='财富模型'!$E$11*12,'Calc'!$W$15,'Calc'!$Y$15))))</x:f>
      </x:c>
      <x:c r="AD215" t="str">
        <x:f>IF(Calc!$Y$215&gt;'Calc'!$B$8,"",'Calc'!$B$5-'财富模型'!$E$5-(IF('Calc'!$E$15=1,'财富模型'!$E$9,'财富模型'!$M$7+IF(Calc!$Y$215&lt;='财富模型'!$E$11*12,'Calc'!$W$15,'Calc'!$Y$15)-(IF('Calc'!$E$15=1,0,MIN(Calc!$AA$214*(1+'财富模型'!$E$20/12)+'Calc'!$B$6,IF(Calc!$Y$215&lt;='财富模型'!$E$11*12,'Calc'!$W$15,'Calc'!$Y$15)))))))</x:f>
      </x:c>
      <x:c r="AE215" t="str">
        <x:f>IF(Calc!$Y$215&gt;'Calc'!$B$8,"",IF('Calc'!$E$15=1,0,MAX(Calc!$AE$214*(1+IF(Calc!$Y$215&lt;='财富模型'!$E$11*12,'财富模型'!$E$10,'财富模型'!$E$12)/12)-IF('Calc'!$E$15=1,0,IF(Calc!$Y$215&lt;='财富模型'!$E$11*12,'Calc'!$W$15,'Calc'!$Y$15)),0)))</x:f>
      </x:c>
      <x:c r="AG215" t="n">
        <x:v>194</x:v>
      </x:c>
      <x:c r="AH215" t="str">
        <x:f>IF(Calc!$AG$215&gt;'Calc'!$B$8,"",MAX(Calc!$AH$214*(1+'财富模型'!$E$6/12)+('Calc'!$B$5-'财富模型'!$E$5-(IF('Calc'!$E$16=1,'财富模型'!$E$9,'财富模型'!$M$8+IF(Calc!$AG$215&lt;='财富模型'!$E$11*12,'Calc'!$W$16,'Calc'!$Y$16)-(IF('Calc'!$E$16=1,0,MIN(Calc!$AI$214*(1+'财富模型'!$E$20/12)+'Calc'!$B$6,IF(Calc!$AG$215&lt;='财富模型'!$E$11*12,'Calc'!$W$16,'Calc'!$Y$16))))))),0))</x:f>
      </x:c>
      <x:c r="AI215" t="str">
        <x:f>IF(Calc!$AG$215&gt;'Calc'!$B$8,"",MAX(Calc!$AI$214*(1+'财富模型'!$E$20/12)+'Calc'!$B$6-(IF('Calc'!$E$16=1,0,MIN(Calc!$AI$214*(1+'财富模型'!$E$20/12)+'Calc'!$B$6,IF(Calc!$AG$215&lt;='财富模型'!$E$11*12,'Calc'!$W$16,'Calc'!$Y$16)))),0))</x:f>
      </x:c>
      <x:c r="AJ215" t="str">
        <x:f>IF(Calc!$AG$215&gt;'Calc'!$B$8,"",IF('Calc'!$E$16=1,'财富模型'!$E$9,'财富模型'!$M$8+IF(Calc!$AG$215&lt;='财富模型'!$E$11*12,'Calc'!$W$16,'Calc'!$Y$16)-(IF('Calc'!$E$16=1,0,MIN(Calc!$AI$214*(1+'财富模型'!$E$20/12)+'Calc'!$B$6,IF(Calc!$AG$215&lt;='财富模型'!$E$11*12,'Calc'!$W$16,'Calc'!$Y$16))))))</x:f>
      </x:c>
      <x:c r="AK215" t="str">
        <x:f>IF(Calc!$AG$215&gt;'Calc'!$B$8,"",IF('Calc'!$E$16=1,0,MIN(Calc!$AI$214*(1+'财富模型'!$E$20/12)+'Calc'!$B$6,IF(Calc!$AG$215&lt;='财富模型'!$E$11*12,'Calc'!$W$16,'Calc'!$Y$16))))</x:f>
      </x:c>
      <x:c r="AL215" t="str">
        <x:f>IF(Calc!$AG$215&gt;'Calc'!$B$8,"",'Calc'!$B$5-'财富模型'!$E$5-(IF('Calc'!$E$16=1,'财富模型'!$E$9,'财富模型'!$M$8+IF(Calc!$AG$215&lt;='财富模型'!$E$11*12,'Calc'!$W$16,'Calc'!$Y$16)-(IF('Calc'!$E$16=1,0,MIN(Calc!$AI$214*(1+'财富模型'!$E$20/12)+'Calc'!$B$6,IF(Calc!$AG$215&lt;='财富模型'!$E$11*12,'Calc'!$W$16,'Calc'!$Y$16)))))))</x:f>
      </x:c>
      <x:c r="AM215" t="str">
        <x:f>IF(Calc!$AG$215&gt;'Calc'!$B$8,"",IF('Calc'!$E$16=1,0,MAX(Calc!$AM$214*(1+IF(Calc!$AG$215&lt;='财富模型'!$E$11*12,'财富模型'!$E$10,'财富模型'!$E$12)/12)-IF('Calc'!$E$16=1,0,IF(Calc!$AG$215&lt;='财富模型'!$E$11*12,'Calc'!$W$16,'Calc'!$Y$16)),0)))</x:f>
      </x:c>
      <x:c r="AO215" t="n">
        <x:v>194</x:v>
      </x:c>
      <x:c r="AP215" t="str">
        <x:f>IF(Calc!$AO$215&gt;'Calc'!$B$8,"",MAX(Calc!$AP$214*(1+'财富模型'!$E$6/12)+('Calc'!$B$5-'财富模型'!$E$5-(IF('Calc'!$E$17=1,'财富模型'!$E$9,'财富模型'!$M$9+IF(Calc!$AO$215&lt;='财富模型'!$E$11*12,'Calc'!$W$17,'Calc'!$Y$17)-(IF('Calc'!$E$17=1,0,MIN(Calc!$AQ$214*(1+'财富模型'!$E$20/12)+'Calc'!$B$6,IF(Calc!$AO$215&lt;='财富模型'!$E$11*12,'Calc'!$W$17,'Calc'!$Y$17))))))),0))</x:f>
      </x:c>
      <x:c r="AQ215" t="str">
        <x:f>IF(Calc!$AO$215&gt;'Calc'!$B$8,"",MAX(Calc!$AQ$214*(1+'财富模型'!$E$20/12)+'Calc'!$B$6-(IF('Calc'!$E$17=1,0,MIN(Calc!$AQ$214*(1+'财富模型'!$E$20/12)+'Calc'!$B$6,IF(Calc!$AO$215&lt;='财富模型'!$E$11*12,'Calc'!$W$17,'Calc'!$Y$17)))),0))</x:f>
      </x:c>
      <x:c r="AR215" t="str">
        <x:f>IF(Calc!$AO$215&gt;'Calc'!$B$8,"",IF('Calc'!$E$17=1,'财富模型'!$E$9,'财富模型'!$M$9+IF(Calc!$AO$215&lt;='财富模型'!$E$11*12,'Calc'!$W$17,'Calc'!$Y$17)-(IF('Calc'!$E$17=1,0,MIN(Calc!$AQ$214*(1+'财富模型'!$E$20/12)+'Calc'!$B$6,IF(Calc!$AO$215&lt;='财富模型'!$E$11*12,'Calc'!$W$17,'Calc'!$Y$17))))))</x:f>
      </x:c>
      <x:c r="AS215" t="str">
        <x:f>IF(Calc!$AO$215&gt;'Calc'!$B$8,"",IF('Calc'!$E$17=1,0,MIN(Calc!$AQ$214*(1+'财富模型'!$E$20/12)+'Calc'!$B$6,IF(Calc!$AO$215&lt;='财富模型'!$E$11*12,'Calc'!$W$17,'Calc'!$Y$17))))</x:f>
      </x:c>
      <x:c r="AT215" t="str">
        <x:f>IF(Calc!$AO$215&gt;'Calc'!$B$8,"",'Calc'!$B$5-'财富模型'!$E$5-(IF('Calc'!$E$17=1,'财富模型'!$E$9,'财富模型'!$M$9+IF(Calc!$AO$215&lt;='财富模型'!$E$11*12,'Calc'!$W$17,'Calc'!$Y$17)-(IF('Calc'!$E$17=1,0,MIN(Calc!$AQ$214*(1+'财富模型'!$E$20/12)+'Calc'!$B$6,IF(Calc!$AO$215&lt;='财富模型'!$E$11*12,'Calc'!$W$17,'Calc'!$Y$17)))))))</x:f>
      </x:c>
      <x:c r="AU215" t="str">
        <x:f>IF(Calc!$AO$215&gt;'Calc'!$B$8,"",IF('Calc'!$E$17=1,0,MAX(Calc!$AU$214*(1+IF(Calc!$AO$215&lt;='财富模型'!$E$11*12,'财富模型'!$E$10,'财富模型'!$E$12)/12)-IF('Calc'!$E$17=1,0,IF(Calc!$AO$215&lt;='财富模型'!$E$11*12,'Calc'!$W$17,'Calc'!$Y$17)),0)))</x:f>
      </x:c>
    </x:row>
    <x:row r="216">
      <x:c r="A216" t="n">
        <x:v>195</x:v>
      </x:c>
      <x:c r="B216" t="str">
        <x:f>IF(Calc!$A$216&gt;'Calc'!$B$8,"",MAX(Calc!$B$215*(1+'财富模型'!$E$6/12)+('Calc'!$B$5-'财富模型'!$E$5-(IF('Calc'!$E$12=1,'财富模型'!$E$9,'财富模型'!$M$4+IF(Calc!$A$216&lt;='财富模型'!$E$11*12,'Calc'!$W$12,'Calc'!$Y$12)-(IF('Calc'!$E$12=1,0,MIN(Calc!$C$215*(1+'财富模型'!$E$20/12)+'Calc'!$B$6,IF(Calc!$A$216&lt;='财富模型'!$E$11*12,'Calc'!$W$12,'Calc'!$Y$12))))))),0))</x:f>
      </x:c>
      <x:c r="C216" t="str">
        <x:f>IF(Calc!$A$216&gt;'Calc'!$B$8,"",MAX(Calc!$C$215*(1+'财富模型'!$E$20/12)+'Calc'!$B$6-(IF('Calc'!$E$12=1,0,MIN(Calc!$C$215*(1+'财富模型'!$E$20/12)+'Calc'!$B$6,IF(Calc!$A$216&lt;='财富模型'!$E$11*12,'Calc'!$W$12,'Calc'!$Y$12)))),0))</x:f>
      </x:c>
      <x:c r="D216" t="str">
        <x:f>IF(Calc!$A$216&gt;'Calc'!$B$8,"",IF('Calc'!$E$12=1,'财富模型'!$E$9,'财富模型'!$M$4+IF(Calc!$A$216&lt;='财富模型'!$E$11*12,'Calc'!$W$12,'Calc'!$Y$12)-(IF('Calc'!$E$12=1,0,MIN(Calc!$C$215*(1+'财富模型'!$E$20/12)+'Calc'!$B$6,IF(Calc!$A$216&lt;='财富模型'!$E$11*12,'Calc'!$W$12,'Calc'!$Y$12))))))</x:f>
      </x:c>
      <x:c r="E216" t="str">
        <x:f>IF(Calc!$A$216&gt;'Calc'!$B$8,"",IF('Calc'!$E$12=1,0,MIN(Calc!$C$215*(1+'财富模型'!$E$20/12)+'Calc'!$B$6,IF(Calc!$A$216&lt;='财富模型'!$E$11*12,'Calc'!$W$12,'Calc'!$Y$12))))</x:f>
      </x:c>
      <x:c r="F216" t="str">
        <x:f>IF(Calc!$A$216&gt;'Calc'!$B$8,"",'Calc'!$B$5-'财富模型'!$E$5-(IF('Calc'!$E$12=1,'财富模型'!$E$9,'财富模型'!$M$4+IF(Calc!$A$216&lt;='财富模型'!$E$11*12,'Calc'!$W$12,'Calc'!$Y$12)-(IF('Calc'!$E$12=1,0,MIN(Calc!$C$215*(1+'财富模型'!$E$20/12)+'Calc'!$B$6,IF(Calc!$A$216&lt;='财富模型'!$E$11*12,'Calc'!$W$12,'Calc'!$Y$12)))))))</x:f>
      </x:c>
      <x:c r="G216" t="str">
        <x:f>IF(Calc!$A$216&gt;'Calc'!$B$8,"",IF('Calc'!$E$12=1,0,MAX(Calc!$G$215*(1+IF(Calc!$A$216&lt;='财富模型'!$E$11*12,'财富模型'!$E$10,'财富模型'!$E$12)/12)-IF('Calc'!$E$12=1,0,IF(Calc!$A$216&lt;='财富模型'!$E$11*12,'Calc'!$W$12,'Calc'!$Y$12)),0)))</x:f>
      </x:c>
      <x:c r="I216" t="n">
        <x:v>195</x:v>
      </x:c>
      <x:c r="J216" t="str">
        <x:f>IF(Calc!$I$216&gt;'Calc'!$B$8,"",MAX(Calc!$J$215*(1+'财富模型'!$E$6/12)+('Calc'!$B$5-'财富模型'!$E$5-(IF('Calc'!$E$13=1,'财富模型'!$E$9,'财富模型'!$M$5+IF(Calc!$I$216&lt;='财富模型'!$E$11*12,'Calc'!$W$13,'Calc'!$Y$13)-(IF('Calc'!$E$13=1,0,MIN(Calc!$K$215*(1+'财富模型'!$E$20/12)+'Calc'!$B$6,IF(Calc!$I$216&lt;='财富模型'!$E$11*12,'Calc'!$W$13,'Calc'!$Y$13))))))),0))</x:f>
      </x:c>
      <x:c r="K216" t="str">
        <x:f>IF(Calc!$I$216&gt;'Calc'!$B$8,"",MAX(Calc!$K$215*(1+'财富模型'!$E$20/12)+'Calc'!$B$6-(IF('Calc'!$E$13=1,0,MIN(Calc!$K$215*(1+'财富模型'!$E$20/12)+'Calc'!$B$6,IF(Calc!$I$216&lt;='财富模型'!$E$11*12,'Calc'!$W$13,'Calc'!$Y$13)))),0))</x:f>
      </x:c>
      <x:c r="L216" t="str">
        <x:f>IF(Calc!$I$216&gt;'Calc'!$B$8,"",IF('Calc'!$E$13=1,'财富模型'!$E$9,'财富模型'!$M$5+IF(Calc!$I$216&lt;='财富模型'!$E$11*12,'Calc'!$W$13,'Calc'!$Y$13)-(IF('Calc'!$E$13=1,0,MIN(Calc!$K$215*(1+'财富模型'!$E$20/12)+'Calc'!$B$6,IF(Calc!$I$216&lt;='财富模型'!$E$11*12,'Calc'!$W$13,'Calc'!$Y$13))))))</x:f>
      </x:c>
      <x:c r="M216" t="str">
        <x:f>IF(Calc!$I$216&gt;'Calc'!$B$8,"",IF('Calc'!$E$13=1,0,MIN(Calc!$K$215*(1+'财富模型'!$E$20/12)+'Calc'!$B$6,IF(Calc!$I$216&lt;='财富模型'!$E$11*12,'Calc'!$W$13,'Calc'!$Y$13))))</x:f>
      </x:c>
      <x:c r="N216" t="str">
        <x:f>IF(Calc!$I$216&gt;'Calc'!$B$8,"",'Calc'!$B$5-'财富模型'!$E$5-(IF('Calc'!$E$13=1,'财富模型'!$E$9,'财富模型'!$M$5+IF(Calc!$I$216&lt;='财富模型'!$E$11*12,'Calc'!$W$13,'Calc'!$Y$13)-(IF('Calc'!$E$13=1,0,MIN(Calc!$K$215*(1+'财富模型'!$E$20/12)+'Calc'!$B$6,IF(Calc!$I$216&lt;='财富模型'!$E$11*12,'Calc'!$W$13,'Calc'!$Y$13)))))))</x:f>
      </x:c>
      <x:c r="O216" t="str">
        <x:f>IF(Calc!$I$216&gt;'Calc'!$B$8,"",IF('Calc'!$E$13=1,0,MAX(Calc!$O$215*(1+IF(Calc!$I$216&lt;='财富模型'!$E$11*12,'财富模型'!$E$10,'财富模型'!$E$12)/12)-IF('Calc'!$E$13=1,0,IF(Calc!$I$216&lt;='财富模型'!$E$11*12,'Calc'!$W$13,'Calc'!$Y$13)),0)))</x:f>
      </x:c>
      <x:c r="Q216" t="n">
        <x:v>195</x:v>
      </x:c>
      <x:c r="R216" t="str">
        <x:f>IF(Calc!$Q$216&gt;'Calc'!$B$8,"",MAX(Calc!$R$215*(1+'财富模型'!$E$6/12)+('Calc'!$B$5-'财富模型'!$E$5-(IF('Calc'!$E$14=1,'财富模型'!$E$9,'财富模型'!$M$6+IF(Calc!$Q$216&lt;='财富模型'!$E$11*12,'Calc'!$W$14,'Calc'!$Y$14)-(IF('Calc'!$E$14=1,0,MIN(Calc!$S$215*(1+'财富模型'!$E$20/12)+'Calc'!$B$6,IF(Calc!$Q$216&lt;='财富模型'!$E$11*12,'Calc'!$W$14,'Calc'!$Y$14))))))),0))</x:f>
      </x:c>
      <x:c r="S216" t="str">
        <x:f>IF(Calc!$Q$216&gt;'Calc'!$B$8,"",MAX(Calc!$S$215*(1+'财富模型'!$E$20/12)+'Calc'!$B$6-(IF('Calc'!$E$14=1,0,MIN(Calc!$S$215*(1+'财富模型'!$E$20/12)+'Calc'!$B$6,IF(Calc!$Q$216&lt;='财富模型'!$E$11*12,'Calc'!$W$14,'Calc'!$Y$14)))),0))</x:f>
      </x:c>
      <x:c r="T216" t="str">
        <x:f>IF(Calc!$Q$216&gt;'Calc'!$B$8,"",IF('Calc'!$E$14=1,'财富模型'!$E$9,'财富模型'!$M$6+IF(Calc!$Q$216&lt;='财富模型'!$E$11*12,'Calc'!$W$14,'Calc'!$Y$14)-(IF('Calc'!$E$14=1,0,MIN(Calc!$S$215*(1+'财富模型'!$E$20/12)+'Calc'!$B$6,IF(Calc!$Q$216&lt;='财富模型'!$E$11*12,'Calc'!$W$14,'Calc'!$Y$14))))))</x:f>
      </x:c>
      <x:c r="U216" t="str">
        <x:f>IF(Calc!$Q$216&gt;'Calc'!$B$8,"",IF('Calc'!$E$14=1,0,MIN(Calc!$S$215*(1+'财富模型'!$E$20/12)+'Calc'!$B$6,IF(Calc!$Q$216&lt;='财富模型'!$E$11*12,'Calc'!$W$14,'Calc'!$Y$14))))</x:f>
      </x:c>
      <x:c r="V216" t="str">
        <x:f>IF(Calc!$Q$216&gt;'Calc'!$B$8,"",'Calc'!$B$5-'财富模型'!$E$5-(IF('Calc'!$E$14=1,'财富模型'!$E$9,'财富模型'!$M$6+IF(Calc!$Q$216&lt;='财富模型'!$E$11*12,'Calc'!$W$14,'Calc'!$Y$14)-(IF('Calc'!$E$14=1,0,MIN(Calc!$S$215*(1+'财富模型'!$E$20/12)+'Calc'!$B$6,IF(Calc!$Q$216&lt;='财富模型'!$E$11*12,'Calc'!$W$14,'Calc'!$Y$14)))))))</x:f>
      </x:c>
      <x:c r="W216" t="str">
        <x:f>IF(Calc!$Q$216&gt;'Calc'!$B$8,"",IF('Calc'!$E$14=1,0,MAX(Calc!$W$215*(1+IF(Calc!$Q$216&lt;='财富模型'!$E$11*12,'财富模型'!$E$10,'财富模型'!$E$12)/12)-IF('Calc'!$E$14=1,0,IF(Calc!$Q$216&lt;='财富模型'!$E$11*12,'Calc'!$W$14,'Calc'!$Y$14)),0)))</x:f>
      </x:c>
      <x:c r="Y216" t="n">
        <x:v>195</x:v>
      </x:c>
      <x:c r="Z216" t="str">
        <x:f>IF(Calc!$Y$216&gt;'Calc'!$B$8,"",MAX(Calc!$Z$215*(1+'财富模型'!$E$6/12)+('Calc'!$B$5-'财富模型'!$E$5-(IF('Calc'!$E$15=1,'财富模型'!$E$9,'财富模型'!$M$7+IF(Calc!$Y$216&lt;='财富模型'!$E$11*12,'Calc'!$W$15,'Calc'!$Y$15)-(IF('Calc'!$E$15=1,0,MIN(Calc!$AA$215*(1+'财富模型'!$E$20/12)+'Calc'!$B$6,IF(Calc!$Y$216&lt;='财富模型'!$E$11*12,'Calc'!$W$15,'Calc'!$Y$15))))))),0))</x:f>
      </x:c>
      <x:c r="AA216" t="str">
        <x:f>IF(Calc!$Y$216&gt;'Calc'!$B$8,"",MAX(Calc!$AA$215*(1+'财富模型'!$E$20/12)+'Calc'!$B$6-(IF('Calc'!$E$15=1,0,MIN(Calc!$AA$215*(1+'财富模型'!$E$20/12)+'Calc'!$B$6,IF(Calc!$Y$216&lt;='财富模型'!$E$11*12,'Calc'!$W$15,'Calc'!$Y$15)))),0))</x:f>
      </x:c>
      <x:c r="AB216" t="str">
        <x:f>IF(Calc!$Y$216&gt;'Calc'!$B$8,"",IF('Calc'!$E$15=1,'财富模型'!$E$9,'财富模型'!$M$7+IF(Calc!$Y$216&lt;='财富模型'!$E$11*12,'Calc'!$W$15,'Calc'!$Y$15)-(IF('Calc'!$E$15=1,0,MIN(Calc!$AA$215*(1+'财富模型'!$E$20/12)+'Calc'!$B$6,IF(Calc!$Y$216&lt;='财富模型'!$E$11*12,'Calc'!$W$15,'Calc'!$Y$15))))))</x:f>
      </x:c>
      <x:c r="AC216" t="str">
        <x:f>IF(Calc!$Y$216&gt;'Calc'!$B$8,"",IF('Calc'!$E$15=1,0,MIN(Calc!$AA$215*(1+'财富模型'!$E$20/12)+'Calc'!$B$6,IF(Calc!$Y$216&lt;='财富模型'!$E$11*12,'Calc'!$W$15,'Calc'!$Y$15))))</x:f>
      </x:c>
      <x:c r="AD216" t="str">
        <x:f>IF(Calc!$Y$216&gt;'Calc'!$B$8,"",'Calc'!$B$5-'财富模型'!$E$5-(IF('Calc'!$E$15=1,'财富模型'!$E$9,'财富模型'!$M$7+IF(Calc!$Y$216&lt;='财富模型'!$E$11*12,'Calc'!$W$15,'Calc'!$Y$15)-(IF('Calc'!$E$15=1,0,MIN(Calc!$AA$215*(1+'财富模型'!$E$20/12)+'Calc'!$B$6,IF(Calc!$Y$216&lt;='财富模型'!$E$11*12,'Calc'!$W$15,'Calc'!$Y$15)))))))</x:f>
      </x:c>
      <x:c r="AE216" t="str">
        <x:f>IF(Calc!$Y$216&gt;'Calc'!$B$8,"",IF('Calc'!$E$15=1,0,MAX(Calc!$AE$215*(1+IF(Calc!$Y$216&lt;='财富模型'!$E$11*12,'财富模型'!$E$10,'财富模型'!$E$12)/12)-IF('Calc'!$E$15=1,0,IF(Calc!$Y$216&lt;='财富模型'!$E$11*12,'Calc'!$W$15,'Calc'!$Y$15)),0)))</x:f>
      </x:c>
      <x:c r="AG216" t="n">
        <x:v>195</x:v>
      </x:c>
      <x:c r="AH216" t="str">
        <x:f>IF(Calc!$AG$216&gt;'Calc'!$B$8,"",MAX(Calc!$AH$215*(1+'财富模型'!$E$6/12)+('Calc'!$B$5-'财富模型'!$E$5-(IF('Calc'!$E$16=1,'财富模型'!$E$9,'财富模型'!$M$8+IF(Calc!$AG$216&lt;='财富模型'!$E$11*12,'Calc'!$W$16,'Calc'!$Y$16)-(IF('Calc'!$E$16=1,0,MIN(Calc!$AI$215*(1+'财富模型'!$E$20/12)+'Calc'!$B$6,IF(Calc!$AG$216&lt;='财富模型'!$E$11*12,'Calc'!$W$16,'Calc'!$Y$16))))))),0))</x:f>
      </x:c>
      <x:c r="AI216" t="str">
        <x:f>IF(Calc!$AG$216&gt;'Calc'!$B$8,"",MAX(Calc!$AI$215*(1+'财富模型'!$E$20/12)+'Calc'!$B$6-(IF('Calc'!$E$16=1,0,MIN(Calc!$AI$215*(1+'财富模型'!$E$20/12)+'Calc'!$B$6,IF(Calc!$AG$216&lt;='财富模型'!$E$11*12,'Calc'!$W$16,'Calc'!$Y$16)))),0))</x:f>
      </x:c>
      <x:c r="AJ216" t="str">
        <x:f>IF(Calc!$AG$216&gt;'Calc'!$B$8,"",IF('Calc'!$E$16=1,'财富模型'!$E$9,'财富模型'!$M$8+IF(Calc!$AG$216&lt;='财富模型'!$E$11*12,'Calc'!$W$16,'Calc'!$Y$16)-(IF('Calc'!$E$16=1,0,MIN(Calc!$AI$215*(1+'财富模型'!$E$20/12)+'Calc'!$B$6,IF(Calc!$AG$216&lt;='财富模型'!$E$11*12,'Calc'!$W$16,'Calc'!$Y$16))))))</x:f>
      </x:c>
      <x:c r="AK216" t="str">
        <x:f>IF(Calc!$AG$216&gt;'Calc'!$B$8,"",IF('Calc'!$E$16=1,0,MIN(Calc!$AI$215*(1+'财富模型'!$E$20/12)+'Calc'!$B$6,IF(Calc!$AG$216&lt;='财富模型'!$E$11*12,'Calc'!$W$16,'Calc'!$Y$16))))</x:f>
      </x:c>
      <x:c r="AL216" t="str">
        <x:f>IF(Calc!$AG$216&gt;'Calc'!$B$8,"",'Calc'!$B$5-'财富模型'!$E$5-(IF('Calc'!$E$16=1,'财富模型'!$E$9,'财富模型'!$M$8+IF(Calc!$AG$216&lt;='财富模型'!$E$11*12,'Calc'!$W$16,'Calc'!$Y$16)-(IF('Calc'!$E$16=1,0,MIN(Calc!$AI$215*(1+'财富模型'!$E$20/12)+'Calc'!$B$6,IF(Calc!$AG$216&lt;='财富模型'!$E$11*12,'Calc'!$W$16,'Calc'!$Y$16)))))))</x:f>
      </x:c>
      <x:c r="AM216" t="str">
        <x:f>IF(Calc!$AG$216&gt;'Calc'!$B$8,"",IF('Calc'!$E$16=1,0,MAX(Calc!$AM$215*(1+IF(Calc!$AG$216&lt;='财富模型'!$E$11*12,'财富模型'!$E$10,'财富模型'!$E$12)/12)-IF('Calc'!$E$16=1,0,IF(Calc!$AG$216&lt;='财富模型'!$E$11*12,'Calc'!$W$16,'Calc'!$Y$16)),0)))</x:f>
      </x:c>
      <x:c r="AO216" t="n">
        <x:v>195</x:v>
      </x:c>
      <x:c r="AP216" t="str">
        <x:f>IF(Calc!$AO$216&gt;'Calc'!$B$8,"",MAX(Calc!$AP$215*(1+'财富模型'!$E$6/12)+('Calc'!$B$5-'财富模型'!$E$5-(IF('Calc'!$E$17=1,'财富模型'!$E$9,'财富模型'!$M$9+IF(Calc!$AO$216&lt;='财富模型'!$E$11*12,'Calc'!$W$17,'Calc'!$Y$17)-(IF('Calc'!$E$17=1,0,MIN(Calc!$AQ$215*(1+'财富模型'!$E$20/12)+'Calc'!$B$6,IF(Calc!$AO$216&lt;='财富模型'!$E$11*12,'Calc'!$W$17,'Calc'!$Y$17))))))),0))</x:f>
      </x:c>
      <x:c r="AQ216" t="str">
        <x:f>IF(Calc!$AO$216&gt;'Calc'!$B$8,"",MAX(Calc!$AQ$215*(1+'财富模型'!$E$20/12)+'Calc'!$B$6-(IF('Calc'!$E$17=1,0,MIN(Calc!$AQ$215*(1+'财富模型'!$E$20/12)+'Calc'!$B$6,IF(Calc!$AO$216&lt;='财富模型'!$E$11*12,'Calc'!$W$17,'Calc'!$Y$17)))),0))</x:f>
      </x:c>
      <x:c r="AR216" t="str">
        <x:f>IF(Calc!$AO$216&gt;'Calc'!$B$8,"",IF('Calc'!$E$17=1,'财富模型'!$E$9,'财富模型'!$M$9+IF(Calc!$AO$216&lt;='财富模型'!$E$11*12,'Calc'!$W$17,'Calc'!$Y$17)-(IF('Calc'!$E$17=1,0,MIN(Calc!$AQ$215*(1+'财富模型'!$E$20/12)+'Calc'!$B$6,IF(Calc!$AO$216&lt;='财富模型'!$E$11*12,'Calc'!$W$17,'Calc'!$Y$17))))))</x:f>
      </x:c>
      <x:c r="AS216" t="str">
        <x:f>IF(Calc!$AO$216&gt;'Calc'!$B$8,"",IF('Calc'!$E$17=1,0,MIN(Calc!$AQ$215*(1+'财富模型'!$E$20/12)+'Calc'!$B$6,IF(Calc!$AO$216&lt;='财富模型'!$E$11*12,'Calc'!$W$17,'Calc'!$Y$17))))</x:f>
      </x:c>
      <x:c r="AT216" t="str">
        <x:f>IF(Calc!$AO$216&gt;'Calc'!$B$8,"",'Calc'!$B$5-'财富模型'!$E$5-(IF('Calc'!$E$17=1,'财富模型'!$E$9,'财富模型'!$M$9+IF(Calc!$AO$216&lt;='财富模型'!$E$11*12,'Calc'!$W$17,'Calc'!$Y$17)-(IF('Calc'!$E$17=1,0,MIN(Calc!$AQ$215*(1+'财富模型'!$E$20/12)+'Calc'!$B$6,IF(Calc!$AO$216&lt;='财富模型'!$E$11*12,'Calc'!$W$17,'Calc'!$Y$17)))))))</x:f>
      </x:c>
      <x:c r="AU216" t="str">
        <x:f>IF(Calc!$AO$216&gt;'Calc'!$B$8,"",IF('Calc'!$E$17=1,0,MAX(Calc!$AU$215*(1+IF(Calc!$AO$216&lt;='财富模型'!$E$11*12,'财富模型'!$E$10,'财富模型'!$E$12)/12)-IF('Calc'!$E$17=1,0,IF(Calc!$AO$216&lt;='财富模型'!$E$11*12,'Calc'!$W$17,'Calc'!$Y$17)),0)))</x:f>
      </x:c>
    </x:row>
    <x:row r="217">
      <x:c r="A217" t="n">
        <x:v>196</x:v>
      </x:c>
      <x:c r="B217" t="str">
        <x:f>IF(Calc!$A$217&gt;'Calc'!$B$8,"",MAX(Calc!$B$216*(1+'财富模型'!$E$6/12)+('Calc'!$B$5-'财富模型'!$E$5-(IF('Calc'!$E$12=1,'财富模型'!$E$9,'财富模型'!$M$4+IF(Calc!$A$217&lt;='财富模型'!$E$11*12,'Calc'!$W$12,'Calc'!$Y$12)-(IF('Calc'!$E$12=1,0,MIN(Calc!$C$216*(1+'财富模型'!$E$20/12)+'Calc'!$B$6,IF(Calc!$A$217&lt;='财富模型'!$E$11*12,'Calc'!$W$12,'Calc'!$Y$12))))))),0))</x:f>
      </x:c>
      <x:c r="C217" t="str">
        <x:f>IF(Calc!$A$217&gt;'Calc'!$B$8,"",MAX(Calc!$C$216*(1+'财富模型'!$E$20/12)+'Calc'!$B$6-(IF('Calc'!$E$12=1,0,MIN(Calc!$C$216*(1+'财富模型'!$E$20/12)+'Calc'!$B$6,IF(Calc!$A$217&lt;='财富模型'!$E$11*12,'Calc'!$W$12,'Calc'!$Y$12)))),0))</x:f>
      </x:c>
      <x:c r="D217" t="str">
        <x:f>IF(Calc!$A$217&gt;'Calc'!$B$8,"",IF('Calc'!$E$12=1,'财富模型'!$E$9,'财富模型'!$M$4+IF(Calc!$A$217&lt;='财富模型'!$E$11*12,'Calc'!$W$12,'Calc'!$Y$12)-(IF('Calc'!$E$12=1,0,MIN(Calc!$C$216*(1+'财富模型'!$E$20/12)+'Calc'!$B$6,IF(Calc!$A$217&lt;='财富模型'!$E$11*12,'Calc'!$W$12,'Calc'!$Y$12))))))</x:f>
      </x:c>
      <x:c r="E217" t="str">
        <x:f>IF(Calc!$A$217&gt;'Calc'!$B$8,"",IF('Calc'!$E$12=1,0,MIN(Calc!$C$216*(1+'财富模型'!$E$20/12)+'Calc'!$B$6,IF(Calc!$A$217&lt;='财富模型'!$E$11*12,'Calc'!$W$12,'Calc'!$Y$12))))</x:f>
      </x:c>
      <x:c r="F217" t="str">
        <x:f>IF(Calc!$A$217&gt;'Calc'!$B$8,"",'Calc'!$B$5-'财富模型'!$E$5-(IF('Calc'!$E$12=1,'财富模型'!$E$9,'财富模型'!$M$4+IF(Calc!$A$217&lt;='财富模型'!$E$11*12,'Calc'!$W$12,'Calc'!$Y$12)-(IF('Calc'!$E$12=1,0,MIN(Calc!$C$216*(1+'财富模型'!$E$20/12)+'Calc'!$B$6,IF(Calc!$A$217&lt;='财富模型'!$E$11*12,'Calc'!$W$12,'Calc'!$Y$12)))))))</x:f>
      </x:c>
      <x:c r="G217" t="str">
        <x:f>IF(Calc!$A$217&gt;'Calc'!$B$8,"",IF('Calc'!$E$12=1,0,MAX(Calc!$G$216*(1+IF(Calc!$A$217&lt;='财富模型'!$E$11*12,'财富模型'!$E$10,'财富模型'!$E$12)/12)-IF('Calc'!$E$12=1,0,IF(Calc!$A$217&lt;='财富模型'!$E$11*12,'Calc'!$W$12,'Calc'!$Y$12)),0)))</x:f>
      </x:c>
      <x:c r="I217" t="n">
        <x:v>196</x:v>
      </x:c>
      <x:c r="J217" t="str">
        <x:f>IF(Calc!$I$217&gt;'Calc'!$B$8,"",MAX(Calc!$J$216*(1+'财富模型'!$E$6/12)+('Calc'!$B$5-'财富模型'!$E$5-(IF('Calc'!$E$13=1,'财富模型'!$E$9,'财富模型'!$M$5+IF(Calc!$I$217&lt;='财富模型'!$E$11*12,'Calc'!$W$13,'Calc'!$Y$13)-(IF('Calc'!$E$13=1,0,MIN(Calc!$K$216*(1+'财富模型'!$E$20/12)+'Calc'!$B$6,IF(Calc!$I$217&lt;='财富模型'!$E$11*12,'Calc'!$W$13,'Calc'!$Y$13))))))),0))</x:f>
      </x:c>
      <x:c r="K217" t="str">
        <x:f>IF(Calc!$I$217&gt;'Calc'!$B$8,"",MAX(Calc!$K$216*(1+'财富模型'!$E$20/12)+'Calc'!$B$6-(IF('Calc'!$E$13=1,0,MIN(Calc!$K$216*(1+'财富模型'!$E$20/12)+'Calc'!$B$6,IF(Calc!$I$217&lt;='财富模型'!$E$11*12,'Calc'!$W$13,'Calc'!$Y$13)))),0))</x:f>
      </x:c>
      <x:c r="L217" t="str">
        <x:f>IF(Calc!$I$217&gt;'Calc'!$B$8,"",IF('Calc'!$E$13=1,'财富模型'!$E$9,'财富模型'!$M$5+IF(Calc!$I$217&lt;='财富模型'!$E$11*12,'Calc'!$W$13,'Calc'!$Y$13)-(IF('Calc'!$E$13=1,0,MIN(Calc!$K$216*(1+'财富模型'!$E$20/12)+'Calc'!$B$6,IF(Calc!$I$217&lt;='财富模型'!$E$11*12,'Calc'!$W$13,'Calc'!$Y$13))))))</x:f>
      </x:c>
      <x:c r="M217" t="str">
        <x:f>IF(Calc!$I$217&gt;'Calc'!$B$8,"",IF('Calc'!$E$13=1,0,MIN(Calc!$K$216*(1+'财富模型'!$E$20/12)+'Calc'!$B$6,IF(Calc!$I$217&lt;='财富模型'!$E$11*12,'Calc'!$W$13,'Calc'!$Y$13))))</x:f>
      </x:c>
      <x:c r="N217" t="str">
        <x:f>IF(Calc!$I$217&gt;'Calc'!$B$8,"",'Calc'!$B$5-'财富模型'!$E$5-(IF('Calc'!$E$13=1,'财富模型'!$E$9,'财富模型'!$M$5+IF(Calc!$I$217&lt;='财富模型'!$E$11*12,'Calc'!$W$13,'Calc'!$Y$13)-(IF('Calc'!$E$13=1,0,MIN(Calc!$K$216*(1+'财富模型'!$E$20/12)+'Calc'!$B$6,IF(Calc!$I$217&lt;='财富模型'!$E$11*12,'Calc'!$W$13,'Calc'!$Y$13)))))))</x:f>
      </x:c>
      <x:c r="O217" t="str">
        <x:f>IF(Calc!$I$217&gt;'Calc'!$B$8,"",IF('Calc'!$E$13=1,0,MAX(Calc!$O$216*(1+IF(Calc!$I$217&lt;='财富模型'!$E$11*12,'财富模型'!$E$10,'财富模型'!$E$12)/12)-IF('Calc'!$E$13=1,0,IF(Calc!$I$217&lt;='财富模型'!$E$11*12,'Calc'!$W$13,'Calc'!$Y$13)),0)))</x:f>
      </x:c>
      <x:c r="Q217" t="n">
        <x:v>196</x:v>
      </x:c>
      <x:c r="R217" t="str">
        <x:f>IF(Calc!$Q$217&gt;'Calc'!$B$8,"",MAX(Calc!$R$216*(1+'财富模型'!$E$6/12)+('Calc'!$B$5-'财富模型'!$E$5-(IF('Calc'!$E$14=1,'财富模型'!$E$9,'财富模型'!$M$6+IF(Calc!$Q$217&lt;='财富模型'!$E$11*12,'Calc'!$W$14,'Calc'!$Y$14)-(IF('Calc'!$E$14=1,0,MIN(Calc!$S$216*(1+'财富模型'!$E$20/12)+'Calc'!$B$6,IF(Calc!$Q$217&lt;='财富模型'!$E$11*12,'Calc'!$W$14,'Calc'!$Y$14))))))),0))</x:f>
      </x:c>
      <x:c r="S217" t="str">
        <x:f>IF(Calc!$Q$217&gt;'Calc'!$B$8,"",MAX(Calc!$S$216*(1+'财富模型'!$E$20/12)+'Calc'!$B$6-(IF('Calc'!$E$14=1,0,MIN(Calc!$S$216*(1+'财富模型'!$E$20/12)+'Calc'!$B$6,IF(Calc!$Q$217&lt;='财富模型'!$E$11*12,'Calc'!$W$14,'Calc'!$Y$14)))),0))</x:f>
      </x:c>
      <x:c r="T217" t="str">
        <x:f>IF(Calc!$Q$217&gt;'Calc'!$B$8,"",IF('Calc'!$E$14=1,'财富模型'!$E$9,'财富模型'!$M$6+IF(Calc!$Q$217&lt;='财富模型'!$E$11*12,'Calc'!$W$14,'Calc'!$Y$14)-(IF('Calc'!$E$14=1,0,MIN(Calc!$S$216*(1+'财富模型'!$E$20/12)+'Calc'!$B$6,IF(Calc!$Q$217&lt;='财富模型'!$E$11*12,'Calc'!$W$14,'Calc'!$Y$14))))))</x:f>
      </x:c>
      <x:c r="U217" t="str">
        <x:f>IF(Calc!$Q$217&gt;'Calc'!$B$8,"",IF('Calc'!$E$14=1,0,MIN(Calc!$S$216*(1+'财富模型'!$E$20/12)+'Calc'!$B$6,IF(Calc!$Q$217&lt;='财富模型'!$E$11*12,'Calc'!$W$14,'Calc'!$Y$14))))</x:f>
      </x:c>
      <x:c r="V217" t="str">
        <x:f>IF(Calc!$Q$217&gt;'Calc'!$B$8,"",'Calc'!$B$5-'财富模型'!$E$5-(IF('Calc'!$E$14=1,'财富模型'!$E$9,'财富模型'!$M$6+IF(Calc!$Q$217&lt;='财富模型'!$E$11*12,'Calc'!$W$14,'Calc'!$Y$14)-(IF('Calc'!$E$14=1,0,MIN(Calc!$S$216*(1+'财富模型'!$E$20/12)+'Calc'!$B$6,IF(Calc!$Q$217&lt;='财富模型'!$E$11*12,'Calc'!$W$14,'Calc'!$Y$14)))))))</x:f>
      </x:c>
      <x:c r="W217" t="str">
        <x:f>IF(Calc!$Q$217&gt;'Calc'!$B$8,"",IF('Calc'!$E$14=1,0,MAX(Calc!$W$216*(1+IF(Calc!$Q$217&lt;='财富模型'!$E$11*12,'财富模型'!$E$10,'财富模型'!$E$12)/12)-IF('Calc'!$E$14=1,0,IF(Calc!$Q$217&lt;='财富模型'!$E$11*12,'Calc'!$W$14,'Calc'!$Y$14)),0)))</x:f>
      </x:c>
      <x:c r="Y217" t="n">
        <x:v>196</x:v>
      </x:c>
      <x:c r="Z217" t="str">
        <x:f>IF(Calc!$Y$217&gt;'Calc'!$B$8,"",MAX(Calc!$Z$216*(1+'财富模型'!$E$6/12)+('Calc'!$B$5-'财富模型'!$E$5-(IF('Calc'!$E$15=1,'财富模型'!$E$9,'财富模型'!$M$7+IF(Calc!$Y$217&lt;='财富模型'!$E$11*12,'Calc'!$W$15,'Calc'!$Y$15)-(IF('Calc'!$E$15=1,0,MIN(Calc!$AA$216*(1+'财富模型'!$E$20/12)+'Calc'!$B$6,IF(Calc!$Y$217&lt;='财富模型'!$E$11*12,'Calc'!$W$15,'Calc'!$Y$15))))))),0))</x:f>
      </x:c>
      <x:c r="AA217" t="str">
        <x:f>IF(Calc!$Y$217&gt;'Calc'!$B$8,"",MAX(Calc!$AA$216*(1+'财富模型'!$E$20/12)+'Calc'!$B$6-(IF('Calc'!$E$15=1,0,MIN(Calc!$AA$216*(1+'财富模型'!$E$20/12)+'Calc'!$B$6,IF(Calc!$Y$217&lt;='财富模型'!$E$11*12,'Calc'!$W$15,'Calc'!$Y$15)))),0))</x:f>
      </x:c>
      <x:c r="AB217" t="str">
        <x:f>IF(Calc!$Y$217&gt;'Calc'!$B$8,"",IF('Calc'!$E$15=1,'财富模型'!$E$9,'财富模型'!$M$7+IF(Calc!$Y$217&lt;='财富模型'!$E$11*12,'Calc'!$W$15,'Calc'!$Y$15)-(IF('Calc'!$E$15=1,0,MIN(Calc!$AA$216*(1+'财富模型'!$E$20/12)+'Calc'!$B$6,IF(Calc!$Y$217&lt;='财富模型'!$E$11*12,'Calc'!$W$15,'Calc'!$Y$15))))))</x:f>
      </x:c>
      <x:c r="AC217" t="str">
        <x:f>IF(Calc!$Y$217&gt;'Calc'!$B$8,"",IF('Calc'!$E$15=1,0,MIN(Calc!$AA$216*(1+'财富模型'!$E$20/12)+'Calc'!$B$6,IF(Calc!$Y$217&lt;='财富模型'!$E$11*12,'Calc'!$W$15,'Calc'!$Y$15))))</x:f>
      </x:c>
      <x:c r="AD217" t="str">
        <x:f>IF(Calc!$Y$217&gt;'Calc'!$B$8,"",'Calc'!$B$5-'财富模型'!$E$5-(IF('Calc'!$E$15=1,'财富模型'!$E$9,'财富模型'!$M$7+IF(Calc!$Y$217&lt;='财富模型'!$E$11*12,'Calc'!$W$15,'Calc'!$Y$15)-(IF('Calc'!$E$15=1,0,MIN(Calc!$AA$216*(1+'财富模型'!$E$20/12)+'Calc'!$B$6,IF(Calc!$Y$217&lt;='财富模型'!$E$11*12,'Calc'!$W$15,'Calc'!$Y$15)))))))</x:f>
      </x:c>
      <x:c r="AE217" t="str">
        <x:f>IF(Calc!$Y$217&gt;'Calc'!$B$8,"",IF('Calc'!$E$15=1,0,MAX(Calc!$AE$216*(1+IF(Calc!$Y$217&lt;='财富模型'!$E$11*12,'财富模型'!$E$10,'财富模型'!$E$12)/12)-IF('Calc'!$E$15=1,0,IF(Calc!$Y$217&lt;='财富模型'!$E$11*12,'Calc'!$W$15,'Calc'!$Y$15)),0)))</x:f>
      </x:c>
      <x:c r="AG217" t="n">
        <x:v>196</x:v>
      </x:c>
      <x:c r="AH217" t="str">
        <x:f>IF(Calc!$AG$217&gt;'Calc'!$B$8,"",MAX(Calc!$AH$216*(1+'财富模型'!$E$6/12)+('Calc'!$B$5-'财富模型'!$E$5-(IF('Calc'!$E$16=1,'财富模型'!$E$9,'财富模型'!$M$8+IF(Calc!$AG$217&lt;='财富模型'!$E$11*12,'Calc'!$W$16,'Calc'!$Y$16)-(IF('Calc'!$E$16=1,0,MIN(Calc!$AI$216*(1+'财富模型'!$E$20/12)+'Calc'!$B$6,IF(Calc!$AG$217&lt;='财富模型'!$E$11*12,'Calc'!$W$16,'Calc'!$Y$16))))))),0))</x:f>
      </x:c>
      <x:c r="AI217" t="str">
        <x:f>IF(Calc!$AG$217&gt;'Calc'!$B$8,"",MAX(Calc!$AI$216*(1+'财富模型'!$E$20/12)+'Calc'!$B$6-(IF('Calc'!$E$16=1,0,MIN(Calc!$AI$216*(1+'财富模型'!$E$20/12)+'Calc'!$B$6,IF(Calc!$AG$217&lt;='财富模型'!$E$11*12,'Calc'!$W$16,'Calc'!$Y$16)))),0))</x:f>
      </x:c>
      <x:c r="AJ217" t="str">
        <x:f>IF(Calc!$AG$217&gt;'Calc'!$B$8,"",IF('Calc'!$E$16=1,'财富模型'!$E$9,'财富模型'!$M$8+IF(Calc!$AG$217&lt;='财富模型'!$E$11*12,'Calc'!$W$16,'Calc'!$Y$16)-(IF('Calc'!$E$16=1,0,MIN(Calc!$AI$216*(1+'财富模型'!$E$20/12)+'Calc'!$B$6,IF(Calc!$AG$217&lt;='财富模型'!$E$11*12,'Calc'!$W$16,'Calc'!$Y$16))))))</x:f>
      </x:c>
      <x:c r="AK217" t="str">
        <x:f>IF(Calc!$AG$217&gt;'Calc'!$B$8,"",IF('Calc'!$E$16=1,0,MIN(Calc!$AI$216*(1+'财富模型'!$E$20/12)+'Calc'!$B$6,IF(Calc!$AG$217&lt;='财富模型'!$E$11*12,'Calc'!$W$16,'Calc'!$Y$16))))</x:f>
      </x:c>
      <x:c r="AL217" t="str">
        <x:f>IF(Calc!$AG$217&gt;'Calc'!$B$8,"",'Calc'!$B$5-'财富模型'!$E$5-(IF('Calc'!$E$16=1,'财富模型'!$E$9,'财富模型'!$M$8+IF(Calc!$AG$217&lt;='财富模型'!$E$11*12,'Calc'!$W$16,'Calc'!$Y$16)-(IF('Calc'!$E$16=1,0,MIN(Calc!$AI$216*(1+'财富模型'!$E$20/12)+'Calc'!$B$6,IF(Calc!$AG$217&lt;='财富模型'!$E$11*12,'Calc'!$W$16,'Calc'!$Y$16)))))))</x:f>
      </x:c>
      <x:c r="AM217" t="str">
        <x:f>IF(Calc!$AG$217&gt;'Calc'!$B$8,"",IF('Calc'!$E$16=1,0,MAX(Calc!$AM$216*(1+IF(Calc!$AG$217&lt;='财富模型'!$E$11*12,'财富模型'!$E$10,'财富模型'!$E$12)/12)-IF('Calc'!$E$16=1,0,IF(Calc!$AG$217&lt;='财富模型'!$E$11*12,'Calc'!$W$16,'Calc'!$Y$16)),0)))</x:f>
      </x:c>
      <x:c r="AO217" t="n">
        <x:v>196</x:v>
      </x:c>
      <x:c r="AP217" t="str">
        <x:f>IF(Calc!$AO$217&gt;'Calc'!$B$8,"",MAX(Calc!$AP$216*(1+'财富模型'!$E$6/12)+('Calc'!$B$5-'财富模型'!$E$5-(IF('Calc'!$E$17=1,'财富模型'!$E$9,'财富模型'!$M$9+IF(Calc!$AO$217&lt;='财富模型'!$E$11*12,'Calc'!$W$17,'Calc'!$Y$17)-(IF('Calc'!$E$17=1,0,MIN(Calc!$AQ$216*(1+'财富模型'!$E$20/12)+'Calc'!$B$6,IF(Calc!$AO$217&lt;='财富模型'!$E$11*12,'Calc'!$W$17,'Calc'!$Y$17))))))),0))</x:f>
      </x:c>
      <x:c r="AQ217" t="str">
        <x:f>IF(Calc!$AO$217&gt;'Calc'!$B$8,"",MAX(Calc!$AQ$216*(1+'财富模型'!$E$20/12)+'Calc'!$B$6-(IF('Calc'!$E$17=1,0,MIN(Calc!$AQ$216*(1+'财富模型'!$E$20/12)+'Calc'!$B$6,IF(Calc!$AO$217&lt;='财富模型'!$E$11*12,'Calc'!$W$17,'Calc'!$Y$17)))),0))</x:f>
      </x:c>
      <x:c r="AR217" t="str">
        <x:f>IF(Calc!$AO$217&gt;'Calc'!$B$8,"",IF('Calc'!$E$17=1,'财富模型'!$E$9,'财富模型'!$M$9+IF(Calc!$AO$217&lt;='财富模型'!$E$11*12,'Calc'!$W$17,'Calc'!$Y$17)-(IF('Calc'!$E$17=1,0,MIN(Calc!$AQ$216*(1+'财富模型'!$E$20/12)+'Calc'!$B$6,IF(Calc!$AO$217&lt;='财富模型'!$E$11*12,'Calc'!$W$17,'Calc'!$Y$17))))))</x:f>
      </x:c>
      <x:c r="AS217" t="str">
        <x:f>IF(Calc!$AO$217&gt;'Calc'!$B$8,"",IF('Calc'!$E$17=1,0,MIN(Calc!$AQ$216*(1+'财富模型'!$E$20/12)+'Calc'!$B$6,IF(Calc!$AO$217&lt;='财富模型'!$E$11*12,'Calc'!$W$17,'Calc'!$Y$17))))</x:f>
      </x:c>
      <x:c r="AT217" t="str">
        <x:f>IF(Calc!$AO$217&gt;'Calc'!$B$8,"",'Calc'!$B$5-'财富模型'!$E$5-(IF('Calc'!$E$17=1,'财富模型'!$E$9,'财富模型'!$M$9+IF(Calc!$AO$217&lt;='财富模型'!$E$11*12,'Calc'!$W$17,'Calc'!$Y$17)-(IF('Calc'!$E$17=1,0,MIN(Calc!$AQ$216*(1+'财富模型'!$E$20/12)+'Calc'!$B$6,IF(Calc!$AO$217&lt;='财富模型'!$E$11*12,'Calc'!$W$17,'Calc'!$Y$17)))))))</x:f>
      </x:c>
      <x:c r="AU217" t="str">
        <x:f>IF(Calc!$AO$217&gt;'Calc'!$B$8,"",IF('Calc'!$E$17=1,0,MAX(Calc!$AU$216*(1+IF(Calc!$AO$217&lt;='财富模型'!$E$11*12,'财富模型'!$E$10,'财富模型'!$E$12)/12)-IF('Calc'!$E$17=1,0,IF(Calc!$AO$217&lt;='财富模型'!$E$11*12,'Calc'!$W$17,'Calc'!$Y$17)),0)))</x:f>
      </x:c>
    </x:row>
    <x:row r="218">
      <x:c r="A218" t="n">
        <x:v>197</x:v>
      </x:c>
      <x:c r="B218" t="str">
        <x:f>IF(Calc!$A$218&gt;'Calc'!$B$8,"",MAX(Calc!$B$217*(1+'财富模型'!$E$6/12)+('Calc'!$B$5-'财富模型'!$E$5-(IF('Calc'!$E$12=1,'财富模型'!$E$9,'财富模型'!$M$4+IF(Calc!$A$218&lt;='财富模型'!$E$11*12,'Calc'!$W$12,'Calc'!$Y$12)-(IF('Calc'!$E$12=1,0,MIN(Calc!$C$217*(1+'财富模型'!$E$20/12)+'Calc'!$B$6,IF(Calc!$A$218&lt;='财富模型'!$E$11*12,'Calc'!$W$12,'Calc'!$Y$12))))))),0))</x:f>
      </x:c>
      <x:c r="C218" t="str">
        <x:f>IF(Calc!$A$218&gt;'Calc'!$B$8,"",MAX(Calc!$C$217*(1+'财富模型'!$E$20/12)+'Calc'!$B$6-(IF('Calc'!$E$12=1,0,MIN(Calc!$C$217*(1+'财富模型'!$E$20/12)+'Calc'!$B$6,IF(Calc!$A$218&lt;='财富模型'!$E$11*12,'Calc'!$W$12,'Calc'!$Y$12)))),0))</x:f>
      </x:c>
      <x:c r="D218" t="str">
        <x:f>IF(Calc!$A$218&gt;'Calc'!$B$8,"",IF('Calc'!$E$12=1,'财富模型'!$E$9,'财富模型'!$M$4+IF(Calc!$A$218&lt;='财富模型'!$E$11*12,'Calc'!$W$12,'Calc'!$Y$12)-(IF('Calc'!$E$12=1,0,MIN(Calc!$C$217*(1+'财富模型'!$E$20/12)+'Calc'!$B$6,IF(Calc!$A$218&lt;='财富模型'!$E$11*12,'Calc'!$W$12,'Calc'!$Y$12))))))</x:f>
      </x:c>
      <x:c r="E218" t="str">
        <x:f>IF(Calc!$A$218&gt;'Calc'!$B$8,"",IF('Calc'!$E$12=1,0,MIN(Calc!$C$217*(1+'财富模型'!$E$20/12)+'Calc'!$B$6,IF(Calc!$A$218&lt;='财富模型'!$E$11*12,'Calc'!$W$12,'Calc'!$Y$12))))</x:f>
      </x:c>
      <x:c r="F218" t="str">
        <x:f>IF(Calc!$A$218&gt;'Calc'!$B$8,"",'Calc'!$B$5-'财富模型'!$E$5-(IF('Calc'!$E$12=1,'财富模型'!$E$9,'财富模型'!$M$4+IF(Calc!$A$218&lt;='财富模型'!$E$11*12,'Calc'!$W$12,'Calc'!$Y$12)-(IF('Calc'!$E$12=1,0,MIN(Calc!$C$217*(1+'财富模型'!$E$20/12)+'Calc'!$B$6,IF(Calc!$A$218&lt;='财富模型'!$E$11*12,'Calc'!$W$12,'Calc'!$Y$12)))))))</x:f>
      </x:c>
      <x:c r="G218" t="str">
        <x:f>IF(Calc!$A$218&gt;'Calc'!$B$8,"",IF('Calc'!$E$12=1,0,MAX(Calc!$G$217*(1+IF(Calc!$A$218&lt;='财富模型'!$E$11*12,'财富模型'!$E$10,'财富模型'!$E$12)/12)-IF('Calc'!$E$12=1,0,IF(Calc!$A$218&lt;='财富模型'!$E$11*12,'Calc'!$W$12,'Calc'!$Y$12)),0)))</x:f>
      </x:c>
      <x:c r="I218" t="n">
        <x:v>197</x:v>
      </x:c>
      <x:c r="J218" t="str">
        <x:f>IF(Calc!$I$218&gt;'Calc'!$B$8,"",MAX(Calc!$J$217*(1+'财富模型'!$E$6/12)+('Calc'!$B$5-'财富模型'!$E$5-(IF('Calc'!$E$13=1,'财富模型'!$E$9,'财富模型'!$M$5+IF(Calc!$I$218&lt;='财富模型'!$E$11*12,'Calc'!$W$13,'Calc'!$Y$13)-(IF('Calc'!$E$13=1,0,MIN(Calc!$K$217*(1+'财富模型'!$E$20/12)+'Calc'!$B$6,IF(Calc!$I$218&lt;='财富模型'!$E$11*12,'Calc'!$W$13,'Calc'!$Y$13))))))),0))</x:f>
      </x:c>
      <x:c r="K218" t="str">
        <x:f>IF(Calc!$I$218&gt;'Calc'!$B$8,"",MAX(Calc!$K$217*(1+'财富模型'!$E$20/12)+'Calc'!$B$6-(IF('Calc'!$E$13=1,0,MIN(Calc!$K$217*(1+'财富模型'!$E$20/12)+'Calc'!$B$6,IF(Calc!$I$218&lt;='财富模型'!$E$11*12,'Calc'!$W$13,'Calc'!$Y$13)))),0))</x:f>
      </x:c>
      <x:c r="L218" t="str">
        <x:f>IF(Calc!$I$218&gt;'Calc'!$B$8,"",IF('Calc'!$E$13=1,'财富模型'!$E$9,'财富模型'!$M$5+IF(Calc!$I$218&lt;='财富模型'!$E$11*12,'Calc'!$W$13,'Calc'!$Y$13)-(IF('Calc'!$E$13=1,0,MIN(Calc!$K$217*(1+'财富模型'!$E$20/12)+'Calc'!$B$6,IF(Calc!$I$218&lt;='财富模型'!$E$11*12,'Calc'!$W$13,'Calc'!$Y$13))))))</x:f>
      </x:c>
      <x:c r="M218" t="str">
        <x:f>IF(Calc!$I$218&gt;'Calc'!$B$8,"",IF('Calc'!$E$13=1,0,MIN(Calc!$K$217*(1+'财富模型'!$E$20/12)+'Calc'!$B$6,IF(Calc!$I$218&lt;='财富模型'!$E$11*12,'Calc'!$W$13,'Calc'!$Y$13))))</x:f>
      </x:c>
      <x:c r="N218" t="str">
        <x:f>IF(Calc!$I$218&gt;'Calc'!$B$8,"",'Calc'!$B$5-'财富模型'!$E$5-(IF('Calc'!$E$13=1,'财富模型'!$E$9,'财富模型'!$M$5+IF(Calc!$I$218&lt;='财富模型'!$E$11*12,'Calc'!$W$13,'Calc'!$Y$13)-(IF('Calc'!$E$13=1,0,MIN(Calc!$K$217*(1+'财富模型'!$E$20/12)+'Calc'!$B$6,IF(Calc!$I$218&lt;='财富模型'!$E$11*12,'Calc'!$W$13,'Calc'!$Y$13)))))))</x:f>
      </x:c>
      <x:c r="O218" t="str">
        <x:f>IF(Calc!$I$218&gt;'Calc'!$B$8,"",IF('Calc'!$E$13=1,0,MAX(Calc!$O$217*(1+IF(Calc!$I$218&lt;='财富模型'!$E$11*12,'财富模型'!$E$10,'财富模型'!$E$12)/12)-IF('Calc'!$E$13=1,0,IF(Calc!$I$218&lt;='财富模型'!$E$11*12,'Calc'!$W$13,'Calc'!$Y$13)),0)))</x:f>
      </x:c>
      <x:c r="Q218" t="n">
        <x:v>197</x:v>
      </x:c>
      <x:c r="R218" t="str">
        <x:f>IF(Calc!$Q$218&gt;'Calc'!$B$8,"",MAX(Calc!$R$217*(1+'财富模型'!$E$6/12)+('Calc'!$B$5-'财富模型'!$E$5-(IF('Calc'!$E$14=1,'财富模型'!$E$9,'财富模型'!$M$6+IF(Calc!$Q$218&lt;='财富模型'!$E$11*12,'Calc'!$W$14,'Calc'!$Y$14)-(IF('Calc'!$E$14=1,0,MIN(Calc!$S$217*(1+'财富模型'!$E$20/12)+'Calc'!$B$6,IF(Calc!$Q$218&lt;='财富模型'!$E$11*12,'Calc'!$W$14,'Calc'!$Y$14))))))),0))</x:f>
      </x:c>
      <x:c r="S218" t="str">
        <x:f>IF(Calc!$Q$218&gt;'Calc'!$B$8,"",MAX(Calc!$S$217*(1+'财富模型'!$E$20/12)+'Calc'!$B$6-(IF('Calc'!$E$14=1,0,MIN(Calc!$S$217*(1+'财富模型'!$E$20/12)+'Calc'!$B$6,IF(Calc!$Q$218&lt;='财富模型'!$E$11*12,'Calc'!$W$14,'Calc'!$Y$14)))),0))</x:f>
      </x:c>
      <x:c r="T218" t="str">
        <x:f>IF(Calc!$Q$218&gt;'Calc'!$B$8,"",IF('Calc'!$E$14=1,'财富模型'!$E$9,'财富模型'!$M$6+IF(Calc!$Q$218&lt;='财富模型'!$E$11*12,'Calc'!$W$14,'Calc'!$Y$14)-(IF('Calc'!$E$14=1,0,MIN(Calc!$S$217*(1+'财富模型'!$E$20/12)+'Calc'!$B$6,IF(Calc!$Q$218&lt;='财富模型'!$E$11*12,'Calc'!$W$14,'Calc'!$Y$14))))))</x:f>
      </x:c>
      <x:c r="U218" t="str">
        <x:f>IF(Calc!$Q$218&gt;'Calc'!$B$8,"",IF('Calc'!$E$14=1,0,MIN(Calc!$S$217*(1+'财富模型'!$E$20/12)+'Calc'!$B$6,IF(Calc!$Q$218&lt;='财富模型'!$E$11*12,'Calc'!$W$14,'Calc'!$Y$14))))</x:f>
      </x:c>
      <x:c r="V218" t="str">
        <x:f>IF(Calc!$Q$218&gt;'Calc'!$B$8,"",'Calc'!$B$5-'财富模型'!$E$5-(IF('Calc'!$E$14=1,'财富模型'!$E$9,'财富模型'!$M$6+IF(Calc!$Q$218&lt;='财富模型'!$E$11*12,'Calc'!$W$14,'Calc'!$Y$14)-(IF('Calc'!$E$14=1,0,MIN(Calc!$S$217*(1+'财富模型'!$E$20/12)+'Calc'!$B$6,IF(Calc!$Q$218&lt;='财富模型'!$E$11*12,'Calc'!$W$14,'Calc'!$Y$14)))))))</x:f>
      </x:c>
      <x:c r="W218" t="str">
        <x:f>IF(Calc!$Q$218&gt;'Calc'!$B$8,"",IF('Calc'!$E$14=1,0,MAX(Calc!$W$217*(1+IF(Calc!$Q$218&lt;='财富模型'!$E$11*12,'财富模型'!$E$10,'财富模型'!$E$12)/12)-IF('Calc'!$E$14=1,0,IF(Calc!$Q$218&lt;='财富模型'!$E$11*12,'Calc'!$W$14,'Calc'!$Y$14)),0)))</x:f>
      </x:c>
      <x:c r="Y218" t="n">
        <x:v>197</x:v>
      </x:c>
      <x:c r="Z218" t="str">
        <x:f>IF(Calc!$Y$218&gt;'Calc'!$B$8,"",MAX(Calc!$Z$217*(1+'财富模型'!$E$6/12)+('Calc'!$B$5-'财富模型'!$E$5-(IF('Calc'!$E$15=1,'财富模型'!$E$9,'财富模型'!$M$7+IF(Calc!$Y$218&lt;='财富模型'!$E$11*12,'Calc'!$W$15,'Calc'!$Y$15)-(IF('Calc'!$E$15=1,0,MIN(Calc!$AA$217*(1+'财富模型'!$E$20/12)+'Calc'!$B$6,IF(Calc!$Y$218&lt;='财富模型'!$E$11*12,'Calc'!$W$15,'Calc'!$Y$15))))))),0))</x:f>
      </x:c>
      <x:c r="AA218" t="str">
        <x:f>IF(Calc!$Y$218&gt;'Calc'!$B$8,"",MAX(Calc!$AA$217*(1+'财富模型'!$E$20/12)+'Calc'!$B$6-(IF('Calc'!$E$15=1,0,MIN(Calc!$AA$217*(1+'财富模型'!$E$20/12)+'Calc'!$B$6,IF(Calc!$Y$218&lt;='财富模型'!$E$11*12,'Calc'!$W$15,'Calc'!$Y$15)))),0))</x:f>
      </x:c>
      <x:c r="AB218" t="str">
        <x:f>IF(Calc!$Y$218&gt;'Calc'!$B$8,"",IF('Calc'!$E$15=1,'财富模型'!$E$9,'财富模型'!$M$7+IF(Calc!$Y$218&lt;='财富模型'!$E$11*12,'Calc'!$W$15,'Calc'!$Y$15)-(IF('Calc'!$E$15=1,0,MIN(Calc!$AA$217*(1+'财富模型'!$E$20/12)+'Calc'!$B$6,IF(Calc!$Y$218&lt;='财富模型'!$E$11*12,'Calc'!$W$15,'Calc'!$Y$15))))))</x:f>
      </x:c>
      <x:c r="AC218" t="str">
        <x:f>IF(Calc!$Y$218&gt;'Calc'!$B$8,"",IF('Calc'!$E$15=1,0,MIN(Calc!$AA$217*(1+'财富模型'!$E$20/12)+'Calc'!$B$6,IF(Calc!$Y$218&lt;='财富模型'!$E$11*12,'Calc'!$W$15,'Calc'!$Y$15))))</x:f>
      </x:c>
      <x:c r="AD218" t="str">
        <x:f>IF(Calc!$Y$218&gt;'Calc'!$B$8,"",'Calc'!$B$5-'财富模型'!$E$5-(IF('Calc'!$E$15=1,'财富模型'!$E$9,'财富模型'!$M$7+IF(Calc!$Y$218&lt;='财富模型'!$E$11*12,'Calc'!$W$15,'Calc'!$Y$15)-(IF('Calc'!$E$15=1,0,MIN(Calc!$AA$217*(1+'财富模型'!$E$20/12)+'Calc'!$B$6,IF(Calc!$Y$218&lt;='财富模型'!$E$11*12,'Calc'!$W$15,'Calc'!$Y$15)))))))</x:f>
      </x:c>
      <x:c r="AE218" t="str">
        <x:f>IF(Calc!$Y$218&gt;'Calc'!$B$8,"",IF('Calc'!$E$15=1,0,MAX(Calc!$AE$217*(1+IF(Calc!$Y$218&lt;='财富模型'!$E$11*12,'财富模型'!$E$10,'财富模型'!$E$12)/12)-IF('Calc'!$E$15=1,0,IF(Calc!$Y$218&lt;='财富模型'!$E$11*12,'Calc'!$W$15,'Calc'!$Y$15)),0)))</x:f>
      </x:c>
      <x:c r="AG218" t="n">
        <x:v>197</x:v>
      </x:c>
      <x:c r="AH218" t="str">
        <x:f>IF(Calc!$AG$218&gt;'Calc'!$B$8,"",MAX(Calc!$AH$217*(1+'财富模型'!$E$6/12)+('Calc'!$B$5-'财富模型'!$E$5-(IF('Calc'!$E$16=1,'财富模型'!$E$9,'财富模型'!$M$8+IF(Calc!$AG$218&lt;='财富模型'!$E$11*12,'Calc'!$W$16,'Calc'!$Y$16)-(IF('Calc'!$E$16=1,0,MIN(Calc!$AI$217*(1+'财富模型'!$E$20/12)+'Calc'!$B$6,IF(Calc!$AG$218&lt;='财富模型'!$E$11*12,'Calc'!$W$16,'Calc'!$Y$16))))))),0))</x:f>
      </x:c>
      <x:c r="AI218" t="str">
        <x:f>IF(Calc!$AG$218&gt;'Calc'!$B$8,"",MAX(Calc!$AI$217*(1+'财富模型'!$E$20/12)+'Calc'!$B$6-(IF('Calc'!$E$16=1,0,MIN(Calc!$AI$217*(1+'财富模型'!$E$20/12)+'Calc'!$B$6,IF(Calc!$AG$218&lt;='财富模型'!$E$11*12,'Calc'!$W$16,'Calc'!$Y$16)))),0))</x:f>
      </x:c>
      <x:c r="AJ218" t="str">
        <x:f>IF(Calc!$AG$218&gt;'Calc'!$B$8,"",IF('Calc'!$E$16=1,'财富模型'!$E$9,'财富模型'!$M$8+IF(Calc!$AG$218&lt;='财富模型'!$E$11*12,'Calc'!$W$16,'Calc'!$Y$16)-(IF('Calc'!$E$16=1,0,MIN(Calc!$AI$217*(1+'财富模型'!$E$20/12)+'Calc'!$B$6,IF(Calc!$AG$218&lt;='财富模型'!$E$11*12,'Calc'!$W$16,'Calc'!$Y$16))))))</x:f>
      </x:c>
      <x:c r="AK218" t="str">
        <x:f>IF(Calc!$AG$218&gt;'Calc'!$B$8,"",IF('Calc'!$E$16=1,0,MIN(Calc!$AI$217*(1+'财富模型'!$E$20/12)+'Calc'!$B$6,IF(Calc!$AG$218&lt;='财富模型'!$E$11*12,'Calc'!$W$16,'Calc'!$Y$16))))</x:f>
      </x:c>
      <x:c r="AL218" t="str">
        <x:f>IF(Calc!$AG$218&gt;'Calc'!$B$8,"",'Calc'!$B$5-'财富模型'!$E$5-(IF('Calc'!$E$16=1,'财富模型'!$E$9,'财富模型'!$M$8+IF(Calc!$AG$218&lt;='财富模型'!$E$11*12,'Calc'!$W$16,'Calc'!$Y$16)-(IF('Calc'!$E$16=1,0,MIN(Calc!$AI$217*(1+'财富模型'!$E$20/12)+'Calc'!$B$6,IF(Calc!$AG$218&lt;='财富模型'!$E$11*12,'Calc'!$W$16,'Calc'!$Y$16)))))))</x:f>
      </x:c>
      <x:c r="AM218" t="str">
        <x:f>IF(Calc!$AG$218&gt;'Calc'!$B$8,"",IF('Calc'!$E$16=1,0,MAX(Calc!$AM$217*(1+IF(Calc!$AG$218&lt;='财富模型'!$E$11*12,'财富模型'!$E$10,'财富模型'!$E$12)/12)-IF('Calc'!$E$16=1,0,IF(Calc!$AG$218&lt;='财富模型'!$E$11*12,'Calc'!$W$16,'Calc'!$Y$16)),0)))</x:f>
      </x:c>
      <x:c r="AO218" t="n">
        <x:v>197</x:v>
      </x:c>
      <x:c r="AP218" t="str">
        <x:f>IF(Calc!$AO$218&gt;'Calc'!$B$8,"",MAX(Calc!$AP$217*(1+'财富模型'!$E$6/12)+('Calc'!$B$5-'财富模型'!$E$5-(IF('Calc'!$E$17=1,'财富模型'!$E$9,'财富模型'!$M$9+IF(Calc!$AO$218&lt;='财富模型'!$E$11*12,'Calc'!$W$17,'Calc'!$Y$17)-(IF('Calc'!$E$17=1,0,MIN(Calc!$AQ$217*(1+'财富模型'!$E$20/12)+'Calc'!$B$6,IF(Calc!$AO$218&lt;='财富模型'!$E$11*12,'Calc'!$W$17,'Calc'!$Y$17))))))),0))</x:f>
      </x:c>
      <x:c r="AQ218" t="str">
        <x:f>IF(Calc!$AO$218&gt;'Calc'!$B$8,"",MAX(Calc!$AQ$217*(1+'财富模型'!$E$20/12)+'Calc'!$B$6-(IF('Calc'!$E$17=1,0,MIN(Calc!$AQ$217*(1+'财富模型'!$E$20/12)+'Calc'!$B$6,IF(Calc!$AO$218&lt;='财富模型'!$E$11*12,'Calc'!$W$17,'Calc'!$Y$17)))),0))</x:f>
      </x:c>
      <x:c r="AR218" t="str">
        <x:f>IF(Calc!$AO$218&gt;'Calc'!$B$8,"",IF('Calc'!$E$17=1,'财富模型'!$E$9,'财富模型'!$M$9+IF(Calc!$AO$218&lt;='财富模型'!$E$11*12,'Calc'!$W$17,'Calc'!$Y$17)-(IF('Calc'!$E$17=1,0,MIN(Calc!$AQ$217*(1+'财富模型'!$E$20/12)+'Calc'!$B$6,IF(Calc!$AO$218&lt;='财富模型'!$E$11*12,'Calc'!$W$17,'Calc'!$Y$17))))))</x:f>
      </x:c>
      <x:c r="AS218" t="str">
        <x:f>IF(Calc!$AO$218&gt;'Calc'!$B$8,"",IF('Calc'!$E$17=1,0,MIN(Calc!$AQ$217*(1+'财富模型'!$E$20/12)+'Calc'!$B$6,IF(Calc!$AO$218&lt;='财富模型'!$E$11*12,'Calc'!$W$17,'Calc'!$Y$17))))</x:f>
      </x:c>
      <x:c r="AT218" t="str">
        <x:f>IF(Calc!$AO$218&gt;'Calc'!$B$8,"",'Calc'!$B$5-'财富模型'!$E$5-(IF('Calc'!$E$17=1,'财富模型'!$E$9,'财富模型'!$M$9+IF(Calc!$AO$218&lt;='财富模型'!$E$11*12,'Calc'!$W$17,'Calc'!$Y$17)-(IF('Calc'!$E$17=1,0,MIN(Calc!$AQ$217*(1+'财富模型'!$E$20/12)+'Calc'!$B$6,IF(Calc!$AO$218&lt;='财富模型'!$E$11*12,'Calc'!$W$17,'Calc'!$Y$17)))))))</x:f>
      </x:c>
      <x:c r="AU218" t="str">
        <x:f>IF(Calc!$AO$218&gt;'Calc'!$B$8,"",IF('Calc'!$E$17=1,0,MAX(Calc!$AU$217*(1+IF(Calc!$AO$218&lt;='财富模型'!$E$11*12,'财富模型'!$E$10,'财富模型'!$E$12)/12)-IF('Calc'!$E$17=1,0,IF(Calc!$AO$218&lt;='财富模型'!$E$11*12,'Calc'!$W$17,'Calc'!$Y$17)),0)))</x:f>
      </x:c>
    </x:row>
    <x:row r="219">
      <x:c r="A219" t="n">
        <x:v>198</x:v>
      </x:c>
      <x:c r="B219" t="str">
        <x:f>IF(Calc!$A$219&gt;'Calc'!$B$8,"",MAX(Calc!$B$218*(1+'财富模型'!$E$6/12)+('Calc'!$B$5-'财富模型'!$E$5-(IF('Calc'!$E$12=1,'财富模型'!$E$9,'财富模型'!$M$4+IF(Calc!$A$219&lt;='财富模型'!$E$11*12,'Calc'!$W$12,'Calc'!$Y$12)-(IF('Calc'!$E$12=1,0,MIN(Calc!$C$218*(1+'财富模型'!$E$20/12)+'Calc'!$B$6,IF(Calc!$A$219&lt;='财富模型'!$E$11*12,'Calc'!$W$12,'Calc'!$Y$12))))))),0))</x:f>
      </x:c>
      <x:c r="C219" t="str">
        <x:f>IF(Calc!$A$219&gt;'Calc'!$B$8,"",MAX(Calc!$C$218*(1+'财富模型'!$E$20/12)+'Calc'!$B$6-(IF('Calc'!$E$12=1,0,MIN(Calc!$C$218*(1+'财富模型'!$E$20/12)+'Calc'!$B$6,IF(Calc!$A$219&lt;='财富模型'!$E$11*12,'Calc'!$W$12,'Calc'!$Y$12)))),0))</x:f>
      </x:c>
      <x:c r="D219" t="str">
        <x:f>IF(Calc!$A$219&gt;'Calc'!$B$8,"",IF('Calc'!$E$12=1,'财富模型'!$E$9,'财富模型'!$M$4+IF(Calc!$A$219&lt;='财富模型'!$E$11*12,'Calc'!$W$12,'Calc'!$Y$12)-(IF('Calc'!$E$12=1,0,MIN(Calc!$C$218*(1+'财富模型'!$E$20/12)+'Calc'!$B$6,IF(Calc!$A$219&lt;='财富模型'!$E$11*12,'Calc'!$W$12,'Calc'!$Y$12))))))</x:f>
      </x:c>
      <x:c r="E219" t="str">
        <x:f>IF(Calc!$A$219&gt;'Calc'!$B$8,"",IF('Calc'!$E$12=1,0,MIN(Calc!$C$218*(1+'财富模型'!$E$20/12)+'Calc'!$B$6,IF(Calc!$A$219&lt;='财富模型'!$E$11*12,'Calc'!$W$12,'Calc'!$Y$12))))</x:f>
      </x:c>
      <x:c r="F219" t="str">
        <x:f>IF(Calc!$A$219&gt;'Calc'!$B$8,"",'Calc'!$B$5-'财富模型'!$E$5-(IF('Calc'!$E$12=1,'财富模型'!$E$9,'财富模型'!$M$4+IF(Calc!$A$219&lt;='财富模型'!$E$11*12,'Calc'!$W$12,'Calc'!$Y$12)-(IF('Calc'!$E$12=1,0,MIN(Calc!$C$218*(1+'财富模型'!$E$20/12)+'Calc'!$B$6,IF(Calc!$A$219&lt;='财富模型'!$E$11*12,'Calc'!$W$12,'Calc'!$Y$12)))))))</x:f>
      </x:c>
      <x:c r="G219" t="str">
        <x:f>IF(Calc!$A$219&gt;'Calc'!$B$8,"",IF('Calc'!$E$12=1,0,MAX(Calc!$G$218*(1+IF(Calc!$A$219&lt;='财富模型'!$E$11*12,'财富模型'!$E$10,'财富模型'!$E$12)/12)-IF('Calc'!$E$12=1,0,IF(Calc!$A$219&lt;='财富模型'!$E$11*12,'Calc'!$W$12,'Calc'!$Y$12)),0)))</x:f>
      </x:c>
      <x:c r="I219" t="n">
        <x:v>198</x:v>
      </x:c>
      <x:c r="J219" t="str">
        <x:f>IF(Calc!$I$219&gt;'Calc'!$B$8,"",MAX(Calc!$J$218*(1+'财富模型'!$E$6/12)+('Calc'!$B$5-'财富模型'!$E$5-(IF('Calc'!$E$13=1,'财富模型'!$E$9,'财富模型'!$M$5+IF(Calc!$I$219&lt;='财富模型'!$E$11*12,'Calc'!$W$13,'Calc'!$Y$13)-(IF('Calc'!$E$13=1,0,MIN(Calc!$K$218*(1+'财富模型'!$E$20/12)+'Calc'!$B$6,IF(Calc!$I$219&lt;='财富模型'!$E$11*12,'Calc'!$W$13,'Calc'!$Y$13))))))),0))</x:f>
      </x:c>
      <x:c r="K219" t="str">
        <x:f>IF(Calc!$I$219&gt;'Calc'!$B$8,"",MAX(Calc!$K$218*(1+'财富模型'!$E$20/12)+'Calc'!$B$6-(IF('Calc'!$E$13=1,0,MIN(Calc!$K$218*(1+'财富模型'!$E$20/12)+'Calc'!$B$6,IF(Calc!$I$219&lt;='财富模型'!$E$11*12,'Calc'!$W$13,'Calc'!$Y$13)))),0))</x:f>
      </x:c>
      <x:c r="L219" t="str">
        <x:f>IF(Calc!$I$219&gt;'Calc'!$B$8,"",IF('Calc'!$E$13=1,'财富模型'!$E$9,'财富模型'!$M$5+IF(Calc!$I$219&lt;='财富模型'!$E$11*12,'Calc'!$W$13,'Calc'!$Y$13)-(IF('Calc'!$E$13=1,0,MIN(Calc!$K$218*(1+'财富模型'!$E$20/12)+'Calc'!$B$6,IF(Calc!$I$219&lt;='财富模型'!$E$11*12,'Calc'!$W$13,'Calc'!$Y$13))))))</x:f>
      </x:c>
      <x:c r="M219" t="str">
        <x:f>IF(Calc!$I$219&gt;'Calc'!$B$8,"",IF('Calc'!$E$13=1,0,MIN(Calc!$K$218*(1+'财富模型'!$E$20/12)+'Calc'!$B$6,IF(Calc!$I$219&lt;='财富模型'!$E$11*12,'Calc'!$W$13,'Calc'!$Y$13))))</x:f>
      </x:c>
      <x:c r="N219" t="str">
        <x:f>IF(Calc!$I$219&gt;'Calc'!$B$8,"",'Calc'!$B$5-'财富模型'!$E$5-(IF('Calc'!$E$13=1,'财富模型'!$E$9,'财富模型'!$M$5+IF(Calc!$I$219&lt;='财富模型'!$E$11*12,'Calc'!$W$13,'Calc'!$Y$13)-(IF('Calc'!$E$13=1,0,MIN(Calc!$K$218*(1+'财富模型'!$E$20/12)+'Calc'!$B$6,IF(Calc!$I$219&lt;='财富模型'!$E$11*12,'Calc'!$W$13,'Calc'!$Y$13)))))))</x:f>
      </x:c>
      <x:c r="O219" t="str">
        <x:f>IF(Calc!$I$219&gt;'Calc'!$B$8,"",IF('Calc'!$E$13=1,0,MAX(Calc!$O$218*(1+IF(Calc!$I$219&lt;='财富模型'!$E$11*12,'财富模型'!$E$10,'财富模型'!$E$12)/12)-IF('Calc'!$E$13=1,0,IF(Calc!$I$219&lt;='财富模型'!$E$11*12,'Calc'!$W$13,'Calc'!$Y$13)),0)))</x:f>
      </x:c>
      <x:c r="Q219" t="n">
        <x:v>198</x:v>
      </x:c>
      <x:c r="R219" t="str">
        <x:f>IF(Calc!$Q$219&gt;'Calc'!$B$8,"",MAX(Calc!$R$218*(1+'财富模型'!$E$6/12)+('Calc'!$B$5-'财富模型'!$E$5-(IF('Calc'!$E$14=1,'财富模型'!$E$9,'财富模型'!$M$6+IF(Calc!$Q$219&lt;='财富模型'!$E$11*12,'Calc'!$W$14,'Calc'!$Y$14)-(IF('Calc'!$E$14=1,0,MIN(Calc!$S$218*(1+'财富模型'!$E$20/12)+'Calc'!$B$6,IF(Calc!$Q$219&lt;='财富模型'!$E$11*12,'Calc'!$W$14,'Calc'!$Y$14))))))),0))</x:f>
      </x:c>
      <x:c r="S219" t="str">
        <x:f>IF(Calc!$Q$219&gt;'Calc'!$B$8,"",MAX(Calc!$S$218*(1+'财富模型'!$E$20/12)+'Calc'!$B$6-(IF('Calc'!$E$14=1,0,MIN(Calc!$S$218*(1+'财富模型'!$E$20/12)+'Calc'!$B$6,IF(Calc!$Q$219&lt;='财富模型'!$E$11*12,'Calc'!$W$14,'Calc'!$Y$14)))),0))</x:f>
      </x:c>
      <x:c r="T219" t="str">
        <x:f>IF(Calc!$Q$219&gt;'Calc'!$B$8,"",IF('Calc'!$E$14=1,'财富模型'!$E$9,'财富模型'!$M$6+IF(Calc!$Q$219&lt;='财富模型'!$E$11*12,'Calc'!$W$14,'Calc'!$Y$14)-(IF('Calc'!$E$14=1,0,MIN(Calc!$S$218*(1+'财富模型'!$E$20/12)+'Calc'!$B$6,IF(Calc!$Q$219&lt;='财富模型'!$E$11*12,'Calc'!$W$14,'Calc'!$Y$14))))))</x:f>
      </x:c>
      <x:c r="U219" t="str">
        <x:f>IF(Calc!$Q$219&gt;'Calc'!$B$8,"",IF('Calc'!$E$14=1,0,MIN(Calc!$S$218*(1+'财富模型'!$E$20/12)+'Calc'!$B$6,IF(Calc!$Q$219&lt;='财富模型'!$E$11*12,'Calc'!$W$14,'Calc'!$Y$14))))</x:f>
      </x:c>
      <x:c r="V219" t="str">
        <x:f>IF(Calc!$Q$219&gt;'Calc'!$B$8,"",'Calc'!$B$5-'财富模型'!$E$5-(IF('Calc'!$E$14=1,'财富模型'!$E$9,'财富模型'!$M$6+IF(Calc!$Q$219&lt;='财富模型'!$E$11*12,'Calc'!$W$14,'Calc'!$Y$14)-(IF('Calc'!$E$14=1,0,MIN(Calc!$S$218*(1+'财富模型'!$E$20/12)+'Calc'!$B$6,IF(Calc!$Q$219&lt;='财富模型'!$E$11*12,'Calc'!$W$14,'Calc'!$Y$14)))))))</x:f>
      </x:c>
      <x:c r="W219" t="str">
        <x:f>IF(Calc!$Q$219&gt;'Calc'!$B$8,"",IF('Calc'!$E$14=1,0,MAX(Calc!$W$218*(1+IF(Calc!$Q$219&lt;='财富模型'!$E$11*12,'财富模型'!$E$10,'财富模型'!$E$12)/12)-IF('Calc'!$E$14=1,0,IF(Calc!$Q$219&lt;='财富模型'!$E$11*12,'Calc'!$W$14,'Calc'!$Y$14)),0)))</x:f>
      </x:c>
      <x:c r="Y219" t="n">
        <x:v>198</x:v>
      </x:c>
      <x:c r="Z219" t="str">
        <x:f>IF(Calc!$Y$219&gt;'Calc'!$B$8,"",MAX(Calc!$Z$218*(1+'财富模型'!$E$6/12)+('Calc'!$B$5-'财富模型'!$E$5-(IF('Calc'!$E$15=1,'财富模型'!$E$9,'财富模型'!$M$7+IF(Calc!$Y$219&lt;='财富模型'!$E$11*12,'Calc'!$W$15,'Calc'!$Y$15)-(IF('Calc'!$E$15=1,0,MIN(Calc!$AA$218*(1+'财富模型'!$E$20/12)+'Calc'!$B$6,IF(Calc!$Y$219&lt;='财富模型'!$E$11*12,'Calc'!$W$15,'Calc'!$Y$15))))))),0))</x:f>
      </x:c>
      <x:c r="AA219" t="str">
        <x:f>IF(Calc!$Y$219&gt;'Calc'!$B$8,"",MAX(Calc!$AA$218*(1+'财富模型'!$E$20/12)+'Calc'!$B$6-(IF('Calc'!$E$15=1,0,MIN(Calc!$AA$218*(1+'财富模型'!$E$20/12)+'Calc'!$B$6,IF(Calc!$Y$219&lt;='财富模型'!$E$11*12,'Calc'!$W$15,'Calc'!$Y$15)))),0))</x:f>
      </x:c>
      <x:c r="AB219" t="str">
        <x:f>IF(Calc!$Y$219&gt;'Calc'!$B$8,"",IF('Calc'!$E$15=1,'财富模型'!$E$9,'财富模型'!$M$7+IF(Calc!$Y$219&lt;='财富模型'!$E$11*12,'Calc'!$W$15,'Calc'!$Y$15)-(IF('Calc'!$E$15=1,0,MIN(Calc!$AA$218*(1+'财富模型'!$E$20/12)+'Calc'!$B$6,IF(Calc!$Y$219&lt;='财富模型'!$E$11*12,'Calc'!$W$15,'Calc'!$Y$15))))))</x:f>
      </x:c>
      <x:c r="AC219" t="str">
        <x:f>IF(Calc!$Y$219&gt;'Calc'!$B$8,"",IF('Calc'!$E$15=1,0,MIN(Calc!$AA$218*(1+'财富模型'!$E$20/12)+'Calc'!$B$6,IF(Calc!$Y$219&lt;='财富模型'!$E$11*12,'Calc'!$W$15,'Calc'!$Y$15))))</x:f>
      </x:c>
      <x:c r="AD219" t="str">
        <x:f>IF(Calc!$Y$219&gt;'Calc'!$B$8,"",'Calc'!$B$5-'财富模型'!$E$5-(IF('Calc'!$E$15=1,'财富模型'!$E$9,'财富模型'!$M$7+IF(Calc!$Y$219&lt;='财富模型'!$E$11*12,'Calc'!$W$15,'Calc'!$Y$15)-(IF('Calc'!$E$15=1,0,MIN(Calc!$AA$218*(1+'财富模型'!$E$20/12)+'Calc'!$B$6,IF(Calc!$Y$219&lt;='财富模型'!$E$11*12,'Calc'!$W$15,'Calc'!$Y$15)))))))</x:f>
      </x:c>
      <x:c r="AE219" t="str">
        <x:f>IF(Calc!$Y$219&gt;'Calc'!$B$8,"",IF('Calc'!$E$15=1,0,MAX(Calc!$AE$218*(1+IF(Calc!$Y$219&lt;='财富模型'!$E$11*12,'财富模型'!$E$10,'财富模型'!$E$12)/12)-IF('Calc'!$E$15=1,0,IF(Calc!$Y$219&lt;='财富模型'!$E$11*12,'Calc'!$W$15,'Calc'!$Y$15)),0)))</x:f>
      </x:c>
      <x:c r="AG219" t="n">
        <x:v>198</x:v>
      </x:c>
      <x:c r="AH219" t="str">
        <x:f>IF(Calc!$AG$219&gt;'Calc'!$B$8,"",MAX(Calc!$AH$218*(1+'财富模型'!$E$6/12)+('Calc'!$B$5-'财富模型'!$E$5-(IF('Calc'!$E$16=1,'财富模型'!$E$9,'财富模型'!$M$8+IF(Calc!$AG$219&lt;='财富模型'!$E$11*12,'Calc'!$W$16,'Calc'!$Y$16)-(IF('Calc'!$E$16=1,0,MIN(Calc!$AI$218*(1+'财富模型'!$E$20/12)+'Calc'!$B$6,IF(Calc!$AG$219&lt;='财富模型'!$E$11*12,'Calc'!$W$16,'Calc'!$Y$16))))))),0))</x:f>
      </x:c>
      <x:c r="AI219" t="str">
        <x:f>IF(Calc!$AG$219&gt;'Calc'!$B$8,"",MAX(Calc!$AI$218*(1+'财富模型'!$E$20/12)+'Calc'!$B$6-(IF('Calc'!$E$16=1,0,MIN(Calc!$AI$218*(1+'财富模型'!$E$20/12)+'Calc'!$B$6,IF(Calc!$AG$219&lt;='财富模型'!$E$11*12,'Calc'!$W$16,'Calc'!$Y$16)))),0))</x:f>
      </x:c>
      <x:c r="AJ219" t="str">
        <x:f>IF(Calc!$AG$219&gt;'Calc'!$B$8,"",IF('Calc'!$E$16=1,'财富模型'!$E$9,'财富模型'!$M$8+IF(Calc!$AG$219&lt;='财富模型'!$E$11*12,'Calc'!$W$16,'Calc'!$Y$16)-(IF('Calc'!$E$16=1,0,MIN(Calc!$AI$218*(1+'财富模型'!$E$20/12)+'Calc'!$B$6,IF(Calc!$AG$219&lt;='财富模型'!$E$11*12,'Calc'!$W$16,'Calc'!$Y$16))))))</x:f>
      </x:c>
      <x:c r="AK219" t="str">
        <x:f>IF(Calc!$AG$219&gt;'Calc'!$B$8,"",IF('Calc'!$E$16=1,0,MIN(Calc!$AI$218*(1+'财富模型'!$E$20/12)+'Calc'!$B$6,IF(Calc!$AG$219&lt;='财富模型'!$E$11*12,'Calc'!$W$16,'Calc'!$Y$16))))</x:f>
      </x:c>
      <x:c r="AL219" t="str">
        <x:f>IF(Calc!$AG$219&gt;'Calc'!$B$8,"",'Calc'!$B$5-'财富模型'!$E$5-(IF('Calc'!$E$16=1,'财富模型'!$E$9,'财富模型'!$M$8+IF(Calc!$AG$219&lt;='财富模型'!$E$11*12,'Calc'!$W$16,'Calc'!$Y$16)-(IF('Calc'!$E$16=1,0,MIN(Calc!$AI$218*(1+'财富模型'!$E$20/12)+'Calc'!$B$6,IF(Calc!$AG$219&lt;='财富模型'!$E$11*12,'Calc'!$W$16,'Calc'!$Y$16)))))))</x:f>
      </x:c>
      <x:c r="AM219" t="str">
        <x:f>IF(Calc!$AG$219&gt;'Calc'!$B$8,"",IF('Calc'!$E$16=1,0,MAX(Calc!$AM$218*(1+IF(Calc!$AG$219&lt;='财富模型'!$E$11*12,'财富模型'!$E$10,'财富模型'!$E$12)/12)-IF('Calc'!$E$16=1,0,IF(Calc!$AG$219&lt;='财富模型'!$E$11*12,'Calc'!$W$16,'Calc'!$Y$16)),0)))</x:f>
      </x:c>
      <x:c r="AO219" t="n">
        <x:v>198</x:v>
      </x:c>
      <x:c r="AP219" t="str">
        <x:f>IF(Calc!$AO$219&gt;'Calc'!$B$8,"",MAX(Calc!$AP$218*(1+'财富模型'!$E$6/12)+('Calc'!$B$5-'财富模型'!$E$5-(IF('Calc'!$E$17=1,'财富模型'!$E$9,'财富模型'!$M$9+IF(Calc!$AO$219&lt;='财富模型'!$E$11*12,'Calc'!$W$17,'Calc'!$Y$17)-(IF('Calc'!$E$17=1,0,MIN(Calc!$AQ$218*(1+'财富模型'!$E$20/12)+'Calc'!$B$6,IF(Calc!$AO$219&lt;='财富模型'!$E$11*12,'Calc'!$W$17,'Calc'!$Y$17))))))),0))</x:f>
      </x:c>
      <x:c r="AQ219" t="str">
        <x:f>IF(Calc!$AO$219&gt;'Calc'!$B$8,"",MAX(Calc!$AQ$218*(1+'财富模型'!$E$20/12)+'Calc'!$B$6-(IF('Calc'!$E$17=1,0,MIN(Calc!$AQ$218*(1+'财富模型'!$E$20/12)+'Calc'!$B$6,IF(Calc!$AO$219&lt;='财富模型'!$E$11*12,'Calc'!$W$17,'Calc'!$Y$17)))),0))</x:f>
      </x:c>
      <x:c r="AR219" t="str">
        <x:f>IF(Calc!$AO$219&gt;'Calc'!$B$8,"",IF('Calc'!$E$17=1,'财富模型'!$E$9,'财富模型'!$M$9+IF(Calc!$AO$219&lt;='财富模型'!$E$11*12,'Calc'!$W$17,'Calc'!$Y$17)-(IF('Calc'!$E$17=1,0,MIN(Calc!$AQ$218*(1+'财富模型'!$E$20/12)+'Calc'!$B$6,IF(Calc!$AO$219&lt;='财富模型'!$E$11*12,'Calc'!$W$17,'Calc'!$Y$17))))))</x:f>
      </x:c>
      <x:c r="AS219" t="str">
        <x:f>IF(Calc!$AO$219&gt;'Calc'!$B$8,"",IF('Calc'!$E$17=1,0,MIN(Calc!$AQ$218*(1+'财富模型'!$E$20/12)+'Calc'!$B$6,IF(Calc!$AO$219&lt;='财富模型'!$E$11*12,'Calc'!$W$17,'Calc'!$Y$17))))</x:f>
      </x:c>
      <x:c r="AT219" t="str">
        <x:f>IF(Calc!$AO$219&gt;'Calc'!$B$8,"",'Calc'!$B$5-'财富模型'!$E$5-(IF('Calc'!$E$17=1,'财富模型'!$E$9,'财富模型'!$M$9+IF(Calc!$AO$219&lt;='财富模型'!$E$11*12,'Calc'!$W$17,'Calc'!$Y$17)-(IF('Calc'!$E$17=1,0,MIN(Calc!$AQ$218*(1+'财富模型'!$E$20/12)+'Calc'!$B$6,IF(Calc!$AO$219&lt;='财富模型'!$E$11*12,'Calc'!$W$17,'Calc'!$Y$17)))))))</x:f>
      </x:c>
      <x:c r="AU219" t="str">
        <x:f>IF(Calc!$AO$219&gt;'Calc'!$B$8,"",IF('Calc'!$E$17=1,0,MAX(Calc!$AU$218*(1+IF(Calc!$AO$219&lt;='财富模型'!$E$11*12,'财富模型'!$E$10,'财富模型'!$E$12)/12)-IF('Calc'!$E$17=1,0,IF(Calc!$AO$219&lt;='财富模型'!$E$11*12,'Calc'!$W$17,'Calc'!$Y$17)),0)))</x:f>
      </x:c>
    </x:row>
    <x:row r="220">
      <x:c r="A220" t="n">
        <x:v>199</x:v>
      </x:c>
      <x:c r="B220" t="str">
        <x:f>IF(Calc!$A$220&gt;'Calc'!$B$8,"",MAX(Calc!$B$219*(1+'财富模型'!$E$6/12)+('Calc'!$B$5-'财富模型'!$E$5-(IF('Calc'!$E$12=1,'财富模型'!$E$9,'财富模型'!$M$4+IF(Calc!$A$220&lt;='财富模型'!$E$11*12,'Calc'!$W$12,'Calc'!$Y$12)-(IF('Calc'!$E$12=1,0,MIN(Calc!$C$219*(1+'财富模型'!$E$20/12)+'Calc'!$B$6,IF(Calc!$A$220&lt;='财富模型'!$E$11*12,'Calc'!$W$12,'Calc'!$Y$12))))))),0))</x:f>
      </x:c>
      <x:c r="C220" t="str">
        <x:f>IF(Calc!$A$220&gt;'Calc'!$B$8,"",MAX(Calc!$C$219*(1+'财富模型'!$E$20/12)+'Calc'!$B$6-(IF('Calc'!$E$12=1,0,MIN(Calc!$C$219*(1+'财富模型'!$E$20/12)+'Calc'!$B$6,IF(Calc!$A$220&lt;='财富模型'!$E$11*12,'Calc'!$W$12,'Calc'!$Y$12)))),0))</x:f>
      </x:c>
      <x:c r="D220" t="str">
        <x:f>IF(Calc!$A$220&gt;'Calc'!$B$8,"",IF('Calc'!$E$12=1,'财富模型'!$E$9,'财富模型'!$M$4+IF(Calc!$A$220&lt;='财富模型'!$E$11*12,'Calc'!$W$12,'Calc'!$Y$12)-(IF('Calc'!$E$12=1,0,MIN(Calc!$C$219*(1+'财富模型'!$E$20/12)+'Calc'!$B$6,IF(Calc!$A$220&lt;='财富模型'!$E$11*12,'Calc'!$W$12,'Calc'!$Y$12))))))</x:f>
      </x:c>
      <x:c r="E220" t="str">
        <x:f>IF(Calc!$A$220&gt;'Calc'!$B$8,"",IF('Calc'!$E$12=1,0,MIN(Calc!$C$219*(1+'财富模型'!$E$20/12)+'Calc'!$B$6,IF(Calc!$A$220&lt;='财富模型'!$E$11*12,'Calc'!$W$12,'Calc'!$Y$12))))</x:f>
      </x:c>
      <x:c r="F220" t="str">
        <x:f>IF(Calc!$A$220&gt;'Calc'!$B$8,"",'Calc'!$B$5-'财富模型'!$E$5-(IF('Calc'!$E$12=1,'财富模型'!$E$9,'财富模型'!$M$4+IF(Calc!$A$220&lt;='财富模型'!$E$11*12,'Calc'!$W$12,'Calc'!$Y$12)-(IF('Calc'!$E$12=1,0,MIN(Calc!$C$219*(1+'财富模型'!$E$20/12)+'Calc'!$B$6,IF(Calc!$A$220&lt;='财富模型'!$E$11*12,'Calc'!$W$12,'Calc'!$Y$12)))))))</x:f>
      </x:c>
      <x:c r="G220" t="str">
        <x:f>IF(Calc!$A$220&gt;'Calc'!$B$8,"",IF('Calc'!$E$12=1,0,MAX(Calc!$G$219*(1+IF(Calc!$A$220&lt;='财富模型'!$E$11*12,'财富模型'!$E$10,'财富模型'!$E$12)/12)-IF('Calc'!$E$12=1,0,IF(Calc!$A$220&lt;='财富模型'!$E$11*12,'Calc'!$W$12,'Calc'!$Y$12)),0)))</x:f>
      </x:c>
      <x:c r="I220" t="n">
        <x:v>199</x:v>
      </x:c>
      <x:c r="J220" t="str">
        <x:f>IF(Calc!$I$220&gt;'Calc'!$B$8,"",MAX(Calc!$J$219*(1+'财富模型'!$E$6/12)+('Calc'!$B$5-'财富模型'!$E$5-(IF('Calc'!$E$13=1,'财富模型'!$E$9,'财富模型'!$M$5+IF(Calc!$I$220&lt;='财富模型'!$E$11*12,'Calc'!$W$13,'Calc'!$Y$13)-(IF('Calc'!$E$13=1,0,MIN(Calc!$K$219*(1+'财富模型'!$E$20/12)+'Calc'!$B$6,IF(Calc!$I$220&lt;='财富模型'!$E$11*12,'Calc'!$W$13,'Calc'!$Y$13))))))),0))</x:f>
      </x:c>
      <x:c r="K220" t="str">
        <x:f>IF(Calc!$I$220&gt;'Calc'!$B$8,"",MAX(Calc!$K$219*(1+'财富模型'!$E$20/12)+'Calc'!$B$6-(IF('Calc'!$E$13=1,0,MIN(Calc!$K$219*(1+'财富模型'!$E$20/12)+'Calc'!$B$6,IF(Calc!$I$220&lt;='财富模型'!$E$11*12,'Calc'!$W$13,'Calc'!$Y$13)))),0))</x:f>
      </x:c>
      <x:c r="L220" t="str">
        <x:f>IF(Calc!$I$220&gt;'Calc'!$B$8,"",IF('Calc'!$E$13=1,'财富模型'!$E$9,'财富模型'!$M$5+IF(Calc!$I$220&lt;='财富模型'!$E$11*12,'Calc'!$W$13,'Calc'!$Y$13)-(IF('Calc'!$E$13=1,0,MIN(Calc!$K$219*(1+'财富模型'!$E$20/12)+'Calc'!$B$6,IF(Calc!$I$220&lt;='财富模型'!$E$11*12,'Calc'!$W$13,'Calc'!$Y$13))))))</x:f>
      </x:c>
      <x:c r="M220" t="str">
        <x:f>IF(Calc!$I$220&gt;'Calc'!$B$8,"",IF('Calc'!$E$13=1,0,MIN(Calc!$K$219*(1+'财富模型'!$E$20/12)+'Calc'!$B$6,IF(Calc!$I$220&lt;='财富模型'!$E$11*12,'Calc'!$W$13,'Calc'!$Y$13))))</x:f>
      </x:c>
      <x:c r="N220" t="str">
        <x:f>IF(Calc!$I$220&gt;'Calc'!$B$8,"",'Calc'!$B$5-'财富模型'!$E$5-(IF('Calc'!$E$13=1,'财富模型'!$E$9,'财富模型'!$M$5+IF(Calc!$I$220&lt;='财富模型'!$E$11*12,'Calc'!$W$13,'Calc'!$Y$13)-(IF('Calc'!$E$13=1,0,MIN(Calc!$K$219*(1+'财富模型'!$E$20/12)+'Calc'!$B$6,IF(Calc!$I$220&lt;='财富模型'!$E$11*12,'Calc'!$W$13,'Calc'!$Y$13)))))))</x:f>
      </x:c>
      <x:c r="O220" t="str">
        <x:f>IF(Calc!$I$220&gt;'Calc'!$B$8,"",IF('Calc'!$E$13=1,0,MAX(Calc!$O$219*(1+IF(Calc!$I$220&lt;='财富模型'!$E$11*12,'财富模型'!$E$10,'财富模型'!$E$12)/12)-IF('Calc'!$E$13=1,0,IF(Calc!$I$220&lt;='财富模型'!$E$11*12,'Calc'!$W$13,'Calc'!$Y$13)),0)))</x:f>
      </x:c>
      <x:c r="Q220" t="n">
        <x:v>199</x:v>
      </x:c>
      <x:c r="R220" t="str">
        <x:f>IF(Calc!$Q$220&gt;'Calc'!$B$8,"",MAX(Calc!$R$219*(1+'财富模型'!$E$6/12)+('Calc'!$B$5-'财富模型'!$E$5-(IF('Calc'!$E$14=1,'财富模型'!$E$9,'财富模型'!$M$6+IF(Calc!$Q$220&lt;='财富模型'!$E$11*12,'Calc'!$W$14,'Calc'!$Y$14)-(IF('Calc'!$E$14=1,0,MIN(Calc!$S$219*(1+'财富模型'!$E$20/12)+'Calc'!$B$6,IF(Calc!$Q$220&lt;='财富模型'!$E$11*12,'Calc'!$W$14,'Calc'!$Y$14))))))),0))</x:f>
      </x:c>
      <x:c r="S220" t="str">
        <x:f>IF(Calc!$Q$220&gt;'Calc'!$B$8,"",MAX(Calc!$S$219*(1+'财富模型'!$E$20/12)+'Calc'!$B$6-(IF('Calc'!$E$14=1,0,MIN(Calc!$S$219*(1+'财富模型'!$E$20/12)+'Calc'!$B$6,IF(Calc!$Q$220&lt;='财富模型'!$E$11*12,'Calc'!$W$14,'Calc'!$Y$14)))),0))</x:f>
      </x:c>
      <x:c r="T220" t="str">
        <x:f>IF(Calc!$Q$220&gt;'Calc'!$B$8,"",IF('Calc'!$E$14=1,'财富模型'!$E$9,'财富模型'!$M$6+IF(Calc!$Q$220&lt;='财富模型'!$E$11*12,'Calc'!$W$14,'Calc'!$Y$14)-(IF('Calc'!$E$14=1,0,MIN(Calc!$S$219*(1+'财富模型'!$E$20/12)+'Calc'!$B$6,IF(Calc!$Q$220&lt;='财富模型'!$E$11*12,'Calc'!$W$14,'Calc'!$Y$14))))))</x:f>
      </x:c>
      <x:c r="U220" t="str">
        <x:f>IF(Calc!$Q$220&gt;'Calc'!$B$8,"",IF('Calc'!$E$14=1,0,MIN(Calc!$S$219*(1+'财富模型'!$E$20/12)+'Calc'!$B$6,IF(Calc!$Q$220&lt;='财富模型'!$E$11*12,'Calc'!$W$14,'Calc'!$Y$14))))</x:f>
      </x:c>
      <x:c r="V220" t="str">
        <x:f>IF(Calc!$Q$220&gt;'Calc'!$B$8,"",'Calc'!$B$5-'财富模型'!$E$5-(IF('Calc'!$E$14=1,'财富模型'!$E$9,'财富模型'!$M$6+IF(Calc!$Q$220&lt;='财富模型'!$E$11*12,'Calc'!$W$14,'Calc'!$Y$14)-(IF('Calc'!$E$14=1,0,MIN(Calc!$S$219*(1+'财富模型'!$E$20/12)+'Calc'!$B$6,IF(Calc!$Q$220&lt;='财富模型'!$E$11*12,'Calc'!$W$14,'Calc'!$Y$14)))))))</x:f>
      </x:c>
      <x:c r="W220" t="str">
        <x:f>IF(Calc!$Q$220&gt;'Calc'!$B$8,"",IF('Calc'!$E$14=1,0,MAX(Calc!$W$219*(1+IF(Calc!$Q$220&lt;='财富模型'!$E$11*12,'财富模型'!$E$10,'财富模型'!$E$12)/12)-IF('Calc'!$E$14=1,0,IF(Calc!$Q$220&lt;='财富模型'!$E$11*12,'Calc'!$W$14,'Calc'!$Y$14)),0)))</x:f>
      </x:c>
      <x:c r="Y220" t="n">
        <x:v>199</x:v>
      </x:c>
      <x:c r="Z220" t="str">
        <x:f>IF(Calc!$Y$220&gt;'Calc'!$B$8,"",MAX(Calc!$Z$219*(1+'财富模型'!$E$6/12)+('Calc'!$B$5-'财富模型'!$E$5-(IF('Calc'!$E$15=1,'财富模型'!$E$9,'财富模型'!$M$7+IF(Calc!$Y$220&lt;='财富模型'!$E$11*12,'Calc'!$W$15,'Calc'!$Y$15)-(IF('Calc'!$E$15=1,0,MIN(Calc!$AA$219*(1+'财富模型'!$E$20/12)+'Calc'!$B$6,IF(Calc!$Y$220&lt;='财富模型'!$E$11*12,'Calc'!$W$15,'Calc'!$Y$15))))))),0))</x:f>
      </x:c>
      <x:c r="AA220" t="str">
        <x:f>IF(Calc!$Y$220&gt;'Calc'!$B$8,"",MAX(Calc!$AA$219*(1+'财富模型'!$E$20/12)+'Calc'!$B$6-(IF('Calc'!$E$15=1,0,MIN(Calc!$AA$219*(1+'财富模型'!$E$20/12)+'Calc'!$B$6,IF(Calc!$Y$220&lt;='财富模型'!$E$11*12,'Calc'!$W$15,'Calc'!$Y$15)))),0))</x:f>
      </x:c>
      <x:c r="AB220" t="str">
        <x:f>IF(Calc!$Y$220&gt;'Calc'!$B$8,"",IF('Calc'!$E$15=1,'财富模型'!$E$9,'财富模型'!$M$7+IF(Calc!$Y$220&lt;='财富模型'!$E$11*12,'Calc'!$W$15,'Calc'!$Y$15)-(IF('Calc'!$E$15=1,0,MIN(Calc!$AA$219*(1+'财富模型'!$E$20/12)+'Calc'!$B$6,IF(Calc!$Y$220&lt;='财富模型'!$E$11*12,'Calc'!$W$15,'Calc'!$Y$15))))))</x:f>
      </x:c>
      <x:c r="AC220" t="str">
        <x:f>IF(Calc!$Y$220&gt;'Calc'!$B$8,"",IF('Calc'!$E$15=1,0,MIN(Calc!$AA$219*(1+'财富模型'!$E$20/12)+'Calc'!$B$6,IF(Calc!$Y$220&lt;='财富模型'!$E$11*12,'Calc'!$W$15,'Calc'!$Y$15))))</x:f>
      </x:c>
      <x:c r="AD220" t="str">
        <x:f>IF(Calc!$Y$220&gt;'Calc'!$B$8,"",'Calc'!$B$5-'财富模型'!$E$5-(IF('Calc'!$E$15=1,'财富模型'!$E$9,'财富模型'!$M$7+IF(Calc!$Y$220&lt;='财富模型'!$E$11*12,'Calc'!$W$15,'Calc'!$Y$15)-(IF('Calc'!$E$15=1,0,MIN(Calc!$AA$219*(1+'财富模型'!$E$20/12)+'Calc'!$B$6,IF(Calc!$Y$220&lt;='财富模型'!$E$11*12,'Calc'!$W$15,'Calc'!$Y$15)))))))</x:f>
      </x:c>
      <x:c r="AE220" t="str">
        <x:f>IF(Calc!$Y$220&gt;'Calc'!$B$8,"",IF('Calc'!$E$15=1,0,MAX(Calc!$AE$219*(1+IF(Calc!$Y$220&lt;='财富模型'!$E$11*12,'财富模型'!$E$10,'财富模型'!$E$12)/12)-IF('Calc'!$E$15=1,0,IF(Calc!$Y$220&lt;='财富模型'!$E$11*12,'Calc'!$W$15,'Calc'!$Y$15)),0)))</x:f>
      </x:c>
      <x:c r="AG220" t="n">
        <x:v>199</x:v>
      </x:c>
      <x:c r="AH220" t="str">
        <x:f>IF(Calc!$AG$220&gt;'Calc'!$B$8,"",MAX(Calc!$AH$219*(1+'财富模型'!$E$6/12)+('Calc'!$B$5-'财富模型'!$E$5-(IF('Calc'!$E$16=1,'财富模型'!$E$9,'财富模型'!$M$8+IF(Calc!$AG$220&lt;='财富模型'!$E$11*12,'Calc'!$W$16,'Calc'!$Y$16)-(IF('Calc'!$E$16=1,0,MIN(Calc!$AI$219*(1+'财富模型'!$E$20/12)+'Calc'!$B$6,IF(Calc!$AG$220&lt;='财富模型'!$E$11*12,'Calc'!$W$16,'Calc'!$Y$16))))))),0))</x:f>
      </x:c>
      <x:c r="AI220" t="str">
        <x:f>IF(Calc!$AG$220&gt;'Calc'!$B$8,"",MAX(Calc!$AI$219*(1+'财富模型'!$E$20/12)+'Calc'!$B$6-(IF('Calc'!$E$16=1,0,MIN(Calc!$AI$219*(1+'财富模型'!$E$20/12)+'Calc'!$B$6,IF(Calc!$AG$220&lt;='财富模型'!$E$11*12,'Calc'!$W$16,'Calc'!$Y$16)))),0))</x:f>
      </x:c>
      <x:c r="AJ220" t="str">
        <x:f>IF(Calc!$AG$220&gt;'Calc'!$B$8,"",IF('Calc'!$E$16=1,'财富模型'!$E$9,'财富模型'!$M$8+IF(Calc!$AG$220&lt;='财富模型'!$E$11*12,'Calc'!$W$16,'Calc'!$Y$16)-(IF('Calc'!$E$16=1,0,MIN(Calc!$AI$219*(1+'财富模型'!$E$20/12)+'Calc'!$B$6,IF(Calc!$AG$220&lt;='财富模型'!$E$11*12,'Calc'!$W$16,'Calc'!$Y$16))))))</x:f>
      </x:c>
      <x:c r="AK220" t="str">
        <x:f>IF(Calc!$AG$220&gt;'Calc'!$B$8,"",IF('Calc'!$E$16=1,0,MIN(Calc!$AI$219*(1+'财富模型'!$E$20/12)+'Calc'!$B$6,IF(Calc!$AG$220&lt;='财富模型'!$E$11*12,'Calc'!$W$16,'Calc'!$Y$16))))</x:f>
      </x:c>
      <x:c r="AL220" t="str">
        <x:f>IF(Calc!$AG$220&gt;'Calc'!$B$8,"",'Calc'!$B$5-'财富模型'!$E$5-(IF('Calc'!$E$16=1,'财富模型'!$E$9,'财富模型'!$M$8+IF(Calc!$AG$220&lt;='财富模型'!$E$11*12,'Calc'!$W$16,'Calc'!$Y$16)-(IF('Calc'!$E$16=1,0,MIN(Calc!$AI$219*(1+'财富模型'!$E$20/12)+'Calc'!$B$6,IF(Calc!$AG$220&lt;='财富模型'!$E$11*12,'Calc'!$W$16,'Calc'!$Y$16)))))))</x:f>
      </x:c>
      <x:c r="AM220" t="str">
        <x:f>IF(Calc!$AG$220&gt;'Calc'!$B$8,"",IF('Calc'!$E$16=1,0,MAX(Calc!$AM$219*(1+IF(Calc!$AG$220&lt;='财富模型'!$E$11*12,'财富模型'!$E$10,'财富模型'!$E$12)/12)-IF('Calc'!$E$16=1,0,IF(Calc!$AG$220&lt;='财富模型'!$E$11*12,'Calc'!$W$16,'Calc'!$Y$16)),0)))</x:f>
      </x:c>
      <x:c r="AO220" t="n">
        <x:v>199</x:v>
      </x:c>
      <x:c r="AP220" t="str">
        <x:f>IF(Calc!$AO$220&gt;'Calc'!$B$8,"",MAX(Calc!$AP$219*(1+'财富模型'!$E$6/12)+('Calc'!$B$5-'财富模型'!$E$5-(IF('Calc'!$E$17=1,'财富模型'!$E$9,'财富模型'!$M$9+IF(Calc!$AO$220&lt;='财富模型'!$E$11*12,'Calc'!$W$17,'Calc'!$Y$17)-(IF('Calc'!$E$17=1,0,MIN(Calc!$AQ$219*(1+'财富模型'!$E$20/12)+'Calc'!$B$6,IF(Calc!$AO$220&lt;='财富模型'!$E$11*12,'Calc'!$W$17,'Calc'!$Y$17))))))),0))</x:f>
      </x:c>
      <x:c r="AQ220" t="str">
        <x:f>IF(Calc!$AO$220&gt;'Calc'!$B$8,"",MAX(Calc!$AQ$219*(1+'财富模型'!$E$20/12)+'Calc'!$B$6-(IF('Calc'!$E$17=1,0,MIN(Calc!$AQ$219*(1+'财富模型'!$E$20/12)+'Calc'!$B$6,IF(Calc!$AO$220&lt;='财富模型'!$E$11*12,'Calc'!$W$17,'Calc'!$Y$17)))),0))</x:f>
      </x:c>
      <x:c r="AR220" t="str">
        <x:f>IF(Calc!$AO$220&gt;'Calc'!$B$8,"",IF('Calc'!$E$17=1,'财富模型'!$E$9,'财富模型'!$M$9+IF(Calc!$AO$220&lt;='财富模型'!$E$11*12,'Calc'!$W$17,'Calc'!$Y$17)-(IF('Calc'!$E$17=1,0,MIN(Calc!$AQ$219*(1+'财富模型'!$E$20/12)+'Calc'!$B$6,IF(Calc!$AO$220&lt;='财富模型'!$E$11*12,'Calc'!$W$17,'Calc'!$Y$17))))))</x:f>
      </x:c>
      <x:c r="AS220" t="str">
        <x:f>IF(Calc!$AO$220&gt;'Calc'!$B$8,"",IF('Calc'!$E$17=1,0,MIN(Calc!$AQ$219*(1+'财富模型'!$E$20/12)+'Calc'!$B$6,IF(Calc!$AO$220&lt;='财富模型'!$E$11*12,'Calc'!$W$17,'Calc'!$Y$17))))</x:f>
      </x:c>
      <x:c r="AT220" t="str">
        <x:f>IF(Calc!$AO$220&gt;'Calc'!$B$8,"",'Calc'!$B$5-'财富模型'!$E$5-(IF('Calc'!$E$17=1,'财富模型'!$E$9,'财富模型'!$M$9+IF(Calc!$AO$220&lt;='财富模型'!$E$11*12,'Calc'!$W$17,'Calc'!$Y$17)-(IF('Calc'!$E$17=1,0,MIN(Calc!$AQ$219*(1+'财富模型'!$E$20/12)+'Calc'!$B$6,IF(Calc!$AO$220&lt;='财富模型'!$E$11*12,'Calc'!$W$17,'Calc'!$Y$17)))))))</x:f>
      </x:c>
      <x:c r="AU220" t="str">
        <x:f>IF(Calc!$AO$220&gt;'Calc'!$B$8,"",IF('Calc'!$E$17=1,0,MAX(Calc!$AU$219*(1+IF(Calc!$AO$220&lt;='财富模型'!$E$11*12,'财富模型'!$E$10,'财富模型'!$E$12)/12)-IF('Calc'!$E$17=1,0,IF(Calc!$AO$220&lt;='财富模型'!$E$11*12,'Calc'!$W$17,'Calc'!$Y$17)),0)))</x:f>
      </x:c>
    </x:row>
    <x:row r="221">
      <x:c r="A221" t="n">
        <x:v>200</x:v>
      </x:c>
      <x:c r="B221" t="str">
        <x:f>IF(Calc!$A$221&gt;'Calc'!$B$8,"",MAX(Calc!$B$220*(1+'财富模型'!$E$6/12)+('Calc'!$B$5-'财富模型'!$E$5-(IF('Calc'!$E$12=1,'财富模型'!$E$9,'财富模型'!$M$4+IF(Calc!$A$221&lt;='财富模型'!$E$11*12,'Calc'!$W$12,'Calc'!$Y$12)-(IF('Calc'!$E$12=1,0,MIN(Calc!$C$220*(1+'财富模型'!$E$20/12)+'Calc'!$B$6,IF(Calc!$A$221&lt;='财富模型'!$E$11*12,'Calc'!$W$12,'Calc'!$Y$12))))))),0))</x:f>
      </x:c>
      <x:c r="C221" t="str">
        <x:f>IF(Calc!$A$221&gt;'Calc'!$B$8,"",MAX(Calc!$C$220*(1+'财富模型'!$E$20/12)+'Calc'!$B$6-(IF('Calc'!$E$12=1,0,MIN(Calc!$C$220*(1+'财富模型'!$E$20/12)+'Calc'!$B$6,IF(Calc!$A$221&lt;='财富模型'!$E$11*12,'Calc'!$W$12,'Calc'!$Y$12)))),0))</x:f>
      </x:c>
      <x:c r="D221" t="str">
        <x:f>IF(Calc!$A$221&gt;'Calc'!$B$8,"",IF('Calc'!$E$12=1,'财富模型'!$E$9,'财富模型'!$M$4+IF(Calc!$A$221&lt;='财富模型'!$E$11*12,'Calc'!$W$12,'Calc'!$Y$12)-(IF('Calc'!$E$12=1,0,MIN(Calc!$C$220*(1+'财富模型'!$E$20/12)+'Calc'!$B$6,IF(Calc!$A$221&lt;='财富模型'!$E$11*12,'Calc'!$W$12,'Calc'!$Y$12))))))</x:f>
      </x:c>
      <x:c r="E221" t="str">
        <x:f>IF(Calc!$A$221&gt;'Calc'!$B$8,"",IF('Calc'!$E$12=1,0,MIN(Calc!$C$220*(1+'财富模型'!$E$20/12)+'Calc'!$B$6,IF(Calc!$A$221&lt;='财富模型'!$E$11*12,'Calc'!$W$12,'Calc'!$Y$12))))</x:f>
      </x:c>
      <x:c r="F221" t="str">
        <x:f>IF(Calc!$A$221&gt;'Calc'!$B$8,"",'Calc'!$B$5-'财富模型'!$E$5-(IF('Calc'!$E$12=1,'财富模型'!$E$9,'财富模型'!$M$4+IF(Calc!$A$221&lt;='财富模型'!$E$11*12,'Calc'!$W$12,'Calc'!$Y$12)-(IF('Calc'!$E$12=1,0,MIN(Calc!$C$220*(1+'财富模型'!$E$20/12)+'Calc'!$B$6,IF(Calc!$A$221&lt;='财富模型'!$E$11*12,'Calc'!$W$12,'Calc'!$Y$12)))))))</x:f>
      </x:c>
      <x:c r="G221" t="str">
        <x:f>IF(Calc!$A$221&gt;'Calc'!$B$8,"",IF('Calc'!$E$12=1,0,MAX(Calc!$G$220*(1+IF(Calc!$A$221&lt;='财富模型'!$E$11*12,'财富模型'!$E$10,'财富模型'!$E$12)/12)-IF('Calc'!$E$12=1,0,IF(Calc!$A$221&lt;='财富模型'!$E$11*12,'Calc'!$W$12,'Calc'!$Y$12)),0)))</x:f>
      </x:c>
      <x:c r="I221" t="n">
        <x:v>200</x:v>
      </x:c>
      <x:c r="J221" t="str">
        <x:f>IF(Calc!$I$221&gt;'Calc'!$B$8,"",MAX(Calc!$J$220*(1+'财富模型'!$E$6/12)+('Calc'!$B$5-'财富模型'!$E$5-(IF('Calc'!$E$13=1,'财富模型'!$E$9,'财富模型'!$M$5+IF(Calc!$I$221&lt;='财富模型'!$E$11*12,'Calc'!$W$13,'Calc'!$Y$13)-(IF('Calc'!$E$13=1,0,MIN(Calc!$K$220*(1+'财富模型'!$E$20/12)+'Calc'!$B$6,IF(Calc!$I$221&lt;='财富模型'!$E$11*12,'Calc'!$W$13,'Calc'!$Y$13))))))),0))</x:f>
      </x:c>
      <x:c r="K221" t="str">
        <x:f>IF(Calc!$I$221&gt;'Calc'!$B$8,"",MAX(Calc!$K$220*(1+'财富模型'!$E$20/12)+'Calc'!$B$6-(IF('Calc'!$E$13=1,0,MIN(Calc!$K$220*(1+'财富模型'!$E$20/12)+'Calc'!$B$6,IF(Calc!$I$221&lt;='财富模型'!$E$11*12,'Calc'!$W$13,'Calc'!$Y$13)))),0))</x:f>
      </x:c>
      <x:c r="L221" t="str">
        <x:f>IF(Calc!$I$221&gt;'Calc'!$B$8,"",IF('Calc'!$E$13=1,'财富模型'!$E$9,'财富模型'!$M$5+IF(Calc!$I$221&lt;='财富模型'!$E$11*12,'Calc'!$W$13,'Calc'!$Y$13)-(IF('Calc'!$E$13=1,0,MIN(Calc!$K$220*(1+'财富模型'!$E$20/12)+'Calc'!$B$6,IF(Calc!$I$221&lt;='财富模型'!$E$11*12,'Calc'!$W$13,'Calc'!$Y$13))))))</x:f>
      </x:c>
      <x:c r="M221" t="str">
        <x:f>IF(Calc!$I$221&gt;'Calc'!$B$8,"",IF('Calc'!$E$13=1,0,MIN(Calc!$K$220*(1+'财富模型'!$E$20/12)+'Calc'!$B$6,IF(Calc!$I$221&lt;='财富模型'!$E$11*12,'Calc'!$W$13,'Calc'!$Y$13))))</x:f>
      </x:c>
      <x:c r="N221" t="str">
        <x:f>IF(Calc!$I$221&gt;'Calc'!$B$8,"",'Calc'!$B$5-'财富模型'!$E$5-(IF('Calc'!$E$13=1,'财富模型'!$E$9,'财富模型'!$M$5+IF(Calc!$I$221&lt;='财富模型'!$E$11*12,'Calc'!$W$13,'Calc'!$Y$13)-(IF('Calc'!$E$13=1,0,MIN(Calc!$K$220*(1+'财富模型'!$E$20/12)+'Calc'!$B$6,IF(Calc!$I$221&lt;='财富模型'!$E$11*12,'Calc'!$W$13,'Calc'!$Y$13)))))))</x:f>
      </x:c>
      <x:c r="O221" t="str">
        <x:f>IF(Calc!$I$221&gt;'Calc'!$B$8,"",IF('Calc'!$E$13=1,0,MAX(Calc!$O$220*(1+IF(Calc!$I$221&lt;='财富模型'!$E$11*12,'财富模型'!$E$10,'财富模型'!$E$12)/12)-IF('Calc'!$E$13=1,0,IF(Calc!$I$221&lt;='财富模型'!$E$11*12,'Calc'!$W$13,'Calc'!$Y$13)),0)))</x:f>
      </x:c>
      <x:c r="Q221" t="n">
        <x:v>200</x:v>
      </x:c>
      <x:c r="R221" t="str">
        <x:f>IF(Calc!$Q$221&gt;'Calc'!$B$8,"",MAX(Calc!$R$220*(1+'财富模型'!$E$6/12)+('Calc'!$B$5-'财富模型'!$E$5-(IF('Calc'!$E$14=1,'财富模型'!$E$9,'财富模型'!$M$6+IF(Calc!$Q$221&lt;='财富模型'!$E$11*12,'Calc'!$W$14,'Calc'!$Y$14)-(IF('Calc'!$E$14=1,0,MIN(Calc!$S$220*(1+'财富模型'!$E$20/12)+'Calc'!$B$6,IF(Calc!$Q$221&lt;='财富模型'!$E$11*12,'Calc'!$W$14,'Calc'!$Y$14))))))),0))</x:f>
      </x:c>
      <x:c r="S221" t="str">
        <x:f>IF(Calc!$Q$221&gt;'Calc'!$B$8,"",MAX(Calc!$S$220*(1+'财富模型'!$E$20/12)+'Calc'!$B$6-(IF('Calc'!$E$14=1,0,MIN(Calc!$S$220*(1+'财富模型'!$E$20/12)+'Calc'!$B$6,IF(Calc!$Q$221&lt;='财富模型'!$E$11*12,'Calc'!$W$14,'Calc'!$Y$14)))),0))</x:f>
      </x:c>
      <x:c r="T221" t="str">
        <x:f>IF(Calc!$Q$221&gt;'Calc'!$B$8,"",IF('Calc'!$E$14=1,'财富模型'!$E$9,'财富模型'!$M$6+IF(Calc!$Q$221&lt;='财富模型'!$E$11*12,'Calc'!$W$14,'Calc'!$Y$14)-(IF('Calc'!$E$14=1,0,MIN(Calc!$S$220*(1+'财富模型'!$E$20/12)+'Calc'!$B$6,IF(Calc!$Q$221&lt;='财富模型'!$E$11*12,'Calc'!$W$14,'Calc'!$Y$14))))))</x:f>
      </x:c>
      <x:c r="U221" t="str">
        <x:f>IF(Calc!$Q$221&gt;'Calc'!$B$8,"",IF('Calc'!$E$14=1,0,MIN(Calc!$S$220*(1+'财富模型'!$E$20/12)+'Calc'!$B$6,IF(Calc!$Q$221&lt;='财富模型'!$E$11*12,'Calc'!$W$14,'Calc'!$Y$14))))</x:f>
      </x:c>
      <x:c r="V221" t="str">
        <x:f>IF(Calc!$Q$221&gt;'Calc'!$B$8,"",'Calc'!$B$5-'财富模型'!$E$5-(IF('Calc'!$E$14=1,'财富模型'!$E$9,'财富模型'!$M$6+IF(Calc!$Q$221&lt;='财富模型'!$E$11*12,'Calc'!$W$14,'Calc'!$Y$14)-(IF('Calc'!$E$14=1,0,MIN(Calc!$S$220*(1+'财富模型'!$E$20/12)+'Calc'!$B$6,IF(Calc!$Q$221&lt;='财富模型'!$E$11*12,'Calc'!$W$14,'Calc'!$Y$14)))))))</x:f>
      </x:c>
      <x:c r="W221" t="str">
        <x:f>IF(Calc!$Q$221&gt;'Calc'!$B$8,"",IF('Calc'!$E$14=1,0,MAX(Calc!$W$220*(1+IF(Calc!$Q$221&lt;='财富模型'!$E$11*12,'财富模型'!$E$10,'财富模型'!$E$12)/12)-IF('Calc'!$E$14=1,0,IF(Calc!$Q$221&lt;='财富模型'!$E$11*12,'Calc'!$W$14,'Calc'!$Y$14)),0)))</x:f>
      </x:c>
      <x:c r="Y221" t="n">
        <x:v>200</x:v>
      </x:c>
      <x:c r="Z221" t="str">
        <x:f>IF(Calc!$Y$221&gt;'Calc'!$B$8,"",MAX(Calc!$Z$220*(1+'财富模型'!$E$6/12)+('Calc'!$B$5-'财富模型'!$E$5-(IF('Calc'!$E$15=1,'财富模型'!$E$9,'财富模型'!$M$7+IF(Calc!$Y$221&lt;='财富模型'!$E$11*12,'Calc'!$W$15,'Calc'!$Y$15)-(IF('Calc'!$E$15=1,0,MIN(Calc!$AA$220*(1+'财富模型'!$E$20/12)+'Calc'!$B$6,IF(Calc!$Y$221&lt;='财富模型'!$E$11*12,'Calc'!$W$15,'Calc'!$Y$15))))))),0))</x:f>
      </x:c>
      <x:c r="AA221" t="str">
        <x:f>IF(Calc!$Y$221&gt;'Calc'!$B$8,"",MAX(Calc!$AA$220*(1+'财富模型'!$E$20/12)+'Calc'!$B$6-(IF('Calc'!$E$15=1,0,MIN(Calc!$AA$220*(1+'财富模型'!$E$20/12)+'Calc'!$B$6,IF(Calc!$Y$221&lt;='财富模型'!$E$11*12,'Calc'!$W$15,'Calc'!$Y$15)))),0))</x:f>
      </x:c>
      <x:c r="AB221" t="str">
        <x:f>IF(Calc!$Y$221&gt;'Calc'!$B$8,"",IF('Calc'!$E$15=1,'财富模型'!$E$9,'财富模型'!$M$7+IF(Calc!$Y$221&lt;='财富模型'!$E$11*12,'Calc'!$W$15,'Calc'!$Y$15)-(IF('Calc'!$E$15=1,0,MIN(Calc!$AA$220*(1+'财富模型'!$E$20/12)+'Calc'!$B$6,IF(Calc!$Y$221&lt;='财富模型'!$E$11*12,'Calc'!$W$15,'Calc'!$Y$15))))))</x:f>
      </x:c>
      <x:c r="AC221" t="str">
        <x:f>IF(Calc!$Y$221&gt;'Calc'!$B$8,"",IF('Calc'!$E$15=1,0,MIN(Calc!$AA$220*(1+'财富模型'!$E$20/12)+'Calc'!$B$6,IF(Calc!$Y$221&lt;='财富模型'!$E$11*12,'Calc'!$W$15,'Calc'!$Y$15))))</x:f>
      </x:c>
      <x:c r="AD221" t="str">
        <x:f>IF(Calc!$Y$221&gt;'Calc'!$B$8,"",'Calc'!$B$5-'财富模型'!$E$5-(IF('Calc'!$E$15=1,'财富模型'!$E$9,'财富模型'!$M$7+IF(Calc!$Y$221&lt;='财富模型'!$E$11*12,'Calc'!$W$15,'Calc'!$Y$15)-(IF('Calc'!$E$15=1,0,MIN(Calc!$AA$220*(1+'财富模型'!$E$20/12)+'Calc'!$B$6,IF(Calc!$Y$221&lt;='财富模型'!$E$11*12,'Calc'!$W$15,'Calc'!$Y$15)))))))</x:f>
      </x:c>
      <x:c r="AE221" t="str">
        <x:f>IF(Calc!$Y$221&gt;'Calc'!$B$8,"",IF('Calc'!$E$15=1,0,MAX(Calc!$AE$220*(1+IF(Calc!$Y$221&lt;='财富模型'!$E$11*12,'财富模型'!$E$10,'财富模型'!$E$12)/12)-IF('Calc'!$E$15=1,0,IF(Calc!$Y$221&lt;='财富模型'!$E$11*12,'Calc'!$W$15,'Calc'!$Y$15)),0)))</x:f>
      </x:c>
      <x:c r="AG221" t="n">
        <x:v>200</x:v>
      </x:c>
      <x:c r="AH221" t="str">
        <x:f>IF(Calc!$AG$221&gt;'Calc'!$B$8,"",MAX(Calc!$AH$220*(1+'财富模型'!$E$6/12)+('Calc'!$B$5-'财富模型'!$E$5-(IF('Calc'!$E$16=1,'财富模型'!$E$9,'财富模型'!$M$8+IF(Calc!$AG$221&lt;='财富模型'!$E$11*12,'Calc'!$W$16,'Calc'!$Y$16)-(IF('Calc'!$E$16=1,0,MIN(Calc!$AI$220*(1+'财富模型'!$E$20/12)+'Calc'!$B$6,IF(Calc!$AG$221&lt;='财富模型'!$E$11*12,'Calc'!$W$16,'Calc'!$Y$16))))))),0))</x:f>
      </x:c>
      <x:c r="AI221" t="str">
        <x:f>IF(Calc!$AG$221&gt;'Calc'!$B$8,"",MAX(Calc!$AI$220*(1+'财富模型'!$E$20/12)+'Calc'!$B$6-(IF('Calc'!$E$16=1,0,MIN(Calc!$AI$220*(1+'财富模型'!$E$20/12)+'Calc'!$B$6,IF(Calc!$AG$221&lt;='财富模型'!$E$11*12,'Calc'!$W$16,'Calc'!$Y$16)))),0))</x:f>
      </x:c>
      <x:c r="AJ221" t="str">
        <x:f>IF(Calc!$AG$221&gt;'Calc'!$B$8,"",IF('Calc'!$E$16=1,'财富模型'!$E$9,'财富模型'!$M$8+IF(Calc!$AG$221&lt;='财富模型'!$E$11*12,'Calc'!$W$16,'Calc'!$Y$16)-(IF('Calc'!$E$16=1,0,MIN(Calc!$AI$220*(1+'财富模型'!$E$20/12)+'Calc'!$B$6,IF(Calc!$AG$221&lt;='财富模型'!$E$11*12,'Calc'!$W$16,'Calc'!$Y$16))))))</x:f>
      </x:c>
      <x:c r="AK221" t="str">
        <x:f>IF(Calc!$AG$221&gt;'Calc'!$B$8,"",IF('Calc'!$E$16=1,0,MIN(Calc!$AI$220*(1+'财富模型'!$E$20/12)+'Calc'!$B$6,IF(Calc!$AG$221&lt;='财富模型'!$E$11*12,'Calc'!$W$16,'Calc'!$Y$16))))</x:f>
      </x:c>
      <x:c r="AL221" t="str">
        <x:f>IF(Calc!$AG$221&gt;'Calc'!$B$8,"",'Calc'!$B$5-'财富模型'!$E$5-(IF('Calc'!$E$16=1,'财富模型'!$E$9,'财富模型'!$M$8+IF(Calc!$AG$221&lt;='财富模型'!$E$11*12,'Calc'!$W$16,'Calc'!$Y$16)-(IF('Calc'!$E$16=1,0,MIN(Calc!$AI$220*(1+'财富模型'!$E$20/12)+'Calc'!$B$6,IF(Calc!$AG$221&lt;='财富模型'!$E$11*12,'Calc'!$W$16,'Calc'!$Y$16)))))))</x:f>
      </x:c>
      <x:c r="AM221" t="str">
        <x:f>IF(Calc!$AG$221&gt;'Calc'!$B$8,"",IF('Calc'!$E$16=1,0,MAX(Calc!$AM$220*(1+IF(Calc!$AG$221&lt;='财富模型'!$E$11*12,'财富模型'!$E$10,'财富模型'!$E$12)/12)-IF('Calc'!$E$16=1,0,IF(Calc!$AG$221&lt;='财富模型'!$E$11*12,'Calc'!$W$16,'Calc'!$Y$16)),0)))</x:f>
      </x:c>
      <x:c r="AO221" t="n">
        <x:v>200</x:v>
      </x:c>
      <x:c r="AP221" t="str">
        <x:f>IF(Calc!$AO$221&gt;'Calc'!$B$8,"",MAX(Calc!$AP$220*(1+'财富模型'!$E$6/12)+('Calc'!$B$5-'财富模型'!$E$5-(IF('Calc'!$E$17=1,'财富模型'!$E$9,'财富模型'!$M$9+IF(Calc!$AO$221&lt;='财富模型'!$E$11*12,'Calc'!$W$17,'Calc'!$Y$17)-(IF('Calc'!$E$17=1,0,MIN(Calc!$AQ$220*(1+'财富模型'!$E$20/12)+'Calc'!$B$6,IF(Calc!$AO$221&lt;='财富模型'!$E$11*12,'Calc'!$W$17,'Calc'!$Y$17))))))),0))</x:f>
      </x:c>
      <x:c r="AQ221" t="str">
        <x:f>IF(Calc!$AO$221&gt;'Calc'!$B$8,"",MAX(Calc!$AQ$220*(1+'财富模型'!$E$20/12)+'Calc'!$B$6-(IF('Calc'!$E$17=1,0,MIN(Calc!$AQ$220*(1+'财富模型'!$E$20/12)+'Calc'!$B$6,IF(Calc!$AO$221&lt;='财富模型'!$E$11*12,'Calc'!$W$17,'Calc'!$Y$17)))),0))</x:f>
      </x:c>
      <x:c r="AR221" t="str">
        <x:f>IF(Calc!$AO$221&gt;'Calc'!$B$8,"",IF('Calc'!$E$17=1,'财富模型'!$E$9,'财富模型'!$M$9+IF(Calc!$AO$221&lt;='财富模型'!$E$11*12,'Calc'!$W$17,'Calc'!$Y$17)-(IF('Calc'!$E$17=1,0,MIN(Calc!$AQ$220*(1+'财富模型'!$E$20/12)+'Calc'!$B$6,IF(Calc!$AO$221&lt;='财富模型'!$E$11*12,'Calc'!$W$17,'Calc'!$Y$17))))))</x:f>
      </x:c>
      <x:c r="AS221" t="str">
        <x:f>IF(Calc!$AO$221&gt;'Calc'!$B$8,"",IF('Calc'!$E$17=1,0,MIN(Calc!$AQ$220*(1+'财富模型'!$E$20/12)+'Calc'!$B$6,IF(Calc!$AO$221&lt;='财富模型'!$E$11*12,'Calc'!$W$17,'Calc'!$Y$17))))</x:f>
      </x:c>
      <x:c r="AT221" t="str">
        <x:f>IF(Calc!$AO$221&gt;'Calc'!$B$8,"",'Calc'!$B$5-'财富模型'!$E$5-(IF('Calc'!$E$17=1,'财富模型'!$E$9,'财富模型'!$M$9+IF(Calc!$AO$221&lt;='财富模型'!$E$11*12,'Calc'!$W$17,'Calc'!$Y$17)-(IF('Calc'!$E$17=1,0,MIN(Calc!$AQ$220*(1+'财富模型'!$E$20/12)+'Calc'!$B$6,IF(Calc!$AO$221&lt;='财富模型'!$E$11*12,'Calc'!$W$17,'Calc'!$Y$17)))))))</x:f>
      </x:c>
      <x:c r="AU221" t="str">
        <x:f>IF(Calc!$AO$221&gt;'Calc'!$B$8,"",IF('Calc'!$E$17=1,0,MAX(Calc!$AU$220*(1+IF(Calc!$AO$221&lt;='财富模型'!$E$11*12,'财富模型'!$E$10,'财富模型'!$E$12)/12)-IF('Calc'!$E$17=1,0,IF(Calc!$AO$221&lt;='财富模型'!$E$11*12,'Calc'!$W$17,'Calc'!$Y$17)),0)))</x:f>
      </x:c>
    </x:row>
    <x:row r="222">
      <x:c r="A222" t="n">
        <x:v>201</x:v>
      </x:c>
      <x:c r="B222" t="str">
        <x:f>IF(Calc!$A$222&gt;'Calc'!$B$8,"",MAX(Calc!$B$221*(1+'财富模型'!$E$6/12)+('Calc'!$B$5-'财富模型'!$E$5-(IF('Calc'!$E$12=1,'财富模型'!$E$9,'财富模型'!$M$4+IF(Calc!$A$222&lt;='财富模型'!$E$11*12,'Calc'!$W$12,'Calc'!$Y$12)-(IF('Calc'!$E$12=1,0,MIN(Calc!$C$221*(1+'财富模型'!$E$20/12)+'Calc'!$B$6,IF(Calc!$A$222&lt;='财富模型'!$E$11*12,'Calc'!$W$12,'Calc'!$Y$12))))))),0))</x:f>
      </x:c>
      <x:c r="C222" t="str">
        <x:f>IF(Calc!$A$222&gt;'Calc'!$B$8,"",MAX(Calc!$C$221*(1+'财富模型'!$E$20/12)+'Calc'!$B$6-(IF('Calc'!$E$12=1,0,MIN(Calc!$C$221*(1+'财富模型'!$E$20/12)+'Calc'!$B$6,IF(Calc!$A$222&lt;='财富模型'!$E$11*12,'Calc'!$W$12,'Calc'!$Y$12)))),0))</x:f>
      </x:c>
      <x:c r="D222" t="str">
        <x:f>IF(Calc!$A$222&gt;'Calc'!$B$8,"",IF('Calc'!$E$12=1,'财富模型'!$E$9,'财富模型'!$M$4+IF(Calc!$A$222&lt;='财富模型'!$E$11*12,'Calc'!$W$12,'Calc'!$Y$12)-(IF('Calc'!$E$12=1,0,MIN(Calc!$C$221*(1+'财富模型'!$E$20/12)+'Calc'!$B$6,IF(Calc!$A$222&lt;='财富模型'!$E$11*12,'Calc'!$W$12,'Calc'!$Y$12))))))</x:f>
      </x:c>
      <x:c r="E222" t="str">
        <x:f>IF(Calc!$A$222&gt;'Calc'!$B$8,"",IF('Calc'!$E$12=1,0,MIN(Calc!$C$221*(1+'财富模型'!$E$20/12)+'Calc'!$B$6,IF(Calc!$A$222&lt;='财富模型'!$E$11*12,'Calc'!$W$12,'Calc'!$Y$12))))</x:f>
      </x:c>
      <x:c r="F222" t="str">
        <x:f>IF(Calc!$A$222&gt;'Calc'!$B$8,"",'Calc'!$B$5-'财富模型'!$E$5-(IF('Calc'!$E$12=1,'财富模型'!$E$9,'财富模型'!$M$4+IF(Calc!$A$222&lt;='财富模型'!$E$11*12,'Calc'!$W$12,'Calc'!$Y$12)-(IF('Calc'!$E$12=1,0,MIN(Calc!$C$221*(1+'财富模型'!$E$20/12)+'Calc'!$B$6,IF(Calc!$A$222&lt;='财富模型'!$E$11*12,'Calc'!$W$12,'Calc'!$Y$12)))))))</x:f>
      </x:c>
      <x:c r="G222" t="str">
        <x:f>IF(Calc!$A$222&gt;'Calc'!$B$8,"",IF('Calc'!$E$12=1,0,MAX(Calc!$G$221*(1+IF(Calc!$A$222&lt;='财富模型'!$E$11*12,'财富模型'!$E$10,'财富模型'!$E$12)/12)-IF('Calc'!$E$12=1,0,IF(Calc!$A$222&lt;='财富模型'!$E$11*12,'Calc'!$W$12,'Calc'!$Y$12)),0)))</x:f>
      </x:c>
      <x:c r="I222" t="n">
        <x:v>201</x:v>
      </x:c>
      <x:c r="J222" t="str">
        <x:f>IF(Calc!$I$222&gt;'Calc'!$B$8,"",MAX(Calc!$J$221*(1+'财富模型'!$E$6/12)+('Calc'!$B$5-'财富模型'!$E$5-(IF('Calc'!$E$13=1,'财富模型'!$E$9,'财富模型'!$M$5+IF(Calc!$I$222&lt;='财富模型'!$E$11*12,'Calc'!$W$13,'Calc'!$Y$13)-(IF('Calc'!$E$13=1,0,MIN(Calc!$K$221*(1+'财富模型'!$E$20/12)+'Calc'!$B$6,IF(Calc!$I$222&lt;='财富模型'!$E$11*12,'Calc'!$W$13,'Calc'!$Y$13))))))),0))</x:f>
      </x:c>
      <x:c r="K222" t="str">
        <x:f>IF(Calc!$I$222&gt;'Calc'!$B$8,"",MAX(Calc!$K$221*(1+'财富模型'!$E$20/12)+'Calc'!$B$6-(IF('Calc'!$E$13=1,0,MIN(Calc!$K$221*(1+'财富模型'!$E$20/12)+'Calc'!$B$6,IF(Calc!$I$222&lt;='财富模型'!$E$11*12,'Calc'!$W$13,'Calc'!$Y$13)))),0))</x:f>
      </x:c>
      <x:c r="L222" t="str">
        <x:f>IF(Calc!$I$222&gt;'Calc'!$B$8,"",IF('Calc'!$E$13=1,'财富模型'!$E$9,'财富模型'!$M$5+IF(Calc!$I$222&lt;='财富模型'!$E$11*12,'Calc'!$W$13,'Calc'!$Y$13)-(IF('Calc'!$E$13=1,0,MIN(Calc!$K$221*(1+'财富模型'!$E$20/12)+'Calc'!$B$6,IF(Calc!$I$222&lt;='财富模型'!$E$11*12,'Calc'!$W$13,'Calc'!$Y$13))))))</x:f>
      </x:c>
      <x:c r="M222" t="str">
        <x:f>IF(Calc!$I$222&gt;'Calc'!$B$8,"",IF('Calc'!$E$13=1,0,MIN(Calc!$K$221*(1+'财富模型'!$E$20/12)+'Calc'!$B$6,IF(Calc!$I$222&lt;='财富模型'!$E$11*12,'Calc'!$W$13,'Calc'!$Y$13))))</x:f>
      </x:c>
      <x:c r="N222" t="str">
        <x:f>IF(Calc!$I$222&gt;'Calc'!$B$8,"",'Calc'!$B$5-'财富模型'!$E$5-(IF('Calc'!$E$13=1,'财富模型'!$E$9,'财富模型'!$M$5+IF(Calc!$I$222&lt;='财富模型'!$E$11*12,'Calc'!$W$13,'Calc'!$Y$13)-(IF('Calc'!$E$13=1,0,MIN(Calc!$K$221*(1+'财富模型'!$E$20/12)+'Calc'!$B$6,IF(Calc!$I$222&lt;='财富模型'!$E$11*12,'Calc'!$W$13,'Calc'!$Y$13)))))))</x:f>
      </x:c>
      <x:c r="O222" t="str">
        <x:f>IF(Calc!$I$222&gt;'Calc'!$B$8,"",IF('Calc'!$E$13=1,0,MAX(Calc!$O$221*(1+IF(Calc!$I$222&lt;='财富模型'!$E$11*12,'财富模型'!$E$10,'财富模型'!$E$12)/12)-IF('Calc'!$E$13=1,0,IF(Calc!$I$222&lt;='财富模型'!$E$11*12,'Calc'!$W$13,'Calc'!$Y$13)),0)))</x:f>
      </x:c>
      <x:c r="Q222" t="n">
        <x:v>201</x:v>
      </x:c>
      <x:c r="R222" t="str">
        <x:f>IF(Calc!$Q$222&gt;'Calc'!$B$8,"",MAX(Calc!$R$221*(1+'财富模型'!$E$6/12)+('Calc'!$B$5-'财富模型'!$E$5-(IF('Calc'!$E$14=1,'财富模型'!$E$9,'财富模型'!$M$6+IF(Calc!$Q$222&lt;='财富模型'!$E$11*12,'Calc'!$W$14,'Calc'!$Y$14)-(IF('Calc'!$E$14=1,0,MIN(Calc!$S$221*(1+'财富模型'!$E$20/12)+'Calc'!$B$6,IF(Calc!$Q$222&lt;='财富模型'!$E$11*12,'Calc'!$W$14,'Calc'!$Y$14))))))),0))</x:f>
      </x:c>
      <x:c r="S222" t="str">
        <x:f>IF(Calc!$Q$222&gt;'Calc'!$B$8,"",MAX(Calc!$S$221*(1+'财富模型'!$E$20/12)+'Calc'!$B$6-(IF('Calc'!$E$14=1,0,MIN(Calc!$S$221*(1+'财富模型'!$E$20/12)+'Calc'!$B$6,IF(Calc!$Q$222&lt;='财富模型'!$E$11*12,'Calc'!$W$14,'Calc'!$Y$14)))),0))</x:f>
      </x:c>
      <x:c r="T222" t="str">
        <x:f>IF(Calc!$Q$222&gt;'Calc'!$B$8,"",IF('Calc'!$E$14=1,'财富模型'!$E$9,'财富模型'!$M$6+IF(Calc!$Q$222&lt;='财富模型'!$E$11*12,'Calc'!$W$14,'Calc'!$Y$14)-(IF('Calc'!$E$14=1,0,MIN(Calc!$S$221*(1+'财富模型'!$E$20/12)+'Calc'!$B$6,IF(Calc!$Q$222&lt;='财富模型'!$E$11*12,'Calc'!$W$14,'Calc'!$Y$14))))))</x:f>
      </x:c>
      <x:c r="U222" t="str">
        <x:f>IF(Calc!$Q$222&gt;'Calc'!$B$8,"",IF('Calc'!$E$14=1,0,MIN(Calc!$S$221*(1+'财富模型'!$E$20/12)+'Calc'!$B$6,IF(Calc!$Q$222&lt;='财富模型'!$E$11*12,'Calc'!$W$14,'Calc'!$Y$14))))</x:f>
      </x:c>
      <x:c r="V222" t="str">
        <x:f>IF(Calc!$Q$222&gt;'Calc'!$B$8,"",'Calc'!$B$5-'财富模型'!$E$5-(IF('Calc'!$E$14=1,'财富模型'!$E$9,'财富模型'!$M$6+IF(Calc!$Q$222&lt;='财富模型'!$E$11*12,'Calc'!$W$14,'Calc'!$Y$14)-(IF('Calc'!$E$14=1,0,MIN(Calc!$S$221*(1+'财富模型'!$E$20/12)+'Calc'!$B$6,IF(Calc!$Q$222&lt;='财富模型'!$E$11*12,'Calc'!$W$14,'Calc'!$Y$14)))))))</x:f>
      </x:c>
      <x:c r="W222" t="str">
        <x:f>IF(Calc!$Q$222&gt;'Calc'!$B$8,"",IF('Calc'!$E$14=1,0,MAX(Calc!$W$221*(1+IF(Calc!$Q$222&lt;='财富模型'!$E$11*12,'财富模型'!$E$10,'财富模型'!$E$12)/12)-IF('Calc'!$E$14=1,0,IF(Calc!$Q$222&lt;='财富模型'!$E$11*12,'Calc'!$W$14,'Calc'!$Y$14)),0)))</x:f>
      </x:c>
      <x:c r="Y222" t="n">
        <x:v>201</x:v>
      </x:c>
      <x:c r="Z222" t="str">
        <x:f>IF(Calc!$Y$222&gt;'Calc'!$B$8,"",MAX(Calc!$Z$221*(1+'财富模型'!$E$6/12)+('Calc'!$B$5-'财富模型'!$E$5-(IF('Calc'!$E$15=1,'财富模型'!$E$9,'财富模型'!$M$7+IF(Calc!$Y$222&lt;='财富模型'!$E$11*12,'Calc'!$W$15,'Calc'!$Y$15)-(IF('Calc'!$E$15=1,0,MIN(Calc!$AA$221*(1+'财富模型'!$E$20/12)+'Calc'!$B$6,IF(Calc!$Y$222&lt;='财富模型'!$E$11*12,'Calc'!$W$15,'Calc'!$Y$15))))))),0))</x:f>
      </x:c>
      <x:c r="AA222" t="str">
        <x:f>IF(Calc!$Y$222&gt;'Calc'!$B$8,"",MAX(Calc!$AA$221*(1+'财富模型'!$E$20/12)+'Calc'!$B$6-(IF('Calc'!$E$15=1,0,MIN(Calc!$AA$221*(1+'财富模型'!$E$20/12)+'Calc'!$B$6,IF(Calc!$Y$222&lt;='财富模型'!$E$11*12,'Calc'!$W$15,'Calc'!$Y$15)))),0))</x:f>
      </x:c>
      <x:c r="AB222" t="str">
        <x:f>IF(Calc!$Y$222&gt;'Calc'!$B$8,"",IF('Calc'!$E$15=1,'财富模型'!$E$9,'财富模型'!$M$7+IF(Calc!$Y$222&lt;='财富模型'!$E$11*12,'Calc'!$W$15,'Calc'!$Y$15)-(IF('Calc'!$E$15=1,0,MIN(Calc!$AA$221*(1+'财富模型'!$E$20/12)+'Calc'!$B$6,IF(Calc!$Y$222&lt;='财富模型'!$E$11*12,'Calc'!$W$15,'Calc'!$Y$15))))))</x:f>
      </x:c>
      <x:c r="AC222" t="str">
        <x:f>IF(Calc!$Y$222&gt;'Calc'!$B$8,"",IF('Calc'!$E$15=1,0,MIN(Calc!$AA$221*(1+'财富模型'!$E$20/12)+'Calc'!$B$6,IF(Calc!$Y$222&lt;='财富模型'!$E$11*12,'Calc'!$W$15,'Calc'!$Y$15))))</x:f>
      </x:c>
      <x:c r="AD222" t="str">
        <x:f>IF(Calc!$Y$222&gt;'Calc'!$B$8,"",'Calc'!$B$5-'财富模型'!$E$5-(IF('Calc'!$E$15=1,'财富模型'!$E$9,'财富模型'!$M$7+IF(Calc!$Y$222&lt;='财富模型'!$E$11*12,'Calc'!$W$15,'Calc'!$Y$15)-(IF('Calc'!$E$15=1,0,MIN(Calc!$AA$221*(1+'财富模型'!$E$20/12)+'Calc'!$B$6,IF(Calc!$Y$222&lt;='财富模型'!$E$11*12,'Calc'!$W$15,'Calc'!$Y$15)))))))</x:f>
      </x:c>
      <x:c r="AE222" t="str">
        <x:f>IF(Calc!$Y$222&gt;'Calc'!$B$8,"",IF('Calc'!$E$15=1,0,MAX(Calc!$AE$221*(1+IF(Calc!$Y$222&lt;='财富模型'!$E$11*12,'财富模型'!$E$10,'财富模型'!$E$12)/12)-IF('Calc'!$E$15=1,0,IF(Calc!$Y$222&lt;='财富模型'!$E$11*12,'Calc'!$W$15,'Calc'!$Y$15)),0)))</x:f>
      </x:c>
      <x:c r="AG222" t="n">
        <x:v>201</x:v>
      </x:c>
      <x:c r="AH222" t="str">
        <x:f>IF(Calc!$AG$222&gt;'Calc'!$B$8,"",MAX(Calc!$AH$221*(1+'财富模型'!$E$6/12)+('Calc'!$B$5-'财富模型'!$E$5-(IF('Calc'!$E$16=1,'财富模型'!$E$9,'财富模型'!$M$8+IF(Calc!$AG$222&lt;='财富模型'!$E$11*12,'Calc'!$W$16,'Calc'!$Y$16)-(IF('Calc'!$E$16=1,0,MIN(Calc!$AI$221*(1+'财富模型'!$E$20/12)+'Calc'!$B$6,IF(Calc!$AG$222&lt;='财富模型'!$E$11*12,'Calc'!$W$16,'Calc'!$Y$16))))))),0))</x:f>
      </x:c>
      <x:c r="AI222" t="str">
        <x:f>IF(Calc!$AG$222&gt;'Calc'!$B$8,"",MAX(Calc!$AI$221*(1+'财富模型'!$E$20/12)+'Calc'!$B$6-(IF('Calc'!$E$16=1,0,MIN(Calc!$AI$221*(1+'财富模型'!$E$20/12)+'Calc'!$B$6,IF(Calc!$AG$222&lt;='财富模型'!$E$11*12,'Calc'!$W$16,'Calc'!$Y$16)))),0))</x:f>
      </x:c>
      <x:c r="AJ222" t="str">
        <x:f>IF(Calc!$AG$222&gt;'Calc'!$B$8,"",IF('Calc'!$E$16=1,'财富模型'!$E$9,'财富模型'!$M$8+IF(Calc!$AG$222&lt;='财富模型'!$E$11*12,'Calc'!$W$16,'Calc'!$Y$16)-(IF('Calc'!$E$16=1,0,MIN(Calc!$AI$221*(1+'财富模型'!$E$20/12)+'Calc'!$B$6,IF(Calc!$AG$222&lt;='财富模型'!$E$11*12,'Calc'!$W$16,'Calc'!$Y$16))))))</x:f>
      </x:c>
      <x:c r="AK222" t="str">
        <x:f>IF(Calc!$AG$222&gt;'Calc'!$B$8,"",IF('Calc'!$E$16=1,0,MIN(Calc!$AI$221*(1+'财富模型'!$E$20/12)+'Calc'!$B$6,IF(Calc!$AG$222&lt;='财富模型'!$E$11*12,'Calc'!$W$16,'Calc'!$Y$16))))</x:f>
      </x:c>
      <x:c r="AL222" t="str">
        <x:f>IF(Calc!$AG$222&gt;'Calc'!$B$8,"",'Calc'!$B$5-'财富模型'!$E$5-(IF('Calc'!$E$16=1,'财富模型'!$E$9,'财富模型'!$M$8+IF(Calc!$AG$222&lt;='财富模型'!$E$11*12,'Calc'!$W$16,'Calc'!$Y$16)-(IF('Calc'!$E$16=1,0,MIN(Calc!$AI$221*(1+'财富模型'!$E$20/12)+'Calc'!$B$6,IF(Calc!$AG$222&lt;='财富模型'!$E$11*12,'Calc'!$W$16,'Calc'!$Y$16)))))))</x:f>
      </x:c>
      <x:c r="AM222" t="str">
        <x:f>IF(Calc!$AG$222&gt;'Calc'!$B$8,"",IF('Calc'!$E$16=1,0,MAX(Calc!$AM$221*(1+IF(Calc!$AG$222&lt;='财富模型'!$E$11*12,'财富模型'!$E$10,'财富模型'!$E$12)/12)-IF('Calc'!$E$16=1,0,IF(Calc!$AG$222&lt;='财富模型'!$E$11*12,'Calc'!$W$16,'Calc'!$Y$16)),0)))</x:f>
      </x:c>
      <x:c r="AO222" t="n">
        <x:v>201</x:v>
      </x:c>
      <x:c r="AP222" t="str">
        <x:f>IF(Calc!$AO$222&gt;'Calc'!$B$8,"",MAX(Calc!$AP$221*(1+'财富模型'!$E$6/12)+('Calc'!$B$5-'财富模型'!$E$5-(IF('Calc'!$E$17=1,'财富模型'!$E$9,'财富模型'!$M$9+IF(Calc!$AO$222&lt;='财富模型'!$E$11*12,'Calc'!$W$17,'Calc'!$Y$17)-(IF('Calc'!$E$17=1,0,MIN(Calc!$AQ$221*(1+'财富模型'!$E$20/12)+'Calc'!$B$6,IF(Calc!$AO$222&lt;='财富模型'!$E$11*12,'Calc'!$W$17,'Calc'!$Y$17))))))),0))</x:f>
      </x:c>
      <x:c r="AQ222" t="str">
        <x:f>IF(Calc!$AO$222&gt;'Calc'!$B$8,"",MAX(Calc!$AQ$221*(1+'财富模型'!$E$20/12)+'Calc'!$B$6-(IF('Calc'!$E$17=1,0,MIN(Calc!$AQ$221*(1+'财富模型'!$E$20/12)+'Calc'!$B$6,IF(Calc!$AO$222&lt;='财富模型'!$E$11*12,'Calc'!$W$17,'Calc'!$Y$17)))),0))</x:f>
      </x:c>
      <x:c r="AR222" t="str">
        <x:f>IF(Calc!$AO$222&gt;'Calc'!$B$8,"",IF('Calc'!$E$17=1,'财富模型'!$E$9,'财富模型'!$M$9+IF(Calc!$AO$222&lt;='财富模型'!$E$11*12,'Calc'!$W$17,'Calc'!$Y$17)-(IF('Calc'!$E$17=1,0,MIN(Calc!$AQ$221*(1+'财富模型'!$E$20/12)+'Calc'!$B$6,IF(Calc!$AO$222&lt;='财富模型'!$E$11*12,'Calc'!$W$17,'Calc'!$Y$17))))))</x:f>
      </x:c>
      <x:c r="AS222" t="str">
        <x:f>IF(Calc!$AO$222&gt;'Calc'!$B$8,"",IF('Calc'!$E$17=1,0,MIN(Calc!$AQ$221*(1+'财富模型'!$E$20/12)+'Calc'!$B$6,IF(Calc!$AO$222&lt;='财富模型'!$E$11*12,'Calc'!$W$17,'Calc'!$Y$17))))</x:f>
      </x:c>
      <x:c r="AT222" t="str">
        <x:f>IF(Calc!$AO$222&gt;'Calc'!$B$8,"",'Calc'!$B$5-'财富模型'!$E$5-(IF('Calc'!$E$17=1,'财富模型'!$E$9,'财富模型'!$M$9+IF(Calc!$AO$222&lt;='财富模型'!$E$11*12,'Calc'!$W$17,'Calc'!$Y$17)-(IF('Calc'!$E$17=1,0,MIN(Calc!$AQ$221*(1+'财富模型'!$E$20/12)+'Calc'!$B$6,IF(Calc!$AO$222&lt;='财富模型'!$E$11*12,'Calc'!$W$17,'Calc'!$Y$17)))))))</x:f>
      </x:c>
      <x:c r="AU222" t="str">
        <x:f>IF(Calc!$AO$222&gt;'Calc'!$B$8,"",IF('Calc'!$E$17=1,0,MAX(Calc!$AU$221*(1+IF(Calc!$AO$222&lt;='财富模型'!$E$11*12,'财富模型'!$E$10,'财富模型'!$E$12)/12)-IF('Calc'!$E$17=1,0,IF(Calc!$AO$222&lt;='财富模型'!$E$11*12,'Calc'!$W$17,'Calc'!$Y$17)),0)))</x:f>
      </x:c>
    </x:row>
    <x:row r="223">
      <x:c r="A223" t="n">
        <x:v>202</x:v>
      </x:c>
      <x:c r="B223" t="str">
        <x:f>IF(Calc!$A$223&gt;'Calc'!$B$8,"",MAX(Calc!$B$222*(1+'财富模型'!$E$6/12)+('Calc'!$B$5-'财富模型'!$E$5-(IF('Calc'!$E$12=1,'财富模型'!$E$9,'财富模型'!$M$4+IF(Calc!$A$223&lt;='财富模型'!$E$11*12,'Calc'!$W$12,'Calc'!$Y$12)-(IF('Calc'!$E$12=1,0,MIN(Calc!$C$222*(1+'财富模型'!$E$20/12)+'Calc'!$B$6,IF(Calc!$A$223&lt;='财富模型'!$E$11*12,'Calc'!$W$12,'Calc'!$Y$12))))))),0))</x:f>
      </x:c>
      <x:c r="C223" t="str">
        <x:f>IF(Calc!$A$223&gt;'Calc'!$B$8,"",MAX(Calc!$C$222*(1+'财富模型'!$E$20/12)+'Calc'!$B$6-(IF('Calc'!$E$12=1,0,MIN(Calc!$C$222*(1+'财富模型'!$E$20/12)+'Calc'!$B$6,IF(Calc!$A$223&lt;='财富模型'!$E$11*12,'Calc'!$W$12,'Calc'!$Y$12)))),0))</x:f>
      </x:c>
      <x:c r="D223" t="str">
        <x:f>IF(Calc!$A$223&gt;'Calc'!$B$8,"",IF('Calc'!$E$12=1,'财富模型'!$E$9,'财富模型'!$M$4+IF(Calc!$A$223&lt;='财富模型'!$E$11*12,'Calc'!$W$12,'Calc'!$Y$12)-(IF('Calc'!$E$12=1,0,MIN(Calc!$C$222*(1+'财富模型'!$E$20/12)+'Calc'!$B$6,IF(Calc!$A$223&lt;='财富模型'!$E$11*12,'Calc'!$W$12,'Calc'!$Y$12))))))</x:f>
      </x:c>
      <x:c r="E223" t="str">
        <x:f>IF(Calc!$A$223&gt;'Calc'!$B$8,"",IF('Calc'!$E$12=1,0,MIN(Calc!$C$222*(1+'财富模型'!$E$20/12)+'Calc'!$B$6,IF(Calc!$A$223&lt;='财富模型'!$E$11*12,'Calc'!$W$12,'Calc'!$Y$12))))</x:f>
      </x:c>
      <x:c r="F223" t="str">
        <x:f>IF(Calc!$A$223&gt;'Calc'!$B$8,"",'Calc'!$B$5-'财富模型'!$E$5-(IF('Calc'!$E$12=1,'财富模型'!$E$9,'财富模型'!$M$4+IF(Calc!$A$223&lt;='财富模型'!$E$11*12,'Calc'!$W$12,'Calc'!$Y$12)-(IF('Calc'!$E$12=1,0,MIN(Calc!$C$222*(1+'财富模型'!$E$20/12)+'Calc'!$B$6,IF(Calc!$A$223&lt;='财富模型'!$E$11*12,'Calc'!$W$12,'Calc'!$Y$12)))))))</x:f>
      </x:c>
      <x:c r="G223" t="str">
        <x:f>IF(Calc!$A$223&gt;'Calc'!$B$8,"",IF('Calc'!$E$12=1,0,MAX(Calc!$G$222*(1+IF(Calc!$A$223&lt;='财富模型'!$E$11*12,'财富模型'!$E$10,'财富模型'!$E$12)/12)-IF('Calc'!$E$12=1,0,IF(Calc!$A$223&lt;='财富模型'!$E$11*12,'Calc'!$W$12,'Calc'!$Y$12)),0)))</x:f>
      </x:c>
      <x:c r="I223" t="n">
        <x:v>202</x:v>
      </x:c>
      <x:c r="J223" t="str">
        <x:f>IF(Calc!$I$223&gt;'Calc'!$B$8,"",MAX(Calc!$J$222*(1+'财富模型'!$E$6/12)+('Calc'!$B$5-'财富模型'!$E$5-(IF('Calc'!$E$13=1,'财富模型'!$E$9,'财富模型'!$M$5+IF(Calc!$I$223&lt;='财富模型'!$E$11*12,'Calc'!$W$13,'Calc'!$Y$13)-(IF('Calc'!$E$13=1,0,MIN(Calc!$K$222*(1+'财富模型'!$E$20/12)+'Calc'!$B$6,IF(Calc!$I$223&lt;='财富模型'!$E$11*12,'Calc'!$W$13,'Calc'!$Y$13))))))),0))</x:f>
      </x:c>
      <x:c r="K223" t="str">
        <x:f>IF(Calc!$I$223&gt;'Calc'!$B$8,"",MAX(Calc!$K$222*(1+'财富模型'!$E$20/12)+'Calc'!$B$6-(IF('Calc'!$E$13=1,0,MIN(Calc!$K$222*(1+'财富模型'!$E$20/12)+'Calc'!$B$6,IF(Calc!$I$223&lt;='财富模型'!$E$11*12,'Calc'!$W$13,'Calc'!$Y$13)))),0))</x:f>
      </x:c>
      <x:c r="L223" t="str">
        <x:f>IF(Calc!$I$223&gt;'Calc'!$B$8,"",IF('Calc'!$E$13=1,'财富模型'!$E$9,'财富模型'!$M$5+IF(Calc!$I$223&lt;='财富模型'!$E$11*12,'Calc'!$W$13,'Calc'!$Y$13)-(IF('Calc'!$E$13=1,0,MIN(Calc!$K$222*(1+'财富模型'!$E$20/12)+'Calc'!$B$6,IF(Calc!$I$223&lt;='财富模型'!$E$11*12,'Calc'!$W$13,'Calc'!$Y$13))))))</x:f>
      </x:c>
      <x:c r="M223" t="str">
        <x:f>IF(Calc!$I$223&gt;'Calc'!$B$8,"",IF('Calc'!$E$13=1,0,MIN(Calc!$K$222*(1+'财富模型'!$E$20/12)+'Calc'!$B$6,IF(Calc!$I$223&lt;='财富模型'!$E$11*12,'Calc'!$W$13,'Calc'!$Y$13))))</x:f>
      </x:c>
      <x:c r="N223" t="str">
        <x:f>IF(Calc!$I$223&gt;'Calc'!$B$8,"",'Calc'!$B$5-'财富模型'!$E$5-(IF('Calc'!$E$13=1,'财富模型'!$E$9,'财富模型'!$M$5+IF(Calc!$I$223&lt;='财富模型'!$E$11*12,'Calc'!$W$13,'Calc'!$Y$13)-(IF('Calc'!$E$13=1,0,MIN(Calc!$K$222*(1+'财富模型'!$E$20/12)+'Calc'!$B$6,IF(Calc!$I$223&lt;='财富模型'!$E$11*12,'Calc'!$W$13,'Calc'!$Y$13)))))))</x:f>
      </x:c>
      <x:c r="O223" t="str">
        <x:f>IF(Calc!$I$223&gt;'Calc'!$B$8,"",IF('Calc'!$E$13=1,0,MAX(Calc!$O$222*(1+IF(Calc!$I$223&lt;='财富模型'!$E$11*12,'财富模型'!$E$10,'财富模型'!$E$12)/12)-IF('Calc'!$E$13=1,0,IF(Calc!$I$223&lt;='财富模型'!$E$11*12,'Calc'!$W$13,'Calc'!$Y$13)),0)))</x:f>
      </x:c>
      <x:c r="Q223" t="n">
        <x:v>202</x:v>
      </x:c>
      <x:c r="R223" t="str">
        <x:f>IF(Calc!$Q$223&gt;'Calc'!$B$8,"",MAX(Calc!$R$222*(1+'财富模型'!$E$6/12)+('Calc'!$B$5-'财富模型'!$E$5-(IF('Calc'!$E$14=1,'财富模型'!$E$9,'财富模型'!$M$6+IF(Calc!$Q$223&lt;='财富模型'!$E$11*12,'Calc'!$W$14,'Calc'!$Y$14)-(IF('Calc'!$E$14=1,0,MIN(Calc!$S$222*(1+'财富模型'!$E$20/12)+'Calc'!$B$6,IF(Calc!$Q$223&lt;='财富模型'!$E$11*12,'Calc'!$W$14,'Calc'!$Y$14))))))),0))</x:f>
      </x:c>
      <x:c r="S223" t="str">
        <x:f>IF(Calc!$Q$223&gt;'Calc'!$B$8,"",MAX(Calc!$S$222*(1+'财富模型'!$E$20/12)+'Calc'!$B$6-(IF('Calc'!$E$14=1,0,MIN(Calc!$S$222*(1+'财富模型'!$E$20/12)+'Calc'!$B$6,IF(Calc!$Q$223&lt;='财富模型'!$E$11*12,'Calc'!$W$14,'Calc'!$Y$14)))),0))</x:f>
      </x:c>
      <x:c r="T223" t="str">
        <x:f>IF(Calc!$Q$223&gt;'Calc'!$B$8,"",IF('Calc'!$E$14=1,'财富模型'!$E$9,'财富模型'!$M$6+IF(Calc!$Q$223&lt;='财富模型'!$E$11*12,'Calc'!$W$14,'Calc'!$Y$14)-(IF('Calc'!$E$14=1,0,MIN(Calc!$S$222*(1+'财富模型'!$E$20/12)+'Calc'!$B$6,IF(Calc!$Q$223&lt;='财富模型'!$E$11*12,'Calc'!$W$14,'Calc'!$Y$14))))))</x:f>
      </x:c>
      <x:c r="U223" t="str">
        <x:f>IF(Calc!$Q$223&gt;'Calc'!$B$8,"",IF('Calc'!$E$14=1,0,MIN(Calc!$S$222*(1+'财富模型'!$E$20/12)+'Calc'!$B$6,IF(Calc!$Q$223&lt;='财富模型'!$E$11*12,'Calc'!$W$14,'Calc'!$Y$14))))</x:f>
      </x:c>
      <x:c r="V223" t="str">
        <x:f>IF(Calc!$Q$223&gt;'Calc'!$B$8,"",'Calc'!$B$5-'财富模型'!$E$5-(IF('Calc'!$E$14=1,'财富模型'!$E$9,'财富模型'!$M$6+IF(Calc!$Q$223&lt;='财富模型'!$E$11*12,'Calc'!$W$14,'Calc'!$Y$14)-(IF('Calc'!$E$14=1,0,MIN(Calc!$S$222*(1+'财富模型'!$E$20/12)+'Calc'!$B$6,IF(Calc!$Q$223&lt;='财富模型'!$E$11*12,'Calc'!$W$14,'Calc'!$Y$14)))))))</x:f>
      </x:c>
      <x:c r="W223" t="str">
        <x:f>IF(Calc!$Q$223&gt;'Calc'!$B$8,"",IF('Calc'!$E$14=1,0,MAX(Calc!$W$222*(1+IF(Calc!$Q$223&lt;='财富模型'!$E$11*12,'财富模型'!$E$10,'财富模型'!$E$12)/12)-IF('Calc'!$E$14=1,0,IF(Calc!$Q$223&lt;='财富模型'!$E$11*12,'Calc'!$W$14,'Calc'!$Y$14)),0)))</x:f>
      </x:c>
      <x:c r="Y223" t="n">
        <x:v>202</x:v>
      </x:c>
      <x:c r="Z223" t="str">
        <x:f>IF(Calc!$Y$223&gt;'Calc'!$B$8,"",MAX(Calc!$Z$222*(1+'财富模型'!$E$6/12)+('Calc'!$B$5-'财富模型'!$E$5-(IF('Calc'!$E$15=1,'财富模型'!$E$9,'财富模型'!$M$7+IF(Calc!$Y$223&lt;='财富模型'!$E$11*12,'Calc'!$W$15,'Calc'!$Y$15)-(IF('Calc'!$E$15=1,0,MIN(Calc!$AA$222*(1+'财富模型'!$E$20/12)+'Calc'!$B$6,IF(Calc!$Y$223&lt;='财富模型'!$E$11*12,'Calc'!$W$15,'Calc'!$Y$15))))))),0))</x:f>
      </x:c>
      <x:c r="AA223" t="str">
        <x:f>IF(Calc!$Y$223&gt;'Calc'!$B$8,"",MAX(Calc!$AA$222*(1+'财富模型'!$E$20/12)+'Calc'!$B$6-(IF('Calc'!$E$15=1,0,MIN(Calc!$AA$222*(1+'财富模型'!$E$20/12)+'Calc'!$B$6,IF(Calc!$Y$223&lt;='财富模型'!$E$11*12,'Calc'!$W$15,'Calc'!$Y$15)))),0))</x:f>
      </x:c>
      <x:c r="AB223" t="str">
        <x:f>IF(Calc!$Y$223&gt;'Calc'!$B$8,"",IF('Calc'!$E$15=1,'财富模型'!$E$9,'财富模型'!$M$7+IF(Calc!$Y$223&lt;='财富模型'!$E$11*12,'Calc'!$W$15,'Calc'!$Y$15)-(IF('Calc'!$E$15=1,0,MIN(Calc!$AA$222*(1+'财富模型'!$E$20/12)+'Calc'!$B$6,IF(Calc!$Y$223&lt;='财富模型'!$E$11*12,'Calc'!$W$15,'Calc'!$Y$15))))))</x:f>
      </x:c>
      <x:c r="AC223" t="str">
        <x:f>IF(Calc!$Y$223&gt;'Calc'!$B$8,"",IF('Calc'!$E$15=1,0,MIN(Calc!$AA$222*(1+'财富模型'!$E$20/12)+'Calc'!$B$6,IF(Calc!$Y$223&lt;='财富模型'!$E$11*12,'Calc'!$W$15,'Calc'!$Y$15))))</x:f>
      </x:c>
      <x:c r="AD223" t="str">
        <x:f>IF(Calc!$Y$223&gt;'Calc'!$B$8,"",'Calc'!$B$5-'财富模型'!$E$5-(IF('Calc'!$E$15=1,'财富模型'!$E$9,'财富模型'!$M$7+IF(Calc!$Y$223&lt;='财富模型'!$E$11*12,'Calc'!$W$15,'Calc'!$Y$15)-(IF('Calc'!$E$15=1,0,MIN(Calc!$AA$222*(1+'财富模型'!$E$20/12)+'Calc'!$B$6,IF(Calc!$Y$223&lt;='财富模型'!$E$11*12,'Calc'!$W$15,'Calc'!$Y$15)))))))</x:f>
      </x:c>
      <x:c r="AE223" t="str">
        <x:f>IF(Calc!$Y$223&gt;'Calc'!$B$8,"",IF('Calc'!$E$15=1,0,MAX(Calc!$AE$222*(1+IF(Calc!$Y$223&lt;='财富模型'!$E$11*12,'财富模型'!$E$10,'财富模型'!$E$12)/12)-IF('Calc'!$E$15=1,0,IF(Calc!$Y$223&lt;='财富模型'!$E$11*12,'Calc'!$W$15,'Calc'!$Y$15)),0)))</x:f>
      </x:c>
      <x:c r="AG223" t="n">
        <x:v>202</x:v>
      </x:c>
      <x:c r="AH223" t="str">
        <x:f>IF(Calc!$AG$223&gt;'Calc'!$B$8,"",MAX(Calc!$AH$222*(1+'财富模型'!$E$6/12)+('Calc'!$B$5-'财富模型'!$E$5-(IF('Calc'!$E$16=1,'财富模型'!$E$9,'财富模型'!$M$8+IF(Calc!$AG$223&lt;='财富模型'!$E$11*12,'Calc'!$W$16,'Calc'!$Y$16)-(IF('Calc'!$E$16=1,0,MIN(Calc!$AI$222*(1+'财富模型'!$E$20/12)+'Calc'!$B$6,IF(Calc!$AG$223&lt;='财富模型'!$E$11*12,'Calc'!$W$16,'Calc'!$Y$16))))))),0))</x:f>
      </x:c>
      <x:c r="AI223" t="str">
        <x:f>IF(Calc!$AG$223&gt;'Calc'!$B$8,"",MAX(Calc!$AI$222*(1+'财富模型'!$E$20/12)+'Calc'!$B$6-(IF('Calc'!$E$16=1,0,MIN(Calc!$AI$222*(1+'财富模型'!$E$20/12)+'Calc'!$B$6,IF(Calc!$AG$223&lt;='财富模型'!$E$11*12,'Calc'!$W$16,'Calc'!$Y$16)))),0))</x:f>
      </x:c>
      <x:c r="AJ223" t="str">
        <x:f>IF(Calc!$AG$223&gt;'Calc'!$B$8,"",IF('Calc'!$E$16=1,'财富模型'!$E$9,'财富模型'!$M$8+IF(Calc!$AG$223&lt;='财富模型'!$E$11*12,'Calc'!$W$16,'Calc'!$Y$16)-(IF('Calc'!$E$16=1,0,MIN(Calc!$AI$222*(1+'财富模型'!$E$20/12)+'Calc'!$B$6,IF(Calc!$AG$223&lt;='财富模型'!$E$11*12,'Calc'!$W$16,'Calc'!$Y$16))))))</x:f>
      </x:c>
      <x:c r="AK223" t="str">
        <x:f>IF(Calc!$AG$223&gt;'Calc'!$B$8,"",IF('Calc'!$E$16=1,0,MIN(Calc!$AI$222*(1+'财富模型'!$E$20/12)+'Calc'!$B$6,IF(Calc!$AG$223&lt;='财富模型'!$E$11*12,'Calc'!$W$16,'Calc'!$Y$16))))</x:f>
      </x:c>
      <x:c r="AL223" t="str">
        <x:f>IF(Calc!$AG$223&gt;'Calc'!$B$8,"",'Calc'!$B$5-'财富模型'!$E$5-(IF('Calc'!$E$16=1,'财富模型'!$E$9,'财富模型'!$M$8+IF(Calc!$AG$223&lt;='财富模型'!$E$11*12,'Calc'!$W$16,'Calc'!$Y$16)-(IF('Calc'!$E$16=1,0,MIN(Calc!$AI$222*(1+'财富模型'!$E$20/12)+'Calc'!$B$6,IF(Calc!$AG$223&lt;='财富模型'!$E$11*12,'Calc'!$W$16,'Calc'!$Y$16)))))))</x:f>
      </x:c>
      <x:c r="AM223" t="str">
        <x:f>IF(Calc!$AG$223&gt;'Calc'!$B$8,"",IF('Calc'!$E$16=1,0,MAX(Calc!$AM$222*(1+IF(Calc!$AG$223&lt;='财富模型'!$E$11*12,'财富模型'!$E$10,'财富模型'!$E$12)/12)-IF('Calc'!$E$16=1,0,IF(Calc!$AG$223&lt;='财富模型'!$E$11*12,'Calc'!$W$16,'Calc'!$Y$16)),0)))</x:f>
      </x:c>
      <x:c r="AO223" t="n">
        <x:v>202</x:v>
      </x:c>
      <x:c r="AP223" t="str">
        <x:f>IF(Calc!$AO$223&gt;'Calc'!$B$8,"",MAX(Calc!$AP$222*(1+'财富模型'!$E$6/12)+('Calc'!$B$5-'财富模型'!$E$5-(IF('Calc'!$E$17=1,'财富模型'!$E$9,'财富模型'!$M$9+IF(Calc!$AO$223&lt;='财富模型'!$E$11*12,'Calc'!$W$17,'Calc'!$Y$17)-(IF('Calc'!$E$17=1,0,MIN(Calc!$AQ$222*(1+'财富模型'!$E$20/12)+'Calc'!$B$6,IF(Calc!$AO$223&lt;='财富模型'!$E$11*12,'Calc'!$W$17,'Calc'!$Y$17))))))),0))</x:f>
      </x:c>
      <x:c r="AQ223" t="str">
        <x:f>IF(Calc!$AO$223&gt;'Calc'!$B$8,"",MAX(Calc!$AQ$222*(1+'财富模型'!$E$20/12)+'Calc'!$B$6-(IF('Calc'!$E$17=1,0,MIN(Calc!$AQ$222*(1+'财富模型'!$E$20/12)+'Calc'!$B$6,IF(Calc!$AO$223&lt;='财富模型'!$E$11*12,'Calc'!$W$17,'Calc'!$Y$17)))),0))</x:f>
      </x:c>
      <x:c r="AR223" t="str">
        <x:f>IF(Calc!$AO$223&gt;'Calc'!$B$8,"",IF('Calc'!$E$17=1,'财富模型'!$E$9,'财富模型'!$M$9+IF(Calc!$AO$223&lt;='财富模型'!$E$11*12,'Calc'!$W$17,'Calc'!$Y$17)-(IF('Calc'!$E$17=1,0,MIN(Calc!$AQ$222*(1+'财富模型'!$E$20/12)+'Calc'!$B$6,IF(Calc!$AO$223&lt;='财富模型'!$E$11*12,'Calc'!$W$17,'Calc'!$Y$17))))))</x:f>
      </x:c>
      <x:c r="AS223" t="str">
        <x:f>IF(Calc!$AO$223&gt;'Calc'!$B$8,"",IF('Calc'!$E$17=1,0,MIN(Calc!$AQ$222*(1+'财富模型'!$E$20/12)+'Calc'!$B$6,IF(Calc!$AO$223&lt;='财富模型'!$E$11*12,'Calc'!$W$17,'Calc'!$Y$17))))</x:f>
      </x:c>
      <x:c r="AT223" t="str">
        <x:f>IF(Calc!$AO$223&gt;'Calc'!$B$8,"",'Calc'!$B$5-'财富模型'!$E$5-(IF('Calc'!$E$17=1,'财富模型'!$E$9,'财富模型'!$M$9+IF(Calc!$AO$223&lt;='财富模型'!$E$11*12,'Calc'!$W$17,'Calc'!$Y$17)-(IF('Calc'!$E$17=1,0,MIN(Calc!$AQ$222*(1+'财富模型'!$E$20/12)+'Calc'!$B$6,IF(Calc!$AO$223&lt;='财富模型'!$E$11*12,'Calc'!$W$17,'Calc'!$Y$17)))))))</x:f>
      </x:c>
      <x:c r="AU223" t="str">
        <x:f>IF(Calc!$AO$223&gt;'Calc'!$B$8,"",IF('Calc'!$E$17=1,0,MAX(Calc!$AU$222*(1+IF(Calc!$AO$223&lt;='财富模型'!$E$11*12,'财富模型'!$E$10,'财富模型'!$E$12)/12)-IF('Calc'!$E$17=1,0,IF(Calc!$AO$223&lt;='财富模型'!$E$11*12,'Calc'!$W$17,'Calc'!$Y$17)),0)))</x:f>
      </x:c>
    </x:row>
    <x:row r="224">
      <x:c r="A224" t="n">
        <x:v>203</x:v>
      </x:c>
      <x:c r="B224" t="str">
        <x:f>IF(Calc!$A$224&gt;'Calc'!$B$8,"",MAX(Calc!$B$223*(1+'财富模型'!$E$6/12)+('Calc'!$B$5-'财富模型'!$E$5-(IF('Calc'!$E$12=1,'财富模型'!$E$9,'财富模型'!$M$4+IF(Calc!$A$224&lt;='财富模型'!$E$11*12,'Calc'!$W$12,'Calc'!$Y$12)-(IF('Calc'!$E$12=1,0,MIN(Calc!$C$223*(1+'财富模型'!$E$20/12)+'Calc'!$B$6,IF(Calc!$A$224&lt;='财富模型'!$E$11*12,'Calc'!$W$12,'Calc'!$Y$12))))))),0))</x:f>
      </x:c>
      <x:c r="C224" t="str">
        <x:f>IF(Calc!$A$224&gt;'Calc'!$B$8,"",MAX(Calc!$C$223*(1+'财富模型'!$E$20/12)+'Calc'!$B$6-(IF('Calc'!$E$12=1,0,MIN(Calc!$C$223*(1+'财富模型'!$E$20/12)+'Calc'!$B$6,IF(Calc!$A$224&lt;='财富模型'!$E$11*12,'Calc'!$W$12,'Calc'!$Y$12)))),0))</x:f>
      </x:c>
      <x:c r="D224" t="str">
        <x:f>IF(Calc!$A$224&gt;'Calc'!$B$8,"",IF('Calc'!$E$12=1,'财富模型'!$E$9,'财富模型'!$M$4+IF(Calc!$A$224&lt;='财富模型'!$E$11*12,'Calc'!$W$12,'Calc'!$Y$12)-(IF('Calc'!$E$12=1,0,MIN(Calc!$C$223*(1+'财富模型'!$E$20/12)+'Calc'!$B$6,IF(Calc!$A$224&lt;='财富模型'!$E$11*12,'Calc'!$W$12,'Calc'!$Y$12))))))</x:f>
      </x:c>
      <x:c r="E224" t="str">
        <x:f>IF(Calc!$A$224&gt;'Calc'!$B$8,"",IF('Calc'!$E$12=1,0,MIN(Calc!$C$223*(1+'财富模型'!$E$20/12)+'Calc'!$B$6,IF(Calc!$A$224&lt;='财富模型'!$E$11*12,'Calc'!$W$12,'Calc'!$Y$12))))</x:f>
      </x:c>
      <x:c r="F224" t="str">
        <x:f>IF(Calc!$A$224&gt;'Calc'!$B$8,"",'Calc'!$B$5-'财富模型'!$E$5-(IF('Calc'!$E$12=1,'财富模型'!$E$9,'财富模型'!$M$4+IF(Calc!$A$224&lt;='财富模型'!$E$11*12,'Calc'!$W$12,'Calc'!$Y$12)-(IF('Calc'!$E$12=1,0,MIN(Calc!$C$223*(1+'财富模型'!$E$20/12)+'Calc'!$B$6,IF(Calc!$A$224&lt;='财富模型'!$E$11*12,'Calc'!$W$12,'Calc'!$Y$12)))))))</x:f>
      </x:c>
      <x:c r="G224" t="str">
        <x:f>IF(Calc!$A$224&gt;'Calc'!$B$8,"",IF('Calc'!$E$12=1,0,MAX(Calc!$G$223*(1+IF(Calc!$A$224&lt;='财富模型'!$E$11*12,'财富模型'!$E$10,'财富模型'!$E$12)/12)-IF('Calc'!$E$12=1,0,IF(Calc!$A$224&lt;='财富模型'!$E$11*12,'Calc'!$W$12,'Calc'!$Y$12)),0)))</x:f>
      </x:c>
      <x:c r="I224" t="n">
        <x:v>203</x:v>
      </x:c>
      <x:c r="J224" t="str">
        <x:f>IF(Calc!$I$224&gt;'Calc'!$B$8,"",MAX(Calc!$J$223*(1+'财富模型'!$E$6/12)+('Calc'!$B$5-'财富模型'!$E$5-(IF('Calc'!$E$13=1,'财富模型'!$E$9,'财富模型'!$M$5+IF(Calc!$I$224&lt;='财富模型'!$E$11*12,'Calc'!$W$13,'Calc'!$Y$13)-(IF('Calc'!$E$13=1,0,MIN(Calc!$K$223*(1+'财富模型'!$E$20/12)+'Calc'!$B$6,IF(Calc!$I$224&lt;='财富模型'!$E$11*12,'Calc'!$W$13,'Calc'!$Y$13))))))),0))</x:f>
      </x:c>
      <x:c r="K224" t="str">
        <x:f>IF(Calc!$I$224&gt;'Calc'!$B$8,"",MAX(Calc!$K$223*(1+'财富模型'!$E$20/12)+'Calc'!$B$6-(IF('Calc'!$E$13=1,0,MIN(Calc!$K$223*(1+'财富模型'!$E$20/12)+'Calc'!$B$6,IF(Calc!$I$224&lt;='财富模型'!$E$11*12,'Calc'!$W$13,'Calc'!$Y$13)))),0))</x:f>
      </x:c>
      <x:c r="L224" t="str">
        <x:f>IF(Calc!$I$224&gt;'Calc'!$B$8,"",IF('Calc'!$E$13=1,'财富模型'!$E$9,'财富模型'!$M$5+IF(Calc!$I$224&lt;='财富模型'!$E$11*12,'Calc'!$W$13,'Calc'!$Y$13)-(IF('Calc'!$E$13=1,0,MIN(Calc!$K$223*(1+'财富模型'!$E$20/12)+'Calc'!$B$6,IF(Calc!$I$224&lt;='财富模型'!$E$11*12,'Calc'!$W$13,'Calc'!$Y$13))))))</x:f>
      </x:c>
      <x:c r="M224" t="str">
        <x:f>IF(Calc!$I$224&gt;'Calc'!$B$8,"",IF('Calc'!$E$13=1,0,MIN(Calc!$K$223*(1+'财富模型'!$E$20/12)+'Calc'!$B$6,IF(Calc!$I$224&lt;='财富模型'!$E$11*12,'Calc'!$W$13,'Calc'!$Y$13))))</x:f>
      </x:c>
      <x:c r="N224" t="str">
        <x:f>IF(Calc!$I$224&gt;'Calc'!$B$8,"",'Calc'!$B$5-'财富模型'!$E$5-(IF('Calc'!$E$13=1,'财富模型'!$E$9,'财富模型'!$M$5+IF(Calc!$I$224&lt;='财富模型'!$E$11*12,'Calc'!$W$13,'Calc'!$Y$13)-(IF('Calc'!$E$13=1,0,MIN(Calc!$K$223*(1+'财富模型'!$E$20/12)+'Calc'!$B$6,IF(Calc!$I$224&lt;='财富模型'!$E$11*12,'Calc'!$W$13,'Calc'!$Y$13)))))))</x:f>
      </x:c>
      <x:c r="O224" t="str">
        <x:f>IF(Calc!$I$224&gt;'Calc'!$B$8,"",IF('Calc'!$E$13=1,0,MAX(Calc!$O$223*(1+IF(Calc!$I$224&lt;='财富模型'!$E$11*12,'财富模型'!$E$10,'财富模型'!$E$12)/12)-IF('Calc'!$E$13=1,0,IF(Calc!$I$224&lt;='财富模型'!$E$11*12,'Calc'!$W$13,'Calc'!$Y$13)),0)))</x:f>
      </x:c>
      <x:c r="Q224" t="n">
        <x:v>203</x:v>
      </x:c>
      <x:c r="R224" t="str">
        <x:f>IF(Calc!$Q$224&gt;'Calc'!$B$8,"",MAX(Calc!$R$223*(1+'财富模型'!$E$6/12)+('Calc'!$B$5-'财富模型'!$E$5-(IF('Calc'!$E$14=1,'财富模型'!$E$9,'财富模型'!$M$6+IF(Calc!$Q$224&lt;='财富模型'!$E$11*12,'Calc'!$W$14,'Calc'!$Y$14)-(IF('Calc'!$E$14=1,0,MIN(Calc!$S$223*(1+'财富模型'!$E$20/12)+'Calc'!$B$6,IF(Calc!$Q$224&lt;='财富模型'!$E$11*12,'Calc'!$W$14,'Calc'!$Y$14))))))),0))</x:f>
      </x:c>
      <x:c r="S224" t="str">
        <x:f>IF(Calc!$Q$224&gt;'Calc'!$B$8,"",MAX(Calc!$S$223*(1+'财富模型'!$E$20/12)+'Calc'!$B$6-(IF('Calc'!$E$14=1,0,MIN(Calc!$S$223*(1+'财富模型'!$E$20/12)+'Calc'!$B$6,IF(Calc!$Q$224&lt;='财富模型'!$E$11*12,'Calc'!$W$14,'Calc'!$Y$14)))),0))</x:f>
      </x:c>
      <x:c r="T224" t="str">
        <x:f>IF(Calc!$Q$224&gt;'Calc'!$B$8,"",IF('Calc'!$E$14=1,'财富模型'!$E$9,'财富模型'!$M$6+IF(Calc!$Q$224&lt;='财富模型'!$E$11*12,'Calc'!$W$14,'Calc'!$Y$14)-(IF('Calc'!$E$14=1,0,MIN(Calc!$S$223*(1+'财富模型'!$E$20/12)+'Calc'!$B$6,IF(Calc!$Q$224&lt;='财富模型'!$E$11*12,'Calc'!$W$14,'Calc'!$Y$14))))))</x:f>
      </x:c>
      <x:c r="U224" t="str">
        <x:f>IF(Calc!$Q$224&gt;'Calc'!$B$8,"",IF('Calc'!$E$14=1,0,MIN(Calc!$S$223*(1+'财富模型'!$E$20/12)+'Calc'!$B$6,IF(Calc!$Q$224&lt;='财富模型'!$E$11*12,'Calc'!$W$14,'Calc'!$Y$14))))</x:f>
      </x:c>
      <x:c r="V224" t="str">
        <x:f>IF(Calc!$Q$224&gt;'Calc'!$B$8,"",'Calc'!$B$5-'财富模型'!$E$5-(IF('Calc'!$E$14=1,'财富模型'!$E$9,'财富模型'!$M$6+IF(Calc!$Q$224&lt;='财富模型'!$E$11*12,'Calc'!$W$14,'Calc'!$Y$14)-(IF('Calc'!$E$14=1,0,MIN(Calc!$S$223*(1+'财富模型'!$E$20/12)+'Calc'!$B$6,IF(Calc!$Q$224&lt;='财富模型'!$E$11*12,'Calc'!$W$14,'Calc'!$Y$14)))))))</x:f>
      </x:c>
      <x:c r="W224" t="str">
        <x:f>IF(Calc!$Q$224&gt;'Calc'!$B$8,"",IF('Calc'!$E$14=1,0,MAX(Calc!$W$223*(1+IF(Calc!$Q$224&lt;='财富模型'!$E$11*12,'财富模型'!$E$10,'财富模型'!$E$12)/12)-IF('Calc'!$E$14=1,0,IF(Calc!$Q$224&lt;='财富模型'!$E$11*12,'Calc'!$W$14,'Calc'!$Y$14)),0)))</x:f>
      </x:c>
      <x:c r="Y224" t="n">
        <x:v>203</x:v>
      </x:c>
      <x:c r="Z224" t="str">
        <x:f>IF(Calc!$Y$224&gt;'Calc'!$B$8,"",MAX(Calc!$Z$223*(1+'财富模型'!$E$6/12)+('Calc'!$B$5-'财富模型'!$E$5-(IF('Calc'!$E$15=1,'财富模型'!$E$9,'财富模型'!$M$7+IF(Calc!$Y$224&lt;='财富模型'!$E$11*12,'Calc'!$W$15,'Calc'!$Y$15)-(IF('Calc'!$E$15=1,0,MIN(Calc!$AA$223*(1+'财富模型'!$E$20/12)+'Calc'!$B$6,IF(Calc!$Y$224&lt;='财富模型'!$E$11*12,'Calc'!$W$15,'Calc'!$Y$15))))))),0))</x:f>
      </x:c>
      <x:c r="AA224" t="str">
        <x:f>IF(Calc!$Y$224&gt;'Calc'!$B$8,"",MAX(Calc!$AA$223*(1+'财富模型'!$E$20/12)+'Calc'!$B$6-(IF('Calc'!$E$15=1,0,MIN(Calc!$AA$223*(1+'财富模型'!$E$20/12)+'Calc'!$B$6,IF(Calc!$Y$224&lt;='财富模型'!$E$11*12,'Calc'!$W$15,'Calc'!$Y$15)))),0))</x:f>
      </x:c>
      <x:c r="AB224" t="str">
        <x:f>IF(Calc!$Y$224&gt;'Calc'!$B$8,"",IF('Calc'!$E$15=1,'财富模型'!$E$9,'财富模型'!$M$7+IF(Calc!$Y$224&lt;='财富模型'!$E$11*12,'Calc'!$W$15,'Calc'!$Y$15)-(IF('Calc'!$E$15=1,0,MIN(Calc!$AA$223*(1+'财富模型'!$E$20/12)+'Calc'!$B$6,IF(Calc!$Y$224&lt;='财富模型'!$E$11*12,'Calc'!$W$15,'Calc'!$Y$15))))))</x:f>
      </x:c>
      <x:c r="AC224" t="str">
        <x:f>IF(Calc!$Y$224&gt;'Calc'!$B$8,"",IF('Calc'!$E$15=1,0,MIN(Calc!$AA$223*(1+'财富模型'!$E$20/12)+'Calc'!$B$6,IF(Calc!$Y$224&lt;='财富模型'!$E$11*12,'Calc'!$W$15,'Calc'!$Y$15))))</x:f>
      </x:c>
      <x:c r="AD224" t="str">
        <x:f>IF(Calc!$Y$224&gt;'Calc'!$B$8,"",'Calc'!$B$5-'财富模型'!$E$5-(IF('Calc'!$E$15=1,'财富模型'!$E$9,'财富模型'!$M$7+IF(Calc!$Y$224&lt;='财富模型'!$E$11*12,'Calc'!$W$15,'Calc'!$Y$15)-(IF('Calc'!$E$15=1,0,MIN(Calc!$AA$223*(1+'财富模型'!$E$20/12)+'Calc'!$B$6,IF(Calc!$Y$224&lt;='财富模型'!$E$11*12,'Calc'!$W$15,'Calc'!$Y$15)))))))</x:f>
      </x:c>
      <x:c r="AE224" t="str">
        <x:f>IF(Calc!$Y$224&gt;'Calc'!$B$8,"",IF('Calc'!$E$15=1,0,MAX(Calc!$AE$223*(1+IF(Calc!$Y$224&lt;='财富模型'!$E$11*12,'财富模型'!$E$10,'财富模型'!$E$12)/12)-IF('Calc'!$E$15=1,0,IF(Calc!$Y$224&lt;='财富模型'!$E$11*12,'Calc'!$W$15,'Calc'!$Y$15)),0)))</x:f>
      </x:c>
      <x:c r="AG224" t="n">
        <x:v>203</x:v>
      </x:c>
      <x:c r="AH224" t="str">
        <x:f>IF(Calc!$AG$224&gt;'Calc'!$B$8,"",MAX(Calc!$AH$223*(1+'财富模型'!$E$6/12)+('Calc'!$B$5-'财富模型'!$E$5-(IF('Calc'!$E$16=1,'财富模型'!$E$9,'财富模型'!$M$8+IF(Calc!$AG$224&lt;='财富模型'!$E$11*12,'Calc'!$W$16,'Calc'!$Y$16)-(IF('Calc'!$E$16=1,0,MIN(Calc!$AI$223*(1+'财富模型'!$E$20/12)+'Calc'!$B$6,IF(Calc!$AG$224&lt;='财富模型'!$E$11*12,'Calc'!$W$16,'Calc'!$Y$16))))))),0))</x:f>
      </x:c>
      <x:c r="AI224" t="str">
        <x:f>IF(Calc!$AG$224&gt;'Calc'!$B$8,"",MAX(Calc!$AI$223*(1+'财富模型'!$E$20/12)+'Calc'!$B$6-(IF('Calc'!$E$16=1,0,MIN(Calc!$AI$223*(1+'财富模型'!$E$20/12)+'Calc'!$B$6,IF(Calc!$AG$224&lt;='财富模型'!$E$11*12,'Calc'!$W$16,'Calc'!$Y$16)))),0))</x:f>
      </x:c>
      <x:c r="AJ224" t="str">
        <x:f>IF(Calc!$AG$224&gt;'Calc'!$B$8,"",IF('Calc'!$E$16=1,'财富模型'!$E$9,'财富模型'!$M$8+IF(Calc!$AG$224&lt;='财富模型'!$E$11*12,'Calc'!$W$16,'Calc'!$Y$16)-(IF('Calc'!$E$16=1,0,MIN(Calc!$AI$223*(1+'财富模型'!$E$20/12)+'Calc'!$B$6,IF(Calc!$AG$224&lt;='财富模型'!$E$11*12,'Calc'!$W$16,'Calc'!$Y$16))))))</x:f>
      </x:c>
      <x:c r="AK224" t="str">
        <x:f>IF(Calc!$AG$224&gt;'Calc'!$B$8,"",IF('Calc'!$E$16=1,0,MIN(Calc!$AI$223*(1+'财富模型'!$E$20/12)+'Calc'!$B$6,IF(Calc!$AG$224&lt;='财富模型'!$E$11*12,'Calc'!$W$16,'Calc'!$Y$16))))</x:f>
      </x:c>
      <x:c r="AL224" t="str">
        <x:f>IF(Calc!$AG$224&gt;'Calc'!$B$8,"",'Calc'!$B$5-'财富模型'!$E$5-(IF('Calc'!$E$16=1,'财富模型'!$E$9,'财富模型'!$M$8+IF(Calc!$AG$224&lt;='财富模型'!$E$11*12,'Calc'!$W$16,'Calc'!$Y$16)-(IF('Calc'!$E$16=1,0,MIN(Calc!$AI$223*(1+'财富模型'!$E$20/12)+'Calc'!$B$6,IF(Calc!$AG$224&lt;='财富模型'!$E$11*12,'Calc'!$W$16,'Calc'!$Y$16)))))))</x:f>
      </x:c>
      <x:c r="AM224" t="str">
        <x:f>IF(Calc!$AG$224&gt;'Calc'!$B$8,"",IF('Calc'!$E$16=1,0,MAX(Calc!$AM$223*(1+IF(Calc!$AG$224&lt;='财富模型'!$E$11*12,'财富模型'!$E$10,'财富模型'!$E$12)/12)-IF('Calc'!$E$16=1,0,IF(Calc!$AG$224&lt;='财富模型'!$E$11*12,'Calc'!$W$16,'Calc'!$Y$16)),0)))</x:f>
      </x:c>
      <x:c r="AO224" t="n">
        <x:v>203</x:v>
      </x:c>
      <x:c r="AP224" t="str">
        <x:f>IF(Calc!$AO$224&gt;'Calc'!$B$8,"",MAX(Calc!$AP$223*(1+'财富模型'!$E$6/12)+('Calc'!$B$5-'财富模型'!$E$5-(IF('Calc'!$E$17=1,'财富模型'!$E$9,'财富模型'!$M$9+IF(Calc!$AO$224&lt;='财富模型'!$E$11*12,'Calc'!$W$17,'Calc'!$Y$17)-(IF('Calc'!$E$17=1,0,MIN(Calc!$AQ$223*(1+'财富模型'!$E$20/12)+'Calc'!$B$6,IF(Calc!$AO$224&lt;='财富模型'!$E$11*12,'Calc'!$W$17,'Calc'!$Y$17))))))),0))</x:f>
      </x:c>
      <x:c r="AQ224" t="str">
        <x:f>IF(Calc!$AO$224&gt;'Calc'!$B$8,"",MAX(Calc!$AQ$223*(1+'财富模型'!$E$20/12)+'Calc'!$B$6-(IF('Calc'!$E$17=1,0,MIN(Calc!$AQ$223*(1+'财富模型'!$E$20/12)+'Calc'!$B$6,IF(Calc!$AO$224&lt;='财富模型'!$E$11*12,'Calc'!$W$17,'Calc'!$Y$17)))),0))</x:f>
      </x:c>
      <x:c r="AR224" t="str">
        <x:f>IF(Calc!$AO$224&gt;'Calc'!$B$8,"",IF('Calc'!$E$17=1,'财富模型'!$E$9,'财富模型'!$M$9+IF(Calc!$AO$224&lt;='财富模型'!$E$11*12,'Calc'!$W$17,'Calc'!$Y$17)-(IF('Calc'!$E$17=1,0,MIN(Calc!$AQ$223*(1+'财富模型'!$E$20/12)+'Calc'!$B$6,IF(Calc!$AO$224&lt;='财富模型'!$E$11*12,'Calc'!$W$17,'Calc'!$Y$17))))))</x:f>
      </x:c>
      <x:c r="AS224" t="str">
        <x:f>IF(Calc!$AO$224&gt;'Calc'!$B$8,"",IF('Calc'!$E$17=1,0,MIN(Calc!$AQ$223*(1+'财富模型'!$E$20/12)+'Calc'!$B$6,IF(Calc!$AO$224&lt;='财富模型'!$E$11*12,'Calc'!$W$17,'Calc'!$Y$17))))</x:f>
      </x:c>
      <x:c r="AT224" t="str">
        <x:f>IF(Calc!$AO$224&gt;'Calc'!$B$8,"",'Calc'!$B$5-'财富模型'!$E$5-(IF('Calc'!$E$17=1,'财富模型'!$E$9,'财富模型'!$M$9+IF(Calc!$AO$224&lt;='财富模型'!$E$11*12,'Calc'!$W$17,'Calc'!$Y$17)-(IF('Calc'!$E$17=1,0,MIN(Calc!$AQ$223*(1+'财富模型'!$E$20/12)+'Calc'!$B$6,IF(Calc!$AO$224&lt;='财富模型'!$E$11*12,'Calc'!$W$17,'Calc'!$Y$17)))))))</x:f>
      </x:c>
      <x:c r="AU224" t="str">
        <x:f>IF(Calc!$AO$224&gt;'Calc'!$B$8,"",IF('Calc'!$E$17=1,0,MAX(Calc!$AU$223*(1+IF(Calc!$AO$224&lt;='财富模型'!$E$11*12,'财富模型'!$E$10,'财富模型'!$E$12)/12)-IF('Calc'!$E$17=1,0,IF(Calc!$AO$224&lt;='财富模型'!$E$11*12,'Calc'!$W$17,'Calc'!$Y$17)),0)))</x:f>
      </x:c>
    </x:row>
    <x:row r="225">
      <x:c r="A225" t="n">
        <x:v>204</x:v>
      </x:c>
      <x:c r="B225" t="str">
        <x:f>IF(Calc!$A$225&gt;'Calc'!$B$8,"",MAX(Calc!$B$224*(1+'财富模型'!$E$6/12)+('Calc'!$B$5-'财富模型'!$E$5-(IF('Calc'!$E$12=1,'财富模型'!$E$9,'财富模型'!$M$4+IF(Calc!$A$225&lt;='财富模型'!$E$11*12,'Calc'!$W$12,'Calc'!$Y$12)-(IF('Calc'!$E$12=1,0,MIN(Calc!$C$224*(1+'财富模型'!$E$20/12)+'Calc'!$B$6,IF(Calc!$A$225&lt;='财富模型'!$E$11*12,'Calc'!$W$12,'Calc'!$Y$12))))))),0))</x:f>
      </x:c>
      <x:c r="C225" t="str">
        <x:f>IF(Calc!$A$225&gt;'Calc'!$B$8,"",MAX(Calc!$C$224*(1+'财富模型'!$E$20/12)+'Calc'!$B$6-(IF('Calc'!$E$12=1,0,MIN(Calc!$C$224*(1+'财富模型'!$E$20/12)+'Calc'!$B$6,IF(Calc!$A$225&lt;='财富模型'!$E$11*12,'Calc'!$W$12,'Calc'!$Y$12)))),0))</x:f>
      </x:c>
      <x:c r="D225" t="str">
        <x:f>IF(Calc!$A$225&gt;'Calc'!$B$8,"",IF('Calc'!$E$12=1,'财富模型'!$E$9,'财富模型'!$M$4+IF(Calc!$A$225&lt;='财富模型'!$E$11*12,'Calc'!$W$12,'Calc'!$Y$12)-(IF('Calc'!$E$12=1,0,MIN(Calc!$C$224*(1+'财富模型'!$E$20/12)+'Calc'!$B$6,IF(Calc!$A$225&lt;='财富模型'!$E$11*12,'Calc'!$W$12,'Calc'!$Y$12))))))</x:f>
      </x:c>
      <x:c r="E225" t="str">
        <x:f>IF(Calc!$A$225&gt;'Calc'!$B$8,"",IF('Calc'!$E$12=1,0,MIN(Calc!$C$224*(1+'财富模型'!$E$20/12)+'Calc'!$B$6,IF(Calc!$A$225&lt;='财富模型'!$E$11*12,'Calc'!$W$12,'Calc'!$Y$12))))</x:f>
      </x:c>
      <x:c r="F225" t="str">
        <x:f>IF(Calc!$A$225&gt;'Calc'!$B$8,"",'Calc'!$B$5-'财富模型'!$E$5-(IF('Calc'!$E$12=1,'财富模型'!$E$9,'财富模型'!$M$4+IF(Calc!$A$225&lt;='财富模型'!$E$11*12,'Calc'!$W$12,'Calc'!$Y$12)-(IF('Calc'!$E$12=1,0,MIN(Calc!$C$224*(1+'财富模型'!$E$20/12)+'Calc'!$B$6,IF(Calc!$A$225&lt;='财富模型'!$E$11*12,'Calc'!$W$12,'Calc'!$Y$12)))))))</x:f>
      </x:c>
      <x:c r="G225" t="str">
        <x:f>IF(Calc!$A$225&gt;'Calc'!$B$8,"",IF('Calc'!$E$12=1,0,MAX(Calc!$G$224*(1+IF(Calc!$A$225&lt;='财富模型'!$E$11*12,'财富模型'!$E$10,'财富模型'!$E$12)/12)-IF('Calc'!$E$12=1,0,IF(Calc!$A$225&lt;='财富模型'!$E$11*12,'Calc'!$W$12,'Calc'!$Y$12)),0)))</x:f>
      </x:c>
      <x:c r="I225" t="n">
        <x:v>204</x:v>
      </x:c>
      <x:c r="J225" t="str">
        <x:f>IF(Calc!$I$225&gt;'Calc'!$B$8,"",MAX(Calc!$J$224*(1+'财富模型'!$E$6/12)+('Calc'!$B$5-'财富模型'!$E$5-(IF('Calc'!$E$13=1,'财富模型'!$E$9,'财富模型'!$M$5+IF(Calc!$I$225&lt;='财富模型'!$E$11*12,'Calc'!$W$13,'Calc'!$Y$13)-(IF('Calc'!$E$13=1,0,MIN(Calc!$K$224*(1+'财富模型'!$E$20/12)+'Calc'!$B$6,IF(Calc!$I$225&lt;='财富模型'!$E$11*12,'Calc'!$W$13,'Calc'!$Y$13))))))),0))</x:f>
      </x:c>
      <x:c r="K225" t="str">
        <x:f>IF(Calc!$I$225&gt;'Calc'!$B$8,"",MAX(Calc!$K$224*(1+'财富模型'!$E$20/12)+'Calc'!$B$6-(IF('Calc'!$E$13=1,0,MIN(Calc!$K$224*(1+'财富模型'!$E$20/12)+'Calc'!$B$6,IF(Calc!$I$225&lt;='财富模型'!$E$11*12,'Calc'!$W$13,'Calc'!$Y$13)))),0))</x:f>
      </x:c>
      <x:c r="L225" t="str">
        <x:f>IF(Calc!$I$225&gt;'Calc'!$B$8,"",IF('Calc'!$E$13=1,'财富模型'!$E$9,'财富模型'!$M$5+IF(Calc!$I$225&lt;='财富模型'!$E$11*12,'Calc'!$W$13,'Calc'!$Y$13)-(IF('Calc'!$E$13=1,0,MIN(Calc!$K$224*(1+'财富模型'!$E$20/12)+'Calc'!$B$6,IF(Calc!$I$225&lt;='财富模型'!$E$11*12,'Calc'!$W$13,'Calc'!$Y$13))))))</x:f>
      </x:c>
      <x:c r="M225" t="str">
        <x:f>IF(Calc!$I$225&gt;'Calc'!$B$8,"",IF('Calc'!$E$13=1,0,MIN(Calc!$K$224*(1+'财富模型'!$E$20/12)+'Calc'!$B$6,IF(Calc!$I$225&lt;='财富模型'!$E$11*12,'Calc'!$W$13,'Calc'!$Y$13))))</x:f>
      </x:c>
      <x:c r="N225" t="str">
        <x:f>IF(Calc!$I$225&gt;'Calc'!$B$8,"",'Calc'!$B$5-'财富模型'!$E$5-(IF('Calc'!$E$13=1,'财富模型'!$E$9,'财富模型'!$M$5+IF(Calc!$I$225&lt;='财富模型'!$E$11*12,'Calc'!$W$13,'Calc'!$Y$13)-(IF('Calc'!$E$13=1,0,MIN(Calc!$K$224*(1+'财富模型'!$E$20/12)+'Calc'!$B$6,IF(Calc!$I$225&lt;='财富模型'!$E$11*12,'Calc'!$W$13,'Calc'!$Y$13)))))))</x:f>
      </x:c>
      <x:c r="O225" t="str">
        <x:f>IF(Calc!$I$225&gt;'Calc'!$B$8,"",IF('Calc'!$E$13=1,0,MAX(Calc!$O$224*(1+IF(Calc!$I$225&lt;='财富模型'!$E$11*12,'财富模型'!$E$10,'财富模型'!$E$12)/12)-IF('Calc'!$E$13=1,0,IF(Calc!$I$225&lt;='财富模型'!$E$11*12,'Calc'!$W$13,'Calc'!$Y$13)),0)))</x:f>
      </x:c>
      <x:c r="Q225" t="n">
        <x:v>204</x:v>
      </x:c>
      <x:c r="R225" t="str">
        <x:f>IF(Calc!$Q$225&gt;'Calc'!$B$8,"",MAX(Calc!$R$224*(1+'财富模型'!$E$6/12)+('Calc'!$B$5-'财富模型'!$E$5-(IF('Calc'!$E$14=1,'财富模型'!$E$9,'财富模型'!$M$6+IF(Calc!$Q$225&lt;='财富模型'!$E$11*12,'Calc'!$W$14,'Calc'!$Y$14)-(IF('Calc'!$E$14=1,0,MIN(Calc!$S$224*(1+'财富模型'!$E$20/12)+'Calc'!$B$6,IF(Calc!$Q$225&lt;='财富模型'!$E$11*12,'Calc'!$W$14,'Calc'!$Y$14))))))),0))</x:f>
      </x:c>
      <x:c r="S225" t="str">
        <x:f>IF(Calc!$Q$225&gt;'Calc'!$B$8,"",MAX(Calc!$S$224*(1+'财富模型'!$E$20/12)+'Calc'!$B$6-(IF('Calc'!$E$14=1,0,MIN(Calc!$S$224*(1+'财富模型'!$E$20/12)+'Calc'!$B$6,IF(Calc!$Q$225&lt;='财富模型'!$E$11*12,'Calc'!$W$14,'Calc'!$Y$14)))),0))</x:f>
      </x:c>
      <x:c r="T225" t="str">
        <x:f>IF(Calc!$Q$225&gt;'Calc'!$B$8,"",IF('Calc'!$E$14=1,'财富模型'!$E$9,'财富模型'!$M$6+IF(Calc!$Q$225&lt;='财富模型'!$E$11*12,'Calc'!$W$14,'Calc'!$Y$14)-(IF('Calc'!$E$14=1,0,MIN(Calc!$S$224*(1+'财富模型'!$E$20/12)+'Calc'!$B$6,IF(Calc!$Q$225&lt;='财富模型'!$E$11*12,'Calc'!$W$14,'Calc'!$Y$14))))))</x:f>
      </x:c>
      <x:c r="U225" t="str">
        <x:f>IF(Calc!$Q$225&gt;'Calc'!$B$8,"",IF('Calc'!$E$14=1,0,MIN(Calc!$S$224*(1+'财富模型'!$E$20/12)+'Calc'!$B$6,IF(Calc!$Q$225&lt;='财富模型'!$E$11*12,'Calc'!$W$14,'Calc'!$Y$14))))</x:f>
      </x:c>
      <x:c r="V225" t="str">
        <x:f>IF(Calc!$Q$225&gt;'Calc'!$B$8,"",'Calc'!$B$5-'财富模型'!$E$5-(IF('Calc'!$E$14=1,'财富模型'!$E$9,'财富模型'!$M$6+IF(Calc!$Q$225&lt;='财富模型'!$E$11*12,'Calc'!$W$14,'Calc'!$Y$14)-(IF('Calc'!$E$14=1,0,MIN(Calc!$S$224*(1+'财富模型'!$E$20/12)+'Calc'!$B$6,IF(Calc!$Q$225&lt;='财富模型'!$E$11*12,'Calc'!$W$14,'Calc'!$Y$14)))))))</x:f>
      </x:c>
      <x:c r="W225" t="str">
        <x:f>IF(Calc!$Q$225&gt;'Calc'!$B$8,"",IF('Calc'!$E$14=1,0,MAX(Calc!$W$224*(1+IF(Calc!$Q$225&lt;='财富模型'!$E$11*12,'财富模型'!$E$10,'财富模型'!$E$12)/12)-IF('Calc'!$E$14=1,0,IF(Calc!$Q$225&lt;='财富模型'!$E$11*12,'Calc'!$W$14,'Calc'!$Y$14)),0)))</x:f>
      </x:c>
      <x:c r="Y225" t="n">
        <x:v>204</x:v>
      </x:c>
      <x:c r="Z225" t="str">
        <x:f>IF(Calc!$Y$225&gt;'Calc'!$B$8,"",MAX(Calc!$Z$224*(1+'财富模型'!$E$6/12)+('Calc'!$B$5-'财富模型'!$E$5-(IF('Calc'!$E$15=1,'财富模型'!$E$9,'财富模型'!$M$7+IF(Calc!$Y$225&lt;='财富模型'!$E$11*12,'Calc'!$W$15,'Calc'!$Y$15)-(IF('Calc'!$E$15=1,0,MIN(Calc!$AA$224*(1+'财富模型'!$E$20/12)+'Calc'!$B$6,IF(Calc!$Y$225&lt;='财富模型'!$E$11*12,'Calc'!$W$15,'Calc'!$Y$15))))))),0))</x:f>
      </x:c>
      <x:c r="AA225" t="str">
        <x:f>IF(Calc!$Y$225&gt;'Calc'!$B$8,"",MAX(Calc!$AA$224*(1+'财富模型'!$E$20/12)+'Calc'!$B$6-(IF('Calc'!$E$15=1,0,MIN(Calc!$AA$224*(1+'财富模型'!$E$20/12)+'Calc'!$B$6,IF(Calc!$Y$225&lt;='财富模型'!$E$11*12,'Calc'!$W$15,'Calc'!$Y$15)))),0))</x:f>
      </x:c>
      <x:c r="AB225" t="str">
        <x:f>IF(Calc!$Y$225&gt;'Calc'!$B$8,"",IF('Calc'!$E$15=1,'财富模型'!$E$9,'财富模型'!$M$7+IF(Calc!$Y$225&lt;='财富模型'!$E$11*12,'Calc'!$W$15,'Calc'!$Y$15)-(IF('Calc'!$E$15=1,0,MIN(Calc!$AA$224*(1+'财富模型'!$E$20/12)+'Calc'!$B$6,IF(Calc!$Y$225&lt;='财富模型'!$E$11*12,'Calc'!$W$15,'Calc'!$Y$15))))))</x:f>
      </x:c>
      <x:c r="AC225" t="str">
        <x:f>IF(Calc!$Y$225&gt;'Calc'!$B$8,"",IF('Calc'!$E$15=1,0,MIN(Calc!$AA$224*(1+'财富模型'!$E$20/12)+'Calc'!$B$6,IF(Calc!$Y$225&lt;='财富模型'!$E$11*12,'Calc'!$W$15,'Calc'!$Y$15))))</x:f>
      </x:c>
      <x:c r="AD225" t="str">
        <x:f>IF(Calc!$Y$225&gt;'Calc'!$B$8,"",'Calc'!$B$5-'财富模型'!$E$5-(IF('Calc'!$E$15=1,'财富模型'!$E$9,'财富模型'!$M$7+IF(Calc!$Y$225&lt;='财富模型'!$E$11*12,'Calc'!$W$15,'Calc'!$Y$15)-(IF('Calc'!$E$15=1,0,MIN(Calc!$AA$224*(1+'财富模型'!$E$20/12)+'Calc'!$B$6,IF(Calc!$Y$225&lt;='财富模型'!$E$11*12,'Calc'!$W$15,'Calc'!$Y$15)))))))</x:f>
      </x:c>
      <x:c r="AE225" t="str">
        <x:f>IF(Calc!$Y$225&gt;'Calc'!$B$8,"",IF('Calc'!$E$15=1,0,MAX(Calc!$AE$224*(1+IF(Calc!$Y$225&lt;='财富模型'!$E$11*12,'财富模型'!$E$10,'财富模型'!$E$12)/12)-IF('Calc'!$E$15=1,0,IF(Calc!$Y$225&lt;='财富模型'!$E$11*12,'Calc'!$W$15,'Calc'!$Y$15)),0)))</x:f>
      </x:c>
      <x:c r="AG225" t="n">
        <x:v>204</x:v>
      </x:c>
      <x:c r="AH225" t="str">
        <x:f>IF(Calc!$AG$225&gt;'Calc'!$B$8,"",MAX(Calc!$AH$224*(1+'财富模型'!$E$6/12)+('Calc'!$B$5-'财富模型'!$E$5-(IF('Calc'!$E$16=1,'财富模型'!$E$9,'财富模型'!$M$8+IF(Calc!$AG$225&lt;='财富模型'!$E$11*12,'Calc'!$W$16,'Calc'!$Y$16)-(IF('Calc'!$E$16=1,0,MIN(Calc!$AI$224*(1+'财富模型'!$E$20/12)+'Calc'!$B$6,IF(Calc!$AG$225&lt;='财富模型'!$E$11*12,'Calc'!$W$16,'Calc'!$Y$16))))))),0))</x:f>
      </x:c>
      <x:c r="AI225" t="str">
        <x:f>IF(Calc!$AG$225&gt;'Calc'!$B$8,"",MAX(Calc!$AI$224*(1+'财富模型'!$E$20/12)+'Calc'!$B$6-(IF('Calc'!$E$16=1,0,MIN(Calc!$AI$224*(1+'财富模型'!$E$20/12)+'Calc'!$B$6,IF(Calc!$AG$225&lt;='财富模型'!$E$11*12,'Calc'!$W$16,'Calc'!$Y$16)))),0))</x:f>
      </x:c>
      <x:c r="AJ225" t="str">
        <x:f>IF(Calc!$AG$225&gt;'Calc'!$B$8,"",IF('Calc'!$E$16=1,'财富模型'!$E$9,'财富模型'!$M$8+IF(Calc!$AG$225&lt;='财富模型'!$E$11*12,'Calc'!$W$16,'Calc'!$Y$16)-(IF('Calc'!$E$16=1,0,MIN(Calc!$AI$224*(1+'财富模型'!$E$20/12)+'Calc'!$B$6,IF(Calc!$AG$225&lt;='财富模型'!$E$11*12,'Calc'!$W$16,'Calc'!$Y$16))))))</x:f>
      </x:c>
      <x:c r="AK225" t="str">
        <x:f>IF(Calc!$AG$225&gt;'Calc'!$B$8,"",IF('Calc'!$E$16=1,0,MIN(Calc!$AI$224*(1+'财富模型'!$E$20/12)+'Calc'!$B$6,IF(Calc!$AG$225&lt;='财富模型'!$E$11*12,'Calc'!$W$16,'Calc'!$Y$16))))</x:f>
      </x:c>
      <x:c r="AL225" t="str">
        <x:f>IF(Calc!$AG$225&gt;'Calc'!$B$8,"",'Calc'!$B$5-'财富模型'!$E$5-(IF('Calc'!$E$16=1,'财富模型'!$E$9,'财富模型'!$M$8+IF(Calc!$AG$225&lt;='财富模型'!$E$11*12,'Calc'!$W$16,'Calc'!$Y$16)-(IF('Calc'!$E$16=1,0,MIN(Calc!$AI$224*(1+'财富模型'!$E$20/12)+'Calc'!$B$6,IF(Calc!$AG$225&lt;='财富模型'!$E$11*12,'Calc'!$W$16,'Calc'!$Y$16)))))))</x:f>
      </x:c>
      <x:c r="AM225" t="str">
        <x:f>IF(Calc!$AG$225&gt;'Calc'!$B$8,"",IF('Calc'!$E$16=1,0,MAX(Calc!$AM$224*(1+IF(Calc!$AG$225&lt;='财富模型'!$E$11*12,'财富模型'!$E$10,'财富模型'!$E$12)/12)-IF('Calc'!$E$16=1,0,IF(Calc!$AG$225&lt;='财富模型'!$E$11*12,'Calc'!$W$16,'Calc'!$Y$16)),0)))</x:f>
      </x:c>
      <x:c r="AO225" t="n">
        <x:v>204</x:v>
      </x:c>
      <x:c r="AP225" t="str">
        <x:f>IF(Calc!$AO$225&gt;'Calc'!$B$8,"",MAX(Calc!$AP$224*(1+'财富模型'!$E$6/12)+('Calc'!$B$5-'财富模型'!$E$5-(IF('Calc'!$E$17=1,'财富模型'!$E$9,'财富模型'!$M$9+IF(Calc!$AO$225&lt;='财富模型'!$E$11*12,'Calc'!$W$17,'Calc'!$Y$17)-(IF('Calc'!$E$17=1,0,MIN(Calc!$AQ$224*(1+'财富模型'!$E$20/12)+'Calc'!$B$6,IF(Calc!$AO$225&lt;='财富模型'!$E$11*12,'Calc'!$W$17,'Calc'!$Y$17))))))),0))</x:f>
      </x:c>
      <x:c r="AQ225" t="str">
        <x:f>IF(Calc!$AO$225&gt;'Calc'!$B$8,"",MAX(Calc!$AQ$224*(1+'财富模型'!$E$20/12)+'Calc'!$B$6-(IF('Calc'!$E$17=1,0,MIN(Calc!$AQ$224*(1+'财富模型'!$E$20/12)+'Calc'!$B$6,IF(Calc!$AO$225&lt;='财富模型'!$E$11*12,'Calc'!$W$17,'Calc'!$Y$17)))),0))</x:f>
      </x:c>
      <x:c r="AR225" t="str">
        <x:f>IF(Calc!$AO$225&gt;'Calc'!$B$8,"",IF('Calc'!$E$17=1,'财富模型'!$E$9,'财富模型'!$M$9+IF(Calc!$AO$225&lt;='财富模型'!$E$11*12,'Calc'!$W$17,'Calc'!$Y$17)-(IF('Calc'!$E$17=1,0,MIN(Calc!$AQ$224*(1+'财富模型'!$E$20/12)+'Calc'!$B$6,IF(Calc!$AO$225&lt;='财富模型'!$E$11*12,'Calc'!$W$17,'Calc'!$Y$17))))))</x:f>
      </x:c>
      <x:c r="AS225" t="str">
        <x:f>IF(Calc!$AO$225&gt;'Calc'!$B$8,"",IF('Calc'!$E$17=1,0,MIN(Calc!$AQ$224*(1+'财富模型'!$E$20/12)+'Calc'!$B$6,IF(Calc!$AO$225&lt;='财富模型'!$E$11*12,'Calc'!$W$17,'Calc'!$Y$17))))</x:f>
      </x:c>
      <x:c r="AT225" t="str">
        <x:f>IF(Calc!$AO$225&gt;'Calc'!$B$8,"",'Calc'!$B$5-'财富模型'!$E$5-(IF('Calc'!$E$17=1,'财富模型'!$E$9,'财富模型'!$M$9+IF(Calc!$AO$225&lt;='财富模型'!$E$11*12,'Calc'!$W$17,'Calc'!$Y$17)-(IF('Calc'!$E$17=1,0,MIN(Calc!$AQ$224*(1+'财富模型'!$E$20/12)+'Calc'!$B$6,IF(Calc!$AO$225&lt;='财富模型'!$E$11*12,'Calc'!$W$17,'Calc'!$Y$17)))))))</x:f>
      </x:c>
      <x:c r="AU225" t="str">
        <x:f>IF(Calc!$AO$225&gt;'Calc'!$B$8,"",IF('Calc'!$E$17=1,0,MAX(Calc!$AU$224*(1+IF(Calc!$AO$225&lt;='财富模型'!$E$11*12,'财富模型'!$E$10,'财富模型'!$E$12)/12)-IF('Calc'!$E$17=1,0,IF(Calc!$AO$225&lt;='财富模型'!$E$11*12,'Calc'!$W$17,'Calc'!$Y$17)),0)))</x:f>
      </x:c>
    </x:row>
    <x:row r="226">
      <x:c r="A226" t="n">
        <x:v>205</x:v>
      </x:c>
      <x:c r="B226" t="str">
        <x:f>IF(Calc!$A$226&gt;'Calc'!$B$8,"",MAX(Calc!$B$225*(1+'财富模型'!$E$6/12)+('Calc'!$B$5-'财富模型'!$E$5-(IF('Calc'!$E$12=1,'财富模型'!$E$9,'财富模型'!$M$4+IF(Calc!$A$226&lt;='财富模型'!$E$11*12,'Calc'!$W$12,'Calc'!$Y$12)-(IF('Calc'!$E$12=1,0,MIN(Calc!$C$225*(1+'财富模型'!$E$20/12)+'Calc'!$B$6,IF(Calc!$A$226&lt;='财富模型'!$E$11*12,'Calc'!$W$12,'Calc'!$Y$12))))))),0))</x:f>
      </x:c>
      <x:c r="C226" t="str">
        <x:f>IF(Calc!$A$226&gt;'Calc'!$B$8,"",MAX(Calc!$C$225*(1+'财富模型'!$E$20/12)+'Calc'!$B$6-(IF('Calc'!$E$12=1,0,MIN(Calc!$C$225*(1+'财富模型'!$E$20/12)+'Calc'!$B$6,IF(Calc!$A$226&lt;='财富模型'!$E$11*12,'Calc'!$W$12,'Calc'!$Y$12)))),0))</x:f>
      </x:c>
      <x:c r="D226" t="str">
        <x:f>IF(Calc!$A$226&gt;'Calc'!$B$8,"",IF('Calc'!$E$12=1,'财富模型'!$E$9,'财富模型'!$M$4+IF(Calc!$A$226&lt;='财富模型'!$E$11*12,'Calc'!$W$12,'Calc'!$Y$12)-(IF('Calc'!$E$12=1,0,MIN(Calc!$C$225*(1+'财富模型'!$E$20/12)+'Calc'!$B$6,IF(Calc!$A$226&lt;='财富模型'!$E$11*12,'Calc'!$W$12,'Calc'!$Y$12))))))</x:f>
      </x:c>
      <x:c r="E226" t="str">
        <x:f>IF(Calc!$A$226&gt;'Calc'!$B$8,"",IF('Calc'!$E$12=1,0,MIN(Calc!$C$225*(1+'财富模型'!$E$20/12)+'Calc'!$B$6,IF(Calc!$A$226&lt;='财富模型'!$E$11*12,'Calc'!$W$12,'Calc'!$Y$12))))</x:f>
      </x:c>
      <x:c r="F226" t="str">
        <x:f>IF(Calc!$A$226&gt;'Calc'!$B$8,"",'Calc'!$B$5-'财富模型'!$E$5-(IF('Calc'!$E$12=1,'财富模型'!$E$9,'财富模型'!$M$4+IF(Calc!$A$226&lt;='财富模型'!$E$11*12,'Calc'!$W$12,'Calc'!$Y$12)-(IF('Calc'!$E$12=1,0,MIN(Calc!$C$225*(1+'财富模型'!$E$20/12)+'Calc'!$B$6,IF(Calc!$A$226&lt;='财富模型'!$E$11*12,'Calc'!$W$12,'Calc'!$Y$12)))))))</x:f>
      </x:c>
      <x:c r="G226" t="str">
        <x:f>IF(Calc!$A$226&gt;'Calc'!$B$8,"",IF('Calc'!$E$12=1,0,MAX(Calc!$G$225*(1+IF(Calc!$A$226&lt;='财富模型'!$E$11*12,'财富模型'!$E$10,'财富模型'!$E$12)/12)-IF('Calc'!$E$12=1,0,IF(Calc!$A$226&lt;='财富模型'!$E$11*12,'Calc'!$W$12,'Calc'!$Y$12)),0)))</x:f>
      </x:c>
      <x:c r="I226" t="n">
        <x:v>205</x:v>
      </x:c>
      <x:c r="J226" t="str">
        <x:f>IF(Calc!$I$226&gt;'Calc'!$B$8,"",MAX(Calc!$J$225*(1+'财富模型'!$E$6/12)+('Calc'!$B$5-'财富模型'!$E$5-(IF('Calc'!$E$13=1,'财富模型'!$E$9,'财富模型'!$M$5+IF(Calc!$I$226&lt;='财富模型'!$E$11*12,'Calc'!$W$13,'Calc'!$Y$13)-(IF('Calc'!$E$13=1,0,MIN(Calc!$K$225*(1+'财富模型'!$E$20/12)+'Calc'!$B$6,IF(Calc!$I$226&lt;='财富模型'!$E$11*12,'Calc'!$W$13,'Calc'!$Y$13))))))),0))</x:f>
      </x:c>
      <x:c r="K226" t="str">
        <x:f>IF(Calc!$I$226&gt;'Calc'!$B$8,"",MAX(Calc!$K$225*(1+'财富模型'!$E$20/12)+'Calc'!$B$6-(IF('Calc'!$E$13=1,0,MIN(Calc!$K$225*(1+'财富模型'!$E$20/12)+'Calc'!$B$6,IF(Calc!$I$226&lt;='财富模型'!$E$11*12,'Calc'!$W$13,'Calc'!$Y$13)))),0))</x:f>
      </x:c>
      <x:c r="L226" t="str">
        <x:f>IF(Calc!$I$226&gt;'Calc'!$B$8,"",IF('Calc'!$E$13=1,'财富模型'!$E$9,'财富模型'!$M$5+IF(Calc!$I$226&lt;='财富模型'!$E$11*12,'Calc'!$W$13,'Calc'!$Y$13)-(IF('Calc'!$E$13=1,0,MIN(Calc!$K$225*(1+'财富模型'!$E$20/12)+'Calc'!$B$6,IF(Calc!$I$226&lt;='财富模型'!$E$11*12,'Calc'!$W$13,'Calc'!$Y$13))))))</x:f>
      </x:c>
      <x:c r="M226" t="str">
        <x:f>IF(Calc!$I$226&gt;'Calc'!$B$8,"",IF('Calc'!$E$13=1,0,MIN(Calc!$K$225*(1+'财富模型'!$E$20/12)+'Calc'!$B$6,IF(Calc!$I$226&lt;='财富模型'!$E$11*12,'Calc'!$W$13,'Calc'!$Y$13))))</x:f>
      </x:c>
      <x:c r="N226" t="str">
        <x:f>IF(Calc!$I$226&gt;'Calc'!$B$8,"",'Calc'!$B$5-'财富模型'!$E$5-(IF('Calc'!$E$13=1,'财富模型'!$E$9,'财富模型'!$M$5+IF(Calc!$I$226&lt;='财富模型'!$E$11*12,'Calc'!$W$13,'Calc'!$Y$13)-(IF('Calc'!$E$13=1,0,MIN(Calc!$K$225*(1+'财富模型'!$E$20/12)+'Calc'!$B$6,IF(Calc!$I$226&lt;='财富模型'!$E$11*12,'Calc'!$W$13,'Calc'!$Y$13)))))))</x:f>
      </x:c>
      <x:c r="O226" t="str">
        <x:f>IF(Calc!$I$226&gt;'Calc'!$B$8,"",IF('Calc'!$E$13=1,0,MAX(Calc!$O$225*(1+IF(Calc!$I$226&lt;='财富模型'!$E$11*12,'财富模型'!$E$10,'财富模型'!$E$12)/12)-IF('Calc'!$E$13=1,0,IF(Calc!$I$226&lt;='财富模型'!$E$11*12,'Calc'!$W$13,'Calc'!$Y$13)),0)))</x:f>
      </x:c>
      <x:c r="Q226" t="n">
        <x:v>205</x:v>
      </x:c>
      <x:c r="R226" t="str">
        <x:f>IF(Calc!$Q$226&gt;'Calc'!$B$8,"",MAX(Calc!$R$225*(1+'财富模型'!$E$6/12)+('Calc'!$B$5-'财富模型'!$E$5-(IF('Calc'!$E$14=1,'财富模型'!$E$9,'财富模型'!$M$6+IF(Calc!$Q$226&lt;='财富模型'!$E$11*12,'Calc'!$W$14,'Calc'!$Y$14)-(IF('Calc'!$E$14=1,0,MIN(Calc!$S$225*(1+'财富模型'!$E$20/12)+'Calc'!$B$6,IF(Calc!$Q$226&lt;='财富模型'!$E$11*12,'Calc'!$W$14,'Calc'!$Y$14))))))),0))</x:f>
      </x:c>
      <x:c r="S226" t="str">
        <x:f>IF(Calc!$Q$226&gt;'Calc'!$B$8,"",MAX(Calc!$S$225*(1+'财富模型'!$E$20/12)+'Calc'!$B$6-(IF('Calc'!$E$14=1,0,MIN(Calc!$S$225*(1+'财富模型'!$E$20/12)+'Calc'!$B$6,IF(Calc!$Q$226&lt;='财富模型'!$E$11*12,'Calc'!$W$14,'Calc'!$Y$14)))),0))</x:f>
      </x:c>
      <x:c r="T226" t="str">
        <x:f>IF(Calc!$Q$226&gt;'Calc'!$B$8,"",IF('Calc'!$E$14=1,'财富模型'!$E$9,'财富模型'!$M$6+IF(Calc!$Q$226&lt;='财富模型'!$E$11*12,'Calc'!$W$14,'Calc'!$Y$14)-(IF('Calc'!$E$14=1,0,MIN(Calc!$S$225*(1+'财富模型'!$E$20/12)+'Calc'!$B$6,IF(Calc!$Q$226&lt;='财富模型'!$E$11*12,'Calc'!$W$14,'Calc'!$Y$14))))))</x:f>
      </x:c>
      <x:c r="U226" t="str">
        <x:f>IF(Calc!$Q$226&gt;'Calc'!$B$8,"",IF('Calc'!$E$14=1,0,MIN(Calc!$S$225*(1+'财富模型'!$E$20/12)+'Calc'!$B$6,IF(Calc!$Q$226&lt;='财富模型'!$E$11*12,'Calc'!$W$14,'Calc'!$Y$14))))</x:f>
      </x:c>
      <x:c r="V226" t="str">
        <x:f>IF(Calc!$Q$226&gt;'Calc'!$B$8,"",'Calc'!$B$5-'财富模型'!$E$5-(IF('Calc'!$E$14=1,'财富模型'!$E$9,'财富模型'!$M$6+IF(Calc!$Q$226&lt;='财富模型'!$E$11*12,'Calc'!$W$14,'Calc'!$Y$14)-(IF('Calc'!$E$14=1,0,MIN(Calc!$S$225*(1+'财富模型'!$E$20/12)+'Calc'!$B$6,IF(Calc!$Q$226&lt;='财富模型'!$E$11*12,'Calc'!$W$14,'Calc'!$Y$14)))))))</x:f>
      </x:c>
      <x:c r="W226" t="str">
        <x:f>IF(Calc!$Q$226&gt;'Calc'!$B$8,"",IF('Calc'!$E$14=1,0,MAX(Calc!$W$225*(1+IF(Calc!$Q$226&lt;='财富模型'!$E$11*12,'财富模型'!$E$10,'财富模型'!$E$12)/12)-IF('Calc'!$E$14=1,0,IF(Calc!$Q$226&lt;='财富模型'!$E$11*12,'Calc'!$W$14,'Calc'!$Y$14)),0)))</x:f>
      </x:c>
      <x:c r="Y226" t="n">
        <x:v>205</x:v>
      </x:c>
      <x:c r="Z226" t="str">
        <x:f>IF(Calc!$Y$226&gt;'Calc'!$B$8,"",MAX(Calc!$Z$225*(1+'财富模型'!$E$6/12)+('Calc'!$B$5-'财富模型'!$E$5-(IF('Calc'!$E$15=1,'财富模型'!$E$9,'财富模型'!$M$7+IF(Calc!$Y$226&lt;='财富模型'!$E$11*12,'Calc'!$W$15,'Calc'!$Y$15)-(IF('Calc'!$E$15=1,0,MIN(Calc!$AA$225*(1+'财富模型'!$E$20/12)+'Calc'!$B$6,IF(Calc!$Y$226&lt;='财富模型'!$E$11*12,'Calc'!$W$15,'Calc'!$Y$15))))))),0))</x:f>
      </x:c>
      <x:c r="AA226" t="str">
        <x:f>IF(Calc!$Y$226&gt;'Calc'!$B$8,"",MAX(Calc!$AA$225*(1+'财富模型'!$E$20/12)+'Calc'!$B$6-(IF('Calc'!$E$15=1,0,MIN(Calc!$AA$225*(1+'财富模型'!$E$20/12)+'Calc'!$B$6,IF(Calc!$Y$226&lt;='财富模型'!$E$11*12,'Calc'!$W$15,'Calc'!$Y$15)))),0))</x:f>
      </x:c>
      <x:c r="AB226" t="str">
        <x:f>IF(Calc!$Y$226&gt;'Calc'!$B$8,"",IF('Calc'!$E$15=1,'财富模型'!$E$9,'财富模型'!$M$7+IF(Calc!$Y$226&lt;='财富模型'!$E$11*12,'Calc'!$W$15,'Calc'!$Y$15)-(IF('Calc'!$E$15=1,0,MIN(Calc!$AA$225*(1+'财富模型'!$E$20/12)+'Calc'!$B$6,IF(Calc!$Y$226&lt;='财富模型'!$E$11*12,'Calc'!$W$15,'Calc'!$Y$15))))))</x:f>
      </x:c>
      <x:c r="AC226" t="str">
        <x:f>IF(Calc!$Y$226&gt;'Calc'!$B$8,"",IF('Calc'!$E$15=1,0,MIN(Calc!$AA$225*(1+'财富模型'!$E$20/12)+'Calc'!$B$6,IF(Calc!$Y$226&lt;='财富模型'!$E$11*12,'Calc'!$W$15,'Calc'!$Y$15))))</x:f>
      </x:c>
      <x:c r="AD226" t="str">
        <x:f>IF(Calc!$Y$226&gt;'Calc'!$B$8,"",'Calc'!$B$5-'财富模型'!$E$5-(IF('Calc'!$E$15=1,'财富模型'!$E$9,'财富模型'!$M$7+IF(Calc!$Y$226&lt;='财富模型'!$E$11*12,'Calc'!$W$15,'Calc'!$Y$15)-(IF('Calc'!$E$15=1,0,MIN(Calc!$AA$225*(1+'财富模型'!$E$20/12)+'Calc'!$B$6,IF(Calc!$Y$226&lt;='财富模型'!$E$11*12,'Calc'!$W$15,'Calc'!$Y$15)))))))</x:f>
      </x:c>
      <x:c r="AE226" t="str">
        <x:f>IF(Calc!$Y$226&gt;'Calc'!$B$8,"",IF('Calc'!$E$15=1,0,MAX(Calc!$AE$225*(1+IF(Calc!$Y$226&lt;='财富模型'!$E$11*12,'财富模型'!$E$10,'财富模型'!$E$12)/12)-IF('Calc'!$E$15=1,0,IF(Calc!$Y$226&lt;='财富模型'!$E$11*12,'Calc'!$W$15,'Calc'!$Y$15)),0)))</x:f>
      </x:c>
      <x:c r="AG226" t="n">
        <x:v>205</x:v>
      </x:c>
      <x:c r="AH226" t="str">
        <x:f>IF(Calc!$AG$226&gt;'Calc'!$B$8,"",MAX(Calc!$AH$225*(1+'财富模型'!$E$6/12)+('Calc'!$B$5-'财富模型'!$E$5-(IF('Calc'!$E$16=1,'财富模型'!$E$9,'财富模型'!$M$8+IF(Calc!$AG$226&lt;='财富模型'!$E$11*12,'Calc'!$W$16,'Calc'!$Y$16)-(IF('Calc'!$E$16=1,0,MIN(Calc!$AI$225*(1+'财富模型'!$E$20/12)+'Calc'!$B$6,IF(Calc!$AG$226&lt;='财富模型'!$E$11*12,'Calc'!$W$16,'Calc'!$Y$16))))))),0))</x:f>
      </x:c>
      <x:c r="AI226" t="str">
        <x:f>IF(Calc!$AG$226&gt;'Calc'!$B$8,"",MAX(Calc!$AI$225*(1+'财富模型'!$E$20/12)+'Calc'!$B$6-(IF('Calc'!$E$16=1,0,MIN(Calc!$AI$225*(1+'财富模型'!$E$20/12)+'Calc'!$B$6,IF(Calc!$AG$226&lt;='财富模型'!$E$11*12,'Calc'!$W$16,'Calc'!$Y$16)))),0))</x:f>
      </x:c>
      <x:c r="AJ226" t="str">
        <x:f>IF(Calc!$AG$226&gt;'Calc'!$B$8,"",IF('Calc'!$E$16=1,'财富模型'!$E$9,'财富模型'!$M$8+IF(Calc!$AG$226&lt;='财富模型'!$E$11*12,'Calc'!$W$16,'Calc'!$Y$16)-(IF('Calc'!$E$16=1,0,MIN(Calc!$AI$225*(1+'财富模型'!$E$20/12)+'Calc'!$B$6,IF(Calc!$AG$226&lt;='财富模型'!$E$11*12,'Calc'!$W$16,'Calc'!$Y$16))))))</x:f>
      </x:c>
      <x:c r="AK226" t="str">
        <x:f>IF(Calc!$AG$226&gt;'Calc'!$B$8,"",IF('Calc'!$E$16=1,0,MIN(Calc!$AI$225*(1+'财富模型'!$E$20/12)+'Calc'!$B$6,IF(Calc!$AG$226&lt;='财富模型'!$E$11*12,'Calc'!$W$16,'Calc'!$Y$16))))</x:f>
      </x:c>
      <x:c r="AL226" t="str">
        <x:f>IF(Calc!$AG$226&gt;'Calc'!$B$8,"",'Calc'!$B$5-'财富模型'!$E$5-(IF('Calc'!$E$16=1,'财富模型'!$E$9,'财富模型'!$M$8+IF(Calc!$AG$226&lt;='财富模型'!$E$11*12,'Calc'!$W$16,'Calc'!$Y$16)-(IF('Calc'!$E$16=1,0,MIN(Calc!$AI$225*(1+'财富模型'!$E$20/12)+'Calc'!$B$6,IF(Calc!$AG$226&lt;='财富模型'!$E$11*12,'Calc'!$W$16,'Calc'!$Y$16)))))))</x:f>
      </x:c>
      <x:c r="AM226" t="str">
        <x:f>IF(Calc!$AG$226&gt;'Calc'!$B$8,"",IF('Calc'!$E$16=1,0,MAX(Calc!$AM$225*(1+IF(Calc!$AG$226&lt;='财富模型'!$E$11*12,'财富模型'!$E$10,'财富模型'!$E$12)/12)-IF('Calc'!$E$16=1,0,IF(Calc!$AG$226&lt;='财富模型'!$E$11*12,'Calc'!$W$16,'Calc'!$Y$16)),0)))</x:f>
      </x:c>
      <x:c r="AO226" t="n">
        <x:v>205</x:v>
      </x:c>
      <x:c r="AP226" t="str">
        <x:f>IF(Calc!$AO$226&gt;'Calc'!$B$8,"",MAX(Calc!$AP$225*(1+'财富模型'!$E$6/12)+('Calc'!$B$5-'财富模型'!$E$5-(IF('Calc'!$E$17=1,'财富模型'!$E$9,'财富模型'!$M$9+IF(Calc!$AO$226&lt;='财富模型'!$E$11*12,'Calc'!$W$17,'Calc'!$Y$17)-(IF('Calc'!$E$17=1,0,MIN(Calc!$AQ$225*(1+'财富模型'!$E$20/12)+'Calc'!$B$6,IF(Calc!$AO$226&lt;='财富模型'!$E$11*12,'Calc'!$W$17,'Calc'!$Y$17))))))),0))</x:f>
      </x:c>
      <x:c r="AQ226" t="str">
        <x:f>IF(Calc!$AO$226&gt;'Calc'!$B$8,"",MAX(Calc!$AQ$225*(1+'财富模型'!$E$20/12)+'Calc'!$B$6-(IF('Calc'!$E$17=1,0,MIN(Calc!$AQ$225*(1+'财富模型'!$E$20/12)+'Calc'!$B$6,IF(Calc!$AO$226&lt;='财富模型'!$E$11*12,'Calc'!$W$17,'Calc'!$Y$17)))),0))</x:f>
      </x:c>
      <x:c r="AR226" t="str">
        <x:f>IF(Calc!$AO$226&gt;'Calc'!$B$8,"",IF('Calc'!$E$17=1,'财富模型'!$E$9,'财富模型'!$M$9+IF(Calc!$AO$226&lt;='财富模型'!$E$11*12,'Calc'!$W$17,'Calc'!$Y$17)-(IF('Calc'!$E$17=1,0,MIN(Calc!$AQ$225*(1+'财富模型'!$E$20/12)+'Calc'!$B$6,IF(Calc!$AO$226&lt;='财富模型'!$E$11*12,'Calc'!$W$17,'Calc'!$Y$17))))))</x:f>
      </x:c>
      <x:c r="AS226" t="str">
        <x:f>IF(Calc!$AO$226&gt;'Calc'!$B$8,"",IF('Calc'!$E$17=1,0,MIN(Calc!$AQ$225*(1+'财富模型'!$E$20/12)+'Calc'!$B$6,IF(Calc!$AO$226&lt;='财富模型'!$E$11*12,'Calc'!$W$17,'Calc'!$Y$17))))</x:f>
      </x:c>
      <x:c r="AT226" t="str">
        <x:f>IF(Calc!$AO$226&gt;'Calc'!$B$8,"",'Calc'!$B$5-'财富模型'!$E$5-(IF('Calc'!$E$17=1,'财富模型'!$E$9,'财富模型'!$M$9+IF(Calc!$AO$226&lt;='财富模型'!$E$11*12,'Calc'!$W$17,'Calc'!$Y$17)-(IF('Calc'!$E$17=1,0,MIN(Calc!$AQ$225*(1+'财富模型'!$E$20/12)+'Calc'!$B$6,IF(Calc!$AO$226&lt;='财富模型'!$E$11*12,'Calc'!$W$17,'Calc'!$Y$17)))))))</x:f>
      </x:c>
      <x:c r="AU226" t="str">
        <x:f>IF(Calc!$AO$226&gt;'Calc'!$B$8,"",IF('Calc'!$E$17=1,0,MAX(Calc!$AU$225*(1+IF(Calc!$AO$226&lt;='财富模型'!$E$11*12,'财富模型'!$E$10,'财富模型'!$E$12)/12)-IF('Calc'!$E$17=1,0,IF(Calc!$AO$226&lt;='财富模型'!$E$11*12,'Calc'!$W$17,'Calc'!$Y$17)),0)))</x:f>
      </x:c>
    </x:row>
    <x:row r="227">
      <x:c r="A227" t="n">
        <x:v>206</x:v>
      </x:c>
      <x:c r="B227" t="str">
        <x:f>IF(Calc!$A$227&gt;'Calc'!$B$8,"",MAX(Calc!$B$226*(1+'财富模型'!$E$6/12)+('Calc'!$B$5-'财富模型'!$E$5-(IF('Calc'!$E$12=1,'财富模型'!$E$9,'财富模型'!$M$4+IF(Calc!$A$227&lt;='财富模型'!$E$11*12,'Calc'!$W$12,'Calc'!$Y$12)-(IF('Calc'!$E$12=1,0,MIN(Calc!$C$226*(1+'财富模型'!$E$20/12)+'Calc'!$B$6,IF(Calc!$A$227&lt;='财富模型'!$E$11*12,'Calc'!$W$12,'Calc'!$Y$12))))))),0))</x:f>
      </x:c>
      <x:c r="C227" t="str">
        <x:f>IF(Calc!$A$227&gt;'Calc'!$B$8,"",MAX(Calc!$C$226*(1+'财富模型'!$E$20/12)+'Calc'!$B$6-(IF('Calc'!$E$12=1,0,MIN(Calc!$C$226*(1+'财富模型'!$E$20/12)+'Calc'!$B$6,IF(Calc!$A$227&lt;='财富模型'!$E$11*12,'Calc'!$W$12,'Calc'!$Y$12)))),0))</x:f>
      </x:c>
      <x:c r="D227" t="str">
        <x:f>IF(Calc!$A$227&gt;'Calc'!$B$8,"",IF('Calc'!$E$12=1,'财富模型'!$E$9,'财富模型'!$M$4+IF(Calc!$A$227&lt;='财富模型'!$E$11*12,'Calc'!$W$12,'Calc'!$Y$12)-(IF('Calc'!$E$12=1,0,MIN(Calc!$C$226*(1+'财富模型'!$E$20/12)+'Calc'!$B$6,IF(Calc!$A$227&lt;='财富模型'!$E$11*12,'Calc'!$W$12,'Calc'!$Y$12))))))</x:f>
      </x:c>
      <x:c r="E227" t="str">
        <x:f>IF(Calc!$A$227&gt;'Calc'!$B$8,"",IF('Calc'!$E$12=1,0,MIN(Calc!$C$226*(1+'财富模型'!$E$20/12)+'Calc'!$B$6,IF(Calc!$A$227&lt;='财富模型'!$E$11*12,'Calc'!$W$12,'Calc'!$Y$12))))</x:f>
      </x:c>
      <x:c r="F227" t="str">
        <x:f>IF(Calc!$A$227&gt;'Calc'!$B$8,"",'Calc'!$B$5-'财富模型'!$E$5-(IF('Calc'!$E$12=1,'财富模型'!$E$9,'财富模型'!$M$4+IF(Calc!$A$227&lt;='财富模型'!$E$11*12,'Calc'!$W$12,'Calc'!$Y$12)-(IF('Calc'!$E$12=1,0,MIN(Calc!$C$226*(1+'财富模型'!$E$20/12)+'Calc'!$B$6,IF(Calc!$A$227&lt;='财富模型'!$E$11*12,'Calc'!$W$12,'Calc'!$Y$12)))))))</x:f>
      </x:c>
      <x:c r="G227" t="str">
        <x:f>IF(Calc!$A$227&gt;'Calc'!$B$8,"",IF('Calc'!$E$12=1,0,MAX(Calc!$G$226*(1+IF(Calc!$A$227&lt;='财富模型'!$E$11*12,'财富模型'!$E$10,'财富模型'!$E$12)/12)-IF('Calc'!$E$12=1,0,IF(Calc!$A$227&lt;='财富模型'!$E$11*12,'Calc'!$W$12,'Calc'!$Y$12)),0)))</x:f>
      </x:c>
      <x:c r="I227" t="n">
        <x:v>206</x:v>
      </x:c>
      <x:c r="J227" t="str">
        <x:f>IF(Calc!$I$227&gt;'Calc'!$B$8,"",MAX(Calc!$J$226*(1+'财富模型'!$E$6/12)+('Calc'!$B$5-'财富模型'!$E$5-(IF('Calc'!$E$13=1,'财富模型'!$E$9,'财富模型'!$M$5+IF(Calc!$I$227&lt;='财富模型'!$E$11*12,'Calc'!$W$13,'Calc'!$Y$13)-(IF('Calc'!$E$13=1,0,MIN(Calc!$K$226*(1+'财富模型'!$E$20/12)+'Calc'!$B$6,IF(Calc!$I$227&lt;='财富模型'!$E$11*12,'Calc'!$W$13,'Calc'!$Y$13))))))),0))</x:f>
      </x:c>
      <x:c r="K227" t="str">
        <x:f>IF(Calc!$I$227&gt;'Calc'!$B$8,"",MAX(Calc!$K$226*(1+'财富模型'!$E$20/12)+'Calc'!$B$6-(IF('Calc'!$E$13=1,0,MIN(Calc!$K$226*(1+'财富模型'!$E$20/12)+'Calc'!$B$6,IF(Calc!$I$227&lt;='财富模型'!$E$11*12,'Calc'!$W$13,'Calc'!$Y$13)))),0))</x:f>
      </x:c>
      <x:c r="L227" t="str">
        <x:f>IF(Calc!$I$227&gt;'Calc'!$B$8,"",IF('Calc'!$E$13=1,'财富模型'!$E$9,'财富模型'!$M$5+IF(Calc!$I$227&lt;='财富模型'!$E$11*12,'Calc'!$W$13,'Calc'!$Y$13)-(IF('Calc'!$E$13=1,0,MIN(Calc!$K$226*(1+'财富模型'!$E$20/12)+'Calc'!$B$6,IF(Calc!$I$227&lt;='财富模型'!$E$11*12,'Calc'!$W$13,'Calc'!$Y$13))))))</x:f>
      </x:c>
      <x:c r="M227" t="str">
        <x:f>IF(Calc!$I$227&gt;'Calc'!$B$8,"",IF('Calc'!$E$13=1,0,MIN(Calc!$K$226*(1+'财富模型'!$E$20/12)+'Calc'!$B$6,IF(Calc!$I$227&lt;='财富模型'!$E$11*12,'Calc'!$W$13,'Calc'!$Y$13))))</x:f>
      </x:c>
      <x:c r="N227" t="str">
        <x:f>IF(Calc!$I$227&gt;'Calc'!$B$8,"",'Calc'!$B$5-'财富模型'!$E$5-(IF('Calc'!$E$13=1,'财富模型'!$E$9,'财富模型'!$M$5+IF(Calc!$I$227&lt;='财富模型'!$E$11*12,'Calc'!$W$13,'Calc'!$Y$13)-(IF('Calc'!$E$13=1,0,MIN(Calc!$K$226*(1+'财富模型'!$E$20/12)+'Calc'!$B$6,IF(Calc!$I$227&lt;='财富模型'!$E$11*12,'Calc'!$W$13,'Calc'!$Y$13)))))))</x:f>
      </x:c>
      <x:c r="O227" t="str">
        <x:f>IF(Calc!$I$227&gt;'Calc'!$B$8,"",IF('Calc'!$E$13=1,0,MAX(Calc!$O$226*(1+IF(Calc!$I$227&lt;='财富模型'!$E$11*12,'财富模型'!$E$10,'财富模型'!$E$12)/12)-IF('Calc'!$E$13=1,0,IF(Calc!$I$227&lt;='财富模型'!$E$11*12,'Calc'!$W$13,'Calc'!$Y$13)),0)))</x:f>
      </x:c>
      <x:c r="Q227" t="n">
        <x:v>206</x:v>
      </x:c>
      <x:c r="R227" t="str">
        <x:f>IF(Calc!$Q$227&gt;'Calc'!$B$8,"",MAX(Calc!$R$226*(1+'财富模型'!$E$6/12)+('Calc'!$B$5-'财富模型'!$E$5-(IF('Calc'!$E$14=1,'财富模型'!$E$9,'财富模型'!$M$6+IF(Calc!$Q$227&lt;='财富模型'!$E$11*12,'Calc'!$W$14,'Calc'!$Y$14)-(IF('Calc'!$E$14=1,0,MIN(Calc!$S$226*(1+'财富模型'!$E$20/12)+'Calc'!$B$6,IF(Calc!$Q$227&lt;='财富模型'!$E$11*12,'Calc'!$W$14,'Calc'!$Y$14))))))),0))</x:f>
      </x:c>
      <x:c r="S227" t="str">
        <x:f>IF(Calc!$Q$227&gt;'Calc'!$B$8,"",MAX(Calc!$S$226*(1+'财富模型'!$E$20/12)+'Calc'!$B$6-(IF('Calc'!$E$14=1,0,MIN(Calc!$S$226*(1+'财富模型'!$E$20/12)+'Calc'!$B$6,IF(Calc!$Q$227&lt;='财富模型'!$E$11*12,'Calc'!$W$14,'Calc'!$Y$14)))),0))</x:f>
      </x:c>
      <x:c r="T227" t="str">
        <x:f>IF(Calc!$Q$227&gt;'Calc'!$B$8,"",IF('Calc'!$E$14=1,'财富模型'!$E$9,'财富模型'!$M$6+IF(Calc!$Q$227&lt;='财富模型'!$E$11*12,'Calc'!$W$14,'Calc'!$Y$14)-(IF('Calc'!$E$14=1,0,MIN(Calc!$S$226*(1+'财富模型'!$E$20/12)+'Calc'!$B$6,IF(Calc!$Q$227&lt;='财富模型'!$E$11*12,'Calc'!$W$14,'Calc'!$Y$14))))))</x:f>
      </x:c>
      <x:c r="U227" t="str">
        <x:f>IF(Calc!$Q$227&gt;'Calc'!$B$8,"",IF('Calc'!$E$14=1,0,MIN(Calc!$S$226*(1+'财富模型'!$E$20/12)+'Calc'!$B$6,IF(Calc!$Q$227&lt;='财富模型'!$E$11*12,'Calc'!$W$14,'Calc'!$Y$14))))</x:f>
      </x:c>
      <x:c r="V227" t="str">
        <x:f>IF(Calc!$Q$227&gt;'Calc'!$B$8,"",'Calc'!$B$5-'财富模型'!$E$5-(IF('Calc'!$E$14=1,'财富模型'!$E$9,'财富模型'!$M$6+IF(Calc!$Q$227&lt;='财富模型'!$E$11*12,'Calc'!$W$14,'Calc'!$Y$14)-(IF('Calc'!$E$14=1,0,MIN(Calc!$S$226*(1+'财富模型'!$E$20/12)+'Calc'!$B$6,IF(Calc!$Q$227&lt;='财富模型'!$E$11*12,'Calc'!$W$14,'Calc'!$Y$14)))))))</x:f>
      </x:c>
      <x:c r="W227" t="str">
        <x:f>IF(Calc!$Q$227&gt;'Calc'!$B$8,"",IF('Calc'!$E$14=1,0,MAX(Calc!$W$226*(1+IF(Calc!$Q$227&lt;='财富模型'!$E$11*12,'财富模型'!$E$10,'财富模型'!$E$12)/12)-IF('Calc'!$E$14=1,0,IF(Calc!$Q$227&lt;='财富模型'!$E$11*12,'Calc'!$W$14,'Calc'!$Y$14)),0)))</x:f>
      </x:c>
      <x:c r="Y227" t="n">
        <x:v>206</x:v>
      </x:c>
      <x:c r="Z227" t="str">
        <x:f>IF(Calc!$Y$227&gt;'Calc'!$B$8,"",MAX(Calc!$Z$226*(1+'财富模型'!$E$6/12)+('Calc'!$B$5-'财富模型'!$E$5-(IF('Calc'!$E$15=1,'财富模型'!$E$9,'财富模型'!$M$7+IF(Calc!$Y$227&lt;='财富模型'!$E$11*12,'Calc'!$W$15,'Calc'!$Y$15)-(IF('Calc'!$E$15=1,0,MIN(Calc!$AA$226*(1+'财富模型'!$E$20/12)+'Calc'!$B$6,IF(Calc!$Y$227&lt;='财富模型'!$E$11*12,'Calc'!$W$15,'Calc'!$Y$15))))))),0))</x:f>
      </x:c>
      <x:c r="AA227" t="str">
        <x:f>IF(Calc!$Y$227&gt;'Calc'!$B$8,"",MAX(Calc!$AA$226*(1+'财富模型'!$E$20/12)+'Calc'!$B$6-(IF('Calc'!$E$15=1,0,MIN(Calc!$AA$226*(1+'财富模型'!$E$20/12)+'Calc'!$B$6,IF(Calc!$Y$227&lt;='财富模型'!$E$11*12,'Calc'!$W$15,'Calc'!$Y$15)))),0))</x:f>
      </x:c>
      <x:c r="AB227" t="str">
        <x:f>IF(Calc!$Y$227&gt;'Calc'!$B$8,"",IF('Calc'!$E$15=1,'财富模型'!$E$9,'财富模型'!$M$7+IF(Calc!$Y$227&lt;='财富模型'!$E$11*12,'Calc'!$W$15,'Calc'!$Y$15)-(IF('Calc'!$E$15=1,0,MIN(Calc!$AA$226*(1+'财富模型'!$E$20/12)+'Calc'!$B$6,IF(Calc!$Y$227&lt;='财富模型'!$E$11*12,'Calc'!$W$15,'Calc'!$Y$15))))))</x:f>
      </x:c>
      <x:c r="AC227" t="str">
        <x:f>IF(Calc!$Y$227&gt;'Calc'!$B$8,"",IF('Calc'!$E$15=1,0,MIN(Calc!$AA$226*(1+'财富模型'!$E$20/12)+'Calc'!$B$6,IF(Calc!$Y$227&lt;='财富模型'!$E$11*12,'Calc'!$W$15,'Calc'!$Y$15))))</x:f>
      </x:c>
      <x:c r="AD227" t="str">
        <x:f>IF(Calc!$Y$227&gt;'Calc'!$B$8,"",'Calc'!$B$5-'财富模型'!$E$5-(IF('Calc'!$E$15=1,'财富模型'!$E$9,'财富模型'!$M$7+IF(Calc!$Y$227&lt;='财富模型'!$E$11*12,'Calc'!$W$15,'Calc'!$Y$15)-(IF('Calc'!$E$15=1,0,MIN(Calc!$AA$226*(1+'财富模型'!$E$20/12)+'Calc'!$B$6,IF(Calc!$Y$227&lt;='财富模型'!$E$11*12,'Calc'!$W$15,'Calc'!$Y$15)))))))</x:f>
      </x:c>
      <x:c r="AE227" t="str">
        <x:f>IF(Calc!$Y$227&gt;'Calc'!$B$8,"",IF('Calc'!$E$15=1,0,MAX(Calc!$AE$226*(1+IF(Calc!$Y$227&lt;='财富模型'!$E$11*12,'财富模型'!$E$10,'财富模型'!$E$12)/12)-IF('Calc'!$E$15=1,0,IF(Calc!$Y$227&lt;='财富模型'!$E$11*12,'Calc'!$W$15,'Calc'!$Y$15)),0)))</x:f>
      </x:c>
      <x:c r="AG227" t="n">
        <x:v>206</x:v>
      </x:c>
      <x:c r="AH227" t="str">
        <x:f>IF(Calc!$AG$227&gt;'Calc'!$B$8,"",MAX(Calc!$AH$226*(1+'财富模型'!$E$6/12)+('Calc'!$B$5-'财富模型'!$E$5-(IF('Calc'!$E$16=1,'财富模型'!$E$9,'财富模型'!$M$8+IF(Calc!$AG$227&lt;='财富模型'!$E$11*12,'Calc'!$W$16,'Calc'!$Y$16)-(IF('Calc'!$E$16=1,0,MIN(Calc!$AI$226*(1+'财富模型'!$E$20/12)+'Calc'!$B$6,IF(Calc!$AG$227&lt;='财富模型'!$E$11*12,'Calc'!$W$16,'Calc'!$Y$16))))))),0))</x:f>
      </x:c>
      <x:c r="AI227" t="str">
        <x:f>IF(Calc!$AG$227&gt;'Calc'!$B$8,"",MAX(Calc!$AI$226*(1+'财富模型'!$E$20/12)+'Calc'!$B$6-(IF('Calc'!$E$16=1,0,MIN(Calc!$AI$226*(1+'财富模型'!$E$20/12)+'Calc'!$B$6,IF(Calc!$AG$227&lt;='财富模型'!$E$11*12,'Calc'!$W$16,'Calc'!$Y$16)))),0))</x:f>
      </x:c>
      <x:c r="AJ227" t="str">
        <x:f>IF(Calc!$AG$227&gt;'Calc'!$B$8,"",IF('Calc'!$E$16=1,'财富模型'!$E$9,'财富模型'!$M$8+IF(Calc!$AG$227&lt;='财富模型'!$E$11*12,'Calc'!$W$16,'Calc'!$Y$16)-(IF('Calc'!$E$16=1,0,MIN(Calc!$AI$226*(1+'财富模型'!$E$20/12)+'Calc'!$B$6,IF(Calc!$AG$227&lt;='财富模型'!$E$11*12,'Calc'!$W$16,'Calc'!$Y$16))))))</x:f>
      </x:c>
      <x:c r="AK227" t="str">
        <x:f>IF(Calc!$AG$227&gt;'Calc'!$B$8,"",IF('Calc'!$E$16=1,0,MIN(Calc!$AI$226*(1+'财富模型'!$E$20/12)+'Calc'!$B$6,IF(Calc!$AG$227&lt;='财富模型'!$E$11*12,'Calc'!$W$16,'Calc'!$Y$16))))</x:f>
      </x:c>
      <x:c r="AL227" t="str">
        <x:f>IF(Calc!$AG$227&gt;'Calc'!$B$8,"",'Calc'!$B$5-'财富模型'!$E$5-(IF('Calc'!$E$16=1,'财富模型'!$E$9,'财富模型'!$M$8+IF(Calc!$AG$227&lt;='财富模型'!$E$11*12,'Calc'!$W$16,'Calc'!$Y$16)-(IF('Calc'!$E$16=1,0,MIN(Calc!$AI$226*(1+'财富模型'!$E$20/12)+'Calc'!$B$6,IF(Calc!$AG$227&lt;='财富模型'!$E$11*12,'Calc'!$W$16,'Calc'!$Y$16)))))))</x:f>
      </x:c>
      <x:c r="AM227" t="str">
        <x:f>IF(Calc!$AG$227&gt;'Calc'!$B$8,"",IF('Calc'!$E$16=1,0,MAX(Calc!$AM$226*(1+IF(Calc!$AG$227&lt;='财富模型'!$E$11*12,'财富模型'!$E$10,'财富模型'!$E$12)/12)-IF('Calc'!$E$16=1,0,IF(Calc!$AG$227&lt;='财富模型'!$E$11*12,'Calc'!$W$16,'Calc'!$Y$16)),0)))</x:f>
      </x:c>
      <x:c r="AO227" t="n">
        <x:v>206</x:v>
      </x:c>
      <x:c r="AP227" t="str">
        <x:f>IF(Calc!$AO$227&gt;'Calc'!$B$8,"",MAX(Calc!$AP$226*(1+'财富模型'!$E$6/12)+('Calc'!$B$5-'财富模型'!$E$5-(IF('Calc'!$E$17=1,'财富模型'!$E$9,'财富模型'!$M$9+IF(Calc!$AO$227&lt;='财富模型'!$E$11*12,'Calc'!$W$17,'Calc'!$Y$17)-(IF('Calc'!$E$17=1,0,MIN(Calc!$AQ$226*(1+'财富模型'!$E$20/12)+'Calc'!$B$6,IF(Calc!$AO$227&lt;='财富模型'!$E$11*12,'Calc'!$W$17,'Calc'!$Y$17))))))),0))</x:f>
      </x:c>
      <x:c r="AQ227" t="str">
        <x:f>IF(Calc!$AO$227&gt;'Calc'!$B$8,"",MAX(Calc!$AQ$226*(1+'财富模型'!$E$20/12)+'Calc'!$B$6-(IF('Calc'!$E$17=1,0,MIN(Calc!$AQ$226*(1+'财富模型'!$E$20/12)+'Calc'!$B$6,IF(Calc!$AO$227&lt;='财富模型'!$E$11*12,'Calc'!$W$17,'Calc'!$Y$17)))),0))</x:f>
      </x:c>
      <x:c r="AR227" t="str">
        <x:f>IF(Calc!$AO$227&gt;'Calc'!$B$8,"",IF('Calc'!$E$17=1,'财富模型'!$E$9,'财富模型'!$M$9+IF(Calc!$AO$227&lt;='财富模型'!$E$11*12,'Calc'!$W$17,'Calc'!$Y$17)-(IF('Calc'!$E$17=1,0,MIN(Calc!$AQ$226*(1+'财富模型'!$E$20/12)+'Calc'!$B$6,IF(Calc!$AO$227&lt;='财富模型'!$E$11*12,'Calc'!$W$17,'Calc'!$Y$17))))))</x:f>
      </x:c>
      <x:c r="AS227" t="str">
        <x:f>IF(Calc!$AO$227&gt;'Calc'!$B$8,"",IF('Calc'!$E$17=1,0,MIN(Calc!$AQ$226*(1+'财富模型'!$E$20/12)+'Calc'!$B$6,IF(Calc!$AO$227&lt;='财富模型'!$E$11*12,'Calc'!$W$17,'Calc'!$Y$17))))</x:f>
      </x:c>
      <x:c r="AT227" t="str">
        <x:f>IF(Calc!$AO$227&gt;'Calc'!$B$8,"",'Calc'!$B$5-'财富模型'!$E$5-(IF('Calc'!$E$17=1,'财富模型'!$E$9,'财富模型'!$M$9+IF(Calc!$AO$227&lt;='财富模型'!$E$11*12,'Calc'!$W$17,'Calc'!$Y$17)-(IF('Calc'!$E$17=1,0,MIN(Calc!$AQ$226*(1+'财富模型'!$E$20/12)+'Calc'!$B$6,IF(Calc!$AO$227&lt;='财富模型'!$E$11*12,'Calc'!$W$17,'Calc'!$Y$17)))))))</x:f>
      </x:c>
      <x:c r="AU227" t="str">
        <x:f>IF(Calc!$AO$227&gt;'Calc'!$B$8,"",IF('Calc'!$E$17=1,0,MAX(Calc!$AU$226*(1+IF(Calc!$AO$227&lt;='财富模型'!$E$11*12,'财富模型'!$E$10,'财富模型'!$E$12)/12)-IF('Calc'!$E$17=1,0,IF(Calc!$AO$227&lt;='财富模型'!$E$11*12,'Calc'!$W$17,'Calc'!$Y$17)),0)))</x:f>
      </x:c>
    </x:row>
    <x:row r="228">
      <x:c r="A228" t="n">
        <x:v>207</x:v>
      </x:c>
      <x:c r="B228" t="str">
        <x:f>IF(Calc!$A$228&gt;'Calc'!$B$8,"",MAX(Calc!$B$227*(1+'财富模型'!$E$6/12)+('Calc'!$B$5-'财富模型'!$E$5-(IF('Calc'!$E$12=1,'财富模型'!$E$9,'财富模型'!$M$4+IF(Calc!$A$228&lt;='财富模型'!$E$11*12,'Calc'!$W$12,'Calc'!$Y$12)-(IF('Calc'!$E$12=1,0,MIN(Calc!$C$227*(1+'财富模型'!$E$20/12)+'Calc'!$B$6,IF(Calc!$A$228&lt;='财富模型'!$E$11*12,'Calc'!$W$12,'Calc'!$Y$12))))))),0))</x:f>
      </x:c>
      <x:c r="C228" t="str">
        <x:f>IF(Calc!$A$228&gt;'Calc'!$B$8,"",MAX(Calc!$C$227*(1+'财富模型'!$E$20/12)+'Calc'!$B$6-(IF('Calc'!$E$12=1,0,MIN(Calc!$C$227*(1+'财富模型'!$E$20/12)+'Calc'!$B$6,IF(Calc!$A$228&lt;='财富模型'!$E$11*12,'Calc'!$W$12,'Calc'!$Y$12)))),0))</x:f>
      </x:c>
      <x:c r="D228" t="str">
        <x:f>IF(Calc!$A$228&gt;'Calc'!$B$8,"",IF('Calc'!$E$12=1,'财富模型'!$E$9,'财富模型'!$M$4+IF(Calc!$A$228&lt;='财富模型'!$E$11*12,'Calc'!$W$12,'Calc'!$Y$12)-(IF('Calc'!$E$12=1,0,MIN(Calc!$C$227*(1+'财富模型'!$E$20/12)+'Calc'!$B$6,IF(Calc!$A$228&lt;='财富模型'!$E$11*12,'Calc'!$W$12,'Calc'!$Y$12))))))</x:f>
      </x:c>
      <x:c r="E228" t="str">
        <x:f>IF(Calc!$A$228&gt;'Calc'!$B$8,"",IF('Calc'!$E$12=1,0,MIN(Calc!$C$227*(1+'财富模型'!$E$20/12)+'Calc'!$B$6,IF(Calc!$A$228&lt;='财富模型'!$E$11*12,'Calc'!$W$12,'Calc'!$Y$12))))</x:f>
      </x:c>
      <x:c r="F228" t="str">
        <x:f>IF(Calc!$A$228&gt;'Calc'!$B$8,"",'Calc'!$B$5-'财富模型'!$E$5-(IF('Calc'!$E$12=1,'财富模型'!$E$9,'财富模型'!$M$4+IF(Calc!$A$228&lt;='财富模型'!$E$11*12,'Calc'!$W$12,'Calc'!$Y$12)-(IF('Calc'!$E$12=1,0,MIN(Calc!$C$227*(1+'财富模型'!$E$20/12)+'Calc'!$B$6,IF(Calc!$A$228&lt;='财富模型'!$E$11*12,'Calc'!$W$12,'Calc'!$Y$12)))))))</x:f>
      </x:c>
      <x:c r="G228" t="str">
        <x:f>IF(Calc!$A$228&gt;'Calc'!$B$8,"",IF('Calc'!$E$12=1,0,MAX(Calc!$G$227*(1+IF(Calc!$A$228&lt;='财富模型'!$E$11*12,'财富模型'!$E$10,'财富模型'!$E$12)/12)-IF('Calc'!$E$12=1,0,IF(Calc!$A$228&lt;='财富模型'!$E$11*12,'Calc'!$W$12,'Calc'!$Y$12)),0)))</x:f>
      </x:c>
      <x:c r="I228" t="n">
        <x:v>207</x:v>
      </x:c>
      <x:c r="J228" t="str">
        <x:f>IF(Calc!$I$228&gt;'Calc'!$B$8,"",MAX(Calc!$J$227*(1+'财富模型'!$E$6/12)+('Calc'!$B$5-'财富模型'!$E$5-(IF('Calc'!$E$13=1,'财富模型'!$E$9,'财富模型'!$M$5+IF(Calc!$I$228&lt;='财富模型'!$E$11*12,'Calc'!$W$13,'Calc'!$Y$13)-(IF('Calc'!$E$13=1,0,MIN(Calc!$K$227*(1+'财富模型'!$E$20/12)+'Calc'!$B$6,IF(Calc!$I$228&lt;='财富模型'!$E$11*12,'Calc'!$W$13,'Calc'!$Y$13))))))),0))</x:f>
      </x:c>
      <x:c r="K228" t="str">
        <x:f>IF(Calc!$I$228&gt;'Calc'!$B$8,"",MAX(Calc!$K$227*(1+'财富模型'!$E$20/12)+'Calc'!$B$6-(IF('Calc'!$E$13=1,0,MIN(Calc!$K$227*(1+'财富模型'!$E$20/12)+'Calc'!$B$6,IF(Calc!$I$228&lt;='财富模型'!$E$11*12,'Calc'!$W$13,'Calc'!$Y$13)))),0))</x:f>
      </x:c>
      <x:c r="L228" t="str">
        <x:f>IF(Calc!$I$228&gt;'Calc'!$B$8,"",IF('Calc'!$E$13=1,'财富模型'!$E$9,'财富模型'!$M$5+IF(Calc!$I$228&lt;='财富模型'!$E$11*12,'Calc'!$W$13,'Calc'!$Y$13)-(IF('Calc'!$E$13=1,0,MIN(Calc!$K$227*(1+'财富模型'!$E$20/12)+'Calc'!$B$6,IF(Calc!$I$228&lt;='财富模型'!$E$11*12,'Calc'!$W$13,'Calc'!$Y$13))))))</x:f>
      </x:c>
      <x:c r="M228" t="str">
        <x:f>IF(Calc!$I$228&gt;'Calc'!$B$8,"",IF('Calc'!$E$13=1,0,MIN(Calc!$K$227*(1+'财富模型'!$E$20/12)+'Calc'!$B$6,IF(Calc!$I$228&lt;='财富模型'!$E$11*12,'Calc'!$W$13,'Calc'!$Y$13))))</x:f>
      </x:c>
      <x:c r="N228" t="str">
        <x:f>IF(Calc!$I$228&gt;'Calc'!$B$8,"",'Calc'!$B$5-'财富模型'!$E$5-(IF('Calc'!$E$13=1,'财富模型'!$E$9,'财富模型'!$M$5+IF(Calc!$I$228&lt;='财富模型'!$E$11*12,'Calc'!$W$13,'Calc'!$Y$13)-(IF('Calc'!$E$13=1,0,MIN(Calc!$K$227*(1+'财富模型'!$E$20/12)+'Calc'!$B$6,IF(Calc!$I$228&lt;='财富模型'!$E$11*12,'Calc'!$W$13,'Calc'!$Y$13)))))))</x:f>
      </x:c>
      <x:c r="O228" t="str">
        <x:f>IF(Calc!$I$228&gt;'Calc'!$B$8,"",IF('Calc'!$E$13=1,0,MAX(Calc!$O$227*(1+IF(Calc!$I$228&lt;='财富模型'!$E$11*12,'财富模型'!$E$10,'财富模型'!$E$12)/12)-IF('Calc'!$E$13=1,0,IF(Calc!$I$228&lt;='财富模型'!$E$11*12,'Calc'!$W$13,'Calc'!$Y$13)),0)))</x:f>
      </x:c>
      <x:c r="Q228" t="n">
        <x:v>207</x:v>
      </x:c>
      <x:c r="R228" t="str">
        <x:f>IF(Calc!$Q$228&gt;'Calc'!$B$8,"",MAX(Calc!$R$227*(1+'财富模型'!$E$6/12)+('Calc'!$B$5-'财富模型'!$E$5-(IF('Calc'!$E$14=1,'财富模型'!$E$9,'财富模型'!$M$6+IF(Calc!$Q$228&lt;='财富模型'!$E$11*12,'Calc'!$W$14,'Calc'!$Y$14)-(IF('Calc'!$E$14=1,0,MIN(Calc!$S$227*(1+'财富模型'!$E$20/12)+'Calc'!$B$6,IF(Calc!$Q$228&lt;='财富模型'!$E$11*12,'Calc'!$W$14,'Calc'!$Y$14))))))),0))</x:f>
      </x:c>
      <x:c r="S228" t="str">
        <x:f>IF(Calc!$Q$228&gt;'Calc'!$B$8,"",MAX(Calc!$S$227*(1+'财富模型'!$E$20/12)+'Calc'!$B$6-(IF('Calc'!$E$14=1,0,MIN(Calc!$S$227*(1+'财富模型'!$E$20/12)+'Calc'!$B$6,IF(Calc!$Q$228&lt;='财富模型'!$E$11*12,'Calc'!$W$14,'Calc'!$Y$14)))),0))</x:f>
      </x:c>
      <x:c r="T228" t="str">
        <x:f>IF(Calc!$Q$228&gt;'Calc'!$B$8,"",IF('Calc'!$E$14=1,'财富模型'!$E$9,'财富模型'!$M$6+IF(Calc!$Q$228&lt;='财富模型'!$E$11*12,'Calc'!$W$14,'Calc'!$Y$14)-(IF('Calc'!$E$14=1,0,MIN(Calc!$S$227*(1+'财富模型'!$E$20/12)+'Calc'!$B$6,IF(Calc!$Q$228&lt;='财富模型'!$E$11*12,'Calc'!$W$14,'Calc'!$Y$14))))))</x:f>
      </x:c>
      <x:c r="U228" t="str">
        <x:f>IF(Calc!$Q$228&gt;'Calc'!$B$8,"",IF('Calc'!$E$14=1,0,MIN(Calc!$S$227*(1+'财富模型'!$E$20/12)+'Calc'!$B$6,IF(Calc!$Q$228&lt;='财富模型'!$E$11*12,'Calc'!$W$14,'Calc'!$Y$14))))</x:f>
      </x:c>
      <x:c r="V228" t="str">
        <x:f>IF(Calc!$Q$228&gt;'Calc'!$B$8,"",'Calc'!$B$5-'财富模型'!$E$5-(IF('Calc'!$E$14=1,'财富模型'!$E$9,'财富模型'!$M$6+IF(Calc!$Q$228&lt;='财富模型'!$E$11*12,'Calc'!$W$14,'Calc'!$Y$14)-(IF('Calc'!$E$14=1,0,MIN(Calc!$S$227*(1+'财富模型'!$E$20/12)+'Calc'!$B$6,IF(Calc!$Q$228&lt;='财富模型'!$E$11*12,'Calc'!$W$14,'Calc'!$Y$14)))))))</x:f>
      </x:c>
      <x:c r="W228" t="str">
        <x:f>IF(Calc!$Q$228&gt;'Calc'!$B$8,"",IF('Calc'!$E$14=1,0,MAX(Calc!$W$227*(1+IF(Calc!$Q$228&lt;='财富模型'!$E$11*12,'财富模型'!$E$10,'财富模型'!$E$12)/12)-IF('Calc'!$E$14=1,0,IF(Calc!$Q$228&lt;='财富模型'!$E$11*12,'Calc'!$W$14,'Calc'!$Y$14)),0)))</x:f>
      </x:c>
      <x:c r="Y228" t="n">
        <x:v>207</x:v>
      </x:c>
      <x:c r="Z228" t="str">
        <x:f>IF(Calc!$Y$228&gt;'Calc'!$B$8,"",MAX(Calc!$Z$227*(1+'财富模型'!$E$6/12)+('Calc'!$B$5-'财富模型'!$E$5-(IF('Calc'!$E$15=1,'财富模型'!$E$9,'财富模型'!$M$7+IF(Calc!$Y$228&lt;='财富模型'!$E$11*12,'Calc'!$W$15,'Calc'!$Y$15)-(IF('Calc'!$E$15=1,0,MIN(Calc!$AA$227*(1+'财富模型'!$E$20/12)+'Calc'!$B$6,IF(Calc!$Y$228&lt;='财富模型'!$E$11*12,'Calc'!$W$15,'Calc'!$Y$15))))))),0))</x:f>
      </x:c>
      <x:c r="AA228" t="str">
        <x:f>IF(Calc!$Y$228&gt;'Calc'!$B$8,"",MAX(Calc!$AA$227*(1+'财富模型'!$E$20/12)+'Calc'!$B$6-(IF('Calc'!$E$15=1,0,MIN(Calc!$AA$227*(1+'财富模型'!$E$20/12)+'Calc'!$B$6,IF(Calc!$Y$228&lt;='财富模型'!$E$11*12,'Calc'!$W$15,'Calc'!$Y$15)))),0))</x:f>
      </x:c>
      <x:c r="AB228" t="str">
        <x:f>IF(Calc!$Y$228&gt;'Calc'!$B$8,"",IF('Calc'!$E$15=1,'财富模型'!$E$9,'财富模型'!$M$7+IF(Calc!$Y$228&lt;='财富模型'!$E$11*12,'Calc'!$W$15,'Calc'!$Y$15)-(IF('Calc'!$E$15=1,0,MIN(Calc!$AA$227*(1+'财富模型'!$E$20/12)+'Calc'!$B$6,IF(Calc!$Y$228&lt;='财富模型'!$E$11*12,'Calc'!$W$15,'Calc'!$Y$15))))))</x:f>
      </x:c>
      <x:c r="AC228" t="str">
        <x:f>IF(Calc!$Y$228&gt;'Calc'!$B$8,"",IF('Calc'!$E$15=1,0,MIN(Calc!$AA$227*(1+'财富模型'!$E$20/12)+'Calc'!$B$6,IF(Calc!$Y$228&lt;='财富模型'!$E$11*12,'Calc'!$W$15,'Calc'!$Y$15))))</x:f>
      </x:c>
      <x:c r="AD228" t="str">
        <x:f>IF(Calc!$Y$228&gt;'Calc'!$B$8,"",'Calc'!$B$5-'财富模型'!$E$5-(IF('Calc'!$E$15=1,'财富模型'!$E$9,'财富模型'!$M$7+IF(Calc!$Y$228&lt;='财富模型'!$E$11*12,'Calc'!$W$15,'Calc'!$Y$15)-(IF('Calc'!$E$15=1,0,MIN(Calc!$AA$227*(1+'财富模型'!$E$20/12)+'Calc'!$B$6,IF(Calc!$Y$228&lt;='财富模型'!$E$11*12,'Calc'!$W$15,'Calc'!$Y$15)))))))</x:f>
      </x:c>
      <x:c r="AE228" t="str">
        <x:f>IF(Calc!$Y$228&gt;'Calc'!$B$8,"",IF('Calc'!$E$15=1,0,MAX(Calc!$AE$227*(1+IF(Calc!$Y$228&lt;='财富模型'!$E$11*12,'财富模型'!$E$10,'财富模型'!$E$12)/12)-IF('Calc'!$E$15=1,0,IF(Calc!$Y$228&lt;='财富模型'!$E$11*12,'Calc'!$W$15,'Calc'!$Y$15)),0)))</x:f>
      </x:c>
      <x:c r="AG228" t="n">
        <x:v>207</x:v>
      </x:c>
      <x:c r="AH228" t="str">
        <x:f>IF(Calc!$AG$228&gt;'Calc'!$B$8,"",MAX(Calc!$AH$227*(1+'财富模型'!$E$6/12)+('Calc'!$B$5-'财富模型'!$E$5-(IF('Calc'!$E$16=1,'财富模型'!$E$9,'财富模型'!$M$8+IF(Calc!$AG$228&lt;='财富模型'!$E$11*12,'Calc'!$W$16,'Calc'!$Y$16)-(IF('Calc'!$E$16=1,0,MIN(Calc!$AI$227*(1+'财富模型'!$E$20/12)+'Calc'!$B$6,IF(Calc!$AG$228&lt;='财富模型'!$E$11*12,'Calc'!$W$16,'Calc'!$Y$16))))))),0))</x:f>
      </x:c>
      <x:c r="AI228" t="str">
        <x:f>IF(Calc!$AG$228&gt;'Calc'!$B$8,"",MAX(Calc!$AI$227*(1+'财富模型'!$E$20/12)+'Calc'!$B$6-(IF('Calc'!$E$16=1,0,MIN(Calc!$AI$227*(1+'财富模型'!$E$20/12)+'Calc'!$B$6,IF(Calc!$AG$228&lt;='财富模型'!$E$11*12,'Calc'!$W$16,'Calc'!$Y$16)))),0))</x:f>
      </x:c>
      <x:c r="AJ228" t="str">
        <x:f>IF(Calc!$AG$228&gt;'Calc'!$B$8,"",IF('Calc'!$E$16=1,'财富模型'!$E$9,'财富模型'!$M$8+IF(Calc!$AG$228&lt;='财富模型'!$E$11*12,'Calc'!$W$16,'Calc'!$Y$16)-(IF('Calc'!$E$16=1,0,MIN(Calc!$AI$227*(1+'财富模型'!$E$20/12)+'Calc'!$B$6,IF(Calc!$AG$228&lt;='财富模型'!$E$11*12,'Calc'!$W$16,'Calc'!$Y$16))))))</x:f>
      </x:c>
      <x:c r="AK228" t="str">
        <x:f>IF(Calc!$AG$228&gt;'Calc'!$B$8,"",IF('Calc'!$E$16=1,0,MIN(Calc!$AI$227*(1+'财富模型'!$E$20/12)+'Calc'!$B$6,IF(Calc!$AG$228&lt;='财富模型'!$E$11*12,'Calc'!$W$16,'Calc'!$Y$16))))</x:f>
      </x:c>
      <x:c r="AL228" t="str">
        <x:f>IF(Calc!$AG$228&gt;'Calc'!$B$8,"",'Calc'!$B$5-'财富模型'!$E$5-(IF('Calc'!$E$16=1,'财富模型'!$E$9,'财富模型'!$M$8+IF(Calc!$AG$228&lt;='财富模型'!$E$11*12,'Calc'!$W$16,'Calc'!$Y$16)-(IF('Calc'!$E$16=1,0,MIN(Calc!$AI$227*(1+'财富模型'!$E$20/12)+'Calc'!$B$6,IF(Calc!$AG$228&lt;='财富模型'!$E$11*12,'Calc'!$W$16,'Calc'!$Y$16)))))))</x:f>
      </x:c>
      <x:c r="AM228" t="str">
        <x:f>IF(Calc!$AG$228&gt;'Calc'!$B$8,"",IF('Calc'!$E$16=1,0,MAX(Calc!$AM$227*(1+IF(Calc!$AG$228&lt;='财富模型'!$E$11*12,'财富模型'!$E$10,'财富模型'!$E$12)/12)-IF('Calc'!$E$16=1,0,IF(Calc!$AG$228&lt;='财富模型'!$E$11*12,'Calc'!$W$16,'Calc'!$Y$16)),0)))</x:f>
      </x:c>
      <x:c r="AO228" t="n">
        <x:v>207</x:v>
      </x:c>
      <x:c r="AP228" t="str">
        <x:f>IF(Calc!$AO$228&gt;'Calc'!$B$8,"",MAX(Calc!$AP$227*(1+'财富模型'!$E$6/12)+('Calc'!$B$5-'财富模型'!$E$5-(IF('Calc'!$E$17=1,'财富模型'!$E$9,'财富模型'!$M$9+IF(Calc!$AO$228&lt;='财富模型'!$E$11*12,'Calc'!$W$17,'Calc'!$Y$17)-(IF('Calc'!$E$17=1,0,MIN(Calc!$AQ$227*(1+'财富模型'!$E$20/12)+'Calc'!$B$6,IF(Calc!$AO$228&lt;='财富模型'!$E$11*12,'Calc'!$W$17,'Calc'!$Y$17))))))),0))</x:f>
      </x:c>
      <x:c r="AQ228" t="str">
        <x:f>IF(Calc!$AO$228&gt;'Calc'!$B$8,"",MAX(Calc!$AQ$227*(1+'财富模型'!$E$20/12)+'Calc'!$B$6-(IF('Calc'!$E$17=1,0,MIN(Calc!$AQ$227*(1+'财富模型'!$E$20/12)+'Calc'!$B$6,IF(Calc!$AO$228&lt;='财富模型'!$E$11*12,'Calc'!$W$17,'Calc'!$Y$17)))),0))</x:f>
      </x:c>
      <x:c r="AR228" t="str">
        <x:f>IF(Calc!$AO$228&gt;'Calc'!$B$8,"",IF('Calc'!$E$17=1,'财富模型'!$E$9,'财富模型'!$M$9+IF(Calc!$AO$228&lt;='财富模型'!$E$11*12,'Calc'!$W$17,'Calc'!$Y$17)-(IF('Calc'!$E$17=1,0,MIN(Calc!$AQ$227*(1+'财富模型'!$E$20/12)+'Calc'!$B$6,IF(Calc!$AO$228&lt;='财富模型'!$E$11*12,'Calc'!$W$17,'Calc'!$Y$17))))))</x:f>
      </x:c>
      <x:c r="AS228" t="str">
        <x:f>IF(Calc!$AO$228&gt;'Calc'!$B$8,"",IF('Calc'!$E$17=1,0,MIN(Calc!$AQ$227*(1+'财富模型'!$E$20/12)+'Calc'!$B$6,IF(Calc!$AO$228&lt;='财富模型'!$E$11*12,'Calc'!$W$17,'Calc'!$Y$17))))</x:f>
      </x:c>
      <x:c r="AT228" t="str">
        <x:f>IF(Calc!$AO$228&gt;'Calc'!$B$8,"",'Calc'!$B$5-'财富模型'!$E$5-(IF('Calc'!$E$17=1,'财富模型'!$E$9,'财富模型'!$M$9+IF(Calc!$AO$228&lt;='财富模型'!$E$11*12,'Calc'!$W$17,'Calc'!$Y$17)-(IF('Calc'!$E$17=1,0,MIN(Calc!$AQ$227*(1+'财富模型'!$E$20/12)+'Calc'!$B$6,IF(Calc!$AO$228&lt;='财富模型'!$E$11*12,'Calc'!$W$17,'Calc'!$Y$17)))))))</x:f>
      </x:c>
      <x:c r="AU228" t="str">
        <x:f>IF(Calc!$AO$228&gt;'Calc'!$B$8,"",IF('Calc'!$E$17=1,0,MAX(Calc!$AU$227*(1+IF(Calc!$AO$228&lt;='财富模型'!$E$11*12,'财富模型'!$E$10,'财富模型'!$E$12)/12)-IF('Calc'!$E$17=1,0,IF(Calc!$AO$228&lt;='财富模型'!$E$11*12,'Calc'!$W$17,'Calc'!$Y$17)),0)))</x:f>
      </x:c>
    </x:row>
    <x:row r="229">
      <x:c r="A229" t="n">
        <x:v>208</x:v>
      </x:c>
      <x:c r="B229" t="str">
        <x:f>IF(Calc!$A$229&gt;'Calc'!$B$8,"",MAX(Calc!$B$228*(1+'财富模型'!$E$6/12)+('Calc'!$B$5-'财富模型'!$E$5-(IF('Calc'!$E$12=1,'财富模型'!$E$9,'财富模型'!$M$4+IF(Calc!$A$229&lt;='财富模型'!$E$11*12,'Calc'!$W$12,'Calc'!$Y$12)-(IF('Calc'!$E$12=1,0,MIN(Calc!$C$228*(1+'财富模型'!$E$20/12)+'Calc'!$B$6,IF(Calc!$A$229&lt;='财富模型'!$E$11*12,'Calc'!$W$12,'Calc'!$Y$12))))))),0))</x:f>
      </x:c>
      <x:c r="C229" t="str">
        <x:f>IF(Calc!$A$229&gt;'Calc'!$B$8,"",MAX(Calc!$C$228*(1+'财富模型'!$E$20/12)+'Calc'!$B$6-(IF('Calc'!$E$12=1,0,MIN(Calc!$C$228*(1+'财富模型'!$E$20/12)+'Calc'!$B$6,IF(Calc!$A$229&lt;='财富模型'!$E$11*12,'Calc'!$W$12,'Calc'!$Y$12)))),0))</x:f>
      </x:c>
      <x:c r="D229" t="str">
        <x:f>IF(Calc!$A$229&gt;'Calc'!$B$8,"",IF('Calc'!$E$12=1,'财富模型'!$E$9,'财富模型'!$M$4+IF(Calc!$A$229&lt;='财富模型'!$E$11*12,'Calc'!$W$12,'Calc'!$Y$12)-(IF('Calc'!$E$12=1,0,MIN(Calc!$C$228*(1+'财富模型'!$E$20/12)+'Calc'!$B$6,IF(Calc!$A$229&lt;='财富模型'!$E$11*12,'Calc'!$W$12,'Calc'!$Y$12))))))</x:f>
      </x:c>
      <x:c r="E229" t="str">
        <x:f>IF(Calc!$A$229&gt;'Calc'!$B$8,"",IF('Calc'!$E$12=1,0,MIN(Calc!$C$228*(1+'财富模型'!$E$20/12)+'Calc'!$B$6,IF(Calc!$A$229&lt;='财富模型'!$E$11*12,'Calc'!$W$12,'Calc'!$Y$12))))</x:f>
      </x:c>
      <x:c r="F229" t="str">
        <x:f>IF(Calc!$A$229&gt;'Calc'!$B$8,"",'Calc'!$B$5-'财富模型'!$E$5-(IF('Calc'!$E$12=1,'财富模型'!$E$9,'财富模型'!$M$4+IF(Calc!$A$229&lt;='财富模型'!$E$11*12,'Calc'!$W$12,'Calc'!$Y$12)-(IF('Calc'!$E$12=1,0,MIN(Calc!$C$228*(1+'财富模型'!$E$20/12)+'Calc'!$B$6,IF(Calc!$A$229&lt;='财富模型'!$E$11*12,'Calc'!$W$12,'Calc'!$Y$12)))))))</x:f>
      </x:c>
      <x:c r="G229" t="str">
        <x:f>IF(Calc!$A$229&gt;'Calc'!$B$8,"",IF('Calc'!$E$12=1,0,MAX(Calc!$G$228*(1+IF(Calc!$A$229&lt;='财富模型'!$E$11*12,'财富模型'!$E$10,'财富模型'!$E$12)/12)-IF('Calc'!$E$12=1,0,IF(Calc!$A$229&lt;='财富模型'!$E$11*12,'Calc'!$W$12,'Calc'!$Y$12)),0)))</x:f>
      </x:c>
      <x:c r="I229" t="n">
        <x:v>208</x:v>
      </x:c>
      <x:c r="J229" t="str">
        <x:f>IF(Calc!$I$229&gt;'Calc'!$B$8,"",MAX(Calc!$J$228*(1+'财富模型'!$E$6/12)+('Calc'!$B$5-'财富模型'!$E$5-(IF('Calc'!$E$13=1,'财富模型'!$E$9,'财富模型'!$M$5+IF(Calc!$I$229&lt;='财富模型'!$E$11*12,'Calc'!$W$13,'Calc'!$Y$13)-(IF('Calc'!$E$13=1,0,MIN(Calc!$K$228*(1+'财富模型'!$E$20/12)+'Calc'!$B$6,IF(Calc!$I$229&lt;='财富模型'!$E$11*12,'Calc'!$W$13,'Calc'!$Y$13))))))),0))</x:f>
      </x:c>
      <x:c r="K229" t="str">
        <x:f>IF(Calc!$I$229&gt;'Calc'!$B$8,"",MAX(Calc!$K$228*(1+'财富模型'!$E$20/12)+'Calc'!$B$6-(IF('Calc'!$E$13=1,0,MIN(Calc!$K$228*(1+'财富模型'!$E$20/12)+'Calc'!$B$6,IF(Calc!$I$229&lt;='财富模型'!$E$11*12,'Calc'!$W$13,'Calc'!$Y$13)))),0))</x:f>
      </x:c>
      <x:c r="L229" t="str">
        <x:f>IF(Calc!$I$229&gt;'Calc'!$B$8,"",IF('Calc'!$E$13=1,'财富模型'!$E$9,'财富模型'!$M$5+IF(Calc!$I$229&lt;='财富模型'!$E$11*12,'Calc'!$W$13,'Calc'!$Y$13)-(IF('Calc'!$E$13=1,0,MIN(Calc!$K$228*(1+'财富模型'!$E$20/12)+'Calc'!$B$6,IF(Calc!$I$229&lt;='财富模型'!$E$11*12,'Calc'!$W$13,'Calc'!$Y$13))))))</x:f>
      </x:c>
      <x:c r="M229" t="str">
        <x:f>IF(Calc!$I$229&gt;'Calc'!$B$8,"",IF('Calc'!$E$13=1,0,MIN(Calc!$K$228*(1+'财富模型'!$E$20/12)+'Calc'!$B$6,IF(Calc!$I$229&lt;='财富模型'!$E$11*12,'Calc'!$W$13,'Calc'!$Y$13))))</x:f>
      </x:c>
      <x:c r="N229" t="str">
        <x:f>IF(Calc!$I$229&gt;'Calc'!$B$8,"",'Calc'!$B$5-'财富模型'!$E$5-(IF('Calc'!$E$13=1,'财富模型'!$E$9,'财富模型'!$M$5+IF(Calc!$I$229&lt;='财富模型'!$E$11*12,'Calc'!$W$13,'Calc'!$Y$13)-(IF('Calc'!$E$13=1,0,MIN(Calc!$K$228*(1+'财富模型'!$E$20/12)+'Calc'!$B$6,IF(Calc!$I$229&lt;='财富模型'!$E$11*12,'Calc'!$W$13,'Calc'!$Y$13)))))))</x:f>
      </x:c>
      <x:c r="O229" t="str">
        <x:f>IF(Calc!$I$229&gt;'Calc'!$B$8,"",IF('Calc'!$E$13=1,0,MAX(Calc!$O$228*(1+IF(Calc!$I$229&lt;='财富模型'!$E$11*12,'财富模型'!$E$10,'财富模型'!$E$12)/12)-IF('Calc'!$E$13=1,0,IF(Calc!$I$229&lt;='财富模型'!$E$11*12,'Calc'!$W$13,'Calc'!$Y$13)),0)))</x:f>
      </x:c>
      <x:c r="Q229" t="n">
        <x:v>208</x:v>
      </x:c>
      <x:c r="R229" t="str">
        <x:f>IF(Calc!$Q$229&gt;'Calc'!$B$8,"",MAX(Calc!$R$228*(1+'财富模型'!$E$6/12)+('Calc'!$B$5-'财富模型'!$E$5-(IF('Calc'!$E$14=1,'财富模型'!$E$9,'财富模型'!$M$6+IF(Calc!$Q$229&lt;='财富模型'!$E$11*12,'Calc'!$W$14,'Calc'!$Y$14)-(IF('Calc'!$E$14=1,0,MIN(Calc!$S$228*(1+'财富模型'!$E$20/12)+'Calc'!$B$6,IF(Calc!$Q$229&lt;='财富模型'!$E$11*12,'Calc'!$W$14,'Calc'!$Y$14))))))),0))</x:f>
      </x:c>
      <x:c r="S229" t="str">
        <x:f>IF(Calc!$Q$229&gt;'Calc'!$B$8,"",MAX(Calc!$S$228*(1+'财富模型'!$E$20/12)+'Calc'!$B$6-(IF('Calc'!$E$14=1,0,MIN(Calc!$S$228*(1+'财富模型'!$E$20/12)+'Calc'!$B$6,IF(Calc!$Q$229&lt;='财富模型'!$E$11*12,'Calc'!$W$14,'Calc'!$Y$14)))),0))</x:f>
      </x:c>
      <x:c r="T229" t="str">
        <x:f>IF(Calc!$Q$229&gt;'Calc'!$B$8,"",IF('Calc'!$E$14=1,'财富模型'!$E$9,'财富模型'!$M$6+IF(Calc!$Q$229&lt;='财富模型'!$E$11*12,'Calc'!$W$14,'Calc'!$Y$14)-(IF('Calc'!$E$14=1,0,MIN(Calc!$S$228*(1+'财富模型'!$E$20/12)+'Calc'!$B$6,IF(Calc!$Q$229&lt;='财富模型'!$E$11*12,'Calc'!$W$14,'Calc'!$Y$14))))))</x:f>
      </x:c>
      <x:c r="U229" t="str">
        <x:f>IF(Calc!$Q$229&gt;'Calc'!$B$8,"",IF('Calc'!$E$14=1,0,MIN(Calc!$S$228*(1+'财富模型'!$E$20/12)+'Calc'!$B$6,IF(Calc!$Q$229&lt;='财富模型'!$E$11*12,'Calc'!$W$14,'Calc'!$Y$14))))</x:f>
      </x:c>
      <x:c r="V229" t="str">
        <x:f>IF(Calc!$Q$229&gt;'Calc'!$B$8,"",'Calc'!$B$5-'财富模型'!$E$5-(IF('Calc'!$E$14=1,'财富模型'!$E$9,'财富模型'!$M$6+IF(Calc!$Q$229&lt;='财富模型'!$E$11*12,'Calc'!$W$14,'Calc'!$Y$14)-(IF('Calc'!$E$14=1,0,MIN(Calc!$S$228*(1+'财富模型'!$E$20/12)+'Calc'!$B$6,IF(Calc!$Q$229&lt;='财富模型'!$E$11*12,'Calc'!$W$14,'Calc'!$Y$14)))))))</x:f>
      </x:c>
      <x:c r="W229" t="str">
        <x:f>IF(Calc!$Q$229&gt;'Calc'!$B$8,"",IF('Calc'!$E$14=1,0,MAX(Calc!$W$228*(1+IF(Calc!$Q$229&lt;='财富模型'!$E$11*12,'财富模型'!$E$10,'财富模型'!$E$12)/12)-IF('Calc'!$E$14=1,0,IF(Calc!$Q$229&lt;='财富模型'!$E$11*12,'Calc'!$W$14,'Calc'!$Y$14)),0)))</x:f>
      </x:c>
      <x:c r="Y229" t="n">
        <x:v>208</x:v>
      </x:c>
      <x:c r="Z229" t="str">
        <x:f>IF(Calc!$Y$229&gt;'Calc'!$B$8,"",MAX(Calc!$Z$228*(1+'财富模型'!$E$6/12)+('Calc'!$B$5-'财富模型'!$E$5-(IF('Calc'!$E$15=1,'财富模型'!$E$9,'财富模型'!$M$7+IF(Calc!$Y$229&lt;='财富模型'!$E$11*12,'Calc'!$W$15,'Calc'!$Y$15)-(IF('Calc'!$E$15=1,0,MIN(Calc!$AA$228*(1+'财富模型'!$E$20/12)+'Calc'!$B$6,IF(Calc!$Y$229&lt;='财富模型'!$E$11*12,'Calc'!$W$15,'Calc'!$Y$15))))))),0))</x:f>
      </x:c>
      <x:c r="AA229" t="str">
        <x:f>IF(Calc!$Y$229&gt;'Calc'!$B$8,"",MAX(Calc!$AA$228*(1+'财富模型'!$E$20/12)+'Calc'!$B$6-(IF('Calc'!$E$15=1,0,MIN(Calc!$AA$228*(1+'财富模型'!$E$20/12)+'Calc'!$B$6,IF(Calc!$Y$229&lt;='财富模型'!$E$11*12,'Calc'!$W$15,'Calc'!$Y$15)))),0))</x:f>
      </x:c>
      <x:c r="AB229" t="str">
        <x:f>IF(Calc!$Y$229&gt;'Calc'!$B$8,"",IF('Calc'!$E$15=1,'财富模型'!$E$9,'财富模型'!$M$7+IF(Calc!$Y$229&lt;='财富模型'!$E$11*12,'Calc'!$W$15,'Calc'!$Y$15)-(IF('Calc'!$E$15=1,0,MIN(Calc!$AA$228*(1+'财富模型'!$E$20/12)+'Calc'!$B$6,IF(Calc!$Y$229&lt;='财富模型'!$E$11*12,'Calc'!$W$15,'Calc'!$Y$15))))))</x:f>
      </x:c>
      <x:c r="AC229" t="str">
        <x:f>IF(Calc!$Y$229&gt;'Calc'!$B$8,"",IF('Calc'!$E$15=1,0,MIN(Calc!$AA$228*(1+'财富模型'!$E$20/12)+'Calc'!$B$6,IF(Calc!$Y$229&lt;='财富模型'!$E$11*12,'Calc'!$W$15,'Calc'!$Y$15))))</x:f>
      </x:c>
      <x:c r="AD229" t="str">
        <x:f>IF(Calc!$Y$229&gt;'Calc'!$B$8,"",'Calc'!$B$5-'财富模型'!$E$5-(IF('Calc'!$E$15=1,'财富模型'!$E$9,'财富模型'!$M$7+IF(Calc!$Y$229&lt;='财富模型'!$E$11*12,'Calc'!$W$15,'Calc'!$Y$15)-(IF('Calc'!$E$15=1,0,MIN(Calc!$AA$228*(1+'财富模型'!$E$20/12)+'Calc'!$B$6,IF(Calc!$Y$229&lt;='财富模型'!$E$11*12,'Calc'!$W$15,'Calc'!$Y$15)))))))</x:f>
      </x:c>
      <x:c r="AE229" t="str">
        <x:f>IF(Calc!$Y$229&gt;'Calc'!$B$8,"",IF('Calc'!$E$15=1,0,MAX(Calc!$AE$228*(1+IF(Calc!$Y$229&lt;='财富模型'!$E$11*12,'财富模型'!$E$10,'财富模型'!$E$12)/12)-IF('Calc'!$E$15=1,0,IF(Calc!$Y$229&lt;='财富模型'!$E$11*12,'Calc'!$W$15,'Calc'!$Y$15)),0)))</x:f>
      </x:c>
      <x:c r="AG229" t="n">
        <x:v>208</x:v>
      </x:c>
      <x:c r="AH229" t="str">
        <x:f>IF(Calc!$AG$229&gt;'Calc'!$B$8,"",MAX(Calc!$AH$228*(1+'财富模型'!$E$6/12)+('Calc'!$B$5-'财富模型'!$E$5-(IF('Calc'!$E$16=1,'财富模型'!$E$9,'财富模型'!$M$8+IF(Calc!$AG$229&lt;='财富模型'!$E$11*12,'Calc'!$W$16,'Calc'!$Y$16)-(IF('Calc'!$E$16=1,0,MIN(Calc!$AI$228*(1+'财富模型'!$E$20/12)+'Calc'!$B$6,IF(Calc!$AG$229&lt;='财富模型'!$E$11*12,'Calc'!$W$16,'Calc'!$Y$16))))))),0))</x:f>
      </x:c>
      <x:c r="AI229" t="str">
        <x:f>IF(Calc!$AG$229&gt;'Calc'!$B$8,"",MAX(Calc!$AI$228*(1+'财富模型'!$E$20/12)+'Calc'!$B$6-(IF('Calc'!$E$16=1,0,MIN(Calc!$AI$228*(1+'财富模型'!$E$20/12)+'Calc'!$B$6,IF(Calc!$AG$229&lt;='财富模型'!$E$11*12,'Calc'!$W$16,'Calc'!$Y$16)))),0))</x:f>
      </x:c>
      <x:c r="AJ229" t="str">
        <x:f>IF(Calc!$AG$229&gt;'Calc'!$B$8,"",IF('Calc'!$E$16=1,'财富模型'!$E$9,'财富模型'!$M$8+IF(Calc!$AG$229&lt;='财富模型'!$E$11*12,'Calc'!$W$16,'Calc'!$Y$16)-(IF('Calc'!$E$16=1,0,MIN(Calc!$AI$228*(1+'财富模型'!$E$20/12)+'Calc'!$B$6,IF(Calc!$AG$229&lt;='财富模型'!$E$11*12,'Calc'!$W$16,'Calc'!$Y$16))))))</x:f>
      </x:c>
      <x:c r="AK229" t="str">
        <x:f>IF(Calc!$AG$229&gt;'Calc'!$B$8,"",IF('Calc'!$E$16=1,0,MIN(Calc!$AI$228*(1+'财富模型'!$E$20/12)+'Calc'!$B$6,IF(Calc!$AG$229&lt;='财富模型'!$E$11*12,'Calc'!$W$16,'Calc'!$Y$16))))</x:f>
      </x:c>
      <x:c r="AL229" t="str">
        <x:f>IF(Calc!$AG$229&gt;'Calc'!$B$8,"",'Calc'!$B$5-'财富模型'!$E$5-(IF('Calc'!$E$16=1,'财富模型'!$E$9,'财富模型'!$M$8+IF(Calc!$AG$229&lt;='财富模型'!$E$11*12,'Calc'!$W$16,'Calc'!$Y$16)-(IF('Calc'!$E$16=1,0,MIN(Calc!$AI$228*(1+'财富模型'!$E$20/12)+'Calc'!$B$6,IF(Calc!$AG$229&lt;='财富模型'!$E$11*12,'Calc'!$W$16,'Calc'!$Y$16)))))))</x:f>
      </x:c>
      <x:c r="AM229" t="str">
        <x:f>IF(Calc!$AG$229&gt;'Calc'!$B$8,"",IF('Calc'!$E$16=1,0,MAX(Calc!$AM$228*(1+IF(Calc!$AG$229&lt;='财富模型'!$E$11*12,'财富模型'!$E$10,'财富模型'!$E$12)/12)-IF('Calc'!$E$16=1,0,IF(Calc!$AG$229&lt;='财富模型'!$E$11*12,'Calc'!$W$16,'Calc'!$Y$16)),0)))</x:f>
      </x:c>
      <x:c r="AO229" t="n">
        <x:v>208</x:v>
      </x:c>
      <x:c r="AP229" t="str">
        <x:f>IF(Calc!$AO$229&gt;'Calc'!$B$8,"",MAX(Calc!$AP$228*(1+'财富模型'!$E$6/12)+('Calc'!$B$5-'财富模型'!$E$5-(IF('Calc'!$E$17=1,'财富模型'!$E$9,'财富模型'!$M$9+IF(Calc!$AO$229&lt;='财富模型'!$E$11*12,'Calc'!$W$17,'Calc'!$Y$17)-(IF('Calc'!$E$17=1,0,MIN(Calc!$AQ$228*(1+'财富模型'!$E$20/12)+'Calc'!$B$6,IF(Calc!$AO$229&lt;='财富模型'!$E$11*12,'Calc'!$W$17,'Calc'!$Y$17))))))),0))</x:f>
      </x:c>
      <x:c r="AQ229" t="str">
        <x:f>IF(Calc!$AO$229&gt;'Calc'!$B$8,"",MAX(Calc!$AQ$228*(1+'财富模型'!$E$20/12)+'Calc'!$B$6-(IF('Calc'!$E$17=1,0,MIN(Calc!$AQ$228*(1+'财富模型'!$E$20/12)+'Calc'!$B$6,IF(Calc!$AO$229&lt;='财富模型'!$E$11*12,'Calc'!$W$17,'Calc'!$Y$17)))),0))</x:f>
      </x:c>
      <x:c r="AR229" t="str">
        <x:f>IF(Calc!$AO$229&gt;'Calc'!$B$8,"",IF('Calc'!$E$17=1,'财富模型'!$E$9,'财富模型'!$M$9+IF(Calc!$AO$229&lt;='财富模型'!$E$11*12,'Calc'!$W$17,'Calc'!$Y$17)-(IF('Calc'!$E$17=1,0,MIN(Calc!$AQ$228*(1+'财富模型'!$E$20/12)+'Calc'!$B$6,IF(Calc!$AO$229&lt;='财富模型'!$E$11*12,'Calc'!$W$17,'Calc'!$Y$17))))))</x:f>
      </x:c>
      <x:c r="AS229" t="str">
        <x:f>IF(Calc!$AO$229&gt;'Calc'!$B$8,"",IF('Calc'!$E$17=1,0,MIN(Calc!$AQ$228*(1+'财富模型'!$E$20/12)+'Calc'!$B$6,IF(Calc!$AO$229&lt;='财富模型'!$E$11*12,'Calc'!$W$17,'Calc'!$Y$17))))</x:f>
      </x:c>
      <x:c r="AT229" t="str">
        <x:f>IF(Calc!$AO$229&gt;'Calc'!$B$8,"",'Calc'!$B$5-'财富模型'!$E$5-(IF('Calc'!$E$17=1,'财富模型'!$E$9,'财富模型'!$M$9+IF(Calc!$AO$229&lt;='财富模型'!$E$11*12,'Calc'!$W$17,'Calc'!$Y$17)-(IF('Calc'!$E$17=1,0,MIN(Calc!$AQ$228*(1+'财富模型'!$E$20/12)+'Calc'!$B$6,IF(Calc!$AO$229&lt;='财富模型'!$E$11*12,'Calc'!$W$17,'Calc'!$Y$17)))))))</x:f>
      </x:c>
      <x:c r="AU229" t="str">
        <x:f>IF(Calc!$AO$229&gt;'Calc'!$B$8,"",IF('Calc'!$E$17=1,0,MAX(Calc!$AU$228*(1+IF(Calc!$AO$229&lt;='财富模型'!$E$11*12,'财富模型'!$E$10,'财富模型'!$E$12)/12)-IF('Calc'!$E$17=1,0,IF(Calc!$AO$229&lt;='财富模型'!$E$11*12,'Calc'!$W$17,'Calc'!$Y$17)),0)))</x:f>
      </x:c>
    </x:row>
    <x:row r="230">
      <x:c r="A230" t="n">
        <x:v>209</x:v>
      </x:c>
      <x:c r="B230" t="str">
        <x:f>IF(Calc!$A$230&gt;'Calc'!$B$8,"",MAX(Calc!$B$229*(1+'财富模型'!$E$6/12)+('Calc'!$B$5-'财富模型'!$E$5-(IF('Calc'!$E$12=1,'财富模型'!$E$9,'财富模型'!$M$4+IF(Calc!$A$230&lt;='财富模型'!$E$11*12,'Calc'!$W$12,'Calc'!$Y$12)-(IF('Calc'!$E$12=1,0,MIN(Calc!$C$229*(1+'财富模型'!$E$20/12)+'Calc'!$B$6,IF(Calc!$A$230&lt;='财富模型'!$E$11*12,'Calc'!$W$12,'Calc'!$Y$12))))))),0))</x:f>
      </x:c>
      <x:c r="C230" t="str">
        <x:f>IF(Calc!$A$230&gt;'Calc'!$B$8,"",MAX(Calc!$C$229*(1+'财富模型'!$E$20/12)+'Calc'!$B$6-(IF('Calc'!$E$12=1,0,MIN(Calc!$C$229*(1+'财富模型'!$E$20/12)+'Calc'!$B$6,IF(Calc!$A$230&lt;='财富模型'!$E$11*12,'Calc'!$W$12,'Calc'!$Y$12)))),0))</x:f>
      </x:c>
      <x:c r="D230" t="str">
        <x:f>IF(Calc!$A$230&gt;'Calc'!$B$8,"",IF('Calc'!$E$12=1,'财富模型'!$E$9,'财富模型'!$M$4+IF(Calc!$A$230&lt;='财富模型'!$E$11*12,'Calc'!$W$12,'Calc'!$Y$12)-(IF('Calc'!$E$12=1,0,MIN(Calc!$C$229*(1+'财富模型'!$E$20/12)+'Calc'!$B$6,IF(Calc!$A$230&lt;='财富模型'!$E$11*12,'Calc'!$W$12,'Calc'!$Y$12))))))</x:f>
      </x:c>
      <x:c r="E230" t="str">
        <x:f>IF(Calc!$A$230&gt;'Calc'!$B$8,"",IF('Calc'!$E$12=1,0,MIN(Calc!$C$229*(1+'财富模型'!$E$20/12)+'Calc'!$B$6,IF(Calc!$A$230&lt;='财富模型'!$E$11*12,'Calc'!$W$12,'Calc'!$Y$12))))</x:f>
      </x:c>
      <x:c r="F230" t="str">
        <x:f>IF(Calc!$A$230&gt;'Calc'!$B$8,"",'Calc'!$B$5-'财富模型'!$E$5-(IF('Calc'!$E$12=1,'财富模型'!$E$9,'财富模型'!$M$4+IF(Calc!$A$230&lt;='财富模型'!$E$11*12,'Calc'!$W$12,'Calc'!$Y$12)-(IF('Calc'!$E$12=1,0,MIN(Calc!$C$229*(1+'财富模型'!$E$20/12)+'Calc'!$B$6,IF(Calc!$A$230&lt;='财富模型'!$E$11*12,'Calc'!$W$12,'Calc'!$Y$12)))))))</x:f>
      </x:c>
      <x:c r="G230" t="str">
        <x:f>IF(Calc!$A$230&gt;'Calc'!$B$8,"",IF('Calc'!$E$12=1,0,MAX(Calc!$G$229*(1+IF(Calc!$A$230&lt;='财富模型'!$E$11*12,'财富模型'!$E$10,'财富模型'!$E$12)/12)-IF('Calc'!$E$12=1,0,IF(Calc!$A$230&lt;='财富模型'!$E$11*12,'Calc'!$W$12,'Calc'!$Y$12)),0)))</x:f>
      </x:c>
      <x:c r="I230" t="n">
        <x:v>209</x:v>
      </x:c>
      <x:c r="J230" t="str">
        <x:f>IF(Calc!$I$230&gt;'Calc'!$B$8,"",MAX(Calc!$J$229*(1+'财富模型'!$E$6/12)+('Calc'!$B$5-'财富模型'!$E$5-(IF('Calc'!$E$13=1,'财富模型'!$E$9,'财富模型'!$M$5+IF(Calc!$I$230&lt;='财富模型'!$E$11*12,'Calc'!$W$13,'Calc'!$Y$13)-(IF('Calc'!$E$13=1,0,MIN(Calc!$K$229*(1+'财富模型'!$E$20/12)+'Calc'!$B$6,IF(Calc!$I$230&lt;='财富模型'!$E$11*12,'Calc'!$W$13,'Calc'!$Y$13))))))),0))</x:f>
      </x:c>
      <x:c r="K230" t="str">
        <x:f>IF(Calc!$I$230&gt;'Calc'!$B$8,"",MAX(Calc!$K$229*(1+'财富模型'!$E$20/12)+'Calc'!$B$6-(IF('Calc'!$E$13=1,0,MIN(Calc!$K$229*(1+'财富模型'!$E$20/12)+'Calc'!$B$6,IF(Calc!$I$230&lt;='财富模型'!$E$11*12,'Calc'!$W$13,'Calc'!$Y$13)))),0))</x:f>
      </x:c>
      <x:c r="L230" t="str">
        <x:f>IF(Calc!$I$230&gt;'Calc'!$B$8,"",IF('Calc'!$E$13=1,'财富模型'!$E$9,'财富模型'!$M$5+IF(Calc!$I$230&lt;='财富模型'!$E$11*12,'Calc'!$W$13,'Calc'!$Y$13)-(IF('Calc'!$E$13=1,0,MIN(Calc!$K$229*(1+'财富模型'!$E$20/12)+'Calc'!$B$6,IF(Calc!$I$230&lt;='财富模型'!$E$11*12,'Calc'!$W$13,'Calc'!$Y$13))))))</x:f>
      </x:c>
      <x:c r="M230" t="str">
        <x:f>IF(Calc!$I$230&gt;'Calc'!$B$8,"",IF('Calc'!$E$13=1,0,MIN(Calc!$K$229*(1+'财富模型'!$E$20/12)+'Calc'!$B$6,IF(Calc!$I$230&lt;='财富模型'!$E$11*12,'Calc'!$W$13,'Calc'!$Y$13))))</x:f>
      </x:c>
      <x:c r="N230" t="str">
        <x:f>IF(Calc!$I$230&gt;'Calc'!$B$8,"",'Calc'!$B$5-'财富模型'!$E$5-(IF('Calc'!$E$13=1,'财富模型'!$E$9,'财富模型'!$M$5+IF(Calc!$I$230&lt;='财富模型'!$E$11*12,'Calc'!$W$13,'Calc'!$Y$13)-(IF('Calc'!$E$13=1,0,MIN(Calc!$K$229*(1+'财富模型'!$E$20/12)+'Calc'!$B$6,IF(Calc!$I$230&lt;='财富模型'!$E$11*12,'Calc'!$W$13,'Calc'!$Y$13)))))))</x:f>
      </x:c>
      <x:c r="O230" t="str">
        <x:f>IF(Calc!$I$230&gt;'Calc'!$B$8,"",IF('Calc'!$E$13=1,0,MAX(Calc!$O$229*(1+IF(Calc!$I$230&lt;='财富模型'!$E$11*12,'财富模型'!$E$10,'财富模型'!$E$12)/12)-IF('Calc'!$E$13=1,0,IF(Calc!$I$230&lt;='财富模型'!$E$11*12,'Calc'!$W$13,'Calc'!$Y$13)),0)))</x:f>
      </x:c>
      <x:c r="Q230" t="n">
        <x:v>209</x:v>
      </x:c>
      <x:c r="R230" t="str">
        <x:f>IF(Calc!$Q$230&gt;'Calc'!$B$8,"",MAX(Calc!$R$229*(1+'财富模型'!$E$6/12)+('Calc'!$B$5-'财富模型'!$E$5-(IF('Calc'!$E$14=1,'财富模型'!$E$9,'财富模型'!$M$6+IF(Calc!$Q$230&lt;='财富模型'!$E$11*12,'Calc'!$W$14,'Calc'!$Y$14)-(IF('Calc'!$E$14=1,0,MIN(Calc!$S$229*(1+'财富模型'!$E$20/12)+'Calc'!$B$6,IF(Calc!$Q$230&lt;='财富模型'!$E$11*12,'Calc'!$W$14,'Calc'!$Y$14))))))),0))</x:f>
      </x:c>
      <x:c r="S230" t="str">
        <x:f>IF(Calc!$Q$230&gt;'Calc'!$B$8,"",MAX(Calc!$S$229*(1+'财富模型'!$E$20/12)+'Calc'!$B$6-(IF('Calc'!$E$14=1,0,MIN(Calc!$S$229*(1+'财富模型'!$E$20/12)+'Calc'!$B$6,IF(Calc!$Q$230&lt;='财富模型'!$E$11*12,'Calc'!$W$14,'Calc'!$Y$14)))),0))</x:f>
      </x:c>
      <x:c r="T230" t="str">
        <x:f>IF(Calc!$Q$230&gt;'Calc'!$B$8,"",IF('Calc'!$E$14=1,'财富模型'!$E$9,'财富模型'!$M$6+IF(Calc!$Q$230&lt;='财富模型'!$E$11*12,'Calc'!$W$14,'Calc'!$Y$14)-(IF('Calc'!$E$14=1,0,MIN(Calc!$S$229*(1+'财富模型'!$E$20/12)+'Calc'!$B$6,IF(Calc!$Q$230&lt;='财富模型'!$E$11*12,'Calc'!$W$14,'Calc'!$Y$14))))))</x:f>
      </x:c>
      <x:c r="U230" t="str">
        <x:f>IF(Calc!$Q$230&gt;'Calc'!$B$8,"",IF('Calc'!$E$14=1,0,MIN(Calc!$S$229*(1+'财富模型'!$E$20/12)+'Calc'!$B$6,IF(Calc!$Q$230&lt;='财富模型'!$E$11*12,'Calc'!$W$14,'Calc'!$Y$14))))</x:f>
      </x:c>
      <x:c r="V230" t="str">
        <x:f>IF(Calc!$Q$230&gt;'Calc'!$B$8,"",'Calc'!$B$5-'财富模型'!$E$5-(IF('Calc'!$E$14=1,'财富模型'!$E$9,'财富模型'!$M$6+IF(Calc!$Q$230&lt;='财富模型'!$E$11*12,'Calc'!$W$14,'Calc'!$Y$14)-(IF('Calc'!$E$14=1,0,MIN(Calc!$S$229*(1+'财富模型'!$E$20/12)+'Calc'!$B$6,IF(Calc!$Q$230&lt;='财富模型'!$E$11*12,'Calc'!$W$14,'Calc'!$Y$14)))))))</x:f>
      </x:c>
      <x:c r="W230" t="str">
        <x:f>IF(Calc!$Q$230&gt;'Calc'!$B$8,"",IF('Calc'!$E$14=1,0,MAX(Calc!$W$229*(1+IF(Calc!$Q$230&lt;='财富模型'!$E$11*12,'财富模型'!$E$10,'财富模型'!$E$12)/12)-IF('Calc'!$E$14=1,0,IF(Calc!$Q$230&lt;='财富模型'!$E$11*12,'Calc'!$W$14,'Calc'!$Y$14)),0)))</x:f>
      </x:c>
      <x:c r="Y230" t="n">
        <x:v>209</x:v>
      </x:c>
      <x:c r="Z230" t="str">
        <x:f>IF(Calc!$Y$230&gt;'Calc'!$B$8,"",MAX(Calc!$Z$229*(1+'财富模型'!$E$6/12)+('Calc'!$B$5-'财富模型'!$E$5-(IF('Calc'!$E$15=1,'财富模型'!$E$9,'财富模型'!$M$7+IF(Calc!$Y$230&lt;='财富模型'!$E$11*12,'Calc'!$W$15,'Calc'!$Y$15)-(IF('Calc'!$E$15=1,0,MIN(Calc!$AA$229*(1+'财富模型'!$E$20/12)+'Calc'!$B$6,IF(Calc!$Y$230&lt;='财富模型'!$E$11*12,'Calc'!$W$15,'Calc'!$Y$15))))))),0))</x:f>
      </x:c>
      <x:c r="AA230" t="str">
        <x:f>IF(Calc!$Y$230&gt;'Calc'!$B$8,"",MAX(Calc!$AA$229*(1+'财富模型'!$E$20/12)+'Calc'!$B$6-(IF('Calc'!$E$15=1,0,MIN(Calc!$AA$229*(1+'财富模型'!$E$20/12)+'Calc'!$B$6,IF(Calc!$Y$230&lt;='财富模型'!$E$11*12,'Calc'!$W$15,'Calc'!$Y$15)))),0))</x:f>
      </x:c>
      <x:c r="AB230" t="str">
        <x:f>IF(Calc!$Y$230&gt;'Calc'!$B$8,"",IF('Calc'!$E$15=1,'财富模型'!$E$9,'财富模型'!$M$7+IF(Calc!$Y$230&lt;='财富模型'!$E$11*12,'Calc'!$W$15,'Calc'!$Y$15)-(IF('Calc'!$E$15=1,0,MIN(Calc!$AA$229*(1+'财富模型'!$E$20/12)+'Calc'!$B$6,IF(Calc!$Y$230&lt;='财富模型'!$E$11*12,'Calc'!$W$15,'Calc'!$Y$15))))))</x:f>
      </x:c>
      <x:c r="AC230" t="str">
        <x:f>IF(Calc!$Y$230&gt;'Calc'!$B$8,"",IF('Calc'!$E$15=1,0,MIN(Calc!$AA$229*(1+'财富模型'!$E$20/12)+'Calc'!$B$6,IF(Calc!$Y$230&lt;='财富模型'!$E$11*12,'Calc'!$W$15,'Calc'!$Y$15))))</x:f>
      </x:c>
      <x:c r="AD230" t="str">
        <x:f>IF(Calc!$Y$230&gt;'Calc'!$B$8,"",'Calc'!$B$5-'财富模型'!$E$5-(IF('Calc'!$E$15=1,'财富模型'!$E$9,'财富模型'!$M$7+IF(Calc!$Y$230&lt;='财富模型'!$E$11*12,'Calc'!$W$15,'Calc'!$Y$15)-(IF('Calc'!$E$15=1,0,MIN(Calc!$AA$229*(1+'财富模型'!$E$20/12)+'Calc'!$B$6,IF(Calc!$Y$230&lt;='财富模型'!$E$11*12,'Calc'!$W$15,'Calc'!$Y$15)))))))</x:f>
      </x:c>
      <x:c r="AE230" t="str">
        <x:f>IF(Calc!$Y$230&gt;'Calc'!$B$8,"",IF('Calc'!$E$15=1,0,MAX(Calc!$AE$229*(1+IF(Calc!$Y$230&lt;='财富模型'!$E$11*12,'财富模型'!$E$10,'财富模型'!$E$12)/12)-IF('Calc'!$E$15=1,0,IF(Calc!$Y$230&lt;='财富模型'!$E$11*12,'Calc'!$W$15,'Calc'!$Y$15)),0)))</x:f>
      </x:c>
      <x:c r="AG230" t="n">
        <x:v>209</x:v>
      </x:c>
      <x:c r="AH230" t="str">
        <x:f>IF(Calc!$AG$230&gt;'Calc'!$B$8,"",MAX(Calc!$AH$229*(1+'财富模型'!$E$6/12)+('Calc'!$B$5-'财富模型'!$E$5-(IF('Calc'!$E$16=1,'财富模型'!$E$9,'财富模型'!$M$8+IF(Calc!$AG$230&lt;='财富模型'!$E$11*12,'Calc'!$W$16,'Calc'!$Y$16)-(IF('Calc'!$E$16=1,0,MIN(Calc!$AI$229*(1+'财富模型'!$E$20/12)+'Calc'!$B$6,IF(Calc!$AG$230&lt;='财富模型'!$E$11*12,'Calc'!$W$16,'Calc'!$Y$16))))))),0))</x:f>
      </x:c>
      <x:c r="AI230" t="str">
        <x:f>IF(Calc!$AG$230&gt;'Calc'!$B$8,"",MAX(Calc!$AI$229*(1+'财富模型'!$E$20/12)+'Calc'!$B$6-(IF('Calc'!$E$16=1,0,MIN(Calc!$AI$229*(1+'财富模型'!$E$20/12)+'Calc'!$B$6,IF(Calc!$AG$230&lt;='财富模型'!$E$11*12,'Calc'!$W$16,'Calc'!$Y$16)))),0))</x:f>
      </x:c>
      <x:c r="AJ230" t="str">
        <x:f>IF(Calc!$AG$230&gt;'Calc'!$B$8,"",IF('Calc'!$E$16=1,'财富模型'!$E$9,'财富模型'!$M$8+IF(Calc!$AG$230&lt;='财富模型'!$E$11*12,'Calc'!$W$16,'Calc'!$Y$16)-(IF('Calc'!$E$16=1,0,MIN(Calc!$AI$229*(1+'财富模型'!$E$20/12)+'Calc'!$B$6,IF(Calc!$AG$230&lt;='财富模型'!$E$11*12,'Calc'!$W$16,'Calc'!$Y$16))))))</x:f>
      </x:c>
      <x:c r="AK230" t="str">
        <x:f>IF(Calc!$AG$230&gt;'Calc'!$B$8,"",IF('Calc'!$E$16=1,0,MIN(Calc!$AI$229*(1+'财富模型'!$E$20/12)+'Calc'!$B$6,IF(Calc!$AG$230&lt;='财富模型'!$E$11*12,'Calc'!$W$16,'Calc'!$Y$16))))</x:f>
      </x:c>
      <x:c r="AL230" t="str">
        <x:f>IF(Calc!$AG$230&gt;'Calc'!$B$8,"",'Calc'!$B$5-'财富模型'!$E$5-(IF('Calc'!$E$16=1,'财富模型'!$E$9,'财富模型'!$M$8+IF(Calc!$AG$230&lt;='财富模型'!$E$11*12,'Calc'!$W$16,'Calc'!$Y$16)-(IF('Calc'!$E$16=1,0,MIN(Calc!$AI$229*(1+'财富模型'!$E$20/12)+'Calc'!$B$6,IF(Calc!$AG$230&lt;='财富模型'!$E$11*12,'Calc'!$W$16,'Calc'!$Y$16)))))))</x:f>
      </x:c>
      <x:c r="AM230" t="str">
        <x:f>IF(Calc!$AG$230&gt;'Calc'!$B$8,"",IF('Calc'!$E$16=1,0,MAX(Calc!$AM$229*(1+IF(Calc!$AG$230&lt;='财富模型'!$E$11*12,'财富模型'!$E$10,'财富模型'!$E$12)/12)-IF('Calc'!$E$16=1,0,IF(Calc!$AG$230&lt;='财富模型'!$E$11*12,'Calc'!$W$16,'Calc'!$Y$16)),0)))</x:f>
      </x:c>
      <x:c r="AO230" t="n">
        <x:v>209</x:v>
      </x:c>
      <x:c r="AP230" t="str">
        <x:f>IF(Calc!$AO$230&gt;'Calc'!$B$8,"",MAX(Calc!$AP$229*(1+'财富模型'!$E$6/12)+('Calc'!$B$5-'财富模型'!$E$5-(IF('Calc'!$E$17=1,'财富模型'!$E$9,'财富模型'!$M$9+IF(Calc!$AO$230&lt;='财富模型'!$E$11*12,'Calc'!$W$17,'Calc'!$Y$17)-(IF('Calc'!$E$17=1,0,MIN(Calc!$AQ$229*(1+'财富模型'!$E$20/12)+'Calc'!$B$6,IF(Calc!$AO$230&lt;='财富模型'!$E$11*12,'Calc'!$W$17,'Calc'!$Y$17))))))),0))</x:f>
      </x:c>
      <x:c r="AQ230" t="str">
        <x:f>IF(Calc!$AO$230&gt;'Calc'!$B$8,"",MAX(Calc!$AQ$229*(1+'财富模型'!$E$20/12)+'Calc'!$B$6-(IF('Calc'!$E$17=1,0,MIN(Calc!$AQ$229*(1+'财富模型'!$E$20/12)+'Calc'!$B$6,IF(Calc!$AO$230&lt;='财富模型'!$E$11*12,'Calc'!$W$17,'Calc'!$Y$17)))),0))</x:f>
      </x:c>
      <x:c r="AR230" t="str">
        <x:f>IF(Calc!$AO$230&gt;'Calc'!$B$8,"",IF('Calc'!$E$17=1,'财富模型'!$E$9,'财富模型'!$M$9+IF(Calc!$AO$230&lt;='财富模型'!$E$11*12,'Calc'!$W$17,'Calc'!$Y$17)-(IF('Calc'!$E$17=1,0,MIN(Calc!$AQ$229*(1+'财富模型'!$E$20/12)+'Calc'!$B$6,IF(Calc!$AO$230&lt;='财富模型'!$E$11*12,'Calc'!$W$17,'Calc'!$Y$17))))))</x:f>
      </x:c>
      <x:c r="AS230" t="str">
        <x:f>IF(Calc!$AO$230&gt;'Calc'!$B$8,"",IF('Calc'!$E$17=1,0,MIN(Calc!$AQ$229*(1+'财富模型'!$E$20/12)+'Calc'!$B$6,IF(Calc!$AO$230&lt;='财富模型'!$E$11*12,'Calc'!$W$17,'Calc'!$Y$17))))</x:f>
      </x:c>
      <x:c r="AT230" t="str">
        <x:f>IF(Calc!$AO$230&gt;'Calc'!$B$8,"",'Calc'!$B$5-'财富模型'!$E$5-(IF('Calc'!$E$17=1,'财富模型'!$E$9,'财富模型'!$M$9+IF(Calc!$AO$230&lt;='财富模型'!$E$11*12,'Calc'!$W$17,'Calc'!$Y$17)-(IF('Calc'!$E$17=1,0,MIN(Calc!$AQ$229*(1+'财富模型'!$E$20/12)+'Calc'!$B$6,IF(Calc!$AO$230&lt;='财富模型'!$E$11*12,'Calc'!$W$17,'Calc'!$Y$17)))))))</x:f>
      </x:c>
      <x:c r="AU230" t="str">
        <x:f>IF(Calc!$AO$230&gt;'Calc'!$B$8,"",IF('Calc'!$E$17=1,0,MAX(Calc!$AU$229*(1+IF(Calc!$AO$230&lt;='财富模型'!$E$11*12,'财富模型'!$E$10,'财富模型'!$E$12)/12)-IF('Calc'!$E$17=1,0,IF(Calc!$AO$230&lt;='财富模型'!$E$11*12,'Calc'!$W$17,'Calc'!$Y$17)),0)))</x:f>
      </x:c>
    </x:row>
    <x:row r="231">
      <x:c r="A231" t="n">
        <x:v>210</x:v>
      </x:c>
      <x:c r="B231" t="str">
        <x:f>IF(Calc!$A$231&gt;'Calc'!$B$8,"",MAX(Calc!$B$230*(1+'财富模型'!$E$6/12)+('Calc'!$B$5-'财富模型'!$E$5-(IF('Calc'!$E$12=1,'财富模型'!$E$9,'财富模型'!$M$4+IF(Calc!$A$231&lt;='财富模型'!$E$11*12,'Calc'!$W$12,'Calc'!$Y$12)-(IF('Calc'!$E$12=1,0,MIN(Calc!$C$230*(1+'财富模型'!$E$20/12)+'Calc'!$B$6,IF(Calc!$A$231&lt;='财富模型'!$E$11*12,'Calc'!$W$12,'Calc'!$Y$12))))))),0))</x:f>
      </x:c>
      <x:c r="C231" t="str">
        <x:f>IF(Calc!$A$231&gt;'Calc'!$B$8,"",MAX(Calc!$C$230*(1+'财富模型'!$E$20/12)+'Calc'!$B$6-(IF('Calc'!$E$12=1,0,MIN(Calc!$C$230*(1+'财富模型'!$E$20/12)+'Calc'!$B$6,IF(Calc!$A$231&lt;='财富模型'!$E$11*12,'Calc'!$W$12,'Calc'!$Y$12)))),0))</x:f>
      </x:c>
      <x:c r="D231" t="str">
        <x:f>IF(Calc!$A$231&gt;'Calc'!$B$8,"",IF('Calc'!$E$12=1,'财富模型'!$E$9,'财富模型'!$M$4+IF(Calc!$A$231&lt;='财富模型'!$E$11*12,'Calc'!$W$12,'Calc'!$Y$12)-(IF('Calc'!$E$12=1,0,MIN(Calc!$C$230*(1+'财富模型'!$E$20/12)+'Calc'!$B$6,IF(Calc!$A$231&lt;='财富模型'!$E$11*12,'Calc'!$W$12,'Calc'!$Y$12))))))</x:f>
      </x:c>
      <x:c r="E231" t="str">
        <x:f>IF(Calc!$A$231&gt;'Calc'!$B$8,"",IF('Calc'!$E$12=1,0,MIN(Calc!$C$230*(1+'财富模型'!$E$20/12)+'Calc'!$B$6,IF(Calc!$A$231&lt;='财富模型'!$E$11*12,'Calc'!$W$12,'Calc'!$Y$12))))</x:f>
      </x:c>
      <x:c r="F231" t="str">
        <x:f>IF(Calc!$A$231&gt;'Calc'!$B$8,"",'Calc'!$B$5-'财富模型'!$E$5-(IF('Calc'!$E$12=1,'财富模型'!$E$9,'财富模型'!$M$4+IF(Calc!$A$231&lt;='财富模型'!$E$11*12,'Calc'!$W$12,'Calc'!$Y$12)-(IF('Calc'!$E$12=1,0,MIN(Calc!$C$230*(1+'财富模型'!$E$20/12)+'Calc'!$B$6,IF(Calc!$A$231&lt;='财富模型'!$E$11*12,'Calc'!$W$12,'Calc'!$Y$12)))))))</x:f>
      </x:c>
      <x:c r="G231" t="str">
        <x:f>IF(Calc!$A$231&gt;'Calc'!$B$8,"",IF('Calc'!$E$12=1,0,MAX(Calc!$G$230*(1+IF(Calc!$A$231&lt;='财富模型'!$E$11*12,'财富模型'!$E$10,'财富模型'!$E$12)/12)-IF('Calc'!$E$12=1,0,IF(Calc!$A$231&lt;='财富模型'!$E$11*12,'Calc'!$W$12,'Calc'!$Y$12)),0)))</x:f>
      </x:c>
      <x:c r="I231" t="n">
        <x:v>210</x:v>
      </x:c>
      <x:c r="J231" t="str">
        <x:f>IF(Calc!$I$231&gt;'Calc'!$B$8,"",MAX(Calc!$J$230*(1+'财富模型'!$E$6/12)+('Calc'!$B$5-'财富模型'!$E$5-(IF('Calc'!$E$13=1,'财富模型'!$E$9,'财富模型'!$M$5+IF(Calc!$I$231&lt;='财富模型'!$E$11*12,'Calc'!$W$13,'Calc'!$Y$13)-(IF('Calc'!$E$13=1,0,MIN(Calc!$K$230*(1+'财富模型'!$E$20/12)+'Calc'!$B$6,IF(Calc!$I$231&lt;='财富模型'!$E$11*12,'Calc'!$W$13,'Calc'!$Y$13))))))),0))</x:f>
      </x:c>
      <x:c r="K231" t="str">
        <x:f>IF(Calc!$I$231&gt;'Calc'!$B$8,"",MAX(Calc!$K$230*(1+'财富模型'!$E$20/12)+'Calc'!$B$6-(IF('Calc'!$E$13=1,0,MIN(Calc!$K$230*(1+'财富模型'!$E$20/12)+'Calc'!$B$6,IF(Calc!$I$231&lt;='财富模型'!$E$11*12,'Calc'!$W$13,'Calc'!$Y$13)))),0))</x:f>
      </x:c>
      <x:c r="L231" t="str">
        <x:f>IF(Calc!$I$231&gt;'Calc'!$B$8,"",IF('Calc'!$E$13=1,'财富模型'!$E$9,'财富模型'!$M$5+IF(Calc!$I$231&lt;='财富模型'!$E$11*12,'Calc'!$W$13,'Calc'!$Y$13)-(IF('Calc'!$E$13=1,0,MIN(Calc!$K$230*(1+'财富模型'!$E$20/12)+'Calc'!$B$6,IF(Calc!$I$231&lt;='财富模型'!$E$11*12,'Calc'!$W$13,'Calc'!$Y$13))))))</x:f>
      </x:c>
      <x:c r="M231" t="str">
        <x:f>IF(Calc!$I$231&gt;'Calc'!$B$8,"",IF('Calc'!$E$13=1,0,MIN(Calc!$K$230*(1+'财富模型'!$E$20/12)+'Calc'!$B$6,IF(Calc!$I$231&lt;='财富模型'!$E$11*12,'Calc'!$W$13,'Calc'!$Y$13))))</x:f>
      </x:c>
      <x:c r="N231" t="str">
        <x:f>IF(Calc!$I$231&gt;'Calc'!$B$8,"",'Calc'!$B$5-'财富模型'!$E$5-(IF('Calc'!$E$13=1,'财富模型'!$E$9,'财富模型'!$M$5+IF(Calc!$I$231&lt;='财富模型'!$E$11*12,'Calc'!$W$13,'Calc'!$Y$13)-(IF('Calc'!$E$13=1,0,MIN(Calc!$K$230*(1+'财富模型'!$E$20/12)+'Calc'!$B$6,IF(Calc!$I$231&lt;='财富模型'!$E$11*12,'Calc'!$W$13,'Calc'!$Y$13)))))))</x:f>
      </x:c>
      <x:c r="O231" t="str">
        <x:f>IF(Calc!$I$231&gt;'Calc'!$B$8,"",IF('Calc'!$E$13=1,0,MAX(Calc!$O$230*(1+IF(Calc!$I$231&lt;='财富模型'!$E$11*12,'财富模型'!$E$10,'财富模型'!$E$12)/12)-IF('Calc'!$E$13=1,0,IF(Calc!$I$231&lt;='财富模型'!$E$11*12,'Calc'!$W$13,'Calc'!$Y$13)),0)))</x:f>
      </x:c>
      <x:c r="Q231" t="n">
        <x:v>210</x:v>
      </x:c>
      <x:c r="R231" t="str">
        <x:f>IF(Calc!$Q$231&gt;'Calc'!$B$8,"",MAX(Calc!$R$230*(1+'财富模型'!$E$6/12)+('Calc'!$B$5-'财富模型'!$E$5-(IF('Calc'!$E$14=1,'财富模型'!$E$9,'财富模型'!$M$6+IF(Calc!$Q$231&lt;='财富模型'!$E$11*12,'Calc'!$W$14,'Calc'!$Y$14)-(IF('Calc'!$E$14=1,0,MIN(Calc!$S$230*(1+'财富模型'!$E$20/12)+'Calc'!$B$6,IF(Calc!$Q$231&lt;='财富模型'!$E$11*12,'Calc'!$W$14,'Calc'!$Y$14))))))),0))</x:f>
      </x:c>
      <x:c r="S231" t="str">
        <x:f>IF(Calc!$Q$231&gt;'Calc'!$B$8,"",MAX(Calc!$S$230*(1+'财富模型'!$E$20/12)+'Calc'!$B$6-(IF('Calc'!$E$14=1,0,MIN(Calc!$S$230*(1+'财富模型'!$E$20/12)+'Calc'!$B$6,IF(Calc!$Q$231&lt;='财富模型'!$E$11*12,'Calc'!$W$14,'Calc'!$Y$14)))),0))</x:f>
      </x:c>
      <x:c r="T231" t="str">
        <x:f>IF(Calc!$Q$231&gt;'Calc'!$B$8,"",IF('Calc'!$E$14=1,'财富模型'!$E$9,'财富模型'!$M$6+IF(Calc!$Q$231&lt;='财富模型'!$E$11*12,'Calc'!$W$14,'Calc'!$Y$14)-(IF('Calc'!$E$14=1,0,MIN(Calc!$S$230*(1+'财富模型'!$E$20/12)+'Calc'!$B$6,IF(Calc!$Q$231&lt;='财富模型'!$E$11*12,'Calc'!$W$14,'Calc'!$Y$14))))))</x:f>
      </x:c>
      <x:c r="U231" t="str">
        <x:f>IF(Calc!$Q$231&gt;'Calc'!$B$8,"",IF('Calc'!$E$14=1,0,MIN(Calc!$S$230*(1+'财富模型'!$E$20/12)+'Calc'!$B$6,IF(Calc!$Q$231&lt;='财富模型'!$E$11*12,'Calc'!$W$14,'Calc'!$Y$14))))</x:f>
      </x:c>
      <x:c r="V231" t="str">
        <x:f>IF(Calc!$Q$231&gt;'Calc'!$B$8,"",'Calc'!$B$5-'财富模型'!$E$5-(IF('Calc'!$E$14=1,'财富模型'!$E$9,'财富模型'!$M$6+IF(Calc!$Q$231&lt;='财富模型'!$E$11*12,'Calc'!$W$14,'Calc'!$Y$14)-(IF('Calc'!$E$14=1,0,MIN(Calc!$S$230*(1+'财富模型'!$E$20/12)+'Calc'!$B$6,IF(Calc!$Q$231&lt;='财富模型'!$E$11*12,'Calc'!$W$14,'Calc'!$Y$14)))))))</x:f>
      </x:c>
      <x:c r="W231" t="str">
        <x:f>IF(Calc!$Q$231&gt;'Calc'!$B$8,"",IF('Calc'!$E$14=1,0,MAX(Calc!$W$230*(1+IF(Calc!$Q$231&lt;='财富模型'!$E$11*12,'财富模型'!$E$10,'财富模型'!$E$12)/12)-IF('Calc'!$E$14=1,0,IF(Calc!$Q$231&lt;='财富模型'!$E$11*12,'Calc'!$W$14,'Calc'!$Y$14)),0)))</x:f>
      </x:c>
      <x:c r="Y231" t="n">
        <x:v>210</x:v>
      </x:c>
      <x:c r="Z231" t="str">
        <x:f>IF(Calc!$Y$231&gt;'Calc'!$B$8,"",MAX(Calc!$Z$230*(1+'财富模型'!$E$6/12)+('Calc'!$B$5-'财富模型'!$E$5-(IF('Calc'!$E$15=1,'财富模型'!$E$9,'财富模型'!$M$7+IF(Calc!$Y$231&lt;='财富模型'!$E$11*12,'Calc'!$W$15,'Calc'!$Y$15)-(IF('Calc'!$E$15=1,0,MIN(Calc!$AA$230*(1+'财富模型'!$E$20/12)+'Calc'!$B$6,IF(Calc!$Y$231&lt;='财富模型'!$E$11*12,'Calc'!$W$15,'Calc'!$Y$15))))))),0))</x:f>
      </x:c>
      <x:c r="AA231" t="str">
        <x:f>IF(Calc!$Y$231&gt;'Calc'!$B$8,"",MAX(Calc!$AA$230*(1+'财富模型'!$E$20/12)+'Calc'!$B$6-(IF('Calc'!$E$15=1,0,MIN(Calc!$AA$230*(1+'财富模型'!$E$20/12)+'Calc'!$B$6,IF(Calc!$Y$231&lt;='财富模型'!$E$11*12,'Calc'!$W$15,'Calc'!$Y$15)))),0))</x:f>
      </x:c>
      <x:c r="AB231" t="str">
        <x:f>IF(Calc!$Y$231&gt;'Calc'!$B$8,"",IF('Calc'!$E$15=1,'财富模型'!$E$9,'财富模型'!$M$7+IF(Calc!$Y$231&lt;='财富模型'!$E$11*12,'Calc'!$W$15,'Calc'!$Y$15)-(IF('Calc'!$E$15=1,0,MIN(Calc!$AA$230*(1+'财富模型'!$E$20/12)+'Calc'!$B$6,IF(Calc!$Y$231&lt;='财富模型'!$E$11*12,'Calc'!$W$15,'Calc'!$Y$15))))))</x:f>
      </x:c>
      <x:c r="AC231" t="str">
        <x:f>IF(Calc!$Y$231&gt;'Calc'!$B$8,"",IF('Calc'!$E$15=1,0,MIN(Calc!$AA$230*(1+'财富模型'!$E$20/12)+'Calc'!$B$6,IF(Calc!$Y$231&lt;='财富模型'!$E$11*12,'Calc'!$W$15,'Calc'!$Y$15))))</x:f>
      </x:c>
      <x:c r="AD231" t="str">
        <x:f>IF(Calc!$Y$231&gt;'Calc'!$B$8,"",'Calc'!$B$5-'财富模型'!$E$5-(IF('Calc'!$E$15=1,'财富模型'!$E$9,'财富模型'!$M$7+IF(Calc!$Y$231&lt;='财富模型'!$E$11*12,'Calc'!$W$15,'Calc'!$Y$15)-(IF('Calc'!$E$15=1,0,MIN(Calc!$AA$230*(1+'财富模型'!$E$20/12)+'Calc'!$B$6,IF(Calc!$Y$231&lt;='财富模型'!$E$11*12,'Calc'!$W$15,'Calc'!$Y$15)))))))</x:f>
      </x:c>
      <x:c r="AE231" t="str">
        <x:f>IF(Calc!$Y$231&gt;'Calc'!$B$8,"",IF('Calc'!$E$15=1,0,MAX(Calc!$AE$230*(1+IF(Calc!$Y$231&lt;='财富模型'!$E$11*12,'财富模型'!$E$10,'财富模型'!$E$12)/12)-IF('Calc'!$E$15=1,0,IF(Calc!$Y$231&lt;='财富模型'!$E$11*12,'Calc'!$W$15,'Calc'!$Y$15)),0)))</x:f>
      </x:c>
      <x:c r="AG231" t="n">
        <x:v>210</x:v>
      </x:c>
      <x:c r="AH231" t="str">
        <x:f>IF(Calc!$AG$231&gt;'Calc'!$B$8,"",MAX(Calc!$AH$230*(1+'财富模型'!$E$6/12)+('Calc'!$B$5-'财富模型'!$E$5-(IF('Calc'!$E$16=1,'财富模型'!$E$9,'财富模型'!$M$8+IF(Calc!$AG$231&lt;='财富模型'!$E$11*12,'Calc'!$W$16,'Calc'!$Y$16)-(IF('Calc'!$E$16=1,0,MIN(Calc!$AI$230*(1+'财富模型'!$E$20/12)+'Calc'!$B$6,IF(Calc!$AG$231&lt;='财富模型'!$E$11*12,'Calc'!$W$16,'Calc'!$Y$16))))))),0))</x:f>
      </x:c>
      <x:c r="AI231" t="str">
        <x:f>IF(Calc!$AG$231&gt;'Calc'!$B$8,"",MAX(Calc!$AI$230*(1+'财富模型'!$E$20/12)+'Calc'!$B$6-(IF('Calc'!$E$16=1,0,MIN(Calc!$AI$230*(1+'财富模型'!$E$20/12)+'Calc'!$B$6,IF(Calc!$AG$231&lt;='财富模型'!$E$11*12,'Calc'!$W$16,'Calc'!$Y$16)))),0))</x:f>
      </x:c>
      <x:c r="AJ231" t="str">
        <x:f>IF(Calc!$AG$231&gt;'Calc'!$B$8,"",IF('Calc'!$E$16=1,'财富模型'!$E$9,'财富模型'!$M$8+IF(Calc!$AG$231&lt;='财富模型'!$E$11*12,'Calc'!$W$16,'Calc'!$Y$16)-(IF('Calc'!$E$16=1,0,MIN(Calc!$AI$230*(1+'财富模型'!$E$20/12)+'Calc'!$B$6,IF(Calc!$AG$231&lt;='财富模型'!$E$11*12,'Calc'!$W$16,'Calc'!$Y$16))))))</x:f>
      </x:c>
      <x:c r="AK231" t="str">
        <x:f>IF(Calc!$AG$231&gt;'Calc'!$B$8,"",IF('Calc'!$E$16=1,0,MIN(Calc!$AI$230*(1+'财富模型'!$E$20/12)+'Calc'!$B$6,IF(Calc!$AG$231&lt;='财富模型'!$E$11*12,'Calc'!$W$16,'Calc'!$Y$16))))</x:f>
      </x:c>
      <x:c r="AL231" t="str">
        <x:f>IF(Calc!$AG$231&gt;'Calc'!$B$8,"",'Calc'!$B$5-'财富模型'!$E$5-(IF('Calc'!$E$16=1,'财富模型'!$E$9,'财富模型'!$M$8+IF(Calc!$AG$231&lt;='财富模型'!$E$11*12,'Calc'!$W$16,'Calc'!$Y$16)-(IF('Calc'!$E$16=1,0,MIN(Calc!$AI$230*(1+'财富模型'!$E$20/12)+'Calc'!$B$6,IF(Calc!$AG$231&lt;='财富模型'!$E$11*12,'Calc'!$W$16,'Calc'!$Y$16)))))))</x:f>
      </x:c>
      <x:c r="AM231" t="str">
        <x:f>IF(Calc!$AG$231&gt;'Calc'!$B$8,"",IF('Calc'!$E$16=1,0,MAX(Calc!$AM$230*(1+IF(Calc!$AG$231&lt;='财富模型'!$E$11*12,'财富模型'!$E$10,'财富模型'!$E$12)/12)-IF('Calc'!$E$16=1,0,IF(Calc!$AG$231&lt;='财富模型'!$E$11*12,'Calc'!$W$16,'Calc'!$Y$16)),0)))</x:f>
      </x:c>
      <x:c r="AO231" t="n">
        <x:v>210</x:v>
      </x:c>
      <x:c r="AP231" t="str">
        <x:f>IF(Calc!$AO$231&gt;'Calc'!$B$8,"",MAX(Calc!$AP$230*(1+'财富模型'!$E$6/12)+('Calc'!$B$5-'财富模型'!$E$5-(IF('Calc'!$E$17=1,'财富模型'!$E$9,'财富模型'!$M$9+IF(Calc!$AO$231&lt;='财富模型'!$E$11*12,'Calc'!$W$17,'Calc'!$Y$17)-(IF('Calc'!$E$17=1,0,MIN(Calc!$AQ$230*(1+'财富模型'!$E$20/12)+'Calc'!$B$6,IF(Calc!$AO$231&lt;='财富模型'!$E$11*12,'Calc'!$W$17,'Calc'!$Y$17))))))),0))</x:f>
      </x:c>
      <x:c r="AQ231" t="str">
        <x:f>IF(Calc!$AO$231&gt;'Calc'!$B$8,"",MAX(Calc!$AQ$230*(1+'财富模型'!$E$20/12)+'Calc'!$B$6-(IF('Calc'!$E$17=1,0,MIN(Calc!$AQ$230*(1+'财富模型'!$E$20/12)+'Calc'!$B$6,IF(Calc!$AO$231&lt;='财富模型'!$E$11*12,'Calc'!$W$17,'Calc'!$Y$17)))),0))</x:f>
      </x:c>
      <x:c r="AR231" t="str">
        <x:f>IF(Calc!$AO$231&gt;'Calc'!$B$8,"",IF('Calc'!$E$17=1,'财富模型'!$E$9,'财富模型'!$M$9+IF(Calc!$AO$231&lt;='财富模型'!$E$11*12,'Calc'!$W$17,'Calc'!$Y$17)-(IF('Calc'!$E$17=1,0,MIN(Calc!$AQ$230*(1+'财富模型'!$E$20/12)+'Calc'!$B$6,IF(Calc!$AO$231&lt;='财富模型'!$E$11*12,'Calc'!$W$17,'Calc'!$Y$17))))))</x:f>
      </x:c>
      <x:c r="AS231" t="str">
        <x:f>IF(Calc!$AO$231&gt;'Calc'!$B$8,"",IF('Calc'!$E$17=1,0,MIN(Calc!$AQ$230*(1+'财富模型'!$E$20/12)+'Calc'!$B$6,IF(Calc!$AO$231&lt;='财富模型'!$E$11*12,'Calc'!$W$17,'Calc'!$Y$17))))</x:f>
      </x:c>
      <x:c r="AT231" t="str">
        <x:f>IF(Calc!$AO$231&gt;'Calc'!$B$8,"",'Calc'!$B$5-'财富模型'!$E$5-(IF('Calc'!$E$17=1,'财富模型'!$E$9,'财富模型'!$M$9+IF(Calc!$AO$231&lt;='财富模型'!$E$11*12,'Calc'!$W$17,'Calc'!$Y$17)-(IF('Calc'!$E$17=1,0,MIN(Calc!$AQ$230*(1+'财富模型'!$E$20/12)+'Calc'!$B$6,IF(Calc!$AO$231&lt;='财富模型'!$E$11*12,'Calc'!$W$17,'Calc'!$Y$17)))))))</x:f>
      </x:c>
      <x:c r="AU231" t="str">
        <x:f>IF(Calc!$AO$231&gt;'Calc'!$B$8,"",IF('Calc'!$E$17=1,0,MAX(Calc!$AU$230*(1+IF(Calc!$AO$231&lt;='财富模型'!$E$11*12,'财富模型'!$E$10,'财富模型'!$E$12)/12)-IF('Calc'!$E$17=1,0,IF(Calc!$AO$231&lt;='财富模型'!$E$11*12,'Calc'!$W$17,'Calc'!$Y$17)),0)))</x:f>
      </x:c>
    </x:row>
    <x:row r="232">
      <x:c r="A232" t="n">
        <x:v>211</x:v>
      </x:c>
      <x:c r="B232" t="str">
        <x:f>IF(Calc!$A$232&gt;'Calc'!$B$8,"",MAX(Calc!$B$231*(1+'财富模型'!$E$6/12)+('Calc'!$B$5-'财富模型'!$E$5-(IF('Calc'!$E$12=1,'财富模型'!$E$9,'财富模型'!$M$4+IF(Calc!$A$232&lt;='财富模型'!$E$11*12,'Calc'!$W$12,'Calc'!$Y$12)-(IF('Calc'!$E$12=1,0,MIN(Calc!$C$231*(1+'财富模型'!$E$20/12)+'Calc'!$B$6,IF(Calc!$A$232&lt;='财富模型'!$E$11*12,'Calc'!$W$12,'Calc'!$Y$12))))))),0))</x:f>
      </x:c>
      <x:c r="C232" t="str">
        <x:f>IF(Calc!$A$232&gt;'Calc'!$B$8,"",MAX(Calc!$C$231*(1+'财富模型'!$E$20/12)+'Calc'!$B$6-(IF('Calc'!$E$12=1,0,MIN(Calc!$C$231*(1+'财富模型'!$E$20/12)+'Calc'!$B$6,IF(Calc!$A$232&lt;='财富模型'!$E$11*12,'Calc'!$W$12,'Calc'!$Y$12)))),0))</x:f>
      </x:c>
      <x:c r="D232" t="str">
        <x:f>IF(Calc!$A$232&gt;'Calc'!$B$8,"",IF('Calc'!$E$12=1,'财富模型'!$E$9,'财富模型'!$M$4+IF(Calc!$A$232&lt;='财富模型'!$E$11*12,'Calc'!$W$12,'Calc'!$Y$12)-(IF('Calc'!$E$12=1,0,MIN(Calc!$C$231*(1+'财富模型'!$E$20/12)+'Calc'!$B$6,IF(Calc!$A$232&lt;='财富模型'!$E$11*12,'Calc'!$W$12,'Calc'!$Y$12))))))</x:f>
      </x:c>
      <x:c r="E232" t="str">
        <x:f>IF(Calc!$A$232&gt;'Calc'!$B$8,"",IF('Calc'!$E$12=1,0,MIN(Calc!$C$231*(1+'财富模型'!$E$20/12)+'Calc'!$B$6,IF(Calc!$A$232&lt;='财富模型'!$E$11*12,'Calc'!$W$12,'Calc'!$Y$12))))</x:f>
      </x:c>
      <x:c r="F232" t="str">
        <x:f>IF(Calc!$A$232&gt;'Calc'!$B$8,"",'Calc'!$B$5-'财富模型'!$E$5-(IF('Calc'!$E$12=1,'财富模型'!$E$9,'财富模型'!$M$4+IF(Calc!$A$232&lt;='财富模型'!$E$11*12,'Calc'!$W$12,'Calc'!$Y$12)-(IF('Calc'!$E$12=1,0,MIN(Calc!$C$231*(1+'财富模型'!$E$20/12)+'Calc'!$B$6,IF(Calc!$A$232&lt;='财富模型'!$E$11*12,'Calc'!$W$12,'Calc'!$Y$12)))))))</x:f>
      </x:c>
      <x:c r="G232" t="str">
        <x:f>IF(Calc!$A$232&gt;'Calc'!$B$8,"",IF('Calc'!$E$12=1,0,MAX(Calc!$G$231*(1+IF(Calc!$A$232&lt;='财富模型'!$E$11*12,'财富模型'!$E$10,'财富模型'!$E$12)/12)-IF('Calc'!$E$12=1,0,IF(Calc!$A$232&lt;='财富模型'!$E$11*12,'Calc'!$W$12,'Calc'!$Y$12)),0)))</x:f>
      </x:c>
      <x:c r="I232" t="n">
        <x:v>211</x:v>
      </x:c>
      <x:c r="J232" t="str">
        <x:f>IF(Calc!$I$232&gt;'Calc'!$B$8,"",MAX(Calc!$J$231*(1+'财富模型'!$E$6/12)+('Calc'!$B$5-'财富模型'!$E$5-(IF('Calc'!$E$13=1,'财富模型'!$E$9,'财富模型'!$M$5+IF(Calc!$I$232&lt;='财富模型'!$E$11*12,'Calc'!$W$13,'Calc'!$Y$13)-(IF('Calc'!$E$13=1,0,MIN(Calc!$K$231*(1+'财富模型'!$E$20/12)+'Calc'!$B$6,IF(Calc!$I$232&lt;='财富模型'!$E$11*12,'Calc'!$W$13,'Calc'!$Y$13))))))),0))</x:f>
      </x:c>
      <x:c r="K232" t="str">
        <x:f>IF(Calc!$I$232&gt;'Calc'!$B$8,"",MAX(Calc!$K$231*(1+'财富模型'!$E$20/12)+'Calc'!$B$6-(IF('Calc'!$E$13=1,0,MIN(Calc!$K$231*(1+'财富模型'!$E$20/12)+'Calc'!$B$6,IF(Calc!$I$232&lt;='财富模型'!$E$11*12,'Calc'!$W$13,'Calc'!$Y$13)))),0))</x:f>
      </x:c>
      <x:c r="L232" t="str">
        <x:f>IF(Calc!$I$232&gt;'Calc'!$B$8,"",IF('Calc'!$E$13=1,'财富模型'!$E$9,'财富模型'!$M$5+IF(Calc!$I$232&lt;='财富模型'!$E$11*12,'Calc'!$W$13,'Calc'!$Y$13)-(IF('Calc'!$E$13=1,0,MIN(Calc!$K$231*(1+'财富模型'!$E$20/12)+'Calc'!$B$6,IF(Calc!$I$232&lt;='财富模型'!$E$11*12,'Calc'!$W$13,'Calc'!$Y$13))))))</x:f>
      </x:c>
      <x:c r="M232" t="str">
        <x:f>IF(Calc!$I$232&gt;'Calc'!$B$8,"",IF('Calc'!$E$13=1,0,MIN(Calc!$K$231*(1+'财富模型'!$E$20/12)+'Calc'!$B$6,IF(Calc!$I$232&lt;='财富模型'!$E$11*12,'Calc'!$W$13,'Calc'!$Y$13))))</x:f>
      </x:c>
      <x:c r="N232" t="str">
        <x:f>IF(Calc!$I$232&gt;'Calc'!$B$8,"",'Calc'!$B$5-'财富模型'!$E$5-(IF('Calc'!$E$13=1,'财富模型'!$E$9,'财富模型'!$M$5+IF(Calc!$I$232&lt;='财富模型'!$E$11*12,'Calc'!$W$13,'Calc'!$Y$13)-(IF('Calc'!$E$13=1,0,MIN(Calc!$K$231*(1+'财富模型'!$E$20/12)+'Calc'!$B$6,IF(Calc!$I$232&lt;='财富模型'!$E$11*12,'Calc'!$W$13,'Calc'!$Y$13)))))))</x:f>
      </x:c>
      <x:c r="O232" t="str">
        <x:f>IF(Calc!$I$232&gt;'Calc'!$B$8,"",IF('Calc'!$E$13=1,0,MAX(Calc!$O$231*(1+IF(Calc!$I$232&lt;='财富模型'!$E$11*12,'财富模型'!$E$10,'财富模型'!$E$12)/12)-IF('Calc'!$E$13=1,0,IF(Calc!$I$232&lt;='财富模型'!$E$11*12,'Calc'!$W$13,'Calc'!$Y$13)),0)))</x:f>
      </x:c>
      <x:c r="Q232" t="n">
        <x:v>211</x:v>
      </x:c>
      <x:c r="R232" t="str">
        <x:f>IF(Calc!$Q$232&gt;'Calc'!$B$8,"",MAX(Calc!$R$231*(1+'财富模型'!$E$6/12)+('Calc'!$B$5-'财富模型'!$E$5-(IF('Calc'!$E$14=1,'财富模型'!$E$9,'财富模型'!$M$6+IF(Calc!$Q$232&lt;='财富模型'!$E$11*12,'Calc'!$W$14,'Calc'!$Y$14)-(IF('Calc'!$E$14=1,0,MIN(Calc!$S$231*(1+'财富模型'!$E$20/12)+'Calc'!$B$6,IF(Calc!$Q$232&lt;='财富模型'!$E$11*12,'Calc'!$W$14,'Calc'!$Y$14))))))),0))</x:f>
      </x:c>
      <x:c r="S232" t="str">
        <x:f>IF(Calc!$Q$232&gt;'Calc'!$B$8,"",MAX(Calc!$S$231*(1+'财富模型'!$E$20/12)+'Calc'!$B$6-(IF('Calc'!$E$14=1,0,MIN(Calc!$S$231*(1+'财富模型'!$E$20/12)+'Calc'!$B$6,IF(Calc!$Q$232&lt;='财富模型'!$E$11*12,'Calc'!$W$14,'Calc'!$Y$14)))),0))</x:f>
      </x:c>
      <x:c r="T232" t="str">
        <x:f>IF(Calc!$Q$232&gt;'Calc'!$B$8,"",IF('Calc'!$E$14=1,'财富模型'!$E$9,'财富模型'!$M$6+IF(Calc!$Q$232&lt;='财富模型'!$E$11*12,'Calc'!$W$14,'Calc'!$Y$14)-(IF('Calc'!$E$14=1,0,MIN(Calc!$S$231*(1+'财富模型'!$E$20/12)+'Calc'!$B$6,IF(Calc!$Q$232&lt;='财富模型'!$E$11*12,'Calc'!$W$14,'Calc'!$Y$14))))))</x:f>
      </x:c>
      <x:c r="U232" t="str">
        <x:f>IF(Calc!$Q$232&gt;'Calc'!$B$8,"",IF('Calc'!$E$14=1,0,MIN(Calc!$S$231*(1+'财富模型'!$E$20/12)+'Calc'!$B$6,IF(Calc!$Q$232&lt;='财富模型'!$E$11*12,'Calc'!$W$14,'Calc'!$Y$14))))</x:f>
      </x:c>
      <x:c r="V232" t="str">
        <x:f>IF(Calc!$Q$232&gt;'Calc'!$B$8,"",'Calc'!$B$5-'财富模型'!$E$5-(IF('Calc'!$E$14=1,'财富模型'!$E$9,'财富模型'!$M$6+IF(Calc!$Q$232&lt;='财富模型'!$E$11*12,'Calc'!$W$14,'Calc'!$Y$14)-(IF('Calc'!$E$14=1,0,MIN(Calc!$S$231*(1+'财富模型'!$E$20/12)+'Calc'!$B$6,IF(Calc!$Q$232&lt;='财富模型'!$E$11*12,'Calc'!$W$14,'Calc'!$Y$14)))))))</x:f>
      </x:c>
      <x:c r="W232" t="str">
        <x:f>IF(Calc!$Q$232&gt;'Calc'!$B$8,"",IF('Calc'!$E$14=1,0,MAX(Calc!$W$231*(1+IF(Calc!$Q$232&lt;='财富模型'!$E$11*12,'财富模型'!$E$10,'财富模型'!$E$12)/12)-IF('Calc'!$E$14=1,0,IF(Calc!$Q$232&lt;='财富模型'!$E$11*12,'Calc'!$W$14,'Calc'!$Y$14)),0)))</x:f>
      </x:c>
      <x:c r="Y232" t="n">
        <x:v>211</x:v>
      </x:c>
      <x:c r="Z232" t="str">
        <x:f>IF(Calc!$Y$232&gt;'Calc'!$B$8,"",MAX(Calc!$Z$231*(1+'财富模型'!$E$6/12)+('Calc'!$B$5-'财富模型'!$E$5-(IF('Calc'!$E$15=1,'财富模型'!$E$9,'财富模型'!$M$7+IF(Calc!$Y$232&lt;='财富模型'!$E$11*12,'Calc'!$W$15,'Calc'!$Y$15)-(IF('Calc'!$E$15=1,0,MIN(Calc!$AA$231*(1+'财富模型'!$E$20/12)+'Calc'!$B$6,IF(Calc!$Y$232&lt;='财富模型'!$E$11*12,'Calc'!$W$15,'Calc'!$Y$15))))))),0))</x:f>
      </x:c>
      <x:c r="AA232" t="str">
        <x:f>IF(Calc!$Y$232&gt;'Calc'!$B$8,"",MAX(Calc!$AA$231*(1+'财富模型'!$E$20/12)+'Calc'!$B$6-(IF('Calc'!$E$15=1,0,MIN(Calc!$AA$231*(1+'财富模型'!$E$20/12)+'Calc'!$B$6,IF(Calc!$Y$232&lt;='财富模型'!$E$11*12,'Calc'!$W$15,'Calc'!$Y$15)))),0))</x:f>
      </x:c>
      <x:c r="AB232" t="str">
        <x:f>IF(Calc!$Y$232&gt;'Calc'!$B$8,"",IF('Calc'!$E$15=1,'财富模型'!$E$9,'财富模型'!$M$7+IF(Calc!$Y$232&lt;='财富模型'!$E$11*12,'Calc'!$W$15,'Calc'!$Y$15)-(IF('Calc'!$E$15=1,0,MIN(Calc!$AA$231*(1+'财富模型'!$E$20/12)+'Calc'!$B$6,IF(Calc!$Y$232&lt;='财富模型'!$E$11*12,'Calc'!$W$15,'Calc'!$Y$15))))))</x:f>
      </x:c>
      <x:c r="AC232" t="str">
        <x:f>IF(Calc!$Y$232&gt;'Calc'!$B$8,"",IF('Calc'!$E$15=1,0,MIN(Calc!$AA$231*(1+'财富模型'!$E$20/12)+'Calc'!$B$6,IF(Calc!$Y$232&lt;='财富模型'!$E$11*12,'Calc'!$W$15,'Calc'!$Y$15))))</x:f>
      </x:c>
      <x:c r="AD232" t="str">
        <x:f>IF(Calc!$Y$232&gt;'Calc'!$B$8,"",'Calc'!$B$5-'财富模型'!$E$5-(IF('Calc'!$E$15=1,'财富模型'!$E$9,'财富模型'!$M$7+IF(Calc!$Y$232&lt;='财富模型'!$E$11*12,'Calc'!$W$15,'Calc'!$Y$15)-(IF('Calc'!$E$15=1,0,MIN(Calc!$AA$231*(1+'财富模型'!$E$20/12)+'Calc'!$B$6,IF(Calc!$Y$232&lt;='财富模型'!$E$11*12,'Calc'!$W$15,'Calc'!$Y$15)))))))</x:f>
      </x:c>
      <x:c r="AE232" t="str">
        <x:f>IF(Calc!$Y$232&gt;'Calc'!$B$8,"",IF('Calc'!$E$15=1,0,MAX(Calc!$AE$231*(1+IF(Calc!$Y$232&lt;='财富模型'!$E$11*12,'财富模型'!$E$10,'财富模型'!$E$12)/12)-IF('Calc'!$E$15=1,0,IF(Calc!$Y$232&lt;='财富模型'!$E$11*12,'Calc'!$W$15,'Calc'!$Y$15)),0)))</x:f>
      </x:c>
      <x:c r="AG232" t="n">
        <x:v>211</x:v>
      </x:c>
      <x:c r="AH232" t="str">
        <x:f>IF(Calc!$AG$232&gt;'Calc'!$B$8,"",MAX(Calc!$AH$231*(1+'财富模型'!$E$6/12)+('Calc'!$B$5-'财富模型'!$E$5-(IF('Calc'!$E$16=1,'财富模型'!$E$9,'财富模型'!$M$8+IF(Calc!$AG$232&lt;='财富模型'!$E$11*12,'Calc'!$W$16,'Calc'!$Y$16)-(IF('Calc'!$E$16=1,0,MIN(Calc!$AI$231*(1+'财富模型'!$E$20/12)+'Calc'!$B$6,IF(Calc!$AG$232&lt;='财富模型'!$E$11*12,'Calc'!$W$16,'Calc'!$Y$16))))))),0))</x:f>
      </x:c>
      <x:c r="AI232" t="str">
        <x:f>IF(Calc!$AG$232&gt;'Calc'!$B$8,"",MAX(Calc!$AI$231*(1+'财富模型'!$E$20/12)+'Calc'!$B$6-(IF('Calc'!$E$16=1,0,MIN(Calc!$AI$231*(1+'财富模型'!$E$20/12)+'Calc'!$B$6,IF(Calc!$AG$232&lt;='财富模型'!$E$11*12,'Calc'!$W$16,'Calc'!$Y$16)))),0))</x:f>
      </x:c>
      <x:c r="AJ232" t="str">
        <x:f>IF(Calc!$AG$232&gt;'Calc'!$B$8,"",IF('Calc'!$E$16=1,'财富模型'!$E$9,'财富模型'!$M$8+IF(Calc!$AG$232&lt;='财富模型'!$E$11*12,'Calc'!$W$16,'Calc'!$Y$16)-(IF('Calc'!$E$16=1,0,MIN(Calc!$AI$231*(1+'财富模型'!$E$20/12)+'Calc'!$B$6,IF(Calc!$AG$232&lt;='财富模型'!$E$11*12,'Calc'!$W$16,'Calc'!$Y$16))))))</x:f>
      </x:c>
      <x:c r="AK232" t="str">
        <x:f>IF(Calc!$AG$232&gt;'Calc'!$B$8,"",IF('Calc'!$E$16=1,0,MIN(Calc!$AI$231*(1+'财富模型'!$E$20/12)+'Calc'!$B$6,IF(Calc!$AG$232&lt;='财富模型'!$E$11*12,'Calc'!$W$16,'Calc'!$Y$16))))</x:f>
      </x:c>
      <x:c r="AL232" t="str">
        <x:f>IF(Calc!$AG$232&gt;'Calc'!$B$8,"",'Calc'!$B$5-'财富模型'!$E$5-(IF('Calc'!$E$16=1,'财富模型'!$E$9,'财富模型'!$M$8+IF(Calc!$AG$232&lt;='财富模型'!$E$11*12,'Calc'!$W$16,'Calc'!$Y$16)-(IF('Calc'!$E$16=1,0,MIN(Calc!$AI$231*(1+'财富模型'!$E$20/12)+'Calc'!$B$6,IF(Calc!$AG$232&lt;='财富模型'!$E$11*12,'Calc'!$W$16,'Calc'!$Y$16)))))))</x:f>
      </x:c>
      <x:c r="AM232" t="str">
        <x:f>IF(Calc!$AG$232&gt;'Calc'!$B$8,"",IF('Calc'!$E$16=1,0,MAX(Calc!$AM$231*(1+IF(Calc!$AG$232&lt;='财富模型'!$E$11*12,'财富模型'!$E$10,'财富模型'!$E$12)/12)-IF('Calc'!$E$16=1,0,IF(Calc!$AG$232&lt;='财富模型'!$E$11*12,'Calc'!$W$16,'Calc'!$Y$16)),0)))</x:f>
      </x:c>
      <x:c r="AO232" t="n">
        <x:v>211</x:v>
      </x:c>
      <x:c r="AP232" t="str">
        <x:f>IF(Calc!$AO$232&gt;'Calc'!$B$8,"",MAX(Calc!$AP$231*(1+'财富模型'!$E$6/12)+('Calc'!$B$5-'财富模型'!$E$5-(IF('Calc'!$E$17=1,'财富模型'!$E$9,'财富模型'!$M$9+IF(Calc!$AO$232&lt;='财富模型'!$E$11*12,'Calc'!$W$17,'Calc'!$Y$17)-(IF('Calc'!$E$17=1,0,MIN(Calc!$AQ$231*(1+'财富模型'!$E$20/12)+'Calc'!$B$6,IF(Calc!$AO$232&lt;='财富模型'!$E$11*12,'Calc'!$W$17,'Calc'!$Y$17))))))),0))</x:f>
      </x:c>
      <x:c r="AQ232" t="str">
        <x:f>IF(Calc!$AO$232&gt;'Calc'!$B$8,"",MAX(Calc!$AQ$231*(1+'财富模型'!$E$20/12)+'Calc'!$B$6-(IF('Calc'!$E$17=1,0,MIN(Calc!$AQ$231*(1+'财富模型'!$E$20/12)+'Calc'!$B$6,IF(Calc!$AO$232&lt;='财富模型'!$E$11*12,'Calc'!$W$17,'Calc'!$Y$17)))),0))</x:f>
      </x:c>
      <x:c r="AR232" t="str">
        <x:f>IF(Calc!$AO$232&gt;'Calc'!$B$8,"",IF('Calc'!$E$17=1,'财富模型'!$E$9,'财富模型'!$M$9+IF(Calc!$AO$232&lt;='财富模型'!$E$11*12,'Calc'!$W$17,'Calc'!$Y$17)-(IF('Calc'!$E$17=1,0,MIN(Calc!$AQ$231*(1+'财富模型'!$E$20/12)+'Calc'!$B$6,IF(Calc!$AO$232&lt;='财富模型'!$E$11*12,'Calc'!$W$17,'Calc'!$Y$17))))))</x:f>
      </x:c>
      <x:c r="AS232" t="str">
        <x:f>IF(Calc!$AO$232&gt;'Calc'!$B$8,"",IF('Calc'!$E$17=1,0,MIN(Calc!$AQ$231*(1+'财富模型'!$E$20/12)+'Calc'!$B$6,IF(Calc!$AO$232&lt;='财富模型'!$E$11*12,'Calc'!$W$17,'Calc'!$Y$17))))</x:f>
      </x:c>
      <x:c r="AT232" t="str">
        <x:f>IF(Calc!$AO$232&gt;'Calc'!$B$8,"",'Calc'!$B$5-'财富模型'!$E$5-(IF('Calc'!$E$17=1,'财富模型'!$E$9,'财富模型'!$M$9+IF(Calc!$AO$232&lt;='财富模型'!$E$11*12,'Calc'!$W$17,'Calc'!$Y$17)-(IF('Calc'!$E$17=1,0,MIN(Calc!$AQ$231*(1+'财富模型'!$E$20/12)+'Calc'!$B$6,IF(Calc!$AO$232&lt;='财富模型'!$E$11*12,'Calc'!$W$17,'Calc'!$Y$17)))))))</x:f>
      </x:c>
      <x:c r="AU232" t="str">
        <x:f>IF(Calc!$AO$232&gt;'Calc'!$B$8,"",IF('Calc'!$E$17=1,0,MAX(Calc!$AU$231*(1+IF(Calc!$AO$232&lt;='财富模型'!$E$11*12,'财富模型'!$E$10,'财富模型'!$E$12)/12)-IF('Calc'!$E$17=1,0,IF(Calc!$AO$232&lt;='财富模型'!$E$11*12,'Calc'!$W$17,'Calc'!$Y$17)),0)))</x:f>
      </x:c>
    </x:row>
    <x:row r="233">
      <x:c r="A233" t="n">
        <x:v>212</x:v>
      </x:c>
      <x:c r="B233" t="str">
        <x:f>IF(Calc!$A$233&gt;'Calc'!$B$8,"",MAX(Calc!$B$232*(1+'财富模型'!$E$6/12)+('Calc'!$B$5-'财富模型'!$E$5-(IF('Calc'!$E$12=1,'财富模型'!$E$9,'财富模型'!$M$4+IF(Calc!$A$233&lt;='财富模型'!$E$11*12,'Calc'!$W$12,'Calc'!$Y$12)-(IF('Calc'!$E$12=1,0,MIN(Calc!$C$232*(1+'财富模型'!$E$20/12)+'Calc'!$B$6,IF(Calc!$A$233&lt;='财富模型'!$E$11*12,'Calc'!$W$12,'Calc'!$Y$12))))))),0))</x:f>
      </x:c>
      <x:c r="C233" t="str">
        <x:f>IF(Calc!$A$233&gt;'Calc'!$B$8,"",MAX(Calc!$C$232*(1+'财富模型'!$E$20/12)+'Calc'!$B$6-(IF('Calc'!$E$12=1,0,MIN(Calc!$C$232*(1+'财富模型'!$E$20/12)+'Calc'!$B$6,IF(Calc!$A$233&lt;='财富模型'!$E$11*12,'Calc'!$W$12,'Calc'!$Y$12)))),0))</x:f>
      </x:c>
      <x:c r="D233" t="str">
        <x:f>IF(Calc!$A$233&gt;'Calc'!$B$8,"",IF('Calc'!$E$12=1,'财富模型'!$E$9,'财富模型'!$M$4+IF(Calc!$A$233&lt;='财富模型'!$E$11*12,'Calc'!$W$12,'Calc'!$Y$12)-(IF('Calc'!$E$12=1,0,MIN(Calc!$C$232*(1+'财富模型'!$E$20/12)+'Calc'!$B$6,IF(Calc!$A$233&lt;='财富模型'!$E$11*12,'Calc'!$W$12,'Calc'!$Y$12))))))</x:f>
      </x:c>
      <x:c r="E233" t="str">
        <x:f>IF(Calc!$A$233&gt;'Calc'!$B$8,"",IF('Calc'!$E$12=1,0,MIN(Calc!$C$232*(1+'财富模型'!$E$20/12)+'Calc'!$B$6,IF(Calc!$A$233&lt;='财富模型'!$E$11*12,'Calc'!$W$12,'Calc'!$Y$12))))</x:f>
      </x:c>
      <x:c r="F233" t="str">
        <x:f>IF(Calc!$A$233&gt;'Calc'!$B$8,"",'Calc'!$B$5-'财富模型'!$E$5-(IF('Calc'!$E$12=1,'财富模型'!$E$9,'财富模型'!$M$4+IF(Calc!$A$233&lt;='财富模型'!$E$11*12,'Calc'!$W$12,'Calc'!$Y$12)-(IF('Calc'!$E$12=1,0,MIN(Calc!$C$232*(1+'财富模型'!$E$20/12)+'Calc'!$B$6,IF(Calc!$A$233&lt;='财富模型'!$E$11*12,'Calc'!$W$12,'Calc'!$Y$12)))))))</x:f>
      </x:c>
      <x:c r="G233" t="str">
        <x:f>IF(Calc!$A$233&gt;'Calc'!$B$8,"",IF('Calc'!$E$12=1,0,MAX(Calc!$G$232*(1+IF(Calc!$A$233&lt;='财富模型'!$E$11*12,'财富模型'!$E$10,'财富模型'!$E$12)/12)-IF('Calc'!$E$12=1,0,IF(Calc!$A$233&lt;='财富模型'!$E$11*12,'Calc'!$W$12,'Calc'!$Y$12)),0)))</x:f>
      </x:c>
      <x:c r="I233" t="n">
        <x:v>212</x:v>
      </x:c>
      <x:c r="J233" t="str">
        <x:f>IF(Calc!$I$233&gt;'Calc'!$B$8,"",MAX(Calc!$J$232*(1+'财富模型'!$E$6/12)+('Calc'!$B$5-'财富模型'!$E$5-(IF('Calc'!$E$13=1,'财富模型'!$E$9,'财富模型'!$M$5+IF(Calc!$I$233&lt;='财富模型'!$E$11*12,'Calc'!$W$13,'Calc'!$Y$13)-(IF('Calc'!$E$13=1,0,MIN(Calc!$K$232*(1+'财富模型'!$E$20/12)+'Calc'!$B$6,IF(Calc!$I$233&lt;='财富模型'!$E$11*12,'Calc'!$W$13,'Calc'!$Y$13))))))),0))</x:f>
      </x:c>
      <x:c r="K233" t="str">
        <x:f>IF(Calc!$I$233&gt;'Calc'!$B$8,"",MAX(Calc!$K$232*(1+'财富模型'!$E$20/12)+'Calc'!$B$6-(IF('Calc'!$E$13=1,0,MIN(Calc!$K$232*(1+'财富模型'!$E$20/12)+'Calc'!$B$6,IF(Calc!$I$233&lt;='财富模型'!$E$11*12,'Calc'!$W$13,'Calc'!$Y$13)))),0))</x:f>
      </x:c>
      <x:c r="L233" t="str">
        <x:f>IF(Calc!$I$233&gt;'Calc'!$B$8,"",IF('Calc'!$E$13=1,'财富模型'!$E$9,'财富模型'!$M$5+IF(Calc!$I$233&lt;='财富模型'!$E$11*12,'Calc'!$W$13,'Calc'!$Y$13)-(IF('Calc'!$E$13=1,0,MIN(Calc!$K$232*(1+'财富模型'!$E$20/12)+'Calc'!$B$6,IF(Calc!$I$233&lt;='财富模型'!$E$11*12,'Calc'!$W$13,'Calc'!$Y$13))))))</x:f>
      </x:c>
      <x:c r="M233" t="str">
        <x:f>IF(Calc!$I$233&gt;'Calc'!$B$8,"",IF('Calc'!$E$13=1,0,MIN(Calc!$K$232*(1+'财富模型'!$E$20/12)+'Calc'!$B$6,IF(Calc!$I$233&lt;='财富模型'!$E$11*12,'Calc'!$W$13,'Calc'!$Y$13))))</x:f>
      </x:c>
      <x:c r="N233" t="str">
        <x:f>IF(Calc!$I$233&gt;'Calc'!$B$8,"",'Calc'!$B$5-'财富模型'!$E$5-(IF('Calc'!$E$13=1,'财富模型'!$E$9,'财富模型'!$M$5+IF(Calc!$I$233&lt;='财富模型'!$E$11*12,'Calc'!$W$13,'Calc'!$Y$13)-(IF('Calc'!$E$13=1,0,MIN(Calc!$K$232*(1+'财富模型'!$E$20/12)+'Calc'!$B$6,IF(Calc!$I$233&lt;='财富模型'!$E$11*12,'Calc'!$W$13,'Calc'!$Y$13)))))))</x:f>
      </x:c>
      <x:c r="O233" t="str">
        <x:f>IF(Calc!$I$233&gt;'Calc'!$B$8,"",IF('Calc'!$E$13=1,0,MAX(Calc!$O$232*(1+IF(Calc!$I$233&lt;='财富模型'!$E$11*12,'财富模型'!$E$10,'财富模型'!$E$12)/12)-IF('Calc'!$E$13=1,0,IF(Calc!$I$233&lt;='财富模型'!$E$11*12,'Calc'!$W$13,'Calc'!$Y$13)),0)))</x:f>
      </x:c>
      <x:c r="Q233" t="n">
        <x:v>212</x:v>
      </x:c>
      <x:c r="R233" t="str">
        <x:f>IF(Calc!$Q$233&gt;'Calc'!$B$8,"",MAX(Calc!$R$232*(1+'财富模型'!$E$6/12)+('Calc'!$B$5-'财富模型'!$E$5-(IF('Calc'!$E$14=1,'财富模型'!$E$9,'财富模型'!$M$6+IF(Calc!$Q$233&lt;='财富模型'!$E$11*12,'Calc'!$W$14,'Calc'!$Y$14)-(IF('Calc'!$E$14=1,0,MIN(Calc!$S$232*(1+'财富模型'!$E$20/12)+'Calc'!$B$6,IF(Calc!$Q$233&lt;='财富模型'!$E$11*12,'Calc'!$W$14,'Calc'!$Y$14))))))),0))</x:f>
      </x:c>
      <x:c r="S233" t="str">
        <x:f>IF(Calc!$Q$233&gt;'Calc'!$B$8,"",MAX(Calc!$S$232*(1+'财富模型'!$E$20/12)+'Calc'!$B$6-(IF('Calc'!$E$14=1,0,MIN(Calc!$S$232*(1+'财富模型'!$E$20/12)+'Calc'!$B$6,IF(Calc!$Q$233&lt;='财富模型'!$E$11*12,'Calc'!$W$14,'Calc'!$Y$14)))),0))</x:f>
      </x:c>
      <x:c r="T233" t="str">
        <x:f>IF(Calc!$Q$233&gt;'Calc'!$B$8,"",IF('Calc'!$E$14=1,'财富模型'!$E$9,'财富模型'!$M$6+IF(Calc!$Q$233&lt;='财富模型'!$E$11*12,'Calc'!$W$14,'Calc'!$Y$14)-(IF('Calc'!$E$14=1,0,MIN(Calc!$S$232*(1+'财富模型'!$E$20/12)+'Calc'!$B$6,IF(Calc!$Q$233&lt;='财富模型'!$E$11*12,'Calc'!$W$14,'Calc'!$Y$14))))))</x:f>
      </x:c>
      <x:c r="U233" t="str">
        <x:f>IF(Calc!$Q$233&gt;'Calc'!$B$8,"",IF('Calc'!$E$14=1,0,MIN(Calc!$S$232*(1+'财富模型'!$E$20/12)+'Calc'!$B$6,IF(Calc!$Q$233&lt;='财富模型'!$E$11*12,'Calc'!$W$14,'Calc'!$Y$14))))</x:f>
      </x:c>
      <x:c r="V233" t="str">
        <x:f>IF(Calc!$Q$233&gt;'Calc'!$B$8,"",'Calc'!$B$5-'财富模型'!$E$5-(IF('Calc'!$E$14=1,'财富模型'!$E$9,'财富模型'!$M$6+IF(Calc!$Q$233&lt;='财富模型'!$E$11*12,'Calc'!$W$14,'Calc'!$Y$14)-(IF('Calc'!$E$14=1,0,MIN(Calc!$S$232*(1+'财富模型'!$E$20/12)+'Calc'!$B$6,IF(Calc!$Q$233&lt;='财富模型'!$E$11*12,'Calc'!$W$14,'Calc'!$Y$14)))))))</x:f>
      </x:c>
      <x:c r="W233" t="str">
        <x:f>IF(Calc!$Q$233&gt;'Calc'!$B$8,"",IF('Calc'!$E$14=1,0,MAX(Calc!$W$232*(1+IF(Calc!$Q$233&lt;='财富模型'!$E$11*12,'财富模型'!$E$10,'财富模型'!$E$12)/12)-IF('Calc'!$E$14=1,0,IF(Calc!$Q$233&lt;='财富模型'!$E$11*12,'Calc'!$W$14,'Calc'!$Y$14)),0)))</x:f>
      </x:c>
      <x:c r="Y233" t="n">
        <x:v>212</x:v>
      </x:c>
      <x:c r="Z233" t="str">
        <x:f>IF(Calc!$Y$233&gt;'Calc'!$B$8,"",MAX(Calc!$Z$232*(1+'财富模型'!$E$6/12)+('Calc'!$B$5-'财富模型'!$E$5-(IF('Calc'!$E$15=1,'财富模型'!$E$9,'财富模型'!$M$7+IF(Calc!$Y$233&lt;='财富模型'!$E$11*12,'Calc'!$W$15,'Calc'!$Y$15)-(IF('Calc'!$E$15=1,0,MIN(Calc!$AA$232*(1+'财富模型'!$E$20/12)+'Calc'!$B$6,IF(Calc!$Y$233&lt;='财富模型'!$E$11*12,'Calc'!$W$15,'Calc'!$Y$15))))))),0))</x:f>
      </x:c>
      <x:c r="AA233" t="str">
        <x:f>IF(Calc!$Y$233&gt;'Calc'!$B$8,"",MAX(Calc!$AA$232*(1+'财富模型'!$E$20/12)+'Calc'!$B$6-(IF('Calc'!$E$15=1,0,MIN(Calc!$AA$232*(1+'财富模型'!$E$20/12)+'Calc'!$B$6,IF(Calc!$Y$233&lt;='财富模型'!$E$11*12,'Calc'!$W$15,'Calc'!$Y$15)))),0))</x:f>
      </x:c>
      <x:c r="AB233" t="str">
        <x:f>IF(Calc!$Y$233&gt;'Calc'!$B$8,"",IF('Calc'!$E$15=1,'财富模型'!$E$9,'财富模型'!$M$7+IF(Calc!$Y$233&lt;='财富模型'!$E$11*12,'Calc'!$W$15,'Calc'!$Y$15)-(IF('Calc'!$E$15=1,0,MIN(Calc!$AA$232*(1+'财富模型'!$E$20/12)+'Calc'!$B$6,IF(Calc!$Y$233&lt;='财富模型'!$E$11*12,'Calc'!$W$15,'Calc'!$Y$15))))))</x:f>
      </x:c>
      <x:c r="AC233" t="str">
        <x:f>IF(Calc!$Y$233&gt;'Calc'!$B$8,"",IF('Calc'!$E$15=1,0,MIN(Calc!$AA$232*(1+'财富模型'!$E$20/12)+'Calc'!$B$6,IF(Calc!$Y$233&lt;='财富模型'!$E$11*12,'Calc'!$W$15,'Calc'!$Y$15))))</x:f>
      </x:c>
      <x:c r="AD233" t="str">
        <x:f>IF(Calc!$Y$233&gt;'Calc'!$B$8,"",'Calc'!$B$5-'财富模型'!$E$5-(IF('Calc'!$E$15=1,'财富模型'!$E$9,'财富模型'!$M$7+IF(Calc!$Y$233&lt;='财富模型'!$E$11*12,'Calc'!$W$15,'Calc'!$Y$15)-(IF('Calc'!$E$15=1,0,MIN(Calc!$AA$232*(1+'财富模型'!$E$20/12)+'Calc'!$B$6,IF(Calc!$Y$233&lt;='财富模型'!$E$11*12,'Calc'!$W$15,'Calc'!$Y$15)))))))</x:f>
      </x:c>
      <x:c r="AE233" t="str">
        <x:f>IF(Calc!$Y$233&gt;'Calc'!$B$8,"",IF('Calc'!$E$15=1,0,MAX(Calc!$AE$232*(1+IF(Calc!$Y$233&lt;='财富模型'!$E$11*12,'财富模型'!$E$10,'财富模型'!$E$12)/12)-IF('Calc'!$E$15=1,0,IF(Calc!$Y$233&lt;='财富模型'!$E$11*12,'Calc'!$W$15,'Calc'!$Y$15)),0)))</x:f>
      </x:c>
      <x:c r="AG233" t="n">
        <x:v>212</x:v>
      </x:c>
      <x:c r="AH233" t="str">
        <x:f>IF(Calc!$AG$233&gt;'Calc'!$B$8,"",MAX(Calc!$AH$232*(1+'财富模型'!$E$6/12)+('Calc'!$B$5-'财富模型'!$E$5-(IF('Calc'!$E$16=1,'财富模型'!$E$9,'财富模型'!$M$8+IF(Calc!$AG$233&lt;='财富模型'!$E$11*12,'Calc'!$W$16,'Calc'!$Y$16)-(IF('Calc'!$E$16=1,0,MIN(Calc!$AI$232*(1+'财富模型'!$E$20/12)+'Calc'!$B$6,IF(Calc!$AG$233&lt;='财富模型'!$E$11*12,'Calc'!$W$16,'Calc'!$Y$16))))))),0))</x:f>
      </x:c>
      <x:c r="AI233" t="str">
        <x:f>IF(Calc!$AG$233&gt;'Calc'!$B$8,"",MAX(Calc!$AI$232*(1+'财富模型'!$E$20/12)+'Calc'!$B$6-(IF('Calc'!$E$16=1,0,MIN(Calc!$AI$232*(1+'财富模型'!$E$20/12)+'Calc'!$B$6,IF(Calc!$AG$233&lt;='财富模型'!$E$11*12,'Calc'!$W$16,'Calc'!$Y$16)))),0))</x:f>
      </x:c>
      <x:c r="AJ233" t="str">
        <x:f>IF(Calc!$AG$233&gt;'Calc'!$B$8,"",IF('Calc'!$E$16=1,'财富模型'!$E$9,'财富模型'!$M$8+IF(Calc!$AG$233&lt;='财富模型'!$E$11*12,'Calc'!$W$16,'Calc'!$Y$16)-(IF('Calc'!$E$16=1,0,MIN(Calc!$AI$232*(1+'财富模型'!$E$20/12)+'Calc'!$B$6,IF(Calc!$AG$233&lt;='财富模型'!$E$11*12,'Calc'!$W$16,'Calc'!$Y$16))))))</x:f>
      </x:c>
      <x:c r="AK233" t="str">
        <x:f>IF(Calc!$AG$233&gt;'Calc'!$B$8,"",IF('Calc'!$E$16=1,0,MIN(Calc!$AI$232*(1+'财富模型'!$E$20/12)+'Calc'!$B$6,IF(Calc!$AG$233&lt;='财富模型'!$E$11*12,'Calc'!$W$16,'Calc'!$Y$16))))</x:f>
      </x:c>
      <x:c r="AL233" t="str">
        <x:f>IF(Calc!$AG$233&gt;'Calc'!$B$8,"",'Calc'!$B$5-'财富模型'!$E$5-(IF('Calc'!$E$16=1,'财富模型'!$E$9,'财富模型'!$M$8+IF(Calc!$AG$233&lt;='财富模型'!$E$11*12,'Calc'!$W$16,'Calc'!$Y$16)-(IF('Calc'!$E$16=1,0,MIN(Calc!$AI$232*(1+'财富模型'!$E$20/12)+'Calc'!$B$6,IF(Calc!$AG$233&lt;='财富模型'!$E$11*12,'Calc'!$W$16,'Calc'!$Y$16)))))))</x:f>
      </x:c>
      <x:c r="AM233" t="str">
        <x:f>IF(Calc!$AG$233&gt;'Calc'!$B$8,"",IF('Calc'!$E$16=1,0,MAX(Calc!$AM$232*(1+IF(Calc!$AG$233&lt;='财富模型'!$E$11*12,'财富模型'!$E$10,'财富模型'!$E$12)/12)-IF('Calc'!$E$16=1,0,IF(Calc!$AG$233&lt;='财富模型'!$E$11*12,'Calc'!$W$16,'Calc'!$Y$16)),0)))</x:f>
      </x:c>
      <x:c r="AO233" t="n">
        <x:v>212</x:v>
      </x:c>
      <x:c r="AP233" t="str">
        <x:f>IF(Calc!$AO$233&gt;'Calc'!$B$8,"",MAX(Calc!$AP$232*(1+'财富模型'!$E$6/12)+('Calc'!$B$5-'财富模型'!$E$5-(IF('Calc'!$E$17=1,'财富模型'!$E$9,'财富模型'!$M$9+IF(Calc!$AO$233&lt;='财富模型'!$E$11*12,'Calc'!$W$17,'Calc'!$Y$17)-(IF('Calc'!$E$17=1,0,MIN(Calc!$AQ$232*(1+'财富模型'!$E$20/12)+'Calc'!$B$6,IF(Calc!$AO$233&lt;='财富模型'!$E$11*12,'Calc'!$W$17,'Calc'!$Y$17))))))),0))</x:f>
      </x:c>
      <x:c r="AQ233" t="str">
        <x:f>IF(Calc!$AO$233&gt;'Calc'!$B$8,"",MAX(Calc!$AQ$232*(1+'财富模型'!$E$20/12)+'Calc'!$B$6-(IF('Calc'!$E$17=1,0,MIN(Calc!$AQ$232*(1+'财富模型'!$E$20/12)+'Calc'!$B$6,IF(Calc!$AO$233&lt;='财富模型'!$E$11*12,'Calc'!$W$17,'Calc'!$Y$17)))),0))</x:f>
      </x:c>
      <x:c r="AR233" t="str">
        <x:f>IF(Calc!$AO$233&gt;'Calc'!$B$8,"",IF('Calc'!$E$17=1,'财富模型'!$E$9,'财富模型'!$M$9+IF(Calc!$AO$233&lt;='财富模型'!$E$11*12,'Calc'!$W$17,'Calc'!$Y$17)-(IF('Calc'!$E$17=1,0,MIN(Calc!$AQ$232*(1+'财富模型'!$E$20/12)+'Calc'!$B$6,IF(Calc!$AO$233&lt;='财富模型'!$E$11*12,'Calc'!$W$17,'Calc'!$Y$17))))))</x:f>
      </x:c>
      <x:c r="AS233" t="str">
        <x:f>IF(Calc!$AO$233&gt;'Calc'!$B$8,"",IF('Calc'!$E$17=1,0,MIN(Calc!$AQ$232*(1+'财富模型'!$E$20/12)+'Calc'!$B$6,IF(Calc!$AO$233&lt;='财富模型'!$E$11*12,'Calc'!$W$17,'Calc'!$Y$17))))</x:f>
      </x:c>
      <x:c r="AT233" t="str">
        <x:f>IF(Calc!$AO$233&gt;'Calc'!$B$8,"",'Calc'!$B$5-'财富模型'!$E$5-(IF('Calc'!$E$17=1,'财富模型'!$E$9,'财富模型'!$M$9+IF(Calc!$AO$233&lt;='财富模型'!$E$11*12,'Calc'!$W$17,'Calc'!$Y$17)-(IF('Calc'!$E$17=1,0,MIN(Calc!$AQ$232*(1+'财富模型'!$E$20/12)+'Calc'!$B$6,IF(Calc!$AO$233&lt;='财富模型'!$E$11*12,'Calc'!$W$17,'Calc'!$Y$17)))))))</x:f>
      </x:c>
      <x:c r="AU233" t="str">
        <x:f>IF(Calc!$AO$233&gt;'Calc'!$B$8,"",IF('Calc'!$E$17=1,0,MAX(Calc!$AU$232*(1+IF(Calc!$AO$233&lt;='财富模型'!$E$11*12,'财富模型'!$E$10,'财富模型'!$E$12)/12)-IF('Calc'!$E$17=1,0,IF(Calc!$AO$233&lt;='财富模型'!$E$11*12,'Calc'!$W$17,'Calc'!$Y$17)),0)))</x:f>
      </x:c>
    </x:row>
    <x:row r="234">
      <x:c r="A234" t="n">
        <x:v>213</x:v>
      </x:c>
      <x:c r="B234" t="str">
        <x:f>IF(Calc!$A$234&gt;'Calc'!$B$8,"",MAX(Calc!$B$233*(1+'财富模型'!$E$6/12)+('Calc'!$B$5-'财富模型'!$E$5-(IF('Calc'!$E$12=1,'财富模型'!$E$9,'财富模型'!$M$4+IF(Calc!$A$234&lt;='财富模型'!$E$11*12,'Calc'!$W$12,'Calc'!$Y$12)-(IF('Calc'!$E$12=1,0,MIN(Calc!$C$233*(1+'财富模型'!$E$20/12)+'Calc'!$B$6,IF(Calc!$A$234&lt;='财富模型'!$E$11*12,'Calc'!$W$12,'Calc'!$Y$12))))))),0))</x:f>
      </x:c>
      <x:c r="C234" t="str">
        <x:f>IF(Calc!$A$234&gt;'Calc'!$B$8,"",MAX(Calc!$C$233*(1+'财富模型'!$E$20/12)+'Calc'!$B$6-(IF('Calc'!$E$12=1,0,MIN(Calc!$C$233*(1+'财富模型'!$E$20/12)+'Calc'!$B$6,IF(Calc!$A$234&lt;='财富模型'!$E$11*12,'Calc'!$W$12,'Calc'!$Y$12)))),0))</x:f>
      </x:c>
      <x:c r="D234" t="str">
        <x:f>IF(Calc!$A$234&gt;'Calc'!$B$8,"",IF('Calc'!$E$12=1,'财富模型'!$E$9,'财富模型'!$M$4+IF(Calc!$A$234&lt;='财富模型'!$E$11*12,'Calc'!$W$12,'Calc'!$Y$12)-(IF('Calc'!$E$12=1,0,MIN(Calc!$C$233*(1+'财富模型'!$E$20/12)+'Calc'!$B$6,IF(Calc!$A$234&lt;='财富模型'!$E$11*12,'Calc'!$W$12,'Calc'!$Y$12))))))</x:f>
      </x:c>
      <x:c r="E234" t="str">
        <x:f>IF(Calc!$A$234&gt;'Calc'!$B$8,"",IF('Calc'!$E$12=1,0,MIN(Calc!$C$233*(1+'财富模型'!$E$20/12)+'Calc'!$B$6,IF(Calc!$A$234&lt;='财富模型'!$E$11*12,'Calc'!$W$12,'Calc'!$Y$12))))</x:f>
      </x:c>
      <x:c r="F234" t="str">
        <x:f>IF(Calc!$A$234&gt;'Calc'!$B$8,"",'Calc'!$B$5-'财富模型'!$E$5-(IF('Calc'!$E$12=1,'财富模型'!$E$9,'财富模型'!$M$4+IF(Calc!$A$234&lt;='财富模型'!$E$11*12,'Calc'!$W$12,'Calc'!$Y$12)-(IF('Calc'!$E$12=1,0,MIN(Calc!$C$233*(1+'财富模型'!$E$20/12)+'Calc'!$B$6,IF(Calc!$A$234&lt;='财富模型'!$E$11*12,'Calc'!$W$12,'Calc'!$Y$12)))))))</x:f>
      </x:c>
      <x:c r="G234" t="str">
        <x:f>IF(Calc!$A$234&gt;'Calc'!$B$8,"",IF('Calc'!$E$12=1,0,MAX(Calc!$G$233*(1+IF(Calc!$A$234&lt;='财富模型'!$E$11*12,'财富模型'!$E$10,'财富模型'!$E$12)/12)-IF('Calc'!$E$12=1,0,IF(Calc!$A$234&lt;='财富模型'!$E$11*12,'Calc'!$W$12,'Calc'!$Y$12)),0)))</x:f>
      </x:c>
      <x:c r="I234" t="n">
        <x:v>213</x:v>
      </x:c>
      <x:c r="J234" t="str">
        <x:f>IF(Calc!$I$234&gt;'Calc'!$B$8,"",MAX(Calc!$J$233*(1+'财富模型'!$E$6/12)+('Calc'!$B$5-'财富模型'!$E$5-(IF('Calc'!$E$13=1,'财富模型'!$E$9,'财富模型'!$M$5+IF(Calc!$I$234&lt;='财富模型'!$E$11*12,'Calc'!$W$13,'Calc'!$Y$13)-(IF('Calc'!$E$13=1,0,MIN(Calc!$K$233*(1+'财富模型'!$E$20/12)+'Calc'!$B$6,IF(Calc!$I$234&lt;='财富模型'!$E$11*12,'Calc'!$W$13,'Calc'!$Y$13))))))),0))</x:f>
      </x:c>
      <x:c r="K234" t="str">
        <x:f>IF(Calc!$I$234&gt;'Calc'!$B$8,"",MAX(Calc!$K$233*(1+'财富模型'!$E$20/12)+'Calc'!$B$6-(IF('Calc'!$E$13=1,0,MIN(Calc!$K$233*(1+'财富模型'!$E$20/12)+'Calc'!$B$6,IF(Calc!$I$234&lt;='财富模型'!$E$11*12,'Calc'!$W$13,'Calc'!$Y$13)))),0))</x:f>
      </x:c>
      <x:c r="L234" t="str">
        <x:f>IF(Calc!$I$234&gt;'Calc'!$B$8,"",IF('Calc'!$E$13=1,'财富模型'!$E$9,'财富模型'!$M$5+IF(Calc!$I$234&lt;='财富模型'!$E$11*12,'Calc'!$W$13,'Calc'!$Y$13)-(IF('Calc'!$E$13=1,0,MIN(Calc!$K$233*(1+'财富模型'!$E$20/12)+'Calc'!$B$6,IF(Calc!$I$234&lt;='财富模型'!$E$11*12,'Calc'!$W$13,'Calc'!$Y$13))))))</x:f>
      </x:c>
      <x:c r="M234" t="str">
        <x:f>IF(Calc!$I$234&gt;'Calc'!$B$8,"",IF('Calc'!$E$13=1,0,MIN(Calc!$K$233*(1+'财富模型'!$E$20/12)+'Calc'!$B$6,IF(Calc!$I$234&lt;='财富模型'!$E$11*12,'Calc'!$W$13,'Calc'!$Y$13))))</x:f>
      </x:c>
      <x:c r="N234" t="str">
        <x:f>IF(Calc!$I$234&gt;'Calc'!$B$8,"",'Calc'!$B$5-'财富模型'!$E$5-(IF('Calc'!$E$13=1,'财富模型'!$E$9,'财富模型'!$M$5+IF(Calc!$I$234&lt;='财富模型'!$E$11*12,'Calc'!$W$13,'Calc'!$Y$13)-(IF('Calc'!$E$13=1,0,MIN(Calc!$K$233*(1+'财富模型'!$E$20/12)+'Calc'!$B$6,IF(Calc!$I$234&lt;='财富模型'!$E$11*12,'Calc'!$W$13,'Calc'!$Y$13)))))))</x:f>
      </x:c>
      <x:c r="O234" t="str">
        <x:f>IF(Calc!$I$234&gt;'Calc'!$B$8,"",IF('Calc'!$E$13=1,0,MAX(Calc!$O$233*(1+IF(Calc!$I$234&lt;='财富模型'!$E$11*12,'财富模型'!$E$10,'财富模型'!$E$12)/12)-IF('Calc'!$E$13=1,0,IF(Calc!$I$234&lt;='财富模型'!$E$11*12,'Calc'!$W$13,'Calc'!$Y$13)),0)))</x:f>
      </x:c>
      <x:c r="Q234" t="n">
        <x:v>213</x:v>
      </x:c>
      <x:c r="R234" t="str">
        <x:f>IF(Calc!$Q$234&gt;'Calc'!$B$8,"",MAX(Calc!$R$233*(1+'财富模型'!$E$6/12)+('Calc'!$B$5-'财富模型'!$E$5-(IF('Calc'!$E$14=1,'财富模型'!$E$9,'财富模型'!$M$6+IF(Calc!$Q$234&lt;='财富模型'!$E$11*12,'Calc'!$W$14,'Calc'!$Y$14)-(IF('Calc'!$E$14=1,0,MIN(Calc!$S$233*(1+'财富模型'!$E$20/12)+'Calc'!$B$6,IF(Calc!$Q$234&lt;='财富模型'!$E$11*12,'Calc'!$W$14,'Calc'!$Y$14))))))),0))</x:f>
      </x:c>
      <x:c r="S234" t="str">
        <x:f>IF(Calc!$Q$234&gt;'Calc'!$B$8,"",MAX(Calc!$S$233*(1+'财富模型'!$E$20/12)+'Calc'!$B$6-(IF('Calc'!$E$14=1,0,MIN(Calc!$S$233*(1+'财富模型'!$E$20/12)+'Calc'!$B$6,IF(Calc!$Q$234&lt;='财富模型'!$E$11*12,'Calc'!$W$14,'Calc'!$Y$14)))),0))</x:f>
      </x:c>
      <x:c r="T234" t="str">
        <x:f>IF(Calc!$Q$234&gt;'Calc'!$B$8,"",IF('Calc'!$E$14=1,'财富模型'!$E$9,'财富模型'!$M$6+IF(Calc!$Q$234&lt;='财富模型'!$E$11*12,'Calc'!$W$14,'Calc'!$Y$14)-(IF('Calc'!$E$14=1,0,MIN(Calc!$S$233*(1+'财富模型'!$E$20/12)+'Calc'!$B$6,IF(Calc!$Q$234&lt;='财富模型'!$E$11*12,'Calc'!$W$14,'Calc'!$Y$14))))))</x:f>
      </x:c>
      <x:c r="U234" t="str">
        <x:f>IF(Calc!$Q$234&gt;'Calc'!$B$8,"",IF('Calc'!$E$14=1,0,MIN(Calc!$S$233*(1+'财富模型'!$E$20/12)+'Calc'!$B$6,IF(Calc!$Q$234&lt;='财富模型'!$E$11*12,'Calc'!$W$14,'Calc'!$Y$14))))</x:f>
      </x:c>
      <x:c r="V234" t="str">
        <x:f>IF(Calc!$Q$234&gt;'Calc'!$B$8,"",'Calc'!$B$5-'财富模型'!$E$5-(IF('Calc'!$E$14=1,'财富模型'!$E$9,'财富模型'!$M$6+IF(Calc!$Q$234&lt;='财富模型'!$E$11*12,'Calc'!$W$14,'Calc'!$Y$14)-(IF('Calc'!$E$14=1,0,MIN(Calc!$S$233*(1+'财富模型'!$E$20/12)+'Calc'!$B$6,IF(Calc!$Q$234&lt;='财富模型'!$E$11*12,'Calc'!$W$14,'Calc'!$Y$14)))))))</x:f>
      </x:c>
      <x:c r="W234" t="str">
        <x:f>IF(Calc!$Q$234&gt;'Calc'!$B$8,"",IF('Calc'!$E$14=1,0,MAX(Calc!$W$233*(1+IF(Calc!$Q$234&lt;='财富模型'!$E$11*12,'财富模型'!$E$10,'财富模型'!$E$12)/12)-IF('Calc'!$E$14=1,0,IF(Calc!$Q$234&lt;='财富模型'!$E$11*12,'Calc'!$W$14,'Calc'!$Y$14)),0)))</x:f>
      </x:c>
      <x:c r="Y234" t="n">
        <x:v>213</x:v>
      </x:c>
      <x:c r="Z234" t="str">
        <x:f>IF(Calc!$Y$234&gt;'Calc'!$B$8,"",MAX(Calc!$Z$233*(1+'财富模型'!$E$6/12)+('Calc'!$B$5-'财富模型'!$E$5-(IF('Calc'!$E$15=1,'财富模型'!$E$9,'财富模型'!$M$7+IF(Calc!$Y$234&lt;='财富模型'!$E$11*12,'Calc'!$W$15,'Calc'!$Y$15)-(IF('Calc'!$E$15=1,0,MIN(Calc!$AA$233*(1+'财富模型'!$E$20/12)+'Calc'!$B$6,IF(Calc!$Y$234&lt;='财富模型'!$E$11*12,'Calc'!$W$15,'Calc'!$Y$15))))))),0))</x:f>
      </x:c>
      <x:c r="AA234" t="str">
        <x:f>IF(Calc!$Y$234&gt;'Calc'!$B$8,"",MAX(Calc!$AA$233*(1+'财富模型'!$E$20/12)+'Calc'!$B$6-(IF('Calc'!$E$15=1,0,MIN(Calc!$AA$233*(1+'财富模型'!$E$20/12)+'Calc'!$B$6,IF(Calc!$Y$234&lt;='财富模型'!$E$11*12,'Calc'!$W$15,'Calc'!$Y$15)))),0))</x:f>
      </x:c>
      <x:c r="AB234" t="str">
        <x:f>IF(Calc!$Y$234&gt;'Calc'!$B$8,"",IF('Calc'!$E$15=1,'财富模型'!$E$9,'财富模型'!$M$7+IF(Calc!$Y$234&lt;='财富模型'!$E$11*12,'Calc'!$W$15,'Calc'!$Y$15)-(IF('Calc'!$E$15=1,0,MIN(Calc!$AA$233*(1+'财富模型'!$E$20/12)+'Calc'!$B$6,IF(Calc!$Y$234&lt;='财富模型'!$E$11*12,'Calc'!$W$15,'Calc'!$Y$15))))))</x:f>
      </x:c>
      <x:c r="AC234" t="str">
        <x:f>IF(Calc!$Y$234&gt;'Calc'!$B$8,"",IF('Calc'!$E$15=1,0,MIN(Calc!$AA$233*(1+'财富模型'!$E$20/12)+'Calc'!$B$6,IF(Calc!$Y$234&lt;='财富模型'!$E$11*12,'Calc'!$W$15,'Calc'!$Y$15))))</x:f>
      </x:c>
      <x:c r="AD234" t="str">
        <x:f>IF(Calc!$Y$234&gt;'Calc'!$B$8,"",'Calc'!$B$5-'财富模型'!$E$5-(IF('Calc'!$E$15=1,'财富模型'!$E$9,'财富模型'!$M$7+IF(Calc!$Y$234&lt;='财富模型'!$E$11*12,'Calc'!$W$15,'Calc'!$Y$15)-(IF('Calc'!$E$15=1,0,MIN(Calc!$AA$233*(1+'财富模型'!$E$20/12)+'Calc'!$B$6,IF(Calc!$Y$234&lt;='财富模型'!$E$11*12,'Calc'!$W$15,'Calc'!$Y$15)))))))</x:f>
      </x:c>
      <x:c r="AE234" t="str">
        <x:f>IF(Calc!$Y$234&gt;'Calc'!$B$8,"",IF('Calc'!$E$15=1,0,MAX(Calc!$AE$233*(1+IF(Calc!$Y$234&lt;='财富模型'!$E$11*12,'财富模型'!$E$10,'财富模型'!$E$12)/12)-IF('Calc'!$E$15=1,0,IF(Calc!$Y$234&lt;='财富模型'!$E$11*12,'Calc'!$W$15,'Calc'!$Y$15)),0)))</x:f>
      </x:c>
      <x:c r="AG234" t="n">
        <x:v>213</x:v>
      </x:c>
      <x:c r="AH234" t="str">
        <x:f>IF(Calc!$AG$234&gt;'Calc'!$B$8,"",MAX(Calc!$AH$233*(1+'财富模型'!$E$6/12)+('Calc'!$B$5-'财富模型'!$E$5-(IF('Calc'!$E$16=1,'财富模型'!$E$9,'财富模型'!$M$8+IF(Calc!$AG$234&lt;='财富模型'!$E$11*12,'Calc'!$W$16,'Calc'!$Y$16)-(IF('Calc'!$E$16=1,0,MIN(Calc!$AI$233*(1+'财富模型'!$E$20/12)+'Calc'!$B$6,IF(Calc!$AG$234&lt;='财富模型'!$E$11*12,'Calc'!$W$16,'Calc'!$Y$16))))))),0))</x:f>
      </x:c>
      <x:c r="AI234" t="str">
        <x:f>IF(Calc!$AG$234&gt;'Calc'!$B$8,"",MAX(Calc!$AI$233*(1+'财富模型'!$E$20/12)+'Calc'!$B$6-(IF('Calc'!$E$16=1,0,MIN(Calc!$AI$233*(1+'财富模型'!$E$20/12)+'Calc'!$B$6,IF(Calc!$AG$234&lt;='财富模型'!$E$11*12,'Calc'!$W$16,'Calc'!$Y$16)))),0))</x:f>
      </x:c>
      <x:c r="AJ234" t="str">
        <x:f>IF(Calc!$AG$234&gt;'Calc'!$B$8,"",IF('Calc'!$E$16=1,'财富模型'!$E$9,'财富模型'!$M$8+IF(Calc!$AG$234&lt;='财富模型'!$E$11*12,'Calc'!$W$16,'Calc'!$Y$16)-(IF('Calc'!$E$16=1,0,MIN(Calc!$AI$233*(1+'财富模型'!$E$20/12)+'Calc'!$B$6,IF(Calc!$AG$234&lt;='财富模型'!$E$11*12,'Calc'!$W$16,'Calc'!$Y$16))))))</x:f>
      </x:c>
      <x:c r="AK234" t="str">
        <x:f>IF(Calc!$AG$234&gt;'Calc'!$B$8,"",IF('Calc'!$E$16=1,0,MIN(Calc!$AI$233*(1+'财富模型'!$E$20/12)+'Calc'!$B$6,IF(Calc!$AG$234&lt;='财富模型'!$E$11*12,'Calc'!$W$16,'Calc'!$Y$16))))</x:f>
      </x:c>
      <x:c r="AL234" t="str">
        <x:f>IF(Calc!$AG$234&gt;'Calc'!$B$8,"",'Calc'!$B$5-'财富模型'!$E$5-(IF('Calc'!$E$16=1,'财富模型'!$E$9,'财富模型'!$M$8+IF(Calc!$AG$234&lt;='财富模型'!$E$11*12,'Calc'!$W$16,'Calc'!$Y$16)-(IF('Calc'!$E$16=1,0,MIN(Calc!$AI$233*(1+'财富模型'!$E$20/12)+'Calc'!$B$6,IF(Calc!$AG$234&lt;='财富模型'!$E$11*12,'Calc'!$W$16,'Calc'!$Y$16)))))))</x:f>
      </x:c>
      <x:c r="AM234" t="str">
        <x:f>IF(Calc!$AG$234&gt;'Calc'!$B$8,"",IF('Calc'!$E$16=1,0,MAX(Calc!$AM$233*(1+IF(Calc!$AG$234&lt;='财富模型'!$E$11*12,'财富模型'!$E$10,'财富模型'!$E$12)/12)-IF('Calc'!$E$16=1,0,IF(Calc!$AG$234&lt;='财富模型'!$E$11*12,'Calc'!$W$16,'Calc'!$Y$16)),0)))</x:f>
      </x:c>
      <x:c r="AO234" t="n">
        <x:v>213</x:v>
      </x:c>
      <x:c r="AP234" t="str">
        <x:f>IF(Calc!$AO$234&gt;'Calc'!$B$8,"",MAX(Calc!$AP$233*(1+'财富模型'!$E$6/12)+('Calc'!$B$5-'财富模型'!$E$5-(IF('Calc'!$E$17=1,'财富模型'!$E$9,'财富模型'!$M$9+IF(Calc!$AO$234&lt;='财富模型'!$E$11*12,'Calc'!$W$17,'Calc'!$Y$17)-(IF('Calc'!$E$17=1,0,MIN(Calc!$AQ$233*(1+'财富模型'!$E$20/12)+'Calc'!$B$6,IF(Calc!$AO$234&lt;='财富模型'!$E$11*12,'Calc'!$W$17,'Calc'!$Y$17))))))),0))</x:f>
      </x:c>
      <x:c r="AQ234" t="str">
        <x:f>IF(Calc!$AO$234&gt;'Calc'!$B$8,"",MAX(Calc!$AQ$233*(1+'财富模型'!$E$20/12)+'Calc'!$B$6-(IF('Calc'!$E$17=1,0,MIN(Calc!$AQ$233*(1+'财富模型'!$E$20/12)+'Calc'!$B$6,IF(Calc!$AO$234&lt;='财富模型'!$E$11*12,'Calc'!$W$17,'Calc'!$Y$17)))),0))</x:f>
      </x:c>
      <x:c r="AR234" t="str">
        <x:f>IF(Calc!$AO$234&gt;'Calc'!$B$8,"",IF('Calc'!$E$17=1,'财富模型'!$E$9,'财富模型'!$M$9+IF(Calc!$AO$234&lt;='财富模型'!$E$11*12,'Calc'!$W$17,'Calc'!$Y$17)-(IF('Calc'!$E$17=1,0,MIN(Calc!$AQ$233*(1+'财富模型'!$E$20/12)+'Calc'!$B$6,IF(Calc!$AO$234&lt;='财富模型'!$E$11*12,'Calc'!$W$17,'Calc'!$Y$17))))))</x:f>
      </x:c>
      <x:c r="AS234" t="str">
        <x:f>IF(Calc!$AO$234&gt;'Calc'!$B$8,"",IF('Calc'!$E$17=1,0,MIN(Calc!$AQ$233*(1+'财富模型'!$E$20/12)+'Calc'!$B$6,IF(Calc!$AO$234&lt;='财富模型'!$E$11*12,'Calc'!$W$17,'Calc'!$Y$17))))</x:f>
      </x:c>
      <x:c r="AT234" t="str">
        <x:f>IF(Calc!$AO$234&gt;'Calc'!$B$8,"",'Calc'!$B$5-'财富模型'!$E$5-(IF('Calc'!$E$17=1,'财富模型'!$E$9,'财富模型'!$M$9+IF(Calc!$AO$234&lt;='财富模型'!$E$11*12,'Calc'!$W$17,'Calc'!$Y$17)-(IF('Calc'!$E$17=1,0,MIN(Calc!$AQ$233*(1+'财富模型'!$E$20/12)+'Calc'!$B$6,IF(Calc!$AO$234&lt;='财富模型'!$E$11*12,'Calc'!$W$17,'Calc'!$Y$17)))))))</x:f>
      </x:c>
      <x:c r="AU234" t="str">
        <x:f>IF(Calc!$AO$234&gt;'Calc'!$B$8,"",IF('Calc'!$E$17=1,0,MAX(Calc!$AU$233*(1+IF(Calc!$AO$234&lt;='财富模型'!$E$11*12,'财富模型'!$E$10,'财富模型'!$E$12)/12)-IF('Calc'!$E$17=1,0,IF(Calc!$AO$234&lt;='财富模型'!$E$11*12,'Calc'!$W$17,'Calc'!$Y$17)),0)))</x:f>
      </x:c>
    </x:row>
    <x:row r="235">
      <x:c r="A235" t="n">
        <x:v>214</x:v>
      </x:c>
      <x:c r="B235" t="str">
        <x:f>IF(Calc!$A$235&gt;'Calc'!$B$8,"",MAX(Calc!$B$234*(1+'财富模型'!$E$6/12)+('Calc'!$B$5-'财富模型'!$E$5-(IF('Calc'!$E$12=1,'财富模型'!$E$9,'财富模型'!$M$4+IF(Calc!$A$235&lt;='财富模型'!$E$11*12,'Calc'!$W$12,'Calc'!$Y$12)-(IF('Calc'!$E$12=1,0,MIN(Calc!$C$234*(1+'财富模型'!$E$20/12)+'Calc'!$B$6,IF(Calc!$A$235&lt;='财富模型'!$E$11*12,'Calc'!$W$12,'Calc'!$Y$12))))))),0))</x:f>
      </x:c>
      <x:c r="C235" t="str">
        <x:f>IF(Calc!$A$235&gt;'Calc'!$B$8,"",MAX(Calc!$C$234*(1+'财富模型'!$E$20/12)+'Calc'!$B$6-(IF('Calc'!$E$12=1,0,MIN(Calc!$C$234*(1+'财富模型'!$E$20/12)+'Calc'!$B$6,IF(Calc!$A$235&lt;='财富模型'!$E$11*12,'Calc'!$W$12,'Calc'!$Y$12)))),0))</x:f>
      </x:c>
      <x:c r="D235" t="str">
        <x:f>IF(Calc!$A$235&gt;'Calc'!$B$8,"",IF('Calc'!$E$12=1,'财富模型'!$E$9,'财富模型'!$M$4+IF(Calc!$A$235&lt;='财富模型'!$E$11*12,'Calc'!$W$12,'Calc'!$Y$12)-(IF('Calc'!$E$12=1,0,MIN(Calc!$C$234*(1+'财富模型'!$E$20/12)+'Calc'!$B$6,IF(Calc!$A$235&lt;='财富模型'!$E$11*12,'Calc'!$W$12,'Calc'!$Y$12))))))</x:f>
      </x:c>
      <x:c r="E235" t="str">
        <x:f>IF(Calc!$A$235&gt;'Calc'!$B$8,"",IF('Calc'!$E$12=1,0,MIN(Calc!$C$234*(1+'财富模型'!$E$20/12)+'Calc'!$B$6,IF(Calc!$A$235&lt;='财富模型'!$E$11*12,'Calc'!$W$12,'Calc'!$Y$12))))</x:f>
      </x:c>
      <x:c r="F235" t="str">
        <x:f>IF(Calc!$A$235&gt;'Calc'!$B$8,"",'Calc'!$B$5-'财富模型'!$E$5-(IF('Calc'!$E$12=1,'财富模型'!$E$9,'财富模型'!$M$4+IF(Calc!$A$235&lt;='财富模型'!$E$11*12,'Calc'!$W$12,'Calc'!$Y$12)-(IF('Calc'!$E$12=1,0,MIN(Calc!$C$234*(1+'财富模型'!$E$20/12)+'Calc'!$B$6,IF(Calc!$A$235&lt;='财富模型'!$E$11*12,'Calc'!$W$12,'Calc'!$Y$12)))))))</x:f>
      </x:c>
      <x:c r="G235" t="str">
        <x:f>IF(Calc!$A$235&gt;'Calc'!$B$8,"",IF('Calc'!$E$12=1,0,MAX(Calc!$G$234*(1+IF(Calc!$A$235&lt;='财富模型'!$E$11*12,'财富模型'!$E$10,'财富模型'!$E$12)/12)-IF('Calc'!$E$12=1,0,IF(Calc!$A$235&lt;='财富模型'!$E$11*12,'Calc'!$W$12,'Calc'!$Y$12)),0)))</x:f>
      </x:c>
      <x:c r="I235" t="n">
        <x:v>214</x:v>
      </x:c>
      <x:c r="J235" t="str">
        <x:f>IF(Calc!$I$235&gt;'Calc'!$B$8,"",MAX(Calc!$J$234*(1+'财富模型'!$E$6/12)+('Calc'!$B$5-'财富模型'!$E$5-(IF('Calc'!$E$13=1,'财富模型'!$E$9,'财富模型'!$M$5+IF(Calc!$I$235&lt;='财富模型'!$E$11*12,'Calc'!$W$13,'Calc'!$Y$13)-(IF('Calc'!$E$13=1,0,MIN(Calc!$K$234*(1+'财富模型'!$E$20/12)+'Calc'!$B$6,IF(Calc!$I$235&lt;='财富模型'!$E$11*12,'Calc'!$W$13,'Calc'!$Y$13))))))),0))</x:f>
      </x:c>
      <x:c r="K235" t="str">
        <x:f>IF(Calc!$I$235&gt;'Calc'!$B$8,"",MAX(Calc!$K$234*(1+'财富模型'!$E$20/12)+'Calc'!$B$6-(IF('Calc'!$E$13=1,0,MIN(Calc!$K$234*(1+'财富模型'!$E$20/12)+'Calc'!$B$6,IF(Calc!$I$235&lt;='财富模型'!$E$11*12,'Calc'!$W$13,'Calc'!$Y$13)))),0))</x:f>
      </x:c>
      <x:c r="L235" t="str">
        <x:f>IF(Calc!$I$235&gt;'Calc'!$B$8,"",IF('Calc'!$E$13=1,'财富模型'!$E$9,'财富模型'!$M$5+IF(Calc!$I$235&lt;='财富模型'!$E$11*12,'Calc'!$W$13,'Calc'!$Y$13)-(IF('Calc'!$E$13=1,0,MIN(Calc!$K$234*(1+'财富模型'!$E$20/12)+'Calc'!$B$6,IF(Calc!$I$235&lt;='财富模型'!$E$11*12,'Calc'!$W$13,'Calc'!$Y$13))))))</x:f>
      </x:c>
      <x:c r="M235" t="str">
        <x:f>IF(Calc!$I$235&gt;'Calc'!$B$8,"",IF('Calc'!$E$13=1,0,MIN(Calc!$K$234*(1+'财富模型'!$E$20/12)+'Calc'!$B$6,IF(Calc!$I$235&lt;='财富模型'!$E$11*12,'Calc'!$W$13,'Calc'!$Y$13))))</x:f>
      </x:c>
      <x:c r="N235" t="str">
        <x:f>IF(Calc!$I$235&gt;'Calc'!$B$8,"",'Calc'!$B$5-'财富模型'!$E$5-(IF('Calc'!$E$13=1,'财富模型'!$E$9,'财富模型'!$M$5+IF(Calc!$I$235&lt;='财富模型'!$E$11*12,'Calc'!$W$13,'Calc'!$Y$13)-(IF('Calc'!$E$13=1,0,MIN(Calc!$K$234*(1+'财富模型'!$E$20/12)+'Calc'!$B$6,IF(Calc!$I$235&lt;='财富模型'!$E$11*12,'Calc'!$W$13,'Calc'!$Y$13)))))))</x:f>
      </x:c>
      <x:c r="O235" t="str">
        <x:f>IF(Calc!$I$235&gt;'Calc'!$B$8,"",IF('Calc'!$E$13=1,0,MAX(Calc!$O$234*(1+IF(Calc!$I$235&lt;='财富模型'!$E$11*12,'财富模型'!$E$10,'财富模型'!$E$12)/12)-IF('Calc'!$E$13=1,0,IF(Calc!$I$235&lt;='财富模型'!$E$11*12,'Calc'!$W$13,'Calc'!$Y$13)),0)))</x:f>
      </x:c>
      <x:c r="Q235" t="n">
        <x:v>214</x:v>
      </x:c>
      <x:c r="R235" t="str">
        <x:f>IF(Calc!$Q$235&gt;'Calc'!$B$8,"",MAX(Calc!$R$234*(1+'财富模型'!$E$6/12)+('Calc'!$B$5-'财富模型'!$E$5-(IF('Calc'!$E$14=1,'财富模型'!$E$9,'财富模型'!$M$6+IF(Calc!$Q$235&lt;='财富模型'!$E$11*12,'Calc'!$W$14,'Calc'!$Y$14)-(IF('Calc'!$E$14=1,0,MIN(Calc!$S$234*(1+'财富模型'!$E$20/12)+'Calc'!$B$6,IF(Calc!$Q$235&lt;='财富模型'!$E$11*12,'Calc'!$W$14,'Calc'!$Y$14))))))),0))</x:f>
      </x:c>
      <x:c r="S235" t="str">
        <x:f>IF(Calc!$Q$235&gt;'Calc'!$B$8,"",MAX(Calc!$S$234*(1+'财富模型'!$E$20/12)+'Calc'!$B$6-(IF('Calc'!$E$14=1,0,MIN(Calc!$S$234*(1+'财富模型'!$E$20/12)+'Calc'!$B$6,IF(Calc!$Q$235&lt;='财富模型'!$E$11*12,'Calc'!$W$14,'Calc'!$Y$14)))),0))</x:f>
      </x:c>
      <x:c r="T235" t="str">
        <x:f>IF(Calc!$Q$235&gt;'Calc'!$B$8,"",IF('Calc'!$E$14=1,'财富模型'!$E$9,'财富模型'!$M$6+IF(Calc!$Q$235&lt;='财富模型'!$E$11*12,'Calc'!$W$14,'Calc'!$Y$14)-(IF('Calc'!$E$14=1,0,MIN(Calc!$S$234*(1+'财富模型'!$E$20/12)+'Calc'!$B$6,IF(Calc!$Q$235&lt;='财富模型'!$E$11*12,'Calc'!$W$14,'Calc'!$Y$14))))))</x:f>
      </x:c>
      <x:c r="U235" t="str">
        <x:f>IF(Calc!$Q$235&gt;'Calc'!$B$8,"",IF('Calc'!$E$14=1,0,MIN(Calc!$S$234*(1+'财富模型'!$E$20/12)+'Calc'!$B$6,IF(Calc!$Q$235&lt;='财富模型'!$E$11*12,'Calc'!$W$14,'Calc'!$Y$14))))</x:f>
      </x:c>
      <x:c r="V235" t="str">
        <x:f>IF(Calc!$Q$235&gt;'Calc'!$B$8,"",'Calc'!$B$5-'财富模型'!$E$5-(IF('Calc'!$E$14=1,'财富模型'!$E$9,'财富模型'!$M$6+IF(Calc!$Q$235&lt;='财富模型'!$E$11*12,'Calc'!$W$14,'Calc'!$Y$14)-(IF('Calc'!$E$14=1,0,MIN(Calc!$S$234*(1+'财富模型'!$E$20/12)+'Calc'!$B$6,IF(Calc!$Q$235&lt;='财富模型'!$E$11*12,'Calc'!$W$14,'Calc'!$Y$14)))))))</x:f>
      </x:c>
      <x:c r="W235" t="str">
        <x:f>IF(Calc!$Q$235&gt;'Calc'!$B$8,"",IF('Calc'!$E$14=1,0,MAX(Calc!$W$234*(1+IF(Calc!$Q$235&lt;='财富模型'!$E$11*12,'财富模型'!$E$10,'财富模型'!$E$12)/12)-IF('Calc'!$E$14=1,0,IF(Calc!$Q$235&lt;='财富模型'!$E$11*12,'Calc'!$W$14,'Calc'!$Y$14)),0)))</x:f>
      </x:c>
      <x:c r="Y235" t="n">
        <x:v>214</x:v>
      </x:c>
      <x:c r="Z235" t="str">
        <x:f>IF(Calc!$Y$235&gt;'Calc'!$B$8,"",MAX(Calc!$Z$234*(1+'财富模型'!$E$6/12)+('Calc'!$B$5-'财富模型'!$E$5-(IF('Calc'!$E$15=1,'财富模型'!$E$9,'财富模型'!$M$7+IF(Calc!$Y$235&lt;='财富模型'!$E$11*12,'Calc'!$W$15,'Calc'!$Y$15)-(IF('Calc'!$E$15=1,0,MIN(Calc!$AA$234*(1+'财富模型'!$E$20/12)+'Calc'!$B$6,IF(Calc!$Y$235&lt;='财富模型'!$E$11*12,'Calc'!$W$15,'Calc'!$Y$15))))))),0))</x:f>
      </x:c>
      <x:c r="AA235" t="str">
        <x:f>IF(Calc!$Y$235&gt;'Calc'!$B$8,"",MAX(Calc!$AA$234*(1+'财富模型'!$E$20/12)+'Calc'!$B$6-(IF('Calc'!$E$15=1,0,MIN(Calc!$AA$234*(1+'财富模型'!$E$20/12)+'Calc'!$B$6,IF(Calc!$Y$235&lt;='财富模型'!$E$11*12,'Calc'!$W$15,'Calc'!$Y$15)))),0))</x:f>
      </x:c>
      <x:c r="AB235" t="str">
        <x:f>IF(Calc!$Y$235&gt;'Calc'!$B$8,"",IF('Calc'!$E$15=1,'财富模型'!$E$9,'财富模型'!$M$7+IF(Calc!$Y$235&lt;='财富模型'!$E$11*12,'Calc'!$W$15,'Calc'!$Y$15)-(IF('Calc'!$E$15=1,0,MIN(Calc!$AA$234*(1+'财富模型'!$E$20/12)+'Calc'!$B$6,IF(Calc!$Y$235&lt;='财富模型'!$E$11*12,'Calc'!$W$15,'Calc'!$Y$15))))))</x:f>
      </x:c>
      <x:c r="AC235" t="str">
        <x:f>IF(Calc!$Y$235&gt;'Calc'!$B$8,"",IF('Calc'!$E$15=1,0,MIN(Calc!$AA$234*(1+'财富模型'!$E$20/12)+'Calc'!$B$6,IF(Calc!$Y$235&lt;='财富模型'!$E$11*12,'Calc'!$W$15,'Calc'!$Y$15))))</x:f>
      </x:c>
      <x:c r="AD235" t="str">
        <x:f>IF(Calc!$Y$235&gt;'Calc'!$B$8,"",'Calc'!$B$5-'财富模型'!$E$5-(IF('Calc'!$E$15=1,'财富模型'!$E$9,'财富模型'!$M$7+IF(Calc!$Y$235&lt;='财富模型'!$E$11*12,'Calc'!$W$15,'Calc'!$Y$15)-(IF('Calc'!$E$15=1,0,MIN(Calc!$AA$234*(1+'财富模型'!$E$20/12)+'Calc'!$B$6,IF(Calc!$Y$235&lt;='财富模型'!$E$11*12,'Calc'!$W$15,'Calc'!$Y$15)))))))</x:f>
      </x:c>
      <x:c r="AE235" t="str">
        <x:f>IF(Calc!$Y$235&gt;'Calc'!$B$8,"",IF('Calc'!$E$15=1,0,MAX(Calc!$AE$234*(1+IF(Calc!$Y$235&lt;='财富模型'!$E$11*12,'财富模型'!$E$10,'财富模型'!$E$12)/12)-IF('Calc'!$E$15=1,0,IF(Calc!$Y$235&lt;='财富模型'!$E$11*12,'Calc'!$W$15,'Calc'!$Y$15)),0)))</x:f>
      </x:c>
      <x:c r="AG235" t="n">
        <x:v>214</x:v>
      </x:c>
      <x:c r="AH235" t="str">
        <x:f>IF(Calc!$AG$235&gt;'Calc'!$B$8,"",MAX(Calc!$AH$234*(1+'财富模型'!$E$6/12)+('Calc'!$B$5-'财富模型'!$E$5-(IF('Calc'!$E$16=1,'财富模型'!$E$9,'财富模型'!$M$8+IF(Calc!$AG$235&lt;='财富模型'!$E$11*12,'Calc'!$W$16,'Calc'!$Y$16)-(IF('Calc'!$E$16=1,0,MIN(Calc!$AI$234*(1+'财富模型'!$E$20/12)+'Calc'!$B$6,IF(Calc!$AG$235&lt;='财富模型'!$E$11*12,'Calc'!$W$16,'Calc'!$Y$16))))))),0))</x:f>
      </x:c>
      <x:c r="AI235" t="str">
        <x:f>IF(Calc!$AG$235&gt;'Calc'!$B$8,"",MAX(Calc!$AI$234*(1+'财富模型'!$E$20/12)+'Calc'!$B$6-(IF('Calc'!$E$16=1,0,MIN(Calc!$AI$234*(1+'财富模型'!$E$20/12)+'Calc'!$B$6,IF(Calc!$AG$235&lt;='财富模型'!$E$11*12,'Calc'!$W$16,'Calc'!$Y$16)))),0))</x:f>
      </x:c>
      <x:c r="AJ235" t="str">
        <x:f>IF(Calc!$AG$235&gt;'Calc'!$B$8,"",IF('Calc'!$E$16=1,'财富模型'!$E$9,'财富模型'!$M$8+IF(Calc!$AG$235&lt;='财富模型'!$E$11*12,'Calc'!$W$16,'Calc'!$Y$16)-(IF('Calc'!$E$16=1,0,MIN(Calc!$AI$234*(1+'财富模型'!$E$20/12)+'Calc'!$B$6,IF(Calc!$AG$235&lt;='财富模型'!$E$11*12,'Calc'!$W$16,'Calc'!$Y$16))))))</x:f>
      </x:c>
      <x:c r="AK235" t="str">
        <x:f>IF(Calc!$AG$235&gt;'Calc'!$B$8,"",IF('Calc'!$E$16=1,0,MIN(Calc!$AI$234*(1+'财富模型'!$E$20/12)+'Calc'!$B$6,IF(Calc!$AG$235&lt;='财富模型'!$E$11*12,'Calc'!$W$16,'Calc'!$Y$16))))</x:f>
      </x:c>
      <x:c r="AL235" t="str">
        <x:f>IF(Calc!$AG$235&gt;'Calc'!$B$8,"",'Calc'!$B$5-'财富模型'!$E$5-(IF('Calc'!$E$16=1,'财富模型'!$E$9,'财富模型'!$M$8+IF(Calc!$AG$235&lt;='财富模型'!$E$11*12,'Calc'!$W$16,'Calc'!$Y$16)-(IF('Calc'!$E$16=1,0,MIN(Calc!$AI$234*(1+'财富模型'!$E$20/12)+'Calc'!$B$6,IF(Calc!$AG$235&lt;='财富模型'!$E$11*12,'Calc'!$W$16,'Calc'!$Y$16)))))))</x:f>
      </x:c>
      <x:c r="AM235" t="str">
        <x:f>IF(Calc!$AG$235&gt;'Calc'!$B$8,"",IF('Calc'!$E$16=1,0,MAX(Calc!$AM$234*(1+IF(Calc!$AG$235&lt;='财富模型'!$E$11*12,'财富模型'!$E$10,'财富模型'!$E$12)/12)-IF('Calc'!$E$16=1,0,IF(Calc!$AG$235&lt;='财富模型'!$E$11*12,'Calc'!$W$16,'Calc'!$Y$16)),0)))</x:f>
      </x:c>
      <x:c r="AO235" t="n">
        <x:v>214</x:v>
      </x:c>
      <x:c r="AP235" t="str">
        <x:f>IF(Calc!$AO$235&gt;'Calc'!$B$8,"",MAX(Calc!$AP$234*(1+'财富模型'!$E$6/12)+('Calc'!$B$5-'财富模型'!$E$5-(IF('Calc'!$E$17=1,'财富模型'!$E$9,'财富模型'!$M$9+IF(Calc!$AO$235&lt;='财富模型'!$E$11*12,'Calc'!$W$17,'Calc'!$Y$17)-(IF('Calc'!$E$17=1,0,MIN(Calc!$AQ$234*(1+'财富模型'!$E$20/12)+'Calc'!$B$6,IF(Calc!$AO$235&lt;='财富模型'!$E$11*12,'Calc'!$W$17,'Calc'!$Y$17))))))),0))</x:f>
      </x:c>
      <x:c r="AQ235" t="str">
        <x:f>IF(Calc!$AO$235&gt;'Calc'!$B$8,"",MAX(Calc!$AQ$234*(1+'财富模型'!$E$20/12)+'Calc'!$B$6-(IF('Calc'!$E$17=1,0,MIN(Calc!$AQ$234*(1+'财富模型'!$E$20/12)+'Calc'!$B$6,IF(Calc!$AO$235&lt;='财富模型'!$E$11*12,'Calc'!$W$17,'Calc'!$Y$17)))),0))</x:f>
      </x:c>
      <x:c r="AR235" t="str">
        <x:f>IF(Calc!$AO$235&gt;'Calc'!$B$8,"",IF('Calc'!$E$17=1,'财富模型'!$E$9,'财富模型'!$M$9+IF(Calc!$AO$235&lt;='财富模型'!$E$11*12,'Calc'!$W$17,'Calc'!$Y$17)-(IF('Calc'!$E$17=1,0,MIN(Calc!$AQ$234*(1+'财富模型'!$E$20/12)+'Calc'!$B$6,IF(Calc!$AO$235&lt;='财富模型'!$E$11*12,'Calc'!$W$17,'Calc'!$Y$17))))))</x:f>
      </x:c>
      <x:c r="AS235" t="str">
        <x:f>IF(Calc!$AO$235&gt;'Calc'!$B$8,"",IF('Calc'!$E$17=1,0,MIN(Calc!$AQ$234*(1+'财富模型'!$E$20/12)+'Calc'!$B$6,IF(Calc!$AO$235&lt;='财富模型'!$E$11*12,'Calc'!$W$17,'Calc'!$Y$17))))</x:f>
      </x:c>
      <x:c r="AT235" t="str">
        <x:f>IF(Calc!$AO$235&gt;'Calc'!$B$8,"",'Calc'!$B$5-'财富模型'!$E$5-(IF('Calc'!$E$17=1,'财富模型'!$E$9,'财富模型'!$M$9+IF(Calc!$AO$235&lt;='财富模型'!$E$11*12,'Calc'!$W$17,'Calc'!$Y$17)-(IF('Calc'!$E$17=1,0,MIN(Calc!$AQ$234*(1+'财富模型'!$E$20/12)+'Calc'!$B$6,IF(Calc!$AO$235&lt;='财富模型'!$E$11*12,'Calc'!$W$17,'Calc'!$Y$17)))))))</x:f>
      </x:c>
      <x:c r="AU235" t="str">
        <x:f>IF(Calc!$AO$235&gt;'Calc'!$B$8,"",IF('Calc'!$E$17=1,0,MAX(Calc!$AU$234*(1+IF(Calc!$AO$235&lt;='财富模型'!$E$11*12,'财富模型'!$E$10,'财富模型'!$E$12)/12)-IF('Calc'!$E$17=1,0,IF(Calc!$AO$235&lt;='财富模型'!$E$11*12,'Calc'!$W$17,'Calc'!$Y$17)),0)))</x:f>
      </x:c>
    </x:row>
    <x:row r="236">
      <x:c r="A236" t="n">
        <x:v>215</x:v>
      </x:c>
      <x:c r="B236" t="str">
        <x:f>IF(Calc!$A$236&gt;'Calc'!$B$8,"",MAX(Calc!$B$235*(1+'财富模型'!$E$6/12)+('Calc'!$B$5-'财富模型'!$E$5-(IF('Calc'!$E$12=1,'财富模型'!$E$9,'财富模型'!$M$4+IF(Calc!$A$236&lt;='财富模型'!$E$11*12,'Calc'!$W$12,'Calc'!$Y$12)-(IF('Calc'!$E$12=1,0,MIN(Calc!$C$235*(1+'财富模型'!$E$20/12)+'Calc'!$B$6,IF(Calc!$A$236&lt;='财富模型'!$E$11*12,'Calc'!$W$12,'Calc'!$Y$12))))))),0))</x:f>
      </x:c>
      <x:c r="C236" t="str">
        <x:f>IF(Calc!$A$236&gt;'Calc'!$B$8,"",MAX(Calc!$C$235*(1+'财富模型'!$E$20/12)+'Calc'!$B$6-(IF('Calc'!$E$12=1,0,MIN(Calc!$C$235*(1+'财富模型'!$E$20/12)+'Calc'!$B$6,IF(Calc!$A$236&lt;='财富模型'!$E$11*12,'Calc'!$W$12,'Calc'!$Y$12)))),0))</x:f>
      </x:c>
      <x:c r="D236" t="str">
        <x:f>IF(Calc!$A$236&gt;'Calc'!$B$8,"",IF('Calc'!$E$12=1,'财富模型'!$E$9,'财富模型'!$M$4+IF(Calc!$A$236&lt;='财富模型'!$E$11*12,'Calc'!$W$12,'Calc'!$Y$12)-(IF('Calc'!$E$12=1,0,MIN(Calc!$C$235*(1+'财富模型'!$E$20/12)+'Calc'!$B$6,IF(Calc!$A$236&lt;='财富模型'!$E$11*12,'Calc'!$W$12,'Calc'!$Y$12))))))</x:f>
      </x:c>
      <x:c r="E236" t="str">
        <x:f>IF(Calc!$A$236&gt;'Calc'!$B$8,"",IF('Calc'!$E$12=1,0,MIN(Calc!$C$235*(1+'财富模型'!$E$20/12)+'Calc'!$B$6,IF(Calc!$A$236&lt;='财富模型'!$E$11*12,'Calc'!$W$12,'Calc'!$Y$12))))</x:f>
      </x:c>
      <x:c r="F236" t="str">
        <x:f>IF(Calc!$A$236&gt;'Calc'!$B$8,"",'Calc'!$B$5-'财富模型'!$E$5-(IF('Calc'!$E$12=1,'财富模型'!$E$9,'财富模型'!$M$4+IF(Calc!$A$236&lt;='财富模型'!$E$11*12,'Calc'!$W$12,'Calc'!$Y$12)-(IF('Calc'!$E$12=1,0,MIN(Calc!$C$235*(1+'财富模型'!$E$20/12)+'Calc'!$B$6,IF(Calc!$A$236&lt;='财富模型'!$E$11*12,'Calc'!$W$12,'Calc'!$Y$12)))))))</x:f>
      </x:c>
      <x:c r="G236" t="str">
        <x:f>IF(Calc!$A$236&gt;'Calc'!$B$8,"",IF('Calc'!$E$12=1,0,MAX(Calc!$G$235*(1+IF(Calc!$A$236&lt;='财富模型'!$E$11*12,'财富模型'!$E$10,'财富模型'!$E$12)/12)-IF('Calc'!$E$12=1,0,IF(Calc!$A$236&lt;='财富模型'!$E$11*12,'Calc'!$W$12,'Calc'!$Y$12)),0)))</x:f>
      </x:c>
      <x:c r="I236" t="n">
        <x:v>215</x:v>
      </x:c>
      <x:c r="J236" t="str">
        <x:f>IF(Calc!$I$236&gt;'Calc'!$B$8,"",MAX(Calc!$J$235*(1+'财富模型'!$E$6/12)+('Calc'!$B$5-'财富模型'!$E$5-(IF('Calc'!$E$13=1,'财富模型'!$E$9,'财富模型'!$M$5+IF(Calc!$I$236&lt;='财富模型'!$E$11*12,'Calc'!$W$13,'Calc'!$Y$13)-(IF('Calc'!$E$13=1,0,MIN(Calc!$K$235*(1+'财富模型'!$E$20/12)+'Calc'!$B$6,IF(Calc!$I$236&lt;='财富模型'!$E$11*12,'Calc'!$W$13,'Calc'!$Y$13))))))),0))</x:f>
      </x:c>
      <x:c r="K236" t="str">
        <x:f>IF(Calc!$I$236&gt;'Calc'!$B$8,"",MAX(Calc!$K$235*(1+'财富模型'!$E$20/12)+'Calc'!$B$6-(IF('Calc'!$E$13=1,0,MIN(Calc!$K$235*(1+'财富模型'!$E$20/12)+'Calc'!$B$6,IF(Calc!$I$236&lt;='财富模型'!$E$11*12,'Calc'!$W$13,'Calc'!$Y$13)))),0))</x:f>
      </x:c>
      <x:c r="L236" t="str">
        <x:f>IF(Calc!$I$236&gt;'Calc'!$B$8,"",IF('Calc'!$E$13=1,'财富模型'!$E$9,'财富模型'!$M$5+IF(Calc!$I$236&lt;='财富模型'!$E$11*12,'Calc'!$W$13,'Calc'!$Y$13)-(IF('Calc'!$E$13=1,0,MIN(Calc!$K$235*(1+'财富模型'!$E$20/12)+'Calc'!$B$6,IF(Calc!$I$236&lt;='财富模型'!$E$11*12,'Calc'!$W$13,'Calc'!$Y$13))))))</x:f>
      </x:c>
      <x:c r="M236" t="str">
        <x:f>IF(Calc!$I$236&gt;'Calc'!$B$8,"",IF('Calc'!$E$13=1,0,MIN(Calc!$K$235*(1+'财富模型'!$E$20/12)+'Calc'!$B$6,IF(Calc!$I$236&lt;='财富模型'!$E$11*12,'Calc'!$W$13,'Calc'!$Y$13))))</x:f>
      </x:c>
      <x:c r="N236" t="str">
        <x:f>IF(Calc!$I$236&gt;'Calc'!$B$8,"",'Calc'!$B$5-'财富模型'!$E$5-(IF('Calc'!$E$13=1,'财富模型'!$E$9,'财富模型'!$M$5+IF(Calc!$I$236&lt;='财富模型'!$E$11*12,'Calc'!$W$13,'Calc'!$Y$13)-(IF('Calc'!$E$13=1,0,MIN(Calc!$K$235*(1+'财富模型'!$E$20/12)+'Calc'!$B$6,IF(Calc!$I$236&lt;='财富模型'!$E$11*12,'Calc'!$W$13,'Calc'!$Y$13)))))))</x:f>
      </x:c>
      <x:c r="O236" t="str">
        <x:f>IF(Calc!$I$236&gt;'Calc'!$B$8,"",IF('Calc'!$E$13=1,0,MAX(Calc!$O$235*(1+IF(Calc!$I$236&lt;='财富模型'!$E$11*12,'财富模型'!$E$10,'财富模型'!$E$12)/12)-IF('Calc'!$E$13=1,0,IF(Calc!$I$236&lt;='财富模型'!$E$11*12,'Calc'!$W$13,'Calc'!$Y$13)),0)))</x:f>
      </x:c>
      <x:c r="Q236" t="n">
        <x:v>215</x:v>
      </x:c>
      <x:c r="R236" t="str">
        <x:f>IF(Calc!$Q$236&gt;'Calc'!$B$8,"",MAX(Calc!$R$235*(1+'财富模型'!$E$6/12)+('Calc'!$B$5-'财富模型'!$E$5-(IF('Calc'!$E$14=1,'财富模型'!$E$9,'财富模型'!$M$6+IF(Calc!$Q$236&lt;='财富模型'!$E$11*12,'Calc'!$W$14,'Calc'!$Y$14)-(IF('Calc'!$E$14=1,0,MIN(Calc!$S$235*(1+'财富模型'!$E$20/12)+'Calc'!$B$6,IF(Calc!$Q$236&lt;='财富模型'!$E$11*12,'Calc'!$W$14,'Calc'!$Y$14))))))),0))</x:f>
      </x:c>
      <x:c r="S236" t="str">
        <x:f>IF(Calc!$Q$236&gt;'Calc'!$B$8,"",MAX(Calc!$S$235*(1+'财富模型'!$E$20/12)+'Calc'!$B$6-(IF('Calc'!$E$14=1,0,MIN(Calc!$S$235*(1+'财富模型'!$E$20/12)+'Calc'!$B$6,IF(Calc!$Q$236&lt;='财富模型'!$E$11*12,'Calc'!$W$14,'Calc'!$Y$14)))),0))</x:f>
      </x:c>
      <x:c r="T236" t="str">
        <x:f>IF(Calc!$Q$236&gt;'Calc'!$B$8,"",IF('Calc'!$E$14=1,'财富模型'!$E$9,'财富模型'!$M$6+IF(Calc!$Q$236&lt;='财富模型'!$E$11*12,'Calc'!$W$14,'Calc'!$Y$14)-(IF('Calc'!$E$14=1,0,MIN(Calc!$S$235*(1+'财富模型'!$E$20/12)+'Calc'!$B$6,IF(Calc!$Q$236&lt;='财富模型'!$E$11*12,'Calc'!$W$14,'Calc'!$Y$14))))))</x:f>
      </x:c>
      <x:c r="U236" t="str">
        <x:f>IF(Calc!$Q$236&gt;'Calc'!$B$8,"",IF('Calc'!$E$14=1,0,MIN(Calc!$S$235*(1+'财富模型'!$E$20/12)+'Calc'!$B$6,IF(Calc!$Q$236&lt;='财富模型'!$E$11*12,'Calc'!$W$14,'Calc'!$Y$14))))</x:f>
      </x:c>
      <x:c r="V236" t="str">
        <x:f>IF(Calc!$Q$236&gt;'Calc'!$B$8,"",'Calc'!$B$5-'财富模型'!$E$5-(IF('Calc'!$E$14=1,'财富模型'!$E$9,'财富模型'!$M$6+IF(Calc!$Q$236&lt;='财富模型'!$E$11*12,'Calc'!$W$14,'Calc'!$Y$14)-(IF('Calc'!$E$14=1,0,MIN(Calc!$S$235*(1+'财富模型'!$E$20/12)+'Calc'!$B$6,IF(Calc!$Q$236&lt;='财富模型'!$E$11*12,'Calc'!$W$14,'Calc'!$Y$14)))))))</x:f>
      </x:c>
      <x:c r="W236" t="str">
        <x:f>IF(Calc!$Q$236&gt;'Calc'!$B$8,"",IF('Calc'!$E$14=1,0,MAX(Calc!$W$235*(1+IF(Calc!$Q$236&lt;='财富模型'!$E$11*12,'财富模型'!$E$10,'财富模型'!$E$12)/12)-IF('Calc'!$E$14=1,0,IF(Calc!$Q$236&lt;='财富模型'!$E$11*12,'Calc'!$W$14,'Calc'!$Y$14)),0)))</x:f>
      </x:c>
      <x:c r="Y236" t="n">
        <x:v>215</x:v>
      </x:c>
      <x:c r="Z236" t="str">
        <x:f>IF(Calc!$Y$236&gt;'Calc'!$B$8,"",MAX(Calc!$Z$235*(1+'财富模型'!$E$6/12)+('Calc'!$B$5-'财富模型'!$E$5-(IF('Calc'!$E$15=1,'财富模型'!$E$9,'财富模型'!$M$7+IF(Calc!$Y$236&lt;='财富模型'!$E$11*12,'Calc'!$W$15,'Calc'!$Y$15)-(IF('Calc'!$E$15=1,0,MIN(Calc!$AA$235*(1+'财富模型'!$E$20/12)+'Calc'!$B$6,IF(Calc!$Y$236&lt;='财富模型'!$E$11*12,'Calc'!$W$15,'Calc'!$Y$15))))))),0))</x:f>
      </x:c>
      <x:c r="AA236" t="str">
        <x:f>IF(Calc!$Y$236&gt;'Calc'!$B$8,"",MAX(Calc!$AA$235*(1+'财富模型'!$E$20/12)+'Calc'!$B$6-(IF('Calc'!$E$15=1,0,MIN(Calc!$AA$235*(1+'财富模型'!$E$20/12)+'Calc'!$B$6,IF(Calc!$Y$236&lt;='财富模型'!$E$11*12,'Calc'!$W$15,'Calc'!$Y$15)))),0))</x:f>
      </x:c>
      <x:c r="AB236" t="str">
        <x:f>IF(Calc!$Y$236&gt;'Calc'!$B$8,"",IF('Calc'!$E$15=1,'财富模型'!$E$9,'财富模型'!$M$7+IF(Calc!$Y$236&lt;='财富模型'!$E$11*12,'Calc'!$W$15,'Calc'!$Y$15)-(IF('Calc'!$E$15=1,0,MIN(Calc!$AA$235*(1+'财富模型'!$E$20/12)+'Calc'!$B$6,IF(Calc!$Y$236&lt;='财富模型'!$E$11*12,'Calc'!$W$15,'Calc'!$Y$15))))))</x:f>
      </x:c>
      <x:c r="AC236" t="str">
        <x:f>IF(Calc!$Y$236&gt;'Calc'!$B$8,"",IF('Calc'!$E$15=1,0,MIN(Calc!$AA$235*(1+'财富模型'!$E$20/12)+'Calc'!$B$6,IF(Calc!$Y$236&lt;='财富模型'!$E$11*12,'Calc'!$W$15,'Calc'!$Y$15))))</x:f>
      </x:c>
      <x:c r="AD236" t="str">
        <x:f>IF(Calc!$Y$236&gt;'Calc'!$B$8,"",'Calc'!$B$5-'财富模型'!$E$5-(IF('Calc'!$E$15=1,'财富模型'!$E$9,'财富模型'!$M$7+IF(Calc!$Y$236&lt;='财富模型'!$E$11*12,'Calc'!$W$15,'Calc'!$Y$15)-(IF('Calc'!$E$15=1,0,MIN(Calc!$AA$235*(1+'财富模型'!$E$20/12)+'Calc'!$B$6,IF(Calc!$Y$236&lt;='财富模型'!$E$11*12,'Calc'!$W$15,'Calc'!$Y$15)))))))</x:f>
      </x:c>
      <x:c r="AE236" t="str">
        <x:f>IF(Calc!$Y$236&gt;'Calc'!$B$8,"",IF('Calc'!$E$15=1,0,MAX(Calc!$AE$235*(1+IF(Calc!$Y$236&lt;='财富模型'!$E$11*12,'财富模型'!$E$10,'财富模型'!$E$12)/12)-IF('Calc'!$E$15=1,0,IF(Calc!$Y$236&lt;='财富模型'!$E$11*12,'Calc'!$W$15,'Calc'!$Y$15)),0)))</x:f>
      </x:c>
      <x:c r="AG236" t="n">
        <x:v>215</x:v>
      </x:c>
      <x:c r="AH236" t="str">
        <x:f>IF(Calc!$AG$236&gt;'Calc'!$B$8,"",MAX(Calc!$AH$235*(1+'财富模型'!$E$6/12)+('Calc'!$B$5-'财富模型'!$E$5-(IF('Calc'!$E$16=1,'财富模型'!$E$9,'财富模型'!$M$8+IF(Calc!$AG$236&lt;='财富模型'!$E$11*12,'Calc'!$W$16,'Calc'!$Y$16)-(IF('Calc'!$E$16=1,0,MIN(Calc!$AI$235*(1+'财富模型'!$E$20/12)+'Calc'!$B$6,IF(Calc!$AG$236&lt;='财富模型'!$E$11*12,'Calc'!$W$16,'Calc'!$Y$16))))))),0))</x:f>
      </x:c>
      <x:c r="AI236" t="str">
        <x:f>IF(Calc!$AG$236&gt;'Calc'!$B$8,"",MAX(Calc!$AI$235*(1+'财富模型'!$E$20/12)+'Calc'!$B$6-(IF('Calc'!$E$16=1,0,MIN(Calc!$AI$235*(1+'财富模型'!$E$20/12)+'Calc'!$B$6,IF(Calc!$AG$236&lt;='财富模型'!$E$11*12,'Calc'!$W$16,'Calc'!$Y$16)))),0))</x:f>
      </x:c>
      <x:c r="AJ236" t="str">
        <x:f>IF(Calc!$AG$236&gt;'Calc'!$B$8,"",IF('Calc'!$E$16=1,'财富模型'!$E$9,'财富模型'!$M$8+IF(Calc!$AG$236&lt;='财富模型'!$E$11*12,'Calc'!$W$16,'Calc'!$Y$16)-(IF('Calc'!$E$16=1,0,MIN(Calc!$AI$235*(1+'财富模型'!$E$20/12)+'Calc'!$B$6,IF(Calc!$AG$236&lt;='财富模型'!$E$11*12,'Calc'!$W$16,'Calc'!$Y$16))))))</x:f>
      </x:c>
      <x:c r="AK236" t="str">
        <x:f>IF(Calc!$AG$236&gt;'Calc'!$B$8,"",IF('Calc'!$E$16=1,0,MIN(Calc!$AI$235*(1+'财富模型'!$E$20/12)+'Calc'!$B$6,IF(Calc!$AG$236&lt;='财富模型'!$E$11*12,'Calc'!$W$16,'Calc'!$Y$16))))</x:f>
      </x:c>
      <x:c r="AL236" t="str">
        <x:f>IF(Calc!$AG$236&gt;'Calc'!$B$8,"",'Calc'!$B$5-'财富模型'!$E$5-(IF('Calc'!$E$16=1,'财富模型'!$E$9,'财富模型'!$M$8+IF(Calc!$AG$236&lt;='财富模型'!$E$11*12,'Calc'!$W$16,'Calc'!$Y$16)-(IF('Calc'!$E$16=1,0,MIN(Calc!$AI$235*(1+'财富模型'!$E$20/12)+'Calc'!$B$6,IF(Calc!$AG$236&lt;='财富模型'!$E$11*12,'Calc'!$W$16,'Calc'!$Y$16)))))))</x:f>
      </x:c>
      <x:c r="AM236" t="str">
        <x:f>IF(Calc!$AG$236&gt;'Calc'!$B$8,"",IF('Calc'!$E$16=1,0,MAX(Calc!$AM$235*(1+IF(Calc!$AG$236&lt;='财富模型'!$E$11*12,'财富模型'!$E$10,'财富模型'!$E$12)/12)-IF('Calc'!$E$16=1,0,IF(Calc!$AG$236&lt;='财富模型'!$E$11*12,'Calc'!$W$16,'Calc'!$Y$16)),0)))</x:f>
      </x:c>
      <x:c r="AO236" t="n">
        <x:v>215</x:v>
      </x:c>
      <x:c r="AP236" t="str">
        <x:f>IF(Calc!$AO$236&gt;'Calc'!$B$8,"",MAX(Calc!$AP$235*(1+'财富模型'!$E$6/12)+('Calc'!$B$5-'财富模型'!$E$5-(IF('Calc'!$E$17=1,'财富模型'!$E$9,'财富模型'!$M$9+IF(Calc!$AO$236&lt;='财富模型'!$E$11*12,'Calc'!$W$17,'Calc'!$Y$17)-(IF('Calc'!$E$17=1,0,MIN(Calc!$AQ$235*(1+'财富模型'!$E$20/12)+'Calc'!$B$6,IF(Calc!$AO$236&lt;='财富模型'!$E$11*12,'Calc'!$W$17,'Calc'!$Y$17))))))),0))</x:f>
      </x:c>
      <x:c r="AQ236" t="str">
        <x:f>IF(Calc!$AO$236&gt;'Calc'!$B$8,"",MAX(Calc!$AQ$235*(1+'财富模型'!$E$20/12)+'Calc'!$B$6-(IF('Calc'!$E$17=1,0,MIN(Calc!$AQ$235*(1+'财富模型'!$E$20/12)+'Calc'!$B$6,IF(Calc!$AO$236&lt;='财富模型'!$E$11*12,'Calc'!$W$17,'Calc'!$Y$17)))),0))</x:f>
      </x:c>
      <x:c r="AR236" t="str">
        <x:f>IF(Calc!$AO$236&gt;'Calc'!$B$8,"",IF('Calc'!$E$17=1,'财富模型'!$E$9,'财富模型'!$M$9+IF(Calc!$AO$236&lt;='财富模型'!$E$11*12,'Calc'!$W$17,'Calc'!$Y$17)-(IF('Calc'!$E$17=1,0,MIN(Calc!$AQ$235*(1+'财富模型'!$E$20/12)+'Calc'!$B$6,IF(Calc!$AO$236&lt;='财富模型'!$E$11*12,'Calc'!$W$17,'Calc'!$Y$17))))))</x:f>
      </x:c>
      <x:c r="AS236" t="str">
        <x:f>IF(Calc!$AO$236&gt;'Calc'!$B$8,"",IF('Calc'!$E$17=1,0,MIN(Calc!$AQ$235*(1+'财富模型'!$E$20/12)+'Calc'!$B$6,IF(Calc!$AO$236&lt;='财富模型'!$E$11*12,'Calc'!$W$17,'Calc'!$Y$17))))</x:f>
      </x:c>
      <x:c r="AT236" t="str">
        <x:f>IF(Calc!$AO$236&gt;'Calc'!$B$8,"",'Calc'!$B$5-'财富模型'!$E$5-(IF('Calc'!$E$17=1,'财富模型'!$E$9,'财富模型'!$M$9+IF(Calc!$AO$236&lt;='财富模型'!$E$11*12,'Calc'!$W$17,'Calc'!$Y$17)-(IF('Calc'!$E$17=1,0,MIN(Calc!$AQ$235*(1+'财富模型'!$E$20/12)+'Calc'!$B$6,IF(Calc!$AO$236&lt;='财富模型'!$E$11*12,'Calc'!$W$17,'Calc'!$Y$17)))))))</x:f>
      </x:c>
      <x:c r="AU236" t="str">
        <x:f>IF(Calc!$AO$236&gt;'Calc'!$B$8,"",IF('Calc'!$E$17=1,0,MAX(Calc!$AU$235*(1+IF(Calc!$AO$236&lt;='财富模型'!$E$11*12,'财富模型'!$E$10,'财富模型'!$E$12)/12)-IF('Calc'!$E$17=1,0,IF(Calc!$AO$236&lt;='财富模型'!$E$11*12,'Calc'!$W$17,'Calc'!$Y$17)),0)))</x:f>
      </x:c>
    </x:row>
    <x:row r="237">
      <x:c r="A237" t="n">
        <x:v>216</x:v>
      </x:c>
      <x:c r="B237" t="str">
        <x:f>IF(Calc!$A$237&gt;'Calc'!$B$8,"",MAX(Calc!$B$236*(1+'财富模型'!$E$6/12)+('Calc'!$B$5-'财富模型'!$E$5-(IF('Calc'!$E$12=1,'财富模型'!$E$9,'财富模型'!$M$4+IF(Calc!$A$237&lt;='财富模型'!$E$11*12,'Calc'!$W$12,'Calc'!$Y$12)-(IF('Calc'!$E$12=1,0,MIN(Calc!$C$236*(1+'财富模型'!$E$20/12)+'Calc'!$B$6,IF(Calc!$A$237&lt;='财富模型'!$E$11*12,'Calc'!$W$12,'Calc'!$Y$12))))))),0))</x:f>
      </x:c>
      <x:c r="C237" t="str">
        <x:f>IF(Calc!$A$237&gt;'Calc'!$B$8,"",MAX(Calc!$C$236*(1+'财富模型'!$E$20/12)+'Calc'!$B$6-(IF('Calc'!$E$12=1,0,MIN(Calc!$C$236*(1+'财富模型'!$E$20/12)+'Calc'!$B$6,IF(Calc!$A$237&lt;='财富模型'!$E$11*12,'Calc'!$W$12,'Calc'!$Y$12)))),0))</x:f>
      </x:c>
      <x:c r="D237" t="str">
        <x:f>IF(Calc!$A$237&gt;'Calc'!$B$8,"",IF('Calc'!$E$12=1,'财富模型'!$E$9,'财富模型'!$M$4+IF(Calc!$A$237&lt;='财富模型'!$E$11*12,'Calc'!$W$12,'Calc'!$Y$12)-(IF('Calc'!$E$12=1,0,MIN(Calc!$C$236*(1+'财富模型'!$E$20/12)+'Calc'!$B$6,IF(Calc!$A$237&lt;='财富模型'!$E$11*12,'Calc'!$W$12,'Calc'!$Y$12))))))</x:f>
      </x:c>
      <x:c r="E237" t="str">
        <x:f>IF(Calc!$A$237&gt;'Calc'!$B$8,"",IF('Calc'!$E$12=1,0,MIN(Calc!$C$236*(1+'财富模型'!$E$20/12)+'Calc'!$B$6,IF(Calc!$A$237&lt;='财富模型'!$E$11*12,'Calc'!$W$12,'Calc'!$Y$12))))</x:f>
      </x:c>
      <x:c r="F237" t="str">
        <x:f>IF(Calc!$A$237&gt;'Calc'!$B$8,"",'Calc'!$B$5-'财富模型'!$E$5-(IF('Calc'!$E$12=1,'财富模型'!$E$9,'财富模型'!$M$4+IF(Calc!$A$237&lt;='财富模型'!$E$11*12,'Calc'!$W$12,'Calc'!$Y$12)-(IF('Calc'!$E$12=1,0,MIN(Calc!$C$236*(1+'财富模型'!$E$20/12)+'Calc'!$B$6,IF(Calc!$A$237&lt;='财富模型'!$E$11*12,'Calc'!$W$12,'Calc'!$Y$12)))))))</x:f>
      </x:c>
      <x:c r="G237" t="str">
        <x:f>IF(Calc!$A$237&gt;'Calc'!$B$8,"",IF('Calc'!$E$12=1,0,MAX(Calc!$G$236*(1+IF(Calc!$A$237&lt;='财富模型'!$E$11*12,'财富模型'!$E$10,'财富模型'!$E$12)/12)-IF('Calc'!$E$12=1,0,IF(Calc!$A$237&lt;='财富模型'!$E$11*12,'Calc'!$W$12,'Calc'!$Y$12)),0)))</x:f>
      </x:c>
      <x:c r="I237" t="n">
        <x:v>216</x:v>
      </x:c>
      <x:c r="J237" t="str">
        <x:f>IF(Calc!$I$237&gt;'Calc'!$B$8,"",MAX(Calc!$J$236*(1+'财富模型'!$E$6/12)+('Calc'!$B$5-'财富模型'!$E$5-(IF('Calc'!$E$13=1,'财富模型'!$E$9,'财富模型'!$M$5+IF(Calc!$I$237&lt;='财富模型'!$E$11*12,'Calc'!$W$13,'Calc'!$Y$13)-(IF('Calc'!$E$13=1,0,MIN(Calc!$K$236*(1+'财富模型'!$E$20/12)+'Calc'!$B$6,IF(Calc!$I$237&lt;='财富模型'!$E$11*12,'Calc'!$W$13,'Calc'!$Y$13))))))),0))</x:f>
      </x:c>
      <x:c r="K237" t="str">
        <x:f>IF(Calc!$I$237&gt;'Calc'!$B$8,"",MAX(Calc!$K$236*(1+'财富模型'!$E$20/12)+'Calc'!$B$6-(IF('Calc'!$E$13=1,0,MIN(Calc!$K$236*(1+'财富模型'!$E$20/12)+'Calc'!$B$6,IF(Calc!$I$237&lt;='财富模型'!$E$11*12,'Calc'!$W$13,'Calc'!$Y$13)))),0))</x:f>
      </x:c>
      <x:c r="L237" t="str">
        <x:f>IF(Calc!$I$237&gt;'Calc'!$B$8,"",IF('Calc'!$E$13=1,'财富模型'!$E$9,'财富模型'!$M$5+IF(Calc!$I$237&lt;='财富模型'!$E$11*12,'Calc'!$W$13,'Calc'!$Y$13)-(IF('Calc'!$E$13=1,0,MIN(Calc!$K$236*(1+'财富模型'!$E$20/12)+'Calc'!$B$6,IF(Calc!$I$237&lt;='财富模型'!$E$11*12,'Calc'!$W$13,'Calc'!$Y$13))))))</x:f>
      </x:c>
      <x:c r="M237" t="str">
        <x:f>IF(Calc!$I$237&gt;'Calc'!$B$8,"",IF('Calc'!$E$13=1,0,MIN(Calc!$K$236*(1+'财富模型'!$E$20/12)+'Calc'!$B$6,IF(Calc!$I$237&lt;='财富模型'!$E$11*12,'Calc'!$W$13,'Calc'!$Y$13))))</x:f>
      </x:c>
      <x:c r="N237" t="str">
        <x:f>IF(Calc!$I$237&gt;'Calc'!$B$8,"",'Calc'!$B$5-'财富模型'!$E$5-(IF('Calc'!$E$13=1,'财富模型'!$E$9,'财富模型'!$M$5+IF(Calc!$I$237&lt;='财富模型'!$E$11*12,'Calc'!$W$13,'Calc'!$Y$13)-(IF('Calc'!$E$13=1,0,MIN(Calc!$K$236*(1+'财富模型'!$E$20/12)+'Calc'!$B$6,IF(Calc!$I$237&lt;='财富模型'!$E$11*12,'Calc'!$W$13,'Calc'!$Y$13)))))))</x:f>
      </x:c>
      <x:c r="O237" t="str">
        <x:f>IF(Calc!$I$237&gt;'Calc'!$B$8,"",IF('Calc'!$E$13=1,0,MAX(Calc!$O$236*(1+IF(Calc!$I$237&lt;='财富模型'!$E$11*12,'财富模型'!$E$10,'财富模型'!$E$12)/12)-IF('Calc'!$E$13=1,0,IF(Calc!$I$237&lt;='财富模型'!$E$11*12,'Calc'!$W$13,'Calc'!$Y$13)),0)))</x:f>
      </x:c>
      <x:c r="Q237" t="n">
        <x:v>216</x:v>
      </x:c>
      <x:c r="R237" t="str">
        <x:f>IF(Calc!$Q$237&gt;'Calc'!$B$8,"",MAX(Calc!$R$236*(1+'财富模型'!$E$6/12)+('Calc'!$B$5-'财富模型'!$E$5-(IF('Calc'!$E$14=1,'财富模型'!$E$9,'财富模型'!$M$6+IF(Calc!$Q$237&lt;='财富模型'!$E$11*12,'Calc'!$W$14,'Calc'!$Y$14)-(IF('Calc'!$E$14=1,0,MIN(Calc!$S$236*(1+'财富模型'!$E$20/12)+'Calc'!$B$6,IF(Calc!$Q$237&lt;='财富模型'!$E$11*12,'Calc'!$W$14,'Calc'!$Y$14))))))),0))</x:f>
      </x:c>
      <x:c r="S237" t="str">
        <x:f>IF(Calc!$Q$237&gt;'Calc'!$B$8,"",MAX(Calc!$S$236*(1+'财富模型'!$E$20/12)+'Calc'!$B$6-(IF('Calc'!$E$14=1,0,MIN(Calc!$S$236*(1+'财富模型'!$E$20/12)+'Calc'!$B$6,IF(Calc!$Q$237&lt;='财富模型'!$E$11*12,'Calc'!$W$14,'Calc'!$Y$14)))),0))</x:f>
      </x:c>
      <x:c r="T237" t="str">
        <x:f>IF(Calc!$Q$237&gt;'Calc'!$B$8,"",IF('Calc'!$E$14=1,'财富模型'!$E$9,'财富模型'!$M$6+IF(Calc!$Q$237&lt;='财富模型'!$E$11*12,'Calc'!$W$14,'Calc'!$Y$14)-(IF('Calc'!$E$14=1,0,MIN(Calc!$S$236*(1+'财富模型'!$E$20/12)+'Calc'!$B$6,IF(Calc!$Q$237&lt;='财富模型'!$E$11*12,'Calc'!$W$14,'Calc'!$Y$14))))))</x:f>
      </x:c>
      <x:c r="U237" t="str">
        <x:f>IF(Calc!$Q$237&gt;'Calc'!$B$8,"",IF('Calc'!$E$14=1,0,MIN(Calc!$S$236*(1+'财富模型'!$E$20/12)+'Calc'!$B$6,IF(Calc!$Q$237&lt;='财富模型'!$E$11*12,'Calc'!$W$14,'Calc'!$Y$14))))</x:f>
      </x:c>
      <x:c r="V237" t="str">
        <x:f>IF(Calc!$Q$237&gt;'Calc'!$B$8,"",'Calc'!$B$5-'财富模型'!$E$5-(IF('Calc'!$E$14=1,'财富模型'!$E$9,'财富模型'!$M$6+IF(Calc!$Q$237&lt;='财富模型'!$E$11*12,'Calc'!$W$14,'Calc'!$Y$14)-(IF('Calc'!$E$14=1,0,MIN(Calc!$S$236*(1+'财富模型'!$E$20/12)+'Calc'!$B$6,IF(Calc!$Q$237&lt;='财富模型'!$E$11*12,'Calc'!$W$14,'Calc'!$Y$14)))))))</x:f>
      </x:c>
      <x:c r="W237" t="str">
        <x:f>IF(Calc!$Q$237&gt;'Calc'!$B$8,"",IF('Calc'!$E$14=1,0,MAX(Calc!$W$236*(1+IF(Calc!$Q$237&lt;='财富模型'!$E$11*12,'财富模型'!$E$10,'财富模型'!$E$12)/12)-IF('Calc'!$E$14=1,0,IF(Calc!$Q$237&lt;='财富模型'!$E$11*12,'Calc'!$W$14,'Calc'!$Y$14)),0)))</x:f>
      </x:c>
      <x:c r="Y237" t="n">
        <x:v>216</x:v>
      </x:c>
      <x:c r="Z237" t="str">
        <x:f>IF(Calc!$Y$237&gt;'Calc'!$B$8,"",MAX(Calc!$Z$236*(1+'财富模型'!$E$6/12)+('Calc'!$B$5-'财富模型'!$E$5-(IF('Calc'!$E$15=1,'财富模型'!$E$9,'财富模型'!$M$7+IF(Calc!$Y$237&lt;='财富模型'!$E$11*12,'Calc'!$W$15,'Calc'!$Y$15)-(IF('Calc'!$E$15=1,0,MIN(Calc!$AA$236*(1+'财富模型'!$E$20/12)+'Calc'!$B$6,IF(Calc!$Y$237&lt;='财富模型'!$E$11*12,'Calc'!$W$15,'Calc'!$Y$15))))))),0))</x:f>
      </x:c>
      <x:c r="AA237" t="str">
        <x:f>IF(Calc!$Y$237&gt;'Calc'!$B$8,"",MAX(Calc!$AA$236*(1+'财富模型'!$E$20/12)+'Calc'!$B$6-(IF('Calc'!$E$15=1,0,MIN(Calc!$AA$236*(1+'财富模型'!$E$20/12)+'Calc'!$B$6,IF(Calc!$Y$237&lt;='财富模型'!$E$11*12,'Calc'!$W$15,'Calc'!$Y$15)))),0))</x:f>
      </x:c>
      <x:c r="AB237" t="str">
        <x:f>IF(Calc!$Y$237&gt;'Calc'!$B$8,"",IF('Calc'!$E$15=1,'财富模型'!$E$9,'财富模型'!$M$7+IF(Calc!$Y$237&lt;='财富模型'!$E$11*12,'Calc'!$W$15,'Calc'!$Y$15)-(IF('Calc'!$E$15=1,0,MIN(Calc!$AA$236*(1+'财富模型'!$E$20/12)+'Calc'!$B$6,IF(Calc!$Y$237&lt;='财富模型'!$E$11*12,'Calc'!$W$15,'Calc'!$Y$15))))))</x:f>
      </x:c>
      <x:c r="AC237" t="str">
        <x:f>IF(Calc!$Y$237&gt;'Calc'!$B$8,"",IF('Calc'!$E$15=1,0,MIN(Calc!$AA$236*(1+'财富模型'!$E$20/12)+'Calc'!$B$6,IF(Calc!$Y$237&lt;='财富模型'!$E$11*12,'Calc'!$W$15,'Calc'!$Y$15))))</x:f>
      </x:c>
      <x:c r="AD237" t="str">
        <x:f>IF(Calc!$Y$237&gt;'Calc'!$B$8,"",'Calc'!$B$5-'财富模型'!$E$5-(IF('Calc'!$E$15=1,'财富模型'!$E$9,'财富模型'!$M$7+IF(Calc!$Y$237&lt;='财富模型'!$E$11*12,'Calc'!$W$15,'Calc'!$Y$15)-(IF('Calc'!$E$15=1,0,MIN(Calc!$AA$236*(1+'财富模型'!$E$20/12)+'Calc'!$B$6,IF(Calc!$Y$237&lt;='财富模型'!$E$11*12,'Calc'!$W$15,'Calc'!$Y$15)))))))</x:f>
      </x:c>
      <x:c r="AE237" t="str">
        <x:f>IF(Calc!$Y$237&gt;'Calc'!$B$8,"",IF('Calc'!$E$15=1,0,MAX(Calc!$AE$236*(1+IF(Calc!$Y$237&lt;='财富模型'!$E$11*12,'财富模型'!$E$10,'财富模型'!$E$12)/12)-IF('Calc'!$E$15=1,0,IF(Calc!$Y$237&lt;='财富模型'!$E$11*12,'Calc'!$W$15,'Calc'!$Y$15)),0)))</x:f>
      </x:c>
      <x:c r="AG237" t="n">
        <x:v>216</x:v>
      </x:c>
      <x:c r="AH237" t="str">
        <x:f>IF(Calc!$AG$237&gt;'Calc'!$B$8,"",MAX(Calc!$AH$236*(1+'财富模型'!$E$6/12)+('Calc'!$B$5-'财富模型'!$E$5-(IF('Calc'!$E$16=1,'财富模型'!$E$9,'财富模型'!$M$8+IF(Calc!$AG$237&lt;='财富模型'!$E$11*12,'Calc'!$W$16,'Calc'!$Y$16)-(IF('Calc'!$E$16=1,0,MIN(Calc!$AI$236*(1+'财富模型'!$E$20/12)+'Calc'!$B$6,IF(Calc!$AG$237&lt;='财富模型'!$E$11*12,'Calc'!$W$16,'Calc'!$Y$16))))))),0))</x:f>
      </x:c>
      <x:c r="AI237" t="str">
        <x:f>IF(Calc!$AG$237&gt;'Calc'!$B$8,"",MAX(Calc!$AI$236*(1+'财富模型'!$E$20/12)+'Calc'!$B$6-(IF('Calc'!$E$16=1,0,MIN(Calc!$AI$236*(1+'财富模型'!$E$20/12)+'Calc'!$B$6,IF(Calc!$AG$237&lt;='财富模型'!$E$11*12,'Calc'!$W$16,'Calc'!$Y$16)))),0))</x:f>
      </x:c>
      <x:c r="AJ237" t="str">
        <x:f>IF(Calc!$AG$237&gt;'Calc'!$B$8,"",IF('Calc'!$E$16=1,'财富模型'!$E$9,'财富模型'!$M$8+IF(Calc!$AG$237&lt;='财富模型'!$E$11*12,'Calc'!$W$16,'Calc'!$Y$16)-(IF('Calc'!$E$16=1,0,MIN(Calc!$AI$236*(1+'财富模型'!$E$20/12)+'Calc'!$B$6,IF(Calc!$AG$237&lt;='财富模型'!$E$11*12,'Calc'!$W$16,'Calc'!$Y$16))))))</x:f>
      </x:c>
      <x:c r="AK237" t="str">
        <x:f>IF(Calc!$AG$237&gt;'Calc'!$B$8,"",IF('Calc'!$E$16=1,0,MIN(Calc!$AI$236*(1+'财富模型'!$E$20/12)+'Calc'!$B$6,IF(Calc!$AG$237&lt;='财富模型'!$E$11*12,'Calc'!$W$16,'Calc'!$Y$16))))</x:f>
      </x:c>
      <x:c r="AL237" t="str">
        <x:f>IF(Calc!$AG$237&gt;'Calc'!$B$8,"",'Calc'!$B$5-'财富模型'!$E$5-(IF('Calc'!$E$16=1,'财富模型'!$E$9,'财富模型'!$M$8+IF(Calc!$AG$237&lt;='财富模型'!$E$11*12,'Calc'!$W$16,'Calc'!$Y$16)-(IF('Calc'!$E$16=1,0,MIN(Calc!$AI$236*(1+'财富模型'!$E$20/12)+'Calc'!$B$6,IF(Calc!$AG$237&lt;='财富模型'!$E$11*12,'Calc'!$W$16,'Calc'!$Y$16)))))))</x:f>
      </x:c>
      <x:c r="AM237" t="str">
        <x:f>IF(Calc!$AG$237&gt;'Calc'!$B$8,"",IF('Calc'!$E$16=1,0,MAX(Calc!$AM$236*(1+IF(Calc!$AG$237&lt;='财富模型'!$E$11*12,'财富模型'!$E$10,'财富模型'!$E$12)/12)-IF('Calc'!$E$16=1,0,IF(Calc!$AG$237&lt;='财富模型'!$E$11*12,'Calc'!$W$16,'Calc'!$Y$16)),0)))</x:f>
      </x:c>
      <x:c r="AO237" t="n">
        <x:v>216</x:v>
      </x:c>
      <x:c r="AP237" t="str">
        <x:f>IF(Calc!$AO$237&gt;'Calc'!$B$8,"",MAX(Calc!$AP$236*(1+'财富模型'!$E$6/12)+('Calc'!$B$5-'财富模型'!$E$5-(IF('Calc'!$E$17=1,'财富模型'!$E$9,'财富模型'!$M$9+IF(Calc!$AO$237&lt;='财富模型'!$E$11*12,'Calc'!$W$17,'Calc'!$Y$17)-(IF('Calc'!$E$17=1,0,MIN(Calc!$AQ$236*(1+'财富模型'!$E$20/12)+'Calc'!$B$6,IF(Calc!$AO$237&lt;='财富模型'!$E$11*12,'Calc'!$W$17,'Calc'!$Y$17))))))),0))</x:f>
      </x:c>
      <x:c r="AQ237" t="str">
        <x:f>IF(Calc!$AO$237&gt;'Calc'!$B$8,"",MAX(Calc!$AQ$236*(1+'财富模型'!$E$20/12)+'Calc'!$B$6-(IF('Calc'!$E$17=1,0,MIN(Calc!$AQ$236*(1+'财富模型'!$E$20/12)+'Calc'!$B$6,IF(Calc!$AO$237&lt;='财富模型'!$E$11*12,'Calc'!$W$17,'Calc'!$Y$17)))),0))</x:f>
      </x:c>
      <x:c r="AR237" t="str">
        <x:f>IF(Calc!$AO$237&gt;'Calc'!$B$8,"",IF('Calc'!$E$17=1,'财富模型'!$E$9,'财富模型'!$M$9+IF(Calc!$AO$237&lt;='财富模型'!$E$11*12,'Calc'!$W$17,'Calc'!$Y$17)-(IF('Calc'!$E$17=1,0,MIN(Calc!$AQ$236*(1+'财富模型'!$E$20/12)+'Calc'!$B$6,IF(Calc!$AO$237&lt;='财富模型'!$E$11*12,'Calc'!$W$17,'Calc'!$Y$17))))))</x:f>
      </x:c>
      <x:c r="AS237" t="str">
        <x:f>IF(Calc!$AO$237&gt;'Calc'!$B$8,"",IF('Calc'!$E$17=1,0,MIN(Calc!$AQ$236*(1+'财富模型'!$E$20/12)+'Calc'!$B$6,IF(Calc!$AO$237&lt;='财富模型'!$E$11*12,'Calc'!$W$17,'Calc'!$Y$17))))</x:f>
      </x:c>
      <x:c r="AT237" t="str">
        <x:f>IF(Calc!$AO$237&gt;'Calc'!$B$8,"",'Calc'!$B$5-'财富模型'!$E$5-(IF('Calc'!$E$17=1,'财富模型'!$E$9,'财富模型'!$M$9+IF(Calc!$AO$237&lt;='财富模型'!$E$11*12,'Calc'!$W$17,'Calc'!$Y$17)-(IF('Calc'!$E$17=1,0,MIN(Calc!$AQ$236*(1+'财富模型'!$E$20/12)+'Calc'!$B$6,IF(Calc!$AO$237&lt;='财富模型'!$E$11*12,'Calc'!$W$17,'Calc'!$Y$17)))))))</x:f>
      </x:c>
      <x:c r="AU237" t="str">
        <x:f>IF(Calc!$AO$237&gt;'Calc'!$B$8,"",IF('Calc'!$E$17=1,0,MAX(Calc!$AU$236*(1+IF(Calc!$AO$237&lt;='财富模型'!$E$11*12,'财富模型'!$E$10,'财富模型'!$E$12)/12)-IF('Calc'!$E$17=1,0,IF(Calc!$AO$237&lt;='财富模型'!$E$11*12,'Calc'!$W$17,'Calc'!$Y$17)),0)))</x:f>
      </x:c>
    </x:row>
    <x:row r="238">
      <x:c r="A238" t="n">
        <x:v>217</x:v>
      </x:c>
      <x:c r="B238" t="str">
        <x:f>IF(Calc!$A$238&gt;'Calc'!$B$8,"",MAX(Calc!$B$237*(1+'财富模型'!$E$6/12)+('Calc'!$B$5-'财富模型'!$E$5-(IF('Calc'!$E$12=1,'财富模型'!$E$9,'财富模型'!$M$4+IF(Calc!$A$238&lt;='财富模型'!$E$11*12,'Calc'!$W$12,'Calc'!$Y$12)-(IF('Calc'!$E$12=1,0,MIN(Calc!$C$237*(1+'财富模型'!$E$20/12)+'Calc'!$B$6,IF(Calc!$A$238&lt;='财富模型'!$E$11*12,'Calc'!$W$12,'Calc'!$Y$12))))))),0))</x:f>
      </x:c>
      <x:c r="C238" t="str">
        <x:f>IF(Calc!$A$238&gt;'Calc'!$B$8,"",MAX(Calc!$C$237*(1+'财富模型'!$E$20/12)+'Calc'!$B$6-(IF('Calc'!$E$12=1,0,MIN(Calc!$C$237*(1+'财富模型'!$E$20/12)+'Calc'!$B$6,IF(Calc!$A$238&lt;='财富模型'!$E$11*12,'Calc'!$W$12,'Calc'!$Y$12)))),0))</x:f>
      </x:c>
      <x:c r="D238" t="str">
        <x:f>IF(Calc!$A$238&gt;'Calc'!$B$8,"",IF('Calc'!$E$12=1,'财富模型'!$E$9,'财富模型'!$M$4+IF(Calc!$A$238&lt;='财富模型'!$E$11*12,'Calc'!$W$12,'Calc'!$Y$12)-(IF('Calc'!$E$12=1,0,MIN(Calc!$C$237*(1+'财富模型'!$E$20/12)+'Calc'!$B$6,IF(Calc!$A$238&lt;='财富模型'!$E$11*12,'Calc'!$W$12,'Calc'!$Y$12))))))</x:f>
      </x:c>
      <x:c r="E238" t="str">
        <x:f>IF(Calc!$A$238&gt;'Calc'!$B$8,"",IF('Calc'!$E$12=1,0,MIN(Calc!$C$237*(1+'财富模型'!$E$20/12)+'Calc'!$B$6,IF(Calc!$A$238&lt;='财富模型'!$E$11*12,'Calc'!$W$12,'Calc'!$Y$12))))</x:f>
      </x:c>
      <x:c r="F238" t="str">
        <x:f>IF(Calc!$A$238&gt;'Calc'!$B$8,"",'Calc'!$B$5-'财富模型'!$E$5-(IF('Calc'!$E$12=1,'财富模型'!$E$9,'财富模型'!$M$4+IF(Calc!$A$238&lt;='财富模型'!$E$11*12,'Calc'!$W$12,'Calc'!$Y$12)-(IF('Calc'!$E$12=1,0,MIN(Calc!$C$237*(1+'财富模型'!$E$20/12)+'Calc'!$B$6,IF(Calc!$A$238&lt;='财富模型'!$E$11*12,'Calc'!$W$12,'Calc'!$Y$12)))))))</x:f>
      </x:c>
      <x:c r="G238" t="str">
        <x:f>IF(Calc!$A$238&gt;'Calc'!$B$8,"",IF('Calc'!$E$12=1,0,MAX(Calc!$G$237*(1+IF(Calc!$A$238&lt;='财富模型'!$E$11*12,'财富模型'!$E$10,'财富模型'!$E$12)/12)-IF('Calc'!$E$12=1,0,IF(Calc!$A$238&lt;='财富模型'!$E$11*12,'Calc'!$W$12,'Calc'!$Y$12)),0)))</x:f>
      </x:c>
      <x:c r="I238" t="n">
        <x:v>217</x:v>
      </x:c>
      <x:c r="J238" t="str">
        <x:f>IF(Calc!$I$238&gt;'Calc'!$B$8,"",MAX(Calc!$J$237*(1+'财富模型'!$E$6/12)+('Calc'!$B$5-'财富模型'!$E$5-(IF('Calc'!$E$13=1,'财富模型'!$E$9,'财富模型'!$M$5+IF(Calc!$I$238&lt;='财富模型'!$E$11*12,'Calc'!$W$13,'Calc'!$Y$13)-(IF('Calc'!$E$13=1,0,MIN(Calc!$K$237*(1+'财富模型'!$E$20/12)+'Calc'!$B$6,IF(Calc!$I$238&lt;='财富模型'!$E$11*12,'Calc'!$W$13,'Calc'!$Y$13))))))),0))</x:f>
      </x:c>
      <x:c r="K238" t="str">
        <x:f>IF(Calc!$I$238&gt;'Calc'!$B$8,"",MAX(Calc!$K$237*(1+'财富模型'!$E$20/12)+'Calc'!$B$6-(IF('Calc'!$E$13=1,0,MIN(Calc!$K$237*(1+'财富模型'!$E$20/12)+'Calc'!$B$6,IF(Calc!$I$238&lt;='财富模型'!$E$11*12,'Calc'!$W$13,'Calc'!$Y$13)))),0))</x:f>
      </x:c>
      <x:c r="L238" t="str">
        <x:f>IF(Calc!$I$238&gt;'Calc'!$B$8,"",IF('Calc'!$E$13=1,'财富模型'!$E$9,'财富模型'!$M$5+IF(Calc!$I$238&lt;='财富模型'!$E$11*12,'Calc'!$W$13,'Calc'!$Y$13)-(IF('Calc'!$E$13=1,0,MIN(Calc!$K$237*(1+'财富模型'!$E$20/12)+'Calc'!$B$6,IF(Calc!$I$238&lt;='财富模型'!$E$11*12,'Calc'!$W$13,'Calc'!$Y$13))))))</x:f>
      </x:c>
      <x:c r="M238" t="str">
        <x:f>IF(Calc!$I$238&gt;'Calc'!$B$8,"",IF('Calc'!$E$13=1,0,MIN(Calc!$K$237*(1+'财富模型'!$E$20/12)+'Calc'!$B$6,IF(Calc!$I$238&lt;='财富模型'!$E$11*12,'Calc'!$W$13,'Calc'!$Y$13))))</x:f>
      </x:c>
      <x:c r="N238" t="str">
        <x:f>IF(Calc!$I$238&gt;'Calc'!$B$8,"",'Calc'!$B$5-'财富模型'!$E$5-(IF('Calc'!$E$13=1,'财富模型'!$E$9,'财富模型'!$M$5+IF(Calc!$I$238&lt;='财富模型'!$E$11*12,'Calc'!$W$13,'Calc'!$Y$13)-(IF('Calc'!$E$13=1,0,MIN(Calc!$K$237*(1+'财富模型'!$E$20/12)+'Calc'!$B$6,IF(Calc!$I$238&lt;='财富模型'!$E$11*12,'Calc'!$W$13,'Calc'!$Y$13)))))))</x:f>
      </x:c>
      <x:c r="O238" t="str">
        <x:f>IF(Calc!$I$238&gt;'Calc'!$B$8,"",IF('Calc'!$E$13=1,0,MAX(Calc!$O$237*(1+IF(Calc!$I$238&lt;='财富模型'!$E$11*12,'财富模型'!$E$10,'财富模型'!$E$12)/12)-IF('Calc'!$E$13=1,0,IF(Calc!$I$238&lt;='财富模型'!$E$11*12,'Calc'!$W$13,'Calc'!$Y$13)),0)))</x:f>
      </x:c>
      <x:c r="Q238" t="n">
        <x:v>217</x:v>
      </x:c>
      <x:c r="R238" t="str">
        <x:f>IF(Calc!$Q$238&gt;'Calc'!$B$8,"",MAX(Calc!$R$237*(1+'财富模型'!$E$6/12)+('Calc'!$B$5-'财富模型'!$E$5-(IF('Calc'!$E$14=1,'财富模型'!$E$9,'财富模型'!$M$6+IF(Calc!$Q$238&lt;='财富模型'!$E$11*12,'Calc'!$W$14,'Calc'!$Y$14)-(IF('Calc'!$E$14=1,0,MIN(Calc!$S$237*(1+'财富模型'!$E$20/12)+'Calc'!$B$6,IF(Calc!$Q$238&lt;='财富模型'!$E$11*12,'Calc'!$W$14,'Calc'!$Y$14))))))),0))</x:f>
      </x:c>
      <x:c r="S238" t="str">
        <x:f>IF(Calc!$Q$238&gt;'Calc'!$B$8,"",MAX(Calc!$S$237*(1+'财富模型'!$E$20/12)+'Calc'!$B$6-(IF('Calc'!$E$14=1,0,MIN(Calc!$S$237*(1+'财富模型'!$E$20/12)+'Calc'!$B$6,IF(Calc!$Q$238&lt;='财富模型'!$E$11*12,'Calc'!$W$14,'Calc'!$Y$14)))),0))</x:f>
      </x:c>
      <x:c r="T238" t="str">
        <x:f>IF(Calc!$Q$238&gt;'Calc'!$B$8,"",IF('Calc'!$E$14=1,'财富模型'!$E$9,'财富模型'!$M$6+IF(Calc!$Q$238&lt;='财富模型'!$E$11*12,'Calc'!$W$14,'Calc'!$Y$14)-(IF('Calc'!$E$14=1,0,MIN(Calc!$S$237*(1+'财富模型'!$E$20/12)+'Calc'!$B$6,IF(Calc!$Q$238&lt;='财富模型'!$E$11*12,'Calc'!$W$14,'Calc'!$Y$14))))))</x:f>
      </x:c>
      <x:c r="U238" t="str">
        <x:f>IF(Calc!$Q$238&gt;'Calc'!$B$8,"",IF('Calc'!$E$14=1,0,MIN(Calc!$S$237*(1+'财富模型'!$E$20/12)+'Calc'!$B$6,IF(Calc!$Q$238&lt;='财富模型'!$E$11*12,'Calc'!$W$14,'Calc'!$Y$14))))</x:f>
      </x:c>
      <x:c r="V238" t="str">
        <x:f>IF(Calc!$Q$238&gt;'Calc'!$B$8,"",'Calc'!$B$5-'财富模型'!$E$5-(IF('Calc'!$E$14=1,'财富模型'!$E$9,'财富模型'!$M$6+IF(Calc!$Q$238&lt;='财富模型'!$E$11*12,'Calc'!$W$14,'Calc'!$Y$14)-(IF('Calc'!$E$14=1,0,MIN(Calc!$S$237*(1+'财富模型'!$E$20/12)+'Calc'!$B$6,IF(Calc!$Q$238&lt;='财富模型'!$E$11*12,'Calc'!$W$14,'Calc'!$Y$14)))))))</x:f>
      </x:c>
      <x:c r="W238" t="str">
        <x:f>IF(Calc!$Q$238&gt;'Calc'!$B$8,"",IF('Calc'!$E$14=1,0,MAX(Calc!$W$237*(1+IF(Calc!$Q$238&lt;='财富模型'!$E$11*12,'财富模型'!$E$10,'财富模型'!$E$12)/12)-IF('Calc'!$E$14=1,0,IF(Calc!$Q$238&lt;='财富模型'!$E$11*12,'Calc'!$W$14,'Calc'!$Y$14)),0)))</x:f>
      </x:c>
      <x:c r="Y238" t="n">
        <x:v>217</x:v>
      </x:c>
      <x:c r="Z238" t="str">
        <x:f>IF(Calc!$Y$238&gt;'Calc'!$B$8,"",MAX(Calc!$Z$237*(1+'财富模型'!$E$6/12)+('Calc'!$B$5-'财富模型'!$E$5-(IF('Calc'!$E$15=1,'财富模型'!$E$9,'财富模型'!$M$7+IF(Calc!$Y$238&lt;='财富模型'!$E$11*12,'Calc'!$W$15,'Calc'!$Y$15)-(IF('Calc'!$E$15=1,0,MIN(Calc!$AA$237*(1+'财富模型'!$E$20/12)+'Calc'!$B$6,IF(Calc!$Y$238&lt;='财富模型'!$E$11*12,'Calc'!$W$15,'Calc'!$Y$15))))))),0))</x:f>
      </x:c>
      <x:c r="AA238" t="str">
        <x:f>IF(Calc!$Y$238&gt;'Calc'!$B$8,"",MAX(Calc!$AA$237*(1+'财富模型'!$E$20/12)+'Calc'!$B$6-(IF('Calc'!$E$15=1,0,MIN(Calc!$AA$237*(1+'财富模型'!$E$20/12)+'Calc'!$B$6,IF(Calc!$Y$238&lt;='财富模型'!$E$11*12,'Calc'!$W$15,'Calc'!$Y$15)))),0))</x:f>
      </x:c>
      <x:c r="AB238" t="str">
        <x:f>IF(Calc!$Y$238&gt;'Calc'!$B$8,"",IF('Calc'!$E$15=1,'财富模型'!$E$9,'财富模型'!$M$7+IF(Calc!$Y$238&lt;='财富模型'!$E$11*12,'Calc'!$W$15,'Calc'!$Y$15)-(IF('Calc'!$E$15=1,0,MIN(Calc!$AA$237*(1+'财富模型'!$E$20/12)+'Calc'!$B$6,IF(Calc!$Y$238&lt;='财富模型'!$E$11*12,'Calc'!$W$15,'Calc'!$Y$15))))))</x:f>
      </x:c>
      <x:c r="AC238" t="str">
        <x:f>IF(Calc!$Y$238&gt;'Calc'!$B$8,"",IF('Calc'!$E$15=1,0,MIN(Calc!$AA$237*(1+'财富模型'!$E$20/12)+'Calc'!$B$6,IF(Calc!$Y$238&lt;='财富模型'!$E$11*12,'Calc'!$W$15,'Calc'!$Y$15))))</x:f>
      </x:c>
      <x:c r="AD238" t="str">
        <x:f>IF(Calc!$Y$238&gt;'Calc'!$B$8,"",'Calc'!$B$5-'财富模型'!$E$5-(IF('Calc'!$E$15=1,'财富模型'!$E$9,'财富模型'!$M$7+IF(Calc!$Y$238&lt;='财富模型'!$E$11*12,'Calc'!$W$15,'Calc'!$Y$15)-(IF('Calc'!$E$15=1,0,MIN(Calc!$AA$237*(1+'财富模型'!$E$20/12)+'Calc'!$B$6,IF(Calc!$Y$238&lt;='财富模型'!$E$11*12,'Calc'!$W$15,'Calc'!$Y$15)))))))</x:f>
      </x:c>
      <x:c r="AE238" t="str">
        <x:f>IF(Calc!$Y$238&gt;'Calc'!$B$8,"",IF('Calc'!$E$15=1,0,MAX(Calc!$AE$237*(1+IF(Calc!$Y$238&lt;='财富模型'!$E$11*12,'财富模型'!$E$10,'财富模型'!$E$12)/12)-IF('Calc'!$E$15=1,0,IF(Calc!$Y$238&lt;='财富模型'!$E$11*12,'Calc'!$W$15,'Calc'!$Y$15)),0)))</x:f>
      </x:c>
      <x:c r="AG238" t="n">
        <x:v>217</x:v>
      </x:c>
      <x:c r="AH238" t="str">
        <x:f>IF(Calc!$AG$238&gt;'Calc'!$B$8,"",MAX(Calc!$AH$237*(1+'财富模型'!$E$6/12)+('Calc'!$B$5-'财富模型'!$E$5-(IF('Calc'!$E$16=1,'财富模型'!$E$9,'财富模型'!$M$8+IF(Calc!$AG$238&lt;='财富模型'!$E$11*12,'Calc'!$W$16,'Calc'!$Y$16)-(IF('Calc'!$E$16=1,0,MIN(Calc!$AI$237*(1+'财富模型'!$E$20/12)+'Calc'!$B$6,IF(Calc!$AG$238&lt;='财富模型'!$E$11*12,'Calc'!$W$16,'Calc'!$Y$16))))))),0))</x:f>
      </x:c>
      <x:c r="AI238" t="str">
        <x:f>IF(Calc!$AG$238&gt;'Calc'!$B$8,"",MAX(Calc!$AI$237*(1+'财富模型'!$E$20/12)+'Calc'!$B$6-(IF('Calc'!$E$16=1,0,MIN(Calc!$AI$237*(1+'财富模型'!$E$20/12)+'Calc'!$B$6,IF(Calc!$AG$238&lt;='财富模型'!$E$11*12,'Calc'!$W$16,'Calc'!$Y$16)))),0))</x:f>
      </x:c>
      <x:c r="AJ238" t="str">
        <x:f>IF(Calc!$AG$238&gt;'Calc'!$B$8,"",IF('Calc'!$E$16=1,'财富模型'!$E$9,'财富模型'!$M$8+IF(Calc!$AG$238&lt;='财富模型'!$E$11*12,'Calc'!$W$16,'Calc'!$Y$16)-(IF('Calc'!$E$16=1,0,MIN(Calc!$AI$237*(1+'财富模型'!$E$20/12)+'Calc'!$B$6,IF(Calc!$AG$238&lt;='财富模型'!$E$11*12,'Calc'!$W$16,'Calc'!$Y$16))))))</x:f>
      </x:c>
      <x:c r="AK238" t="str">
        <x:f>IF(Calc!$AG$238&gt;'Calc'!$B$8,"",IF('Calc'!$E$16=1,0,MIN(Calc!$AI$237*(1+'财富模型'!$E$20/12)+'Calc'!$B$6,IF(Calc!$AG$238&lt;='财富模型'!$E$11*12,'Calc'!$W$16,'Calc'!$Y$16))))</x:f>
      </x:c>
      <x:c r="AL238" t="str">
        <x:f>IF(Calc!$AG$238&gt;'Calc'!$B$8,"",'Calc'!$B$5-'财富模型'!$E$5-(IF('Calc'!$E$16=1,'财富模型'!$E$9,'财富模型'!$M$8+IF(Calc!$AG$238&lt;='财富模型'!$E$11*12,'Calc'!$W$16,'Calc'!$Y$16)-(IF('Calc'!$E$16=1,0,MIN(Calc!$AI$237*(1+'财富模型'!$E$20/12)+'Calc'!$B$6,IF(Calc!$AG$238&lt;='财富模型'!$E$11*12,'Calc'!$W$16,'Calc'!$Y$16)))))))</x:f>
      </x:c>
      <x:c r="AM238" t="str">
        <x:f>IF(Calc!$AG$238&gt;'Calc'!$B$8,"",IF('Calc'!$E$16=1,0,MAX(Calc!$AM$237*(1+IF(Calc!$AG$238&lt;='财富模型'!$E$11*12,'财富模型'!$E$10,'财富模型'!$E$12)/12)-IF('Calc'!$E$16=1,0,IF(Calc!$AG$238&lt;='财富模型'!$E$11*12,'Calc'!$W$16,'Calc'!$Y$16)),0)))</x:f>
      </x:c>
      <x:c r="AO238" t="n">
        <x:v>217</x:v>
      </x:c>
      <x:c r="AP238" t="str">
        <x:f>IF(Calc!$AO$238&gt;'Calc'!$B$8,"",MAX(Calc!$AP$237*(1+'财富模型'!$E$6/12)+('Calc'!$B$5-'财富模型'!$E$5-(IF('Calc'!$E$17=1,'财富模型'!$E$9,'财富模型'!$M$9+IF(Calc!$AO$238&lt;='财富模型'!$E$11*12,'Calc'!$W$17,'Calc'!$Y$17)-(IF('Calc'!$E$17=1,0,MIN(Calc!$AQ$237*(1+'财富模型'!$E$20/12)+'Calc'!$B$6,IF(Calc!$AO$238&lt;='财富模型'!$E$11*12,'Calc'!$W$17,'Calc'!$Y$17))))))),0))</x:f>
      </x:c>
      <x:c r="AQ238" t="str">
        <x:f>IF(Calc!$AO$238&gt;'Calc'!$B$8,"",MAX(Calc!$AQ$237*(1+'财富模型'!$E$20/12)+'Calc'!$B$6-(IF('Calc'!$E$17=1,0,MIN(Calc!$AQ$237*(1+'财富模型'!$E$20/12)+'Calc'!$B$6,IF(Calc!$AO$238&lt;='财富模型'!$E$11*12,'Calc'!$W$17,'Calc'!$Y$17)))),0))</x:f>
      </x:c>
      <x:c r="AR238" t="str">
        <x:f>IF(Calc!$AO$238&gt;'Calc'!$B$8,"",IF('Calc'!$E$17=1,'财富模型'!$E$9,'财富模型'!$M$9+IF(Calc!$AO$238&lt;='财富模型'!$E$11*12,'Calc'!$W$17,'Calc'!$Y$17)-(IF('Calc'!$E$17=1,0,MIN(Calc!$AQ$237*(1+'财富模型'!$E$20/12)+'Calc'!$B$6,IF(Calc!$AO$238&lt;='财富模型'!$E$11*12,'Calc'!$W$17,'Calc'!$Y$17))))))</x:f>
      </x:c>
      <x:c r="AS238" t="str">
        <x:f>IF(Calc!$AO$238&gt;'Calc'!$B$8,"",IF('Calc'!$E$17=1,0,MIN(Calc!$AQ$237*(1+'财富模型'!$E$20/12)+'Calc'!$B$6,IF(Calc!$AO$238&lt;='财富模型'!$E$11*12,'Calc'!$W$17,'Calc'!$Y$17))))</x:f>
      </x:c>
      <x:c r="AT238" t="str">
        <x:f>IF(Calc!$AO$238&gt;'Calc'!$B$8,"",'Calc'!$B$5-'财富模型'!$E$5-(IF('Calc'!$E$17=1,'财富模型'!$E$9,'财富模型'!$M$9+IF(Calc!$AO$238&lt;='财富模型'!$E$11*12,'Calc'!$W$17,'Calc'!$Y$17)-(IF('Calc'!$E$17=1,0,MIN(Calc!$AQ$237*(1+'财富模型'!$E$20/12)+'Calc'!$B$6,IF(Calc!$AO$238&lt;='财富模型'!$E$11*12,'Calc'!$W$17,'Calc'!$Y$17)))))))</x:f>
      </x:c>
      <x:c r="AU238" t="str">
        <x:f>IF(Calc!$AO$238&gt;'Calc'!$B$8,"",IF('Calc'!$E$17=1,0,MAX(Calc!$AU$237*(1+IF(Calc!$AO$238&lt;='财富模型'!$E$11*12,'财富模型'!$E$10,'财富模型'!$E$12)/12)-IF('Calc'!$E$17=1,0,IF(Calc!$AO$238&lt;='财富模型'!$E$11*12,'Calc'!$W$17,'Calc'!$Y$17)),0)))</x:f>
      </x:c>
    </x:row>
    <x:row r="239">
      <x:c r="A239" t="n">
        <x:v>218</x:v>
      </x:c>
      <x:c r="B239" t="str">
        <x:f>IF(Calc!$A$239&gt;'Calc'!$B$8,"",MAX(Calc!$B$238*(1+'财富模型'!$E$6/12)+('Calc'!$B$5-'财富模型'!$E$5-(IF('Calc'!$E$12=1,'财富模型'!$E$9,'财富模型'!$M$4+IF(Calc!$A$239&lt;='财富模型'!$E$11*12,'Calc'!$W$12,'Calc'!$Y$12)-(IF('Calc'!$E$12=1,0,MIN(Calc!$C$238*(1+'财富模型'!$E$20/12)+'Calc'!$B$6,IF(Calc!$A$239&lt;='财富模型'!$E$11*12,'Calc'!$W$12,'Calc'!$Y$12))))))),0))</x:f>
      </x:c>
      <x:c r="C239" t="str">
        <x:f>IF(Calc!$A$239&gt;'Calc'!$B$8,"",MAX(Calc!$C$238*(1+'财富模型'!$E$20/12)+'Calc'!$B$6-(IF('Calc'!$E$12=1,0,MIN(Calc!$C$238*(1+'财富模型'!$E$20/12)+'Calc'!$B$6,IF(Calc!$A$239&lt;='财富模型'!$E$11*12,'Calc'!$W$12,'Calc'!$Y$12)))),0))</x:f>
      </x:c>
      <x:c r="D239" t="str">
        <x:f>IF(Calc!$A$239&gt;'Calc'!$B$8,"",IF('Calc'!$E$12=1,'财富模型'!$E$9,'财富模型'!$M$4+IF(Calc!$A$239&lt;='财富模型'!$E$11*12,'Calc'!$W$12,'Calc'!$Y$12)-(IF('Calc'!$E$12=1,0,MIN(Calc!$C$238*(1+'财富模型'!$E$20/12)+'Calc'!$B$6,IF(Calc!$A$239&lt;='财富模型'!$E$11*12,'Calc'!$W$12,'Calc'!$Y$12))))))</x:f>
      </x:c>
      <x:c r="E239" t="str">
        <x:f>IF(Calc!$A$239&gt;'Calc'!$B$8,"",IF('Calc'!$E$12=1,0,MIN(Calc!$C$238*(1+'财富模型'!$E$20/12)+'Calc'!$B$6,IF(Calc!$A$239&lt;='财富模型'!$E$11*12,'Calc'!$W$12,'Calc'!$Y$12))))</x:f>
      </x:c>
      <x:c r="F239" t="str">
        <x:f>IF(Calc!$A$239&gt;'Calc'!$B$8,"",'Calc'!$B$5-'财富模型'!$E$5-(IF('Calc'!$E$12=1,'财富模型'!$E$9,'财富模型'!$M$4+IF(Calc!$A$239&lt;='财富模型'!$E$11*12,'Calc'!$W$12,'Calc'!$Y$12)-(IF('Calc'!$E$12=1,0,MIN(Calc!$C$238*(1+'财富模型'!$E$20/12)+'Calc'!$B$6,IF(Calc!$A$239&lt;='财富模型'!$E$11*12,'Calc'!$W$12,'Calc'!$Y$12)))))))</x:f>
      </x:c>
      <x:c r="G239" t="str">
        <x:f>IF(Calc!$A$239&gt;'Calc'!$B$8,"",IF('Calc'!$E$12=1,0,MAX(Calc!$G$238*(1+IF(Calc!$A$239&lt;='财富模型'!$E$11*12,'财富模型'!$E$10,'财富模型'!$E$12)/12)-IF('Calc'!$E$12=1,0,IF(Calc!$A$239&lt;='财富模型'!$E$11*12,'Calc'!$W$12,'Calc'!$Y$12)),0)))</x:f>
      </x:c>
      <x:c r="I239" t="n">
        <x:v>218</x:v>
      </x:c>
      <x:c r="J239" t="str">
        <x:f>IF(Calc!$I$239&gt;'Calc'!$B$8,"",MAX(Calc!$J$238*(1+'财富模型'!$E$6/12)+('Calc'!$B$5-'财富模型'!$E$5-(IF('Calc'!$E$13=1,'财富模型'!$E$9,'财富模型'!$M$5+IF(Calc!$I$239&lt;='财富模型'!$E$11*12,'Calc'!$W$13,'Calc'!$Y$13)-(IF('Calc'!$E$13=1,0,MIN(Calc!$K$238*(1+'财富模型'!$E$20/12)+'Calc'!$B$6,IF(Calc!$I$239&lt;='财富模型'!$E$11*12,'Calc'!$W$13,'Calc'!$Y$13))))))),0))</x:f>
      </x:c>
      <x:c r="K239" t="str">
        <x:f>IF(Calc!$I$239&gt;'Calc'!$B$8,"",MAX(Calc!$K$238*(1+'财富模型'!$E$20/12)+'Calc'!$B$6-(IF('Calc'!$E$13=1,0,MIN(Calc!$K$238*(1+'财富模型'!$E$20/12)+'Calc'!$B$6,IF(Calc!$I$239&lt;='财富模型'!$E$11*12,'Calc'!$W$13,'Calc'!$Y$13)))),0))</x:f>
      </x:c>
      <x:c r="L239" t="str">
        <x:f>IF(Calc!$I$239&gt;'Calc'!$B$8,"",IF('Calc'!$E$13=1,'财富模型'!$E$9,'财富模型'!$M$5+IF(Calc!$I$239&lt;='财富模型'!$E$11*12,'Calc'!$W$13,'Calc'!$Y$13)-(IF('Calc'!$E$13=1,0,MIN(Calc!$K$238*(1+'财富模型'!$E$20/12)+'Calc'!$B$6,IF(Calc!$I$239&lt;='财富模型'!$E$11*12,'Calc'!$W$13,'Calc'!$Y$13))))))</x:f>
      </x:c>
      <x:c r="M239" t="str">
        <x:f>IF(Calc!$I$239&gt;'Calc'!$B$8,"",IF('Calc'!$E$13=1,0,MIN(Calc!$K$238*(1+'财富模型'!$E$20/12)+'Calc'!$B$6,IF(Calc!$I$239&lt;='财富模型'!$E$11*12,'Calc'!$W$13,'Calc'!$Y$13))))</x:f>
      </x:c>
      <x:c r="N239" t="str">
        <x:f>IF(Calc!$I$239&gt;'Calc'!$B$8,"",'Calc'!$B$5-'财富模型'!$E$5-(IF('Calc'!$E$13=1,'财富模型'!$E$9,'财富模型'!$M$5+IF(Calc!$I$239&lt;='财富模型'!$E$11*12,'Calc'!$W$13,'Calc'!$Y$13)-(IF('Calc'!$E$13=1,0,MIN(Calc!$K$238*(1+'财富模型'!$E$20/12)+'Calc'!$B$6,IF(Calc!$I$239&lt;='财富模型'!$E$11*12,'Calc'!$W$13,'Calc'!$Y$13)))))))</x:f>
      </x:c>
      <x:c r="O239" t="str">
        <x:f>IF(Calc!$I$239&gt;'Calc'!$B$8,"",IF('Calc'!$E$13=1,0,MAX(Calc!$O$238*(1+IF(Calc!$I$239&lt;='财富模型'!$E$11*12,'财富模型'!$E$10,'财富模型'!$E$12)/12)-IF('Calc'!$E$13=1,0,IF(Calc!$I$239&lt;='财富模型'!$E$11*12,'Calc'!$W$13,'Calc'!$Y$13)),0)))</x:f>
      </x:c>
      <x:c r="Q239" t="n">
        <x:v>218</x:v>
      </x:c>
      <x:c r="R239" t="str">
        <x:f>IF(Calc!$Q$239&gt;'Calc'!$B$8,"",MAX(Calc!$R$238*(1+'财富模型'!$E$6/12)+('Calc'!$B$5-'财富模型'!$E$5-(IF('Calc'!$E$14=1,'财富模型'!$E$9,'财富模型'!$M$6+IF(Calc!$Q$239&lt;='财富模型'!$E$11*12,'Calc'!$W$14,'Calc'!$Y$14)-(IF('Calc'!$E$14=1,0,MIN(Calc!$S$238*(1+'财富模型'!$E$20/12)+'Calc'!$B$6,IF(Calc!$Q$239&lt;='财富模型'!$E$11*12,'Calc'!$W$14,'Calc'!$Y$14))))))),0))</x:f>
      </x:c>
      <x:c r="S239" t="str">
        <x:f>IF(Calc!$Q$239&gt;'Calc'!$B$8,"",MAX(Calc!$S$238*(1+'财富模型'!$E$20/12)+'Calc'!$B$6-(IF('Calc'!$E$14=1,0,MIN(Calc!$S$238*(1+'财富模型'!$E$20/12)+'Calc'!$B$6,IF(Calc!$Q$239&lt;='财富模型'!$E$11*12,'Calc'!$W$14,'Calc'!$Y$14)))),0))</x:f>
      </x:c>
      <x:c r="T239" t="str">
        <x:f>IF(Calc!$Q$239&gt;'Calc'!$B$8,"",IF('Calc'!$E$14=1,'财富模型'!$E$9,'财富模型'!$M$6+IF(Calc!$Q$239&lt;='财富模型'!$E$11*12,'Calc'!$W$14,'Calc'!$Y$14)-(IF('Calc'!$E$14=1,0,MIN(Calc!$S$238*(1+'财富模型'!$E$20/12)+'Calc'!$B$6,IF(Calc!$Q$239&lt;='财富模型'!$E$11*12,'Calc'!$W$14,'Calc'!$Y$14))))))</x:f>
      </x:c>
      <x:c r="U239" t="str">
        <x:f>IF(Calc!$Q$239&gt;'Calc'!$B$8,"",IF('Calc'!$E$14=1,0,MIN(Calc!$S$238*(1+'财富模型'!$E$20/12)+'Calc'!$B$6,IF(Calc!$Q$239&lt;='财富模型'!$E$11*12,'Calc'!$W$14,'Calc'!$Y$14))))</x:f>
      </x:c>
      <x:c r="V239" t="str">
        <x:f>IF(Calc!$Q$239&gt;'Calc'!$B$8,"",'Calc'!$B$5-'财富模型'!$E$5-(IF('Calc'!$E$14=1,'财富模型'!$E$9,'财富模型'!$M$6+IF(Calc!$Q$239&lt;='财富模型'!$E$11*12,'Calc'!$W$14,'Calc'!$Y$14)-(IF('Calc'!$E$14=1,0,MIN(Calc!$S$238*(1+'财富模型'!$E$20/12)+'Calc'!$B$6,IF(Calc!$Q$239&lt;='财富模型'!$E$11*12,'Calc'!$W$14,'Calc'!$Y$14)))))))</x:f>
      </x:c>
      <x:c r="W239" t="str">
        <x:f>IF(Calc!$Q$239&gt;'Calc'!$B$8,"",IF('Calc'!$E$14=1,0,MAX(Calc!$W$238*(1+IF(Calc!$Q$239&lt;='财富模型'!$E$11*12,'财富模型'!$E$10,'财富模型'!$E$12)/12)-IF('Calc'!$E$14=1,0,IF(Calc!$Q$239&lt;='财富模型'!$E$11*12,'Calc'!$W$14,'Calc'!$Y$14)),0)))</x:f>
      </x:c>
      <x:c r="Y239" t="n">
        <x:v>218</x:v>
      </x:c>
      <x:c r="Z239" t="str">
        <x:f>IF(Calc!$Y$239&gt;'Calc'!$B$8,"",MAX(Calc!$Z$238*(1+'财富模型'!$E$6/12)+('Calc'!$B$5-'财富模型'!$E$5-(IF('Calc'!$E$15=1,'财富模型'!$E$9,'财富模型'!$M$7+IF(Calc!$Y$239&lt;='财富模型'!$E$11*12,'Calc'!$W$15,'Calc'!$Y$15)-(IF('Calc'!$E$15=1,0,MIN(Calc!$AA$238*(1+'财富模型'!$E$20/12)+'Calc'!$B$6,IF(Calc!$Y$239&lt;='财富模型'!$E$11*12,'Calc'!$W$15,'Calc'!$Y$15))))))),0))</x:f>
      </x:c>
      <x:c r="AA239" t="str">
        <x:f>IF(Calc!$Y$239&gt;'Calc'!$B$8,"",MAX(Calc!$AA$238*(1+'财富模型'!$E$20/12)+'Calc'!$B$6-(IF('Calc'!$E$15=1,0,MIN(Calc!$AA$238*(1+'财富模型'!$E$20/12)+'Calc'!$B$6,IF(Calc!$Y$239&lt;='财富模型'!$E$11*12,'Calc'!$W$15,'Calc'!$Y$15)))),0))</x:f>
      </x:c>
      <x:c r="AB239" t="str">
        <x:f>IF(Calc!$Y$239&gt;'Calc'!$B$8,"",IF('Calc'!$E$15=1,'财富模型'!$E$9,'财富模型'!$M$7+IF(Calc!$Y$239&lt;='财富模型'!$E$11*12,'Calc'!$W$15,'Calc'!$Y$15)-(IF('Calc'!$E$15=1,0,MIN(Calc!$AA$238*(1+'财富模型'!$E$20/12)+'Calc'!$B$6,IF(Calc!$Y$239&lt;='财富模型'!$E$11*12,'Calc'!$W$15,'Calc'!$Y$15))))))</x:f>
      </x:c>
      <x:c r="AC239" t="str">
        <x:f>IF(Calc!$Y$239&gt;'Calc'!$B$8,"",IF('Calc'!$E$15=1,0,MIN(Calc!$AA$238*(1+'财富模型'!$E$20/12)+'Calc'!$B$6,IF(Calc!$Y$239&lt;='财富模型'!$E$11*12,'Calc'!$W$15,'Calc'!$Y$15))))</x:f>
      </x:c>
      <x:c r="AD239" t="str">
        <x:f>IF(Calc!$Y$239&gt;'Calc'!$B$8,"",'Calc'!$B$5-'财富模型'!$E$5-(IF('Calc'!$E$15=1,'财富模型'!$E$9,'财富模型'!$M$7+IF(Calc!$Y$239&lt;='财富模型'!$E$11*12,'Calc'!$W$15,'Calc'!$Y$15)-(IF('Calc'!$E$15=1,0,MIN(Calc!$AA$238*(1+'财富模型'!$E$20/12)+'Calc'!$B$6,IF(Calc!$Y$239&lt;='财富模型'!$E$11*12,'Calc'!$W$15,'Calc'!$Y$15)))))))</x:f>
      </x:c>
      <x:c r="AE239" t="str">
        <x:f>IF(Calc!$Y$239&gt;'Calc'!$B$8,"",IF('Calc'!$E$15=1,0,MAX(Calc!$AE$238*(1+IF(Calc!$Y$239&lt;='财富模型'!$E$11*12,'财富模型'!$E$10,'财富模型'!$E$12)/12)-IF('Calc'!$E$15=1,0,IF(Calc!$Y$239&lt;='财富模型'!$E$11*12,'Calc'!$W$15,'Calc'!$Y$15)),0)))</x:f>
      </x:c>
      <x:c r="AG239" t="n">
        <x:v>218</x:v>
      </x:c>
      <x:c r="AH239" t="str">
        <x:f>IF(Calc!$AG$239&gt;'Calc'!$B$8,"",MAX(Calc!$AH$238*(1+'财富模型'!$E$6/12)+('Calc'!$B$5-'财富模型'!$E$5-(IF('Calc'!$E$16=1,'财富模型'!$E$9,'财富模型'!$M$8+IF(Calc!$AG$239&lt;='财富模型'!$E$11*12,'Calc'!$W$16,'Calc'!$Y$16)-(IF('Calc'!$E$16=1,0,MIN(Calc!$AI$238*(1+'财富模型'!$E$20/12)+'Calc'!$B$6,IF(Calc!$AG$239&lt;='财富模型'!$E$11*12,'Calc'!$W$16,'Calc'!$Y$16))))))),0))</x:f>
      </x:c>
      <x:c r="AI239" t="str">
        <x:f>IF(Calc!$AG$239&gt;'Calc'!$B$8,"",MAX(Calc!$AI$238*(1+'财富模型'!$E$20/12)+'Calc'!$B$6-(IF('Calc'!$E$16=1,0,MIN(Calc!$AI$238*(1+'财富模型'!$E$20/12)+'Calc'!$B$6,IF(Calc!$AG$239&lt;='财富模型'!$E$11*12,'Calc'!$W$16,'Calc'!$Y$16)))),0))</x:f>
      </x:c>
      <x:c r="AJ239" t="str">
        <x:f>IF(Calc!$AG$239&gt;'Calc'!$B$8,"",IF('Calc'!$E$16=1,'财富模型'!$E$9,'财富模型'!$M$8+IF(Calc!$AG$239&lt;='财富模型'!$E$11*12,'Calc'!$W$16,'Calc'!$Y$16)-(IF('Calc'!$E$16=1,0,MIN(Calc!$AI$238*(1+'财富模型'!$E$20/12)+'Calc'!$B$6,IF(Calc!$AG$239&lt;='财富模型'!$E$11*12,'Calc'!$W$16,'Calc'!$Y$16))))))</x:f>
      </x:c>
      <x:c r="AK239" t="str">
        <x:f>IF(Calc!$AG$239&gt;'Calc'!$B$8,"",IF('Calc'!$E$16=1,0,MIN(Calc!$AI$238*(1+'财富模型'!$E$20/12)+'Calc'!$B$6,IF(Calc!$AG$239&lt;='财富模型'!$E$11*12,'Calc'!$W$16,'Calc'!$Y$16))))</x:f>
      </x:c>
      <x:c r="AL239" t="str">
        <x:f>IF(Calc!$AG$239&gt;'Calc'!$B$8,"",'Calc'!$B$5-'财富模型'!$E$5-(IF('Calc'!$E$16=1,'财富模型'!$E$9,'财富模型'!$M$8+IF(Calc!$AG$239&lt;='财富模型'!$E$11*12,'Calc'!$W$16,'Calc'!$Y$16)-(IF('Calc'!$E$16=1,0,MIN(Calc!$AI$238*(1+'财富模型'!$E$20/12)+'Calc'!$B$6,IF(Calc!$AG$239&lt;='财富模型'!$E$11*12,'Calc'!$W$16,'Calc'!$Y$16)))))))</x:f>
      </x:c>
      <x:c r="AM239" t="str">
        <x:f>IF(Calc!$AG$239&gt;'Calc'!$B$8,"",IF('Calc'!$E$16=1,0,MAX(Calc!$AM$238*(1+IF(Calc!$AG$239&lt;='财富模型'!$E$11*12,'财富模型'!$E$10,'财富模型'!$E$12)/12)-IF('Calc'!$E$16=1,0,IF(Calc!$AG$239&lt;='财富模型'!$E$11*12,'Calc'!$W$16,'Calc'!$Y$16)),0)))</x:f>
      </x:c>
      <x:c r="AO239" t="n">
        <x:v>218</x:v>
      </x:c>
      <x:c r="AP239" t="str">
        <x:f>IF(Calc!$AO$239&gt;'Calc'!$B$8,"",MAX(Calc!$AP$238*(1+'财富模型'!$E$6/12)+('Calc'!$B$5-'财富模型'!$E$5-(IF('Calc'!$E$17=1,'财富模型'!$E$9,'财富模型'!$M$9+IF(Calc!$AO$239&lt;='财富模型'!$E$11*12,'Calc'!$W$17,'Calc'!$Y$17)-(IF('Calc'!$E$17=1,0,MIN(Calc!$AQ$238*(1+'财富模型'!$E$20/12)+'Calc'!$B$6,IF(Calc!$AO$239&lt;='财富模型'!$E$11*12,'Calc'!$W$17,'Calc'!$Y$17))))))),0))</x:f>
      </x:c>
      <x:c r="AQ239" t="str">
        <x:f>IF(Calc!$AO$239&gt;'Calc'!$B$8,"",MAX(Calc!$AQ$238*(1+'财富模型'!$E$20/12)+'Calc'!$B$6-(IF('Calc'!$E$17=1,0,MIN(Calc!$AQ$238*(1+'财富模型'!$E$20/12)+'Calc'!$B$6,IF(Calc!$AO$239&lt;='财富模型'!$E$11*12,'Calc'!$W$17,'Calc'!$Y$17)))),0))</x:f>
      </x:c>
      <x:c r="AR239" t="str">
        <x:f>IF(Calc!$AO$239&gt;'Calc'!$B$8,"",IF('Calc'!$E$17=1,'财富模型'!$E$9,'财富模型'!$M$9+IF(Calc!$AO$239&lt;='财富模型'!$E$11*12,'Calc'!$W$17,'Calc'!$Y$17)-(IF('Calc'!$E$17=1,0,MIN(Calc!$AQ$238*(1+'财富模型'!$E$20/12)+'Calc'!$B$6,IF(Calc!$AO$239&lt;='财富模型'!$E$11*12,'Calc'!$W$17,'Calc'!$Y$17))))))</x:f>
      </x:c>
      <x:c r="AS239" t="str">
        <x:f>IF(Calc!$AO$239&gt;'Calc'!$B$8,"",IF('Calc'!$E$17=1,0,MIN(Calc!$AQ$238*(1+'财富模型'!$E$20/12)+'Calc'!$B$6,IF(Calc!$AO$239&lt;='财富模型'!$E$11*12,'Calc'!$W$17,'Calc'!$Y$17))))</x:f>
      </x:c>
      <x:c r="AT239" t="str">
        <x:f>IF(Calc!$AO$239&gt;'Calc'!$B$8,"",'Calc'!$B$5-'财富模型'!$E$5-(IF('Calc'!$E$17=1,'财富模型'!$E$9,'财富模型'!$M$9+IF(Calc!$AO$239&lt;='财富模型'!$E$11*12,'Calc'!$W$17,'Calc'!$Y$17)-(IF('Calc'!$E$17=1,0,MIN(Calc!$AQ$238*(1+'财富模型'!$E$20/12)+'Calc'!$B$6,IF(Calc!$AO$239&lt;='财富模型'!$E$11*12,'Calc'!$W$17,'Calc'!$Y$17)))))))</x:f>
      </x:c>
      <x:c r="AU239" t="str">
        <x:f>IF(Calc!$AO$239&gt;'Calc'!$B$8,"",IF('Calc'!$E$17=1,0,MAX(Calc!$AU$238*(1+IF(Calc!$AO$239&lt;='财富模型'!$E$11*12,'财富模型'!$E$10,'财富模型'!$E$12)/12)-IF('Calc'!$E$17=1,0,IF(Calc!$AO$239&lt;='财富模型'!$E$11*12,'Calc'!$W$17,'Calc'!$Y$17)),0)))</x:f>
      </x:c>
    </x:row>
    <x:row r="240">
      <x:c r="A240" t="n">
        <x:v>219</x:v>
      </x:c>
      <x:c r="B240" t="str">
        <x:f>IF(Calc!$A$240&gt;'Calc'!$B$8,"",MAX(Calc!$B$239*(1+'财富模型'!$E$6/12)+('Calc'!$B$5-'财富模型'!$E$5-(IF('Calc'!$E$12=1,'财富模型'!$E$9,'财富模型'!$M$4+IF(Calc!$A$240&lt;='财富模型'!$E$11*12,'Calc'!$W$12,'Calc'!$Y$12)-(IF('Calc'!$E$12=1,0,MIN(Calc!$C$239*(1+'财富模型'!$E$20/12)+'Calc'!$B$6,IF(Calc!$A$240&lt;='财富模型'!$E$11*12,'Calc'!$W$12,'Calc'!$Y$12))))))),0))</x:f>
      </x:c>
      <x:c r="C240" t="str">
        <x:f>IF(Calc!$A$240&gt;'Calc'!$B$8,"",MAX(Calc!$C$239*(1+'财富模型'!$E$20/12)+'Calc'!$B$6-(IF('Calc'!$E$12=1,0,MIN(Calc!$C$239*(1+'财富模型'!$E$20/12)+'Calc'!$B$6,IF(Calc!$A$240&lt;='财富模型'!$E$11*12,'Calc'!$W$12,'Calc'!$Y$12)))),0))</x:f>
      </x:c>
      <x:c r="D240" t="str">
        <x:f>IF(Calc!$A$240&gt;'Calc'!$B$8,"",IF('Calc'!$E$12=1,'财富模型'!$E$9,'财富模型'!$M$4+IF(Calc!$A$240&lt;='财富模型'!$E$11*12,'Calc'!$W$12,'Calc'!$Y$12)-(IF('Calc'!$E$12=1,0,MIN(Calc!$C$239*(1+'财富模型'!$E$20/12)+'Calc'!$B$6,IF(Calc!$A$240&lt;='财富模型'!$E$11*12,'Calc'!$W$12,'Calc'!$Y$12))))))</x:f>
      </x:c>
      <x:c r="E240" t="str">
        <x:f>IF(Calc!$A$240&gt;'Calc'!$B$8,"",IF('Calc'!$E$12=1,0,MIN(Calc!$C$239*(1+'财富模型'!$E$20/12)+'Calc'!$B$6,IF(Calc!$A$240&lt;='财富模型'!$E$11*12,'Calc'!$W$12,'Calc'!$Y$12))))</x:f>
      </x:c>
      <x:c r="F240" t="str">
        <x:f>IF(Calc!$A$240&gt;'Calc'!$B$8,"",'Calc'!$B$5-'财富模型'!$E$5-(IF('Calc'!$E$12=1,'财富模型'!$E$9,'财富模型'!$M$4+IF(Calc!$A$240&lt;='财富模型'!$E$11*12,'Calc'!$W$12,'Calc'!$Y$12)-(IF('Calc'!$E$12=1,0,MIN(Calc!$C$239*(1+'财富模型'!$E$20/12)+'Calc'!$B$6,IF(Calc!$A$240&lt;='财富模型'!$E$11*12,'Calc'!$W$12,'Calc'!$Y$12)))))))</x:f>
      </x:c>
      <x:c r="G240" t="str">
        <x:f>IF(Calc!$A$240&gt;'Calc'!$B$8,"",IF('Calc'!$E$12=1,0,MAX(Calc!$G$239*(1+IF(Calc!$A$240&lt;='财富模型'!$E$11*12,'财富模型'!$E$10,'财富模型'!$E$12)/12)-IF('Calc'!$E$12=1,0,IF(Calc!$A$240&lt;='财富模型'!$E$11*12,'Calc'!$W$12,'Calc'!$Y$12)),0)))</x:f>
      </x:c>
      <x:c r="I240" t="n">
        <x:v>219</x:v>
      </x:c>
      <x:c r="J240" t="str">
        <x:f>IF(Calc!$I$240&gt;'Calc'!$B$8,"",MAX(Calc!$J$239*(1+'财富模型'!$E$6/12)+('Calc'!$B$5-'财富模型'!$E$5-(IF('Calc'!$E$13=1,'财富模型'!$E$9,'财富模型'!$M$5+IF(Calc!$I$240&lt;='财富模型'!$E$11*12,'Calc'!$W$13,'Calc'!$Y$13)-(IF('Calc'!$E$13=1,0,MIN(Calc!$K$239*(1+'财富模型'!$E$20/12)+'Calc'!$B$6,IF(Calc!$I$240&lt;='财富模型'!$E$11*12,'Calc'!$W$13,'Calc'!$Y$13))))))),0))</x:f>
      </x:c>
      <x:c r="K240" t="str">
        <x:f>IF(Calc!$I$240&gt;'Calc'!$B$8,"",MAX(Calc!$K$239*(1+'财富模型'!$E$20/12)+'Calc'!$B$6-(IF('Calc'!$E$13=1,0,MIN(Calc!$K$239*(1+'财富模型'!$E$20/12)+'Calc'!$B$6,IF(Calc!$I$240&lt;='财富模型'!$E$11*12,'Calc'!$W$13,'Calc'!$Y$13)))),0))</x:f>
      </x:c>
      <x:c r="L240" t="str">
        <x:f>IF(Calc!$I$240&gt;'Calc'!$B$8,"",IF('Calc'!$E$13=1,'财富模型'!$E$9,'财富模型'!$M$5+IF(Calc!$I$240&lt;='财富模型'!$E$11*12,'Calc'!$W$13,'Calc'!$Y$13)-(IF('Calc'!$E$13=1,0,MIN(Calc!$K$239*(1+'财富模型'!$E$20/12)+'Calc'!$B$6,IF(Calc!$I$240&lt;='财富模型'!$E$11*12,'Calc'!$W$13,'Calc'!$Y$13))))))</x:f>
      </x:c>
      <x:c r="M240" t="str">
        <x:f>IF(Calc!$I$240&gt;'Calc'!$B$8,"",IF('Calc'!$E$13=1,0,MIN(Calc!$K$239*(1+'财富模型'!$E$20/12)+'Calc'!$B$6,IF(Calc!$I$240&lt;='财富模型'!$E$11*12,'Calc'!$W$13,'Calc'!$Y$13))))</x:f>
      </x:c>
      <x:c r="N240" t="str">
        <x:f>IF(Calc!$I$240&gt;'Calc'!$B$8,"",'Calc'!$B$5-'财富模型'!$E$5-(IF('Calc'!$E$13=1,'财富模型'!$E$9,'财富模型'!$M$5+IF(Calc!$I$240&lt;='财富模型'!$E$11*12,'Calc'!$W$13,'Calc'!$Y$13)-(IF('Calc'!$E$13=1,0,MIN(Calc!$K$239*(1+'财富模型'!$E$20/12)+'Calc'!$B$6,IF(Calc!$I$240&lt;='财富模型'!$E$11*12,'Calc'!$W$13,'Calc'!$Y$13)))))))</x:f>
      </x:c>
      <x:c r="O240" t="str">
        <x:f>IF(Calc!$I$240&gt;'Calc'!$B$8,"",IF('Calc'!$E$13=1,0,MAX(Calc!$O$239*(1+IF(Calc!$I$240&lt;='财富模型'!$E$11*12,'财富模型'!$E$10,'财富模型'!$E$12)/12)-IF('Calc'!$E$13=1,0,IF(Calc!$I$240&lt;='财富模型'!$E$11*12,'Calc'!$W$13,'Calc'!$Y$13)),0)))</x:f>
      </x:c>
      <x:c r="Q240" t="n">
        <x:v>219</x:v>
      </x:c>
      <x:c r="R240" t="str">
        <x:f>IF(Calc!$Q$240&gt;'Calc'!$B$8,"",MAX(Calc!$R$239*(1+'财富模型'!$E$6/12)+('Calc'!$B$5-'财富模型'!$E$5-(IF('Calc'!$E$14=1,'财富模型'!$E$9,'财富模型'!$M$6+IF(Calc!$Q$240&lt;='财富模型'!$E$11*12,'Calc'!$W$14,'Calc'!$Y$14)-(IF('Calc'!$E$14=1,0,MIN(Calc!$S$239*(1+'财富模型'!$E$20/12)+'Calc'!$B$6,IF(Calc!$Q$240&lt;='财富模型'!$E$11*12,'Calc'!$W$14,'Calc'!$Y$14))))))),0))</x:f>
      </x:c>
      <x:c r="S240" t="str">
        <x:f>IF(Calc!$Q$240&gt;'Calc'!$B$8,"",MAX(Calc!$S$239*(1+'财富模型'!$E$20/12)+'Calc'!$B$6-(IF('Calc'!$E$14=1,0,MIN(Calc!$S$239*(1+'财富模型'!$E$20/12)+'Calc'!$B$6,IF(Calc!$Q$240&lt;='财富模型'!$E$11*12,'Calc'!$W$14,'Calc'!$Y$14)))),0))</x:f>
      </x:c>
      <x:c r="T240" t="str">
        <x:f>IF(Calc!$Q$240&gt;'Calc'!$B$8,"",IF('Calc'!$E$14=1,'财富模型'!$E$9,'财富模型'!$M$6+IF(Calc!$Q$240&lt;='财富模型'!$E$11*12,'Calc'!$W$14,'Calc'!$Y$14)-(IF('Calc'!$E$14=1,0,MIN(Calc!$S$239*(1+'财富模型'!$E$20/12)+'Calc'!$B$6,IF(Calc!$Q$240&lt;='财富模型'!$E$11*12,'Calc'!$W$14,'Calc'!$Y$14))))))</x:f>
      </x:c>
      <x:c r="U240" t="str">
        <x:f>IF(Calc!$Q$240&gt;'Calc'!$B$8,"",IF('Calc'!$E$14=1,0,MIN(Calc!$S$239*(1+'财富模型'!$E$20/12)+'Calc'!$B$6,IF(Calc!$Q$240&lt;='财富模型'!$E$11*12,'Calc'!$W$14,'Calc'!$Y$14))))</x:f>
      </x:c>
      <x:c r="V240" t="str">
        <x:f>IF(Calc!$Q$240&gt;'Calc'!$B$8,"",'Calc'!$B$5-'财富模型'!$E$5-(IF('Calc'!$E$14=1,'财富模型'!$E$9,'财富模型'!$M$6+IF(Calc!$Q$240&lt;='财富模型'!$E$11*12,'Calc'!$W$14,'Calc'!$Y$14)-(IF('Calc'!$E$14=1,0,MIN(Calc!$S$239*(1+'财富模型'!$E$20/12)+'Calc'!$B$6,IF(Calc!$Q$240&lt;='财富模型'!$E$11*12,'Calc'!$W$14,'Calc'!$Y$14)))))))</x:f>
      </x:c>
      <x:c r="W240" t="str">
        <x:f>IF(Calc!$Q$240&gt;'Calc'!$B$8,"",IF('Calc'!$E$14=1,0,MAX(Calc!$W$239*(1+IF(Calc!$Q$240&lt;='财富模型'!$E$11*12,'财富模型'!$E$10,'财富模型'!$E$12)/12)-IF('Calc'!$E$14=1,0,IF(Calc!$Q$240&lt;='财富模型'!$E$11*12,'Calc'!$W$14,'Calc'!$Y$14)),0)))</x:f>
      </x:c>
      <x:c r="Y240" t="n">
        <x:v>219</x:v>
      </x:c>
      <x:c r="Z240" t="str">
        <x:f>IF(Calc!$Y$240&gt;'Calc'!$B$8,"",MAX(Calc!$Z$239*(1+'财富模型'!$E$6/12)+('Calc'!$B$5-'财富模型'!$E$5-(IF('Calc'!$E$15=1,'财富模型'!$E$9,'财富模型'!$M$7+IF(Calc!$Y$240&lt;='财富模型'!$E$11*12,'Calc'!$W$15,'Calc'!$Y$15)-(IF('Calc'!$E$15=1,0,MIN(Calc!$AA$239*(1+'财富模型'!$E$20/12)+'Calc'!$B$6,IF(Calc!$Y$240&lt;='财富模型'!$E$11*12,'Calc'!$W$15,'Calc'!$Y$15))))))),0))</x:f>
      </x:c>
      <x:c r="AA240" t="str">
        <x:f>IF(Calc!$Y$240&gt;'Calc'!$B$8,"",MAX(Calc!$AA$239*(1+'财富模型'!$E$20/12)+'Calc'!$B$6-(IF('Calc'!$E$15=1,0,MIN(Calc!$AA$239*(1+'财富模型'!$E$20/12)+'Calc'!$B$6,IF(Calc!$Y$240&lt;='财富模型'!$E$11*12,'Calc'!$W$15,'Calc'!$Y$15)))),0))</x:f>
      </x:c>
      <x:c r="AB240" t="str">
        <x:f>IF(Calc!$Y$240&gt;'Calc'!$B$8,"",IF('Calc'!$E$15=1,'财富模型'!$E$9,'财富模型'!$M$7+IF(Calc!$Y$240&lt;='财富模型'!$E$11*12,'Calc'!$W$15,'Calc'!$Y$15)-(IF('Calc'!$E$15=1,0,MIN(Calc!$AA$239*(1+'财富模型'!$E$20/12)+'Calc'!$B$6,IF(Calc!$Y$240&lt;='财富模型'!$E$11*12,'Calc'!$W$15,'Calc'!$Y$15))))))</x:f>
      </x:c>
      <x:c r="AC240" t="str">
        <x:f>IF(Calc!$Y$240&gt;'Calc'!$B$8,"",IF('Calc'!$E$15=1,0,MIN(Calc!$AA$239*(1+'财富模型'!$E$20/12)+'Calc'!$B$6,IF(Calc!$Y$240&lt;='财富模型'!$E$11*12,'Calc'!$W$15,'Calc'!$Y$15))))</x:f>
      </x:c>
      <x:c r="AD240" t="str">
        <x:f>IF(Calc!$Y$240&gt;'Calc'!$B$8,"",'Calc'!$B$5-'财富模型'!$E$5-(IF('Calc'!$E$15=1,'财富模型'!$E$9,'财富模型'!$M$7+IF(Calc!$Y$240&lt;='财富模型'!$E$11*12,'Calc'!$W$15,'Calc'!$Y$15)-(IF('Calc'!$E$15=1,0,MIN(Calc!$AA$239*(1+'财富模型'!$E$20/12)+'Calc'!$B$6,IF(Calc!$Y$240&lt;='财富模型'!$E$11*12,'Calc'!$W$15,'Calc'!$Y$15)))))))</x:f>
      </x:c>
      <x:c r="AE240" t="str">
        <x:f>IF(Calc!$Y$240&gt;'Calc'!$B$8,"",IF('Calc'!$E$15=1,0,MAX(Calc!$AE$239*(1+IF(Calc!$Y$240&lt;='财富模型'!$E$11*12,'财富模型'!$E$10,'财富模型'!$E$12)/12)-IF('Calc'!$E$15=1,0,IF(Calc!$Y$240&lt;='财富模型'!$E$11*12,'Calc'!$W$15,'Calc'!$Y$15)),0)))</x:f>
      </x:c>
      <x:c r="AG240" t="n">
        <x:v>219</x:v>
      </x:c>
      <x:c r="AH240" t="str">
        <x:f>IF(Calc!$AG$240&gt;'Calc'!$B$8,"",MAX(Calc!$AH$239*(1+'财富模型'!$E$6/12)+('Calc'!$B$5-'财富模型'!$E$5-(IF('Calc'!$E$16=1,'财富模型'!$E$9,'财富模型'!$M$8+IF(Calc!$AG$240&lt;='财富模型'!$E$11*12,'Calc'!$W$16,'Calc'!$Y$16)-(IF('Calc'!$E$16=1,0,MIN(Calc!$AI$239*(1+'财富模型'!$E$20/12)+'Calc'!$B$6,IF(Calc!$AG$240&lt;='财富模型'!$E$11*12,'Calc'!$W$16,'Calc'!$Y$16))))))),0))</x:f>
      </x:c>
      <x:c r="AI240" t="str">
        <x:f>IF(Calc!$AG$240&gt;'Calc'!$B$8,"",MAX(Calc!$AI$239*(1+'财富模型'!$E$20/12)+'Calc'!$B$6-(IF('Calc'!$E$16=1,0,MIN(Calc!$AI$239*(1+'财富模型'!$E$20/12)+'Calc'!$B$6,IF(Calc!$AG$240&lt;='财富模型'!$E$11*12,'Calc'!$W$16,'Calc'!$Y$16)))),0))</x:f>
      </x:c>
      <x:c r="AJ240" t="str">
        <x:f>IF(Calc!$AG$240&gt;'Calc'!$B$8,"",IF('Calc'!$E$16=1,'财富模型'!$E$9,'财富模型'!$M$8+IF(Calc!$AG$240&lt;='财富模型'!$E$11*12,'Calc'!$W$16,'Calc'!$Y$16)-(IF('Calc'!$E$16=1,0,MIN(Calc!$AI$239*(1+'财富模型'!$E$20/12)+'Calc'!$B$6,IF(Calc!$AG$240&lt;='财富模型'!$E$11*12,'Calc'!$W$16,'Calc'!$Y$16))))))</x:f>
      </x:c>
      <x:c r="AK240" t="str">
        <x:f>IF(Calc!$AG$240&gt;'Calc'!$B$8,"",IF('Calc'!$E$16=1,0,MIN(Calc!$AI$239*(1+'财富模型'!$E$20/12)+'Calc'!$B$6,IF(Calc!$AG$240&lt;='财富模型'!$E$11*12,'Calc'!$W$16,'Calc'!$Y$16))))</x:f>
      </x:c>
      <x:c r="AL240" t="str">
        <x:f>IF(Calc!$AG$240&gt;'Calc'!$B$8,"",'Calc'!$B$5-'财富模型'!$E$5-(IF('Calc'!$E$16=1,'财富模型'!$E$9,'财富模型'!$M$8+IF(Calc!$AG$240&lt;='财富模型'!$E$11*12,'Calc'!$W$16,'Calc'!$Y$16)-(IF('Calc'!$E$16=1,0,MIN(Calc!$AI$239*(1+'财富模型'!$E$20/12)+'Calc'!$B$6,IF(Calc!$AG$240&lt;='财富模型'!$E$11*12,'Calc'!$W$16,'Calc'!$Y$16)))))))</x:f>
      </x:c>
      <x:c r="AM240" t="str">
        <x:f>IF(Calc!$AG$240&gt;'Calc'!$B$8,"",IF('Calc'!$E$16=1,0,MAX(Calc!$AM$239*(1+IF(Calc!$AG$240&lt;='财富模型'!$E$11*12,'财富模型'!$E$10,'财富模型'!$E$12)/12)-IF('Calc'!$E$16=1,0,IF(Calc!$AG$240&lt;='财富模型'!$E$11*12,'Calc'!$W$16,'Calc'!$Y$16)),0)))</x:f>
      </x:c>
      <x:c r="AO240" t="n">
        <x:v>219</x:v>
      </x:c>
      <x:c r="AP240" t="str">
        <x:f>IF(Calc!$AO$240&gt;'Calc'!$B$8,"",MAX(Calc!$AP$239*(1+'财富模型'!$E$6/12)+('Calc'!$B$5-'财富模型'!$E$5-(IF('Calc'!$E$17=1,'财富模型'!$E$9,'财富模型'!$M$9+IF(Calc!$AO$240&lt;='财富模型'!$E$11*12,'Calc'!$W$17,'Calc'!$Y$17)-(IF('Calc'!$E$17=1,0,MIN(Calc!$AQ$239*(1+'财富模型'!$E$20/12)+'Calc'!$B$6,IF(Calc!$AO$240&lt;='财富模型'!$E$11*12,'Calc'!$W$17,'Calc'!$Y$17))))))),0))</x:f>
      </x:c>
      <x:c r="AQ240" t="str">
        <x:f>IF(Calc!$AO$240&gt;'Calc'!$B$8,"",MAX(Calc!$AQ$239*(1+'财富模型'!$E$20/12)+'Calc'!$B$6-(IF('Calc'!$E$17=1,0,MIN(Calc!$AQ$239*(1+'财富模型'!$E$20/12)+'Calc'!$B$6,IF(Calc!$AO$240&lt;='财富模型'!$E$11*12,'Calc'!$W$17,'Calc'!$Y$17)))),0))</x:f>
      </x:c>
      <x:c r="AR240" t="str">
        <x:f>IF(Calc!$AO$240&gt;'Calc'!$B$8,"",IF('Calc'!$E$17=1,'财富模型'!$E$9,'财富模型'!$M$9+IF(Calc!$AO$240&lt;='财富模型'!$E$11*12,'Calc'!$W$17,'Calc'!$Y$17)-(IF('Calc'!$E$17=1,0,MIN(Calc!$AQ$239*(1+'财富模型'!$E$20/12)+'Calc'!$B$6,IF(Calc!$AO$240&lt;='财富模型'!$E$11*12,'Calc'!$W$17,'Calc'!$Y$17))))))</x:f>
      </x:c>
      <x:c r="AS240" t="str">
        <x:f>IF(Calc!$AO$240&gt;'Calc'!$B$8,"",IF('Calc'!$E$17=1,0,MIN(Calc!$AQ$239*(1+'财富模型'!$E$20/12)+'Calc'!$B$6,IF(Calc!$AO$240&lt;='财富模型'!$E$11*12,'Calc'!$W$17,'Calc'!$Y$17))))</x:f>
      </x:c>
      <x:c r="AT240" t="str">
        <x:f>IF(Calc!$AO$240&gt;'Calc'!$B$8,"",'Calc'!$B$5-'财富模型'!$E$5-(IF('Calc'!$E$17=1,'财富模型'!$E$9,'财富模型'!$M$9+IF(Calc!$AO$240&lt;='财富模型'!$E$11*12,'Calc'!$W$17,'Calc'!$Y$17)-(IF('Calc'!$E$17=1,0,MIN(Calc!$AQ$239*(1+'财富模型'!$E$20/12)+'Calc'!$B$6,IF(Calc!$AO$240&lt;='财富模型'!$E$11*12,'Calc'!$W$17,'Calc'!$Y$17)))))))</x:f>
      </x:c>
      <x:c r="AU240" t="str">
        <x:f>IF(Calc!$AO$240&gt;'Calc'!$B$8,"",IF('Calc'!$E$17=1,0,MAX(Calc!$AU$239*(1+IF(Calc!$AO$240&lt;='财富模型'!$E$11*12,'财富模型'!$E$10,'财富模型'!$E$12)/12)-IF('Calc'!$E$17=1,0,IF(Calc!$AO$240&lt;='财富模型'!$E$11*12,'Calc'!$W$17,'Calc'!$Y$17)),0)))</x:f>
      </x:c>
    </x:row>
    <x:row r="241">
      <x:c r="A241" t="n">
        <x:v>220</x:v>
      </x:c>
      <x:c r="B241" t="str">
        <x:f>IF(Calc!$A$241&gt;'Calc'!$B$8,"",MAX(Calc!$B$240*(1+'财富模型'!$E$6/12)+('Calc'!$B$5-'财富模型'!$E$5-(IF('Calc'!$E$12=1,'财富模型'!$E$9,'财富模型'!$M$4+IF(Calc!$A$241&lt;='财富模型'!$E$11*12,'Calc'!$W$12,'Calc'!$Y$12)-(IF('Calc'!$E$12=1,0,MIN(Calc!$C$240*(1+'财富模型'!$E$20/12)+'Calc'!$B$6,IF(Calc!$A$241&lt;='财富模型'!$E$11*12,'Calc'!$W$12,'Calc'!$Y$12))))))),0))</x:f>
      </x:c>
      <x:c r="C241" t="str">
        <x:f>IF(Calc!$A$241&gt;'Calc'!$B$8,"",MAX(Calc!$C$240*(1+'财富模型'!$E$20/12)+'Calc'!$B$6-(IF('Calc'!$E$12=1,0,MIN(Calc!$C$240*(1+'财富模型'!$E$20/12)+'Calc'!$B$6,IF(Calc!$A$241&lt;='财富模型'!$E$11*12,'Calc'!$W$12,'Calc'!$Y$12)))),0))</x:f>
      </x:c>
      <x:c r="D241" t="str">
        <x:f>IF(Calc!$A$241&gt;'Calc'!$B$8,"",IF('Calc'!$E$12=1,'财富模型'!$E$9,'财富模型'!$M$4+IF(Calc!$A$241&lt;='财富模型'!$E$11*12,'Calc'!$W$12,'Calc'!$Y$12)-(IF('Calc'!$E$12=1,0,MIN(Calc!$C$240*(1+'财富模型'!$E$20/12)+'Calc'!$B$6,IF(Calc!$A$241&lt;='财富模型'!$E$11*12,'Calc'!$W$12,'Calc'!$Y$12))))))</x:f>
      </x:c>
      <x:c r="E241" t="str">
        <x:f>IF(Calc!$A$241&gt;'Calc'!$B$8,"",IF('Calc'!$E$12=1,0,MIN(Calc!$C$240*(1+'财富模型'!$E$20/12)+'Calc'!$B$6,IF(Calc!$A$241&lt;='财富模型'!$E$11*12,'Calc'!$W$12,'Calc'!$Y$12))))</x:f>
      </x:c>
      <x:c r="F241" t="str">
        <x:f>IF(Calc!$A$241&gt;'Calc'!$B$8,"",'Calc'!$B$5-'财富模型'!$E$5-(IF('Calc'!$E$12=1,'财富模型'!$E$9,'财富模型'!$M$4+IF(Calc!$A$241&lt;='财富模型'!$E$11*12,'Calc'!$W$12,'Calc'!$Y$12)-(IF('Calc'!$E$12=1,0,MIN(Calc!$C$240*(1+'财富模型'!$E$20/12)+'Calc'!$B$6,IF(Calc!$A$241&lt;='财富模型'!$E$11*12,'Calc'!$W$12,'Calc'!$Y$12)))))))</x:f>
      </x:c>
      <x:c r="G241" t="str">
        <x:f>IF(Calc!$A$241&gt;'Calc'!$B$8,"",IF('Calc'!$E$12=1,0,MAX(Calc!$G$240*(1+IF(Calc!$A$241&lt;='财富模型'!$E$11*12,'财富模型'!$E$10,'财富模型'!$E$12)/12)-IF('Calc'!$E$12=1,0,IF(Calc!$A$241&lt;='财富模型'!$E$11*12,'Calc'!$W$12,'Calc'!$Y$12)),0)))</x:f>
      </x:c>
      <x:c r="I241" t="n">
        <x:v>220</x:v>
      </x:c>
      <x:c r="J241" t="str">
        <x:f>IF(Calc!$I$241&gt;'Calc'!$B$8,"",MAX(Calc!$J$240*(1+'财富模型'!$E$6/12)+('Calc'!$B$5-'财富模型'!$E$5-(IF('Calc'!$E$13=1,'财富模型'!$E$9,'财富模型'!$M$5+IF(Calc!$I$241&lt;='财富模型'!$E$11*12,'Calc'!$W$13,'Calc'!$Y$13)-(IF('Calc'!$E$13=1,0,MIN(Calc!$K$240*(1+'财富模型'!$E$20/12)+'Calc'!$B$6,IF(Calc!$I$241&lt;='财富模型'!$E$11*12,'Calc'!$W$13,'Calc'!$Y$13))))))),0))</x:f>
      </x:c>
      <x:c r="K241" t="str">
        <x:f>IF(Calc!$I$241&gt;'Calc'!$B$8,"",MAX(Calc!$K$240*(1+'财富模型'!$E$20/12)+'Calc'!$B$6-(IF('Calc'!$E$13=1,0,MIN(Calc!$K$240*(1+'财富模型'!$E$20/12)+'Calc'!$B$6,IF(Calc!$I$241&lt;='财富模型'!$E$11*12,'Calc'!$W$13,'Calc'!$Y$13)))),0))</x:f>
      </x:c>
      <x:c r="L241" t="str">
        <x:f>IF(Calc!$I$241&gt;'Calc'!$B$8,"",IF('Calc'!$E$13=1,'财富模型'!$E$9,'财富模型'!$M$5+IF(Calc!$I$241&lt;='财富模型'!$E$11*12,'Calc'!$W$13,'Calc'!$Y$13)-(IF('Calc'!$E$13=1,0,MIN(Calc!$K$240*(1+'财富模型'!$E$20/12)+'Calc'!$B$6,IF(Calc!$I$241&lt;='财富模型'!$E$11*12,'Calc'!$W$13,'Calc'!$Y$13))))))</x:f>
      </x:c>
      <x:c r="M241" t="str">
        <x:f>IF(Calc!$I$241&gt;'Calc'!$B$8,"",IF('Calc'!$E$13=1,0,MIN(Calc!$K$240*(1+'财富模型'!$E$20/12)+'Calc'!$B$6,IF(Calc!$I$241&lt;='财富模型'!$E$11*12,'Calc'!$W$13,'Calc'!$Y$13))))</x:f>
      </x:c>
      <x:c r="N241" t="str">
        <x:f>IF(Calc!$I$241&gt;'Calc'!$B$8,"",'Calc'!$B$5-'财富模型'!$E$5-(IF('Calc'!$E$13=1,'财富模型'!$E$9,'财富模型'!$M$5+IF(Calc!$I$241&lt;='财富模型'!$E$11*12,'Calc'!$W$13,'Calc'!$Y$13)-(IF('Calc'!$E$13=1,0,MIN(Calc!$K$240*(1+'财富模型'!$E$20/12)+'Calc'!$B$6,IF(Calc!$I$241&lt;='财富模型'!$E$11*12,'Calc'!$W$13,'Calc'!$Y$13)))))))</x:f>
      </x:c>
      <x:c r="O241" t="str">
        <x:f>IF(Calc!$I$241&gt;'Calc'!$B$8,"",IF('Calc'!$E$13=1,0,MAX(Calc!$O$240*(1+IF(Calc!$I$241&lt;='财富模型'!$E$11*12,'财富模型'!$E$10,'财富模型'!$E$12)/12)-IF('Calc'!$E$13=1,0,IF(Calc!$I$241&lt;='财富模型'!$E$11*12,'Calc'!$W$13,'Calc'!$Y$13)),0)))</x:f>
      </x:c>
      <x:c r="Q241" t="n">
        <x:v>220</x:v>
      </x:c>
      <x:c r="R241" t="str">
        <x:f>IF(Calc!$Q$241&gt;'Calc'!$B$8,"",MAX(Calc!$R$240*(1+'财富模型'!$E$6/12)+('Calc'!$B$5-'财富模型'!$E$5-(IF('Calc'!$E$14=1,'财富模型'!$E$9,'财富模型'!$M$6+IF(Calc!$Q$241&lt;='财富模型'!$E$11*12,'Calc'!$W$14,'Calc'!$Y$14)-(IF('Calc'!$E$14=1,0,MIN(Calc!$S$240*(1+'财富模型'!$E$20/12)+'Calc'!$B$6,IF(Calc!$Q$241&lt;='财富模型'!$E$11*12,'Calc'!$W$14,'Calc'!$Y$14))))))),0))</x:f>
      </x:c>
      <x:c r="S241" t="str">
        <x:f>IF(Calc!$Q$241&gt;'Calc'!$B$8,"",MAX(Calc!$S$240*(1+'财富模型'!$E$20/12)+'Calc'!$B$6-(IF('Calc'!$E$14=1,0,MIN(Calc!$S$240*(1+'财富模型'!$E$20/12)+'Calc'!$B$6,IF(Calc!$Q$241&lt;='财富模型'!$E$11*12,'Calc'!$W$14,'Calc'!$Y$14)))),0))</x:f>
      </x:c>
      <x:c r="T241" t="str">
        <x:f>IF(Calc!$Q$241&gt;'Calc'!$B$8,"",IF('Calc'!$E$14=1,'财富模型'!$E$9,'财富模型'!$M$6+IF(Calc!$Q$241&lt;='财富模型'!$E$11*12,'Calc'!$W$14,'Calc'!$Y$14)-(IF('Calc'!$E$14=1,0,MIN(Calc!$S$240*(1+'财富模型'!$E$20/12)+'Calc'!$B$6,IF(Calc!$Q$241&lt;='财富模型'!$E$11*12,'Calc'!$W$14,'Calc'!$Y$14))))))</x:f>
      </x:c>
      <x:c r="U241" t="str">
        <x:f>IF(Calc!$Q$241&gt;'Calc'!$B$8,"",IF('Calc'!$E$14=1,0,MIN(Calc!$S$240*(1+'财富模型'!$E$20/12)+'Calc'!$B$6,IF(Calc!$Q$241&lt;='财富模型'!$E$11*12,'Calc'!$W$14,'Calc'!$Y$14))))</x:f>
      </x:c>
      <x:c r="V241" t="str">
        <x:f>IF(Calc!$Q$241&gt;'Calc'!$B$8,"",'Calc'!$B$5-'财富模型'!$E$5-(IF('Calc'!$E$14=1,'财富模型'!$E$9,'财富模型'!$M$6+IF(Calc!$Q$241&lt;='财富模型'!$E$11*12,'Calc'!$W$14,'Calc'!$Y$14)-(IF('Calc'!$E$14=1,0,MIN(Calc!$S$240*(1+'财富模型'!$E$20/12)+'Calc'!$B$6,IF(Calc!$Q$241&lt;='财富模型'!$E$11*12,'Calc'!$W$14,'Calc'!$Y$14)))))))</x:f>
      </x:c>
      <x:c r="W241" t="str">
        <x:f>IF(Calc!$Q$241&gt;'Calc'!$B$8,"",IF('Calc'!$E$14=1,0,MAX(Calc!$W$240*(1+IF(Calc!$Q$241&lt;='财富模型'!$E$11*12,'财富模型'!$E$10,'财富模型'!$E$12)/12)-IF('Calc'!$E$14=1,0,IF(Calc!$Q$241&lt;='财富模型'!$E$11*12,'Calc'!$W$14,'Calc'!$Y$14)),0)))</x:f>
      </x:c>
      <x:c r="Y241" t="n">
        <x:v>220</x:v>
      </x:c>
      <x:c r="Z241" t="str">
        <x:f>IF(Calc!$Y$241&gt;'Calc'!$B$8,"",MAX(Calc!$Z$240*(1+'财富模型'!$E$6/12)+('Calc'!$B$5-'财富模型'!$E$5-(IF('Calc'!$E$15=1,'财富模型'!$E$9,'财富模型'!$M$7+IF(Calc!$Y$241&lt;='财富模型'!$E$11*12,'Calc'!$W$15,'Calc'!$Y$15)-(IF('Calc'!$E$15=1,0,MIN(Calc!$AA$240*(1+'财富模型'!$E$20/12)+'Calc'!$B$6,IF(Calc!$Y$241&lt;='财富模型'!$E$11*12,'Calc'!$W$15,'Calc'!$Y$15))))))),0))</x:f>
      </x:c>
      <x:c r="AA241" t="str">
        <x:f>IF(Calc!$Y$241&gt;'Calc'!$B$8,"",MAX(Calc!$AA$240*(1+'财富模型'!$E$20/12)+'Calc'!$B$6-(IF('Calc'!$E$15=1,0,MIN(Calc!$AA$240*(1+'财富模型'!$E$20/12)+'Calc'!$B$6,IF(Calc!$Y$241&lt;='财富模型'!$E$11*12,'Calc'!$W$15,'Calc'!$Y$15)))),0))</x:f>
      </x:c>
      <x:c r="AB241" t="str">
        <x:f>IF(Calc!$Y$241&gt;'Calc'!$B$8,"",IF('Calc'!$E$15=1,'财富模型'!$E$9,'财富模型'!$M$7+IF(Calc!$Y$241&lt;='财富模型'!$E$11*12,'Calc'!$W$15,'Calc'!$Y$15)-(IF('Calc'!$E$15=1,0,MIN(Calc!$AA$240*(1+'财富模型'!$E$20/12)+'Calc'!$B$6,IF(Calc!$Y$241&lt;='财富模型'!$E$11*12,'Calc'!$W$15,'Calc'!$Y$15))))))</x:f>
      </x:c>
      <x:c r="AC241" t="str">
        <x:f>IF(Calc!$Y$241&gt;'Calc'!$B$8,"",IF('Calc'!$E$15=1,0,MIN(Calc!$AA$240*(1+'财富模型'!$E$20/12)+'Calc'!$B$6,IF(Calc!$Y$241&lt;='财富模型'!$E$11*12,'Calc'!$W$15,'Calc'!$Y$15))))</x:f>
      </x:c>
      <x:c r="AD241" t="str">
        <x:f>IF(Calc!$Y$241&gt;'Calc'!$B$8,"",'Calc'!$B$5-'财富模型'!$E$5-(IF('Calc'!$E$15=1,'财富模型'!$E$9,'财富模型'!$M$7+IF(Calc!$Y$241&lt;='财富模型'!$E$11*12,'Calc'!$W$15,'Calc'!$Y$15)-(IF('Calc'!$E$15=1,0,MIN(Calc!$AA$240*(1+'财富模型'!$E$20/12)+'Calc'!$B$6,IF(Calc!$Y$241&lt;='财富模型'!$E$11*12,'Calc'!$W$15,'Calc'!$Y$15)))))))</x:f>
      </x:c>
      <x:c r="AE241" t="str">
        <x:f>IF(Calc!$Y$241&gt;'Calc'!$B$8,"",IF('Calc'!$E$15=1,0,MAX(Calc!$AE$240*(1+IF(Calc!$Y$241&lt;='财富模型'!$E$11*12,'财富模型'!$E$10,'财富模型'!$E$12)/12)-IF('Calc'!$E$15=1,0,IF(Calc!$Y$241&lt;='财富模型'!$E$11*12,'Calc'!$W$15,'Calc'!$Y$15)),0)))</x:f>
      </x:c>
      <x:c r="AG241" t="n">
        <x:v>220</x:v>
      </x:c>
      <x:c r="AH241" t="str">
        <x:f>IF(Calc!$AG$241&gt;'Calc'!$B$8,"",MAX(Calc!$AH$240*(1+'财富模型'!$E$6/12)+('Calc'!$B$5-'财富模型'!$E$5-(IF('Calc'!$E$16=1,'财富模型'!$E$9,'财富模型'!$M$8+IF(Calc!$AG$241&lt;='财富模型'!$E$11*12,'Calc'!$W$16,'Calc'!$Y$16)-(IF('Calc'!$E$16=1,0,MIN(Calc!$AI$240*(1+'财富模型'!$E$20/12)+'Calc'!$B$6,IF(Calc!$AG$241&lt;='财富模型'!$E$11*12,'Calc'!$W$16,'Calc'!$Y$16))))))),0))</x:f>
      </x:c>
      <x:c r="AI241" t="str">
        <x:f>IF(Calc!$AG$241&gt;'Calc'!$B$8,"",MAX(Calc!$AI$240*(1+'财富模型'!$E$20/12)+'Calc'!$B$6-(IF('Calc'!$E$16=1,0,MIN(Calc!$AI$240*(1+'财富模型'!$E$20/12)+'Calc'!$B$6,IF(Calc!$AG$241&lt;='财富模型'!$E$11*12,'Calc'!$W$16,'Calc'!$Y$16)))),0))</x:f>
      </x:c>
      <x:c r="AJ241" t="str">
        <x:f>IF(Calc!$AG$241&gt;'Calc'!$B$8,"",IF('Calc'!$E$16=1,'财富模型'!$E$9,'财富模型'!$M$8+IF(Calc!$AG$241&lt;='财富模型'!$E$11*12,'Calc'!$W$16,'Calc'!$Y$16)-(IF('Calc'!$E$16=1,0,MIN(Calc!$AI$240*(1+'财富模型'!$E$20/12)+'Calc'!$B$6,IF(Calc!$AG$241&lt;='财富模型'!$E$11*12,'Calc'!$W$16,'Calc'!$Y$16))))))</x:f>
      </x:c>
      <x:c r="AK241" t="str">
        <x:f>IF(Calc!$AG$241&gt;'Calc'!$B$8,"",IF('Calc'!$E$16=1,0,MIN(Calc!$AI$240*(1+'财富模型'!$E$20/12)+'Calc'!$B$6,IF(Calc!$AG$241&lt;='财富模型'!$E$11*12,'Calc'!$W$16,'Calc'!$Y$16))))</x:f>
      </x:c>
      <x:c r="AL241" t="str">
        <x:f>IF(Calc!$AG$241&gt;'Calc'!$B$8,"",'Calc'!$B$5-'财富模型'!$E$5-(IF('Calc'!$E$16=1,'财富模型'!$E$9,'财富模型'!$M$8+IF(Calc!$AG$241&lt;='财富模型'!$E$11*12,'Calc'!$W$16,'Calc'!$Y$16)-(IF('Calc'!$E$16=1,0,MIN(Calc!$AI$240*(1+'财富模型'!$E$20/12)+'Calc'!$B$6,IF(Calc!$AG$241&lt;='财富模型'!$E$11*12,'Calc'!$W$16,'Calc'!$Y$16)))))))</x:f>
      </x:c>
      <x:c r="AM241" t="str">
        <x:f>IF(Calc!$AG$241&gt;'Calc'!$B$8,"",IF('Calc'!$E$16=1,0,MAX(Calc!$AM$240*(1+IF(Calc!$AG$241&lt;='财富模型'!$E$11*12,'财富模型'!$E$10,'财富模型'!$E$12)/12)-IF('Calc'!$E$16=1,0,IF(Calc!$AG$241&lt;='财富模型'!$E$11*12,'Calc'!$W$16,'Calc'!$Y$16)),0)))</x:f>
      </x:c>
      <x:c r="AO241" t="n">
        <x:v>220</x:v>
      </x:c>
      <x:c r="AP241" t="str">
        <x:f>IF(Calc!$AO$241&gt;'Calc'!$B$8,"",MAX(Calc!$AP$240*(1+'财富模型'!$E$6/12)+('Calc'!$B$5-'财富模型'!$E$5-(IF('Calc'!$E$17=1,'财富模型'!$E$9,'财富模型'!$M$9+IF(Calc!$AO$241&lt;='财富模型'!$E$11*12,'Calc'!$W$17,'Calc'!$Y$17)-(IF('Calc'!$E$17=1,0,MIN(Calc!$AQ$240*(1+'财富模型'!$E$20/12)+'Calc'!$B$6,IF(Calc!$AO$241&lt;='财富模型'!$E$11*12,'Calc'!$W$17,'Calc'!$Y$17))))))),0))</x:f>
      </x:c>
      <x:c r="AQ241" t="str">
        <x:f>IF(Calc!$AO$241&gt;'Calc'!$B$8,"",MAX(Calc!$AQ$240*(1+'财富模型'!$E$20/12)+'Calc'!$B$6-(IF('Calc'!$E$17=1,0,MIN(Calc!$AQ$240*(1+'财富模型'!$E$20/12)+'Calc'!$B$6,IF(Calc!$AO$241&lt;='财富模型'!$E$11*12,'Calc'!$W$17,'Calc'!$Y$17)))),0))</x:f>
      </x:c>
      <x:c r="AR241" t="str">
        <x:f>IF(Calc!$AO$241&gt;'Calc'!$B$8,"",IF('Calc'!$E$17=1,'财富模型'!$E$9,'财富模型'!$M$9+IF(Calc!$AO$241&lt;='财富模型'!$E$11*12,'Calc'!$W$17,'Calc'!$Y$17)-(IF('Calc'!$E$17=1,0,MIN(Calc!$AQ$240*(1+'财富模型'!$E$20/12)+'Calc'!$B$6,IF(Calc!$AO$241&lt;='财富模型'!$E$11*12,'Calc'!$W$17,'Calc'!$Y$17))))))</x:f>
      </x:c>
      <x:c r="AS241" t="str">
        <x:f>IF(Calc!$AO$241&gt;'Calc'!$B$8,"",IF('Calc'!$E$17=1,0,MIN(Calc!$AQ$240*(1+'财富模型'!$E$20/12)+'Calc'!$B$6,IF(Calc!$AO$241&lt;='财富模型'!$E$11*12,'Calc'!$W$17,'Calc'!$Y$17))))</x:f>
      </x:c>
      <x:c r="AT241" t="str">
        <x:f>IF(Calc!$AO$241&gt;'Calc'!$B$8,"",'Calc'!$B$5-'财富模型'!$E$5-(IF('Calc'!$E$17=1,'财富模型'!$E$9,'财富模型'!$M$9+IF(Calc!$AO$241&lt;='财富模型'!$E$11*12,'Calc'!$W$17,'Calc'!$Y$17)-(IF('Calc'!$E$17=1,0,MIN(Calc!$AQ$240*(1+'财富模型'!$E$20/12)+'Calc'!$B$6,IF(Calc!$AO$241&lt;='财富模型'!$E$11*12,'Calc'!$W$17,'Calc'!$Y$17)))))))</x:f>
      </x:c>
      <x:c r="AU241" t="str">
        <x:f>IF(Calc!$AO$241&gt;'Calc'!$B$8,"",IF('Calc'!$E$17=1,0,MAX(Calc!$AU$240*(1+IF(Calc!$AO$241&lt;='财富模型'!$E$11*12,'财富模型'!$E$10,'财富模型'!$E$12)/12)-IF('Calc'!$E$17=1,0,IF(Calc!$AO$241&lt;='财富模型'!$E$11*12,'Calc'!$W$17,'Calc'!$Y$17)),0)))</x:f>
      </x:c>
    </x:row>
    <x:row r="242">
      <x:c r="A242" t="n">
        <x:v>221</x:v>
      </x:c>
      <x:c r="B242" t="str">
        <x:f>IF(Calc!$A$242&gt;'Calc'!$B$8,"",MAX(Calc!$B$241*(1+'财富模型'!$E$6/12)+('Calc'!$B$5-'财富模型'!$E$5-(IF('Calc'!$E$12=1,'财富模型'!$E$9,'财富模型'!$M$4+IF(Calc!$A$242&lt;='财富模型'!$E$11*12,'Calc'!$W$12,'Calc'!$Y$12)-(IF('Calc'!$E$12=1,0,MIN(Calc!$C$241*(1+'财富模型'!$E$20/12)+'Calc'!$B$6,IF(Calc!$A$242&lt;='财富模型'!$E$11*12,'Calc'!$W$12,'Calc'!$Y$12))))))),0))</x:f>
      </x:c>
      <x:c r="C242" t="str">
        <x:f>IF(Calc!$A$242&gt;'Calc'!$B$8,"",MAX(Calc!$C$241*(1+'财富模型'!$E$20/12)+'Calc'!$B$6-(IF('Calc'!$E$12=1,0,MIN(Calc!$C$241*(1+'财富模型'!$E$20/12)+'Calc'!$B$6,IF(Calc!$A$242&lt;='财富模型'!$E$11*12,'Calc'!$W$12,'Calc'!$Y$12)))),0))</x:f>
      </x:c>
      <x:c r="D242" t="str">
        <x:f>IF(Calc!$A$242&gt;'Calc'!$B$8,"",IF('Calc'!$E$12=1,'财富模型'!$E$9,'财富模型'!$M$4+IF(Calc!$A$242&lt;='财富模型'!$E$11*12,'Calc'!$W$12,'Calc'!$Y$12)-(IF('Calc'!$E$12=1,0,MIN(Calc!$C$241*(1+'财富模型'!$E$20/12)+'Calc'!$B$6,IF(Calc!$A$242&lt;='财富模型'!$E$11*12,'Calc'!$W$12,'Calc'!$Y$12))))))</x:f>
      </x:c>
      <x:c r="E242" t="str">
        <x:f>IF(Calc!$A$242&gt;'Calc'!$B$8,"",IF('Calc'!$E$12=1,0,MIN(Calc!$C$241*(1+'财富模型'!$E$20/12)+'Calc'!$B$6,IF(Calc!$A$242&lt;='财富模型'!$E$11*12,'Calc'!$W$12,'Calc'!$Y$12))))</x:f>
      </x:c>
      <x:c r="F242" t="str">
        <x:f>IF(Calc!$A$242&gt;'Calc'!$B$8,"",'Calc'!$B$5-'财富模型'!$E$5-(IF('Calc'!$E$12=1,'财富模型'!$E$9,'财富模型'!$M$4+IF(Calc!$A$242&lt;='财富模型'!$E$11*12,'Calc'!$W$12,'Calc'!$Y$12)-(IF('Calc'!$E$12=1,0,MIN(Calc!$C$241*(1+'财富模型'!$E$20/12)+'Calc'!$B$6,IF(Calc!$A$242&lt;='财富模型'!$E$11*12,'Calc'!$W$12,'Calc'!$Y$12)))))))</x:f>
      </x:c>
      <x:c r="G242" t="str">
        <x:f>IF(Calc!$A$242&gt;'Calc'!$B$8,"",IF('Calc'!$E$12=1,0,MAX(Calc!$G$241*(1+IF(Calc!$A$242&lt;='财富模型'!$E$11*12,'财富模型'!$E$10,'财富模型'!$E$12)/12)-IF('Calc'!$E$12=1,0,IF(Calc!$A$242&lt;='财富模型'!$E$11*12,'Calc'!$W$12,'Calc'!$Y$12)),0)))</x:f>
      </x:c>
      <x:c r="I242" t="n">
        <x:v>221</x:v>
      </x:c>
      <x:c r="J242" t="str">
        <x:f>IF(Calc!$I$242&gt;'Calc'!$B$8,"",MAX(Calc!$J$241*(1+'财富模型'!$E$6/12)+('Calc'!$B$5-'财富模型'!$E$5-(IF('Calc'!$E$13=1,'财富模型'!$E$9,'财富模型'!$M$5+IF(Calc!$I$242&lt;='财富模型'!$E$11*12,'Calc'!$W$13,'Calc'!$Y$13)-(IF('Calc'!$E$13=1,0,MIN(Calc!$K$241*(1+'财富模型'!$E$20/12)+'Calc'!$B$6,IF(Calc!$I$242&lt;='财富模型'!$E$11*12,'Calc'!$W$13,'Calc'!$Y$13))))))),0))</x:f>
      </x:c>
      <x:c r="K242" t="str">
        <x:f>IF(Calc!$I$242&gt;'Calc'!$B$8,"",MAX(Calc!$K$241*(1+'财富模型'!$E$20/12)+'Calc'!$B$6-(IF('Calc'!$E$13=1,0,MIN(Calc!$K$241*(1+'财富模型'!$E$20/12)+'Calc'!$B$6,IF(Calc!$I$242&lt;='财富模型'!$E$11*12,'Calc'!$W$13,'Calc'!$Y$13)))),0))</x:f>
      </x:c>
      <x:c r="L242" t="str">
        <x:f>IF(Calc!$I$242&gt;'Calc'!$B$8,"",IF('Calc'!$E$13=1,'财富模型'!$E$9,'财富模型'!$M$5+IF(Calc!$I$242&lt;='财富模型'!$E$11*12,'Calc'!$W$13,'Calc'!$Y$13)-(IF('Calc'!$E$13=1,0,MIN(Calc!$K$241*(1+'财富模型'!$E$20/12)+'Calc'!$B$6,IF(Calc!$I$242&lt;='财富模型'!$E$11*12,'Calc'!$W$13,'Calc'!$Y$13))))))</x:f>
      </x:c>
      <x:c r="M242" t="str">
        <x:f>IF(Calc!$I$242&gt;'Calc'!$B$8,"",IF('Calc'!$E$13=1,0,MIN(Calc!$K$241*(1+'财富模型'!$E$20/12)+'Calc'!$B$6,IF(Calc!$I$242&lt;='财富模型'!$E$11*12,'Calc'!$W$13,'Calc'!$Y$13))))</x:f>
      </x:c>
      <x:c r="N242" t="str">
        <x:f>IF(Calc!$I$242&gt;'Calc'!$B$8,"",'Calc'!$B$5-'财富模型'!$E$5-(IF('Calc'!$E$13=1,'财富模型'!$E$9,'财富模型'!$M$5+IF(Calc!$I$242&lt;='财富模型'!$E$11*12,'Calc'!$W$13,'Calc'!$Y$13)-(IF('Calc'!$E$13=1,0,MIN(Calc!$K$241*(1+'财富模型'!$E$20/12)+'Calc'!$B$6,IF(Calc!$I$242&lt;='财富模型'!$E$11*12,'Calc'!$W$13,'Calc'!$Y$13)))))))</x:f>
      </x:c>
      <x:c r="O242" t="str">
        <x:f>IF(Calc!$I$242&gt;'Calc'!$B$8,"",IF('Calc'!$E$13=1,0,MAX(Calc!$O$241*(1+IF(Calc!$I$242&lt;='财富模型'!$E$11*12,'财富模型'!$E$10,'财富模型'!$E$12)/12)-IF('Calc'!$E$13=1,0,IF(Calc!$I$242&lt;='财富模型'!$E$11*12,'Calc'!$W$13,'Calc'!$Y$13)),0)))</x:f>
      </x:c>
      <x:c r="Q242" t="n">
        <x:v>221</x:v>
      </x:c>
      <x:c r="R242" t="str">
        <x:f>IF(Calc!$Q$242&gt;'Calc'!$B$8,"",MAX(Calc!$R$241*(1+'财富模型'!$E$6/12)+('Calc'!$B$5-'财富模型'!$E$5-(IF('Calc'!$E$14=1,'财富模型'!$E$9,'财富模型'!$M$6+IF(Calc!$Q$242&lt;='财富模型'!$E$11*12,'Calc'!$W$14,'Calc'!$Y$14)-(IF('Calc'!$E$14=1,0,MIN(Calc!$S$241*(1+'财富模型'!$E$20/12)+'Calc'!$B$6,IF(Calc!$Q$242&lt;='财富模型'!$E$11*12,'Calc'!$W$14,'Calc'!$Y$14))))))),0))</x:f>
      </x:c>
      <x:c r="S242" t="str">
        <x:f>IF(Calc!$Q$242&gt;'Calc'!$B$8,"",MAX(Calc!$S$241*(1+'财富模型'!$E$20/12)+'Calc'!$B$6-(IF('Calc'!$E$14=1,0,MIN(Calc!$S$241*(1+'财富模型'!$E$20/12)+'Calc'!$B$6,IF(Calc!$Q$242&lt;='财富模型'!$E$11*12,'Calc'!$W$14,'Calc'!$Y$14)))),0))</x:f>
      </x:c>
      <x:c r="T242" t="str">
        <x:f>IF(Calc!$Q$242&gt;'Calc'!$B$8,"",IF('Calc'!$E$14=1,'财富模型'!$E$9,'财富模型'!$M$6+IF(Calc!$Q$242&lt;='财富模型'!$E$11*12,'Calc'!$W$14,'Calc'!$Y$14)-(IF('Calc'!$E$14=1,0,MIN(Calc!$S$241*(1+'财富模型'!$E$20/12)+'Calc'!$B$6,IF(Calc!$Q$242&lt;='财富模型'!$E$11*12,'Calc'!$W$14,'Calc'!$Y$14))))))</x:f>
      </x:c>
      <x:c r="U242" t="str">
        <x:f>IF(Calc!$Q$242&gt;'Calc'!$B$8,"",IF('Calc'!$E$14=1,0,MIN(Calc!$S$241*(1+'财富模型'!$E$20/12)+'Calc'!$B$6,IF(Calc!$Q$242&lt;='财富模型'!$E$11*12,'Calc'!$W$14,'Calc'!$Y$14))))</x:f>
      </x:c>
      <x:c r="V242" t="str">
        <x:f>IF(Calc!$Q$242&gt;'Calc'!$B$8,"",'Calc'!$B$5-'财富模型'!$E$5-(IF('Calc'!$E$14=1,'财富模型'!$E$9,'财富模型'!$M$6+IF(Calc!$Q$242&lt;='财富模型'!$E$11*12,'Calc'!$W$14,'Calc'!$Y$14)-(IF('Calc'!$E$14=1,0,MIN(Calc!$S$241*(1+'财富模型'!$E$20/12)+'Calc'!$B$6,IF(Calc!$Q$242&lt;='财富模型'!$E$11*12,'Calc'!$W$14,'Calc'!$Y$14)))))))</x:f>
      </x:c>
      <x:c r="W242" t="str">
        <x:f>IF(Calc!$Q$242&gt;'Calc'!$B$8,"",IF('Calc'!$E$14=1,0,MAX(Calc!$W$241*(1+IF(Calc!$Q$242&lt;='财富模型'!$E$11*12,'财富模型'!$E$10,'财富模型'!$E$12)/12)-IF('Calc'!$E$14=1,0,IF(Calc!$Q$242&lt;='财富模型'!$E$11*12,'Calc'!$W$14,'Calc'!$Y$14)),0)))</x:f>
      </x:c>
      <x:c r="Y242" t="n">
        <x:v>221</x:v>
      </x:c>
      <x:c r="Z242" t="str">
        <x:f>IF(Calc!$Y$242&gt;'Calc'!$B$8,"",MAX(Calc!$Z$241*(1+'财富模型'!$E$6/12)+('Calc'!$B$5-'财富模型'!$E$5-(IF('Calc'!$E$15=1,'财富模型'!$E$9,'财富模型'!$M$7+IF(Calc!$Y$242&lt;='财富模型'!$E$11*12,'Calc'!$W$15,'Calc'!$Y$15)-(IF('Calc'!$E$15=1,0,MIN(Calc!$AA$241*(1+'财富模型'!$E$20/12)+'Calc'!$B$6,IF(Calc!$Y$242&lt;='财富模型'!$E$11*12,'Calc'!$W$15,'Calc'!$Y$15))))))),0))</x:f>
      </x:c>
      <x:c r="AA242" t="str">
        <x:f>IF(Calc!$Y$242&gt;'Calc'!$B$8,"",MAX(Calc!$AA$241*(1+'财富模型'!$E$20/12)+'Calc'!$B$6-(IF('Calc'!$E$15=1,0,MIN(Calc!$AA$241*(1+'财富模型'!$E$20/12)+'Calc'!$B$6,IF(Calc!$Y$242&lt;='财富模型'!$E$11*12,'Calc'!$W$15,'Calc'!$Y$15)))),0))</x:f>
      </x:c>
      <x:c r="AB242" t="str">
        <x:f>IF(Calc!$Y$242&gt;'Calc'!$B$8,"",IF('Calc'!$E$15=1,'财富模型'!$E$9,'财富模型'!$M$7+IF(Calc!$Y$242&lt;='财富模型'!$E$11*12,'Calc'!$W$15,'Calc'!$Y$15)-(IF('Calc'!$E$15=1,0,MIN(Calc!$AA$241*(1+'财富模型'!$E$20/12)+'Calc'!$B$6,IF(Calc!$Y$242&lt;='财富模型'!$E$11*12,'Calc'!$W$15,'Calc'!$Y$15))))))</x:f>
      </x:c>
      <x:c r="AC242" t="str">
        <x:f>IF(Calc!$Y$242&gt;'Calc'!$B$8,"",IF('Calc'!$E$15=1,0,MIN(Calc!$AA$241*(1+'财富模型'!$E$20/12)+'Calc'!$B$6,IF(Calc!$Y$242&lt;='财富模型'!$E$11*12,'Calc'!$W$15,'Calc'!$Y$15))))</x:f>
      </x:c>
      <x:c r="AD242" t="str">
        <x:f>IF(Calc!$Y$242&gt;'Calc'!$B$8,"",'Calc'!$B$5-'财富模型'!$E$5-(IF('Calc'!$E$15=1,'财富模型'!$E$9,'财富模型'!$M$7+IF(Calc!$Y$242&lt;='财富模型'!$E$11*12,'Calc'!$W$15,'Calc'!$Y$15)-(IF('Calc'!$E$15=1,0,MIN(Calc!$AA$241*(1+'财富模型'!$E$20/12)+'Calc'!$B$6,IF(Calc!$Y$242&lt;='财富模型'!$E$11*12,'Calc'!$W$15,'Calc'!$Y$15)))))))</x:f>
      </x:c>
      <x:c r="AE242" t="str">
        <x:f>IF(Calc!$Y$242&gt;'Calc'!$B$8,"",IF('Calc'!$E$15=1,0,MAX(Calc!$AE$241*(1+IF(Calc!$Y$242&lt;='财富模型'!$E$11*12,'财富模型'!$E$10,'财富模型'!$E$12)/12)-IF('Calc'!$E$15=1,0,IF(Calc!$Y$242&lt;='财富模型'!$E$11*12,'Calc'!$W$15,'Calc'!$Y$15)),0)))</x:f>
      </x:c>
      <x:c r="AG242" t="n">
        <x:v>221</x:v>
      </x:c>
      <x:c r="AH242" t="str">
        <x:f>IF(Calc!$AG$242&gt;'Calc'!$B$8,"",MAX(Calc!$AH$241*(1+'财富模型'!$E$6/12)+('Calc'!$B$5-'财富模型'!$E$5-(IF('Calc'!$E$16=1,'财富模型'!$E$9,'财富模型'!$M$8+IF(Calc!$AG$242&lt;='财富模型'!$E$11*12,'Calc'!$W$16,'Calc'!$Y$16)-(IF('Calc'!$E$16=1,0,MIN(Calc!$AI$241*(1+'财富模型'!$E$20/12)+'Calc'!$B$6,IF(Calc!$AG$242&lt;='财富模型'!$E$11*12,'Calc'!$W$16,'Calc'!$Y$16))))))),0))</x:f>
      </x:c>
      <x:c r="AI242" t="str">
        <x:f>IF(Calc!$AG$242&gt;'Calc'!$B$8,"",MAX(Calc!$AI$241*(1+'财富模型'!$E$20/12)+'Calc'!$B$6-(IF('Calc'!$E$16=1,0,MIN(Calc!$AI$241*(1+'财富模型'!$E$20/12)+'Calc'!$B$6,IF(Calc!$AG$242&lt;='财富模型'!$E$11*12,'Calc'!$W$16,'Calc'!$Y$16)))),0))</x:f>
      </x:c>
      <x:c r="AJ242" t="str">
        <x:f>IF(Calc!$AG$242&gt;'Calc'!$B$8,"",IF('Calc'!$E$16=1,'财富模型'!$E$9,'财富模型'!$M$8+IF(Calc!$AG$242&lt;='财富模型'!$E$11*12,'Calc'!$W$16,'Calc'!$Y$16)-(IF('Calc'!$E$16=1,0,MIN(Calc!$AI$241*(1+'财富模型'!$E$20/12)+'Calc'!$B$6,IF(Calc!$AG$242&lt;='财富模型'!$E$11*12,'Calc'!$W$16,'Calc'!$Y$16))))))</x:f>
      </x:c>
      <x:c r="AK242" t="str">
        <x:f>IF(Calc!$AG$242&gt;'Calc'!$B$8,"",IF('Calc'!$E$16=1,0,MIN(Calc!$AI$241*(1+'财富模型'!$E$20/12)+'Calc'!$B$6,IF(Calc!$AG$242&lt;='财富模型'!$E$11*12,'Calc'!$W$16,'Calc'!$Y$16))))</x:f>
      </x:c>
      <x:c r="AL242" t="str">
        <x:f>IF(Calc!$AG$242&gt;'Calc'!$B$8,"",'Calc'!$B$5-'财富模型'!$E$5-(IF('Calc'!$E$16=1,'财富模型'!$E$9,'财富模型'!$M$8+IF(Calc!$AG$242&lt;='财富模型'!$E$11*12,'Calc'!$W$16,'Calc'!$Y$16)-(IF('Calc'!$E$16=1,0,MIN(Calc!$AI$241*(1+'财富模型'!$E$20/12)+'Calc'!$B$6,IF(Calc!$AG$242&lt;='财富模型'!$E$11*12,'Calc'!$W$16,'Calc'!$Y$16)))))))</x:f>
      </x:c>
      <x:c r="AM242" t="str">
        <x:f>IF(Calc!$AG$242&gt;'Calc'!$B$8,"",IF('Calc'!$E$16=1,0,MAX(Calc!$AM$241*(1+IF(Calc!$AG$242&lt;='财富模型'!$E$11*12,'财富模型'!$E$10,'财富模型'!$E$12)/12)-IF('Calc'!$E$16=1,0,IF(Calc!$AG$242&lt;='财富模型'!$E$11*12,'Calc'!$W$16,'Calc'!$Y$16)),0)))</x:f>
      </x:c>
      <x:c r="AO242" t="n">
        <x:v>221</x:v>
      </x:c>
      <x:c r="AP242" t="str">
        <x:f>IF(Calc!$AO$242&gt;'Calc'!$B$8,"",MAX(Calc!$AP$241*(1+'财富模型'!$E$6/12)+('Calc'!$B$5-'财富模型'!$E$5-(IF('Calc'!$E$17=1,'财富模型'!$E$9,'财富模型'!$M$9+IF(Calc!$AO$242&lt;='财富模型'!$E$11*12,'Calc'!$W$17,'Calc'!$Y$17)-(IF('Calc'!$E$17=1,0,MIN(Calc!$AQ$241*(1+'财富模型'!$E$20/12)+'Calc'!$B$6,IF(Calc!$AO$242&lt;='财富模型'!$E$11*12,'Calc'!$W$17,'Calc'!$Y$17))))))),0))</x:f>
      </x:c>
      <x:c r="AQ242" t="str">
        <x:f>IF(Calc!$AO$242&gt;'Calc'!$B$8,"",MAX(Calc!$AQ$241*(1+'财富模型'!$E$20/12)+'Calc'!$B$6-(IF('Calc'!$E$17=1,0,MIN(Calc!$AQ$241*(1+'财富模型'!$E$20/12)+'Calc'!$B$6,IF(Calc!$AO$242&lt;='财富模型'!$E$11*12,'Calc'!$W$17,'Calc'!$Y$17)))),0))</x:f>
      </x:c>
      <x:c r="AR242" t="str">
        <x:f>IF(Calc!$AO$242&gt;'Calc'!$B$8,"",IF('Calc'!$E$17=1,'财富模型'!$E$9,'财富模型'!$M$9+IF(Calc!$AO$242&lt;='财富模型'!$E$11*12,'Calc'!$W$17,'Calc'!$Y$17)-(IF('Calc'!$E$17=1,0,MIN(Calc!$AQ$241*(1+'财富模型'!$E$20/12)+'Calc'!$B$6,IF(Calc!$AO$242&lt;='财富模型'!$E$11*12,'Calc'!$W$17,'Calc'!$Y$17))))))</x:f>
      </x:c>
      <x:c r="AS242" t="str">
        <x:f>IF(Calc!$AO$242&gt;'Calc'!$B$8,"",IF('Calc'!$E$17=1,0,MIN(Calc!$AQ$241*(1+'财富模型'!$E$20/12)+'Calc'!$B$6,IF(Calc!$AO$242&lt;='财富模型'!$E$11*12,'Calc'!$W$17,'Calc'!$Y$17))))</x:f>
      </x:c>
      <x:c r="AT242" t="str">
        <x:f>IF(Calc!$AO$242&gt;'Calc'!$B$8,"",'Calc'!$B$5-'财富模型'!$E$5-(IF('Calc'!$E$17=1,'财富模型'!$E$9,'财富模型'!$M$9+IF(Calc!$AO$242&lt;='财富模型'!$E$11*12,'Calc'!$W$17,'Calc'!$Y$17)-(IF('Calc'!$E$17=1,0,MIN(Calc!$AQ$241*(1+'财富模型'!$E$20/12)+'Calc'!$B$6,IF(Calc!$AO$242&lt;='财富模型'!$E$11*12,'Calc'!$W$17,'Calc'!$Y$17)))))))</x:f>
      </x:c>
      <x:c r="AU242" t="str">
        <x:f>IF(Calc!$AO$242&gt;'Calc'!$B$8,"",IF('Calc'!$E$17=1,0,MAX(Calc!$AU$241*(1+IF(Calc!$AO$242&lt;='财富模型'!$E$11*12,'财富模型'!$E$10,'财富模型'!$E$12)/12)-IF('Calc'!$E$17=1,0,IF(Calc!$AO$242&lt;='财富模型'!$E$11*12,'Calc'!$W$17,'Calc'!$Y$17)),0)))</x:f>
      </x:c>
    </x:row>
    <x:row r="243">
      <x:c r="A243" t="n">
        <x:v>222</x:v>
      </x:c>
      <x:c r="B243" t="str">
        <x:f>IF(Calc!$A$243&gt;'Calc'!$B$8,"",MAX(Calc!$B$242*(1+'财富模型'!$E$6/12)+('Calc'!$B$5-'财富模型'!$E$5-(IF('Calc'!$E$12=1,'财富模型'!$E$9,'财富模型'!$M$4+IF(Calc!$A$243&lt;='财富模型'!$E$11*12,'Calc'!$W$12,'Calc'!$Y$12)-(IF('Calc'!$E$12=1,0,MIN(Calc!$C$242*(1+'财富模型'!$E$20/12)+'Calc'!$B$6,IF(Calc!$A$243&lt;='财富模型'!$E$11*12,'Calc'!$W$12,'Calc'!$Y$12))))))),0))</x:f>
      </x:c>
      <x:c r="C243" t="str">
        <x:f>IF(Calc!$A$243&gt;'Calc'!$B$8,"",MAX(Calc!$C$242*(1+'财富模型'!$E$20/12)+'Calc'!$B$6-(IF('Calc'!$E$12=1,0,MIN(Calc!$C$242*(1+'财富模型'!$E$20/12)+'Calc'!$B$6,IF(Calc!$A$243&lt;='财富模型'!$E$11*12,'Calc'!$W$12,'Calc'!$Y$12)))),0))</x:f>
      </x:c>
      <x:c r="D243" t="str">
        <x:f>IF(Calc!$A$243&gt;'Calc'!$B$8,"",IF('Calc'!$E$12=1,'财富模型'!$E$9,'财富模型'!$M$4+IF(Calc!$A$243&lt;='财富模型'!$E$11*12,'Calc'!$W$12,'Calc'!$Y$12)-(IF('Calc'!$E$12=1,0,MIN(Calc!$C$242*(1+'财富模型'!$E$20/12)+'Calc'!$B$6,IF(Calc!$A$243&lt;='财富模型'!$E$11*12,'Calc'!$W$12,'Calc'!$Y$12))))))</x:f>
      </x:c>
      <x:c r="E243" t="str">
        <x:f>IF(Calc!$A$243&gt;'Calc'!$B$8,"",IF('Calc'!$E$12=1,0,MIN(Calc!$C$242*(1+'财富模型'!$E$20/12)+'Calc'!$B$6,IF(Calc!$A$243&lt;='财富模型'!$E$11*12,'Calc'!$W$12,'Calc'!$Y$12))))</x:f>
      </x:c>
      <x:c r="F243" t="str">
        <x:f>IF(Calc!$A$243&gt;'Calc'!$B$8,"",'Calc'!$B$5-'财富模型'!$E$5-(IF('Calc'!$E$12=1,'财富模型'!$E$9,'财富模型'!$M$4+IF(Calc!$A$243&lt;='财富模型'!$E$11*12,'Calc'!$W$12,'Calc'!$Y$12)-(IF('Calc'!$E$12=1,0,MIN(Calc!$C$242*(1+'财富模型'!$E$20/12)+'Calc'!$B$6,IF(Calc!$A$243&lt;='财富模型'!$E$11*12,'Calc'!$W$12,'Calc'!$Y$12)))))))</x:f>
      </x:c>
      <x:c r="G243" t="str">
        <x:f>IF(Calc!$A$243&gt;'Calc'!$B$8,"",IF('Calc'!$E$12=1,0,MAX(Calc!$G$242*(1+IF(Calc!$A$243&lt;='财富模型'!$E$11*12,'财富模型'!$E$10,'财富模型'!$E$12)/12)-IF('Calc'!$E$12=1,0,IF(Calc!$A$243&lt;='财富模型'!$E$11*12,'Calc'!$W$12,'Calc'!$Y$12)),0)))</x:f>
      </x:c>
      <x:c r="I243" t="n">
        <x:v>222</x:v>
      </x:c>
      <x:c r="J243" t="str">
        <x:f>IF(Calc!$I$243&gt;'Calc'!$B$8,"",MAX(Calc!$J$242*(1+'财富模型'!$E$6/12)+('Calc'!$B$5-'财富模型'!$E$5-(IF('Calc'!$E$13=1,'财富模型'!$E$9,'财富模型'!$M$5+IF(Calc!$I$243&lt;='财富模型'!$E$11*12,'Calc'!$W$13,'Calc'!$Y$13)-(IF('Calc'!$E$13=1,0,MIN(Calc!$K$242*(1+'财富模型'!$E$20/12)+'Calc'!$B$6,IF(Calc!$I$243&lt;='财富模型'!$E$11*12,'Calc'!$W$13,'Calc'!$Y$13))))))),0))</x:f>
      </x:c>
      <x:c r="K243" t="str">
        <x:f>IF(Calc!$I$243&gt;'Calc'!$B$8,"",MAX(Calc!$K$242*(1+'财富模型'!$E$20/12)+'Calc'!$B$6-(IF('Calc'!$E$13=1,0,MIN(Calc!$K$242*(1+'财富模型'!$E$20/12)+'Calc'!$B$6,IF(Calc!$I$243&lt;='财富模型'!$E$11*12,'Calc'!$W$13,'Calc'!$Y$13)))),0))</x:f>
      </x:c>
      <x:c r="L243" t="str">
        <x:f>IF(Calc!$I$243&gt;'Calc'!$B$8,"",IF('Calc'!$E$13=1,'财富模型'!$E$9,'财富模型'!$M$5+IF(Calc!$I$243&lt;='财富模型'!$E$11*12,'Calc'!$W$13,'Calc'!$Y$13)-(IF('Calc'!$E$13=1,0,MIN(Calc!$K$242*(1+'财富模型'!$E$20/12)+'Calc'!$B$6,IF(Calc!$I$243&lt;='财富模型'!$E$11*12,'Calc'!$W$13,'Calc'!$Y$13))))))</x:f>
      </x:c>
      <x:c r="M243" t="str">
        <x:f>IF(Calc!$I$243&gt;'Calc'!$B$8,"",IF('Calc'!$E$13=1,0,MIN(Calc!$K$242*(1+'财富模型'!$E$20/12)+'Calc'!$B$6,IF(Calc!$I$243&lt;='财富模型'!$E$11*12,'Calc'!$W$13,'Calc'!$Y$13))))</x:f>
      </x:c>
      <x:c r="N243" t="str">
        <x:f>IF(Calc!$I$243&gt;'Calc'!$B$8,"",'Calc'!$B$5-'财富模型'!$E$5-(IF('Calc'!$E$13=1,'财富模型'!$E$9,'财富模型'!$M$5+IF(Calc!$I$243&lt;='财富模型'!$E$11*12,'Calc'!$W$13,'Calc'!$Y$13)-(IF('Calc'!$E$13=1,0,MIN(Calc!$K$242*(1+'财富模型'!$E$20/12)+'Calc'!$B$6,IF(Calc!$I$243&lt;='财富模型'!$E$11*12,'Calc'!$W$13,'Calc'!$Y$13)))))))</x:f>
      </x:c>
      <x:c r="O243" t="str">
        <x:f>IF(Calc!$I$243&gt;'Calc'!$B$8,"",IF('Calc'!$E$13=1,0,MAX(Calc!$O$242*(1+IF(Calc!$I$243&lt;='财富模型'!$E$11*12,'财富模型'!$E$10,'财富模型'!$E$12)/12)-IF('Calc'!$E$13=1,0,IF(Calc!$I$243&lt;='财富模型'!$E$11*12,'Calc'!$W$13,'Calc'!$Y$13)),0)))</x:f>
      </x:c>
      <x:c r="Q243" t="n">
        <x:v>222</x:v>
      </x:c>
      <x:c r="R243" t="str">
        <x:f>IF(Calc!$Q$243&gt;'Calc'!$B$8,"",MAX(Calc!$R$242*(1+'财富模型'!$E$6/12)+('Calc'!$B$5-'财富模型'!$E$5-(IF('Calc'!$E$14=1,'财富模型'!$E$9,'财富模型'!$M$6+IF(Calc!$Q$243&lt;='财富模型'!$E$11*12,'Calc'!$W$14,'Calc'!$Y$14)-(IF('Calc'!$E$14=1,0,MIN(Calc!$S$242*(1+'财富模型'!$E$20/12)+'Calc'!$B$6,IF(Calc!$Q$243&lt;='财富模型'!$E$11*12,'Calc'!$W$14,'Calc'!$Y$14))))))),0))</x:f>
      </x:c>
      <x:c r="S243" t="str">
        <x:f>IF(Calc!$Q$243&gt;'Calc'!$B$8,"",MAX(Calc!$S$242*(1+'财富模型'!$E$20/12)+'Calc'!$B$6-(IF('Calc'!$E$14=1,0,MIN(Calc!$S$242*(1+'财富模型'!$E$20/12)+'Calc'!$B$6,IF(Calc!$Q$243&lt;='财富模型'!$E$11*12,'Calc'!$W$14,'Calc'!$Y$14)))),0))</x:f>
      </x:c>
      <x:c r="T243" t="str">
        <x:f>IF(Calc!$Q$243&gt;'Calc'!$B$8,"",IF('Calc'!$E$14=1,'财富模型'!$E$9,'财富模型'!$M$6+IF(Calc!$Q$243&lt;='财富模型'!$E$11*12,'Calc'!$W$14,'Calc'!$Y$14)-(IF('Calc'!$E$14=1,0,MIN(Calc!$S$242*(1+'财富模型'!$E$20/12)+'Calc'!$B$6,IF(Calc!$Q$243&lt;='财富模型'!$E$11*12,'Calc'!$W$14,'Calc'!$Y$14))))))</x:f>
      </x:c>
      <x:c r="U243" t="str">
        <x:f>IF(Calc!$Q$243&gt;'Calc'!$B$8,"",IF('Calc'!$E$14=1,0,MIN(Calc!$S$242*(1+'财富模型'!$E$20/12)+'Calc'!$B$6,IF(Calc!$Q$243&lt;='财富模型'!$E$11*12,'Calc'!$W$14,'Calc'!$Y$14))))</x:f>
      </x:c>
      <x:c r="V243" t="str">
        <x:f>IF(Calc!$Q$243&gt;'Calc'!$B$8,"",'Calc'!$B$5-'财富模型'!$E$5-(IF('Calc'!$E$14=1,'财富模型'!$E$9,'财富模型'!$M$6+IF(Calc!$Q$243&lt;='财富模型'!$E$11*12,'Calc'!$W$14,'Calc'!$Y$14)-(IF('Calc'!$E$14=1,0,MIN(Calc!$S$242*(1+'财富模型'!$E$20/12)+'Calc'!$B$6,IF(Calc!$Q$243&lt;='财富模型'!$E$11*12,'Calc'!$W$14,'Calc'!$Y$14)))))))</x:f>
      </x:c>
      <x:c r="W243" t="str">
        <x:f>IF(Calc!$Q$243&gt;'Calc'!$B$8,"",IF('Calc'!$E$14=1,0,MAX(Calc!$W$242*(1+IF(Calc!$Q$243&lt;='财富模型'!$E$11*12,'财富模型'!$E$10,'财富模型'!$E$12)/12)-IF('Calc'!$E$14=1,0,IF(Calc!$Q$243&lt;='财富模型'!$E$11*12,'Calc'!$W$14,'Calc'!$Y$14)),0)))</x:f>
      </x:c>
      <x:c r="Y243" t="n">
        <x:v>222</x:v>
      </x:c>
      <x:c r="Z243" t="str">
        <x:f>IF(Calc!$Y$243&gt;'Calc'!$B$8,"",MAX(Calc!$Z$242*(1+'财富模型'!$E$6/12)+('Calc'!$B$5-'财富模型'!$E$5-(IF('Calc'!$E$15=1,'财富模型'!$E$9,'财富模型'!$M$7+IF(Calc!$Y$243&lt;='财富模型'!$E$11*12,'Calc'!$W$15,'Calc'!$Y$15)-(IF('Calc'!$E$15=1,0,MIN(Calc!$AA$242*(1+'财富模型'!$E$20/12)+'Calc'!$B$6,IF(Calc!$Y$243&lt;='财富模型'!$E$11*12,'Calc'!$W$15,'Calc'!$Y$15))))))),0))</x:f>
      </x:c>
      <x:c r="AA243" t="str">
        <x:f>IF(Calc!$Y$243&gt;'Calc'!$B$8,"",MAX(Calc!$AA$242*(1+'财富模型'!$E$20/12)+'Calc'!$B$6-(IF('Calc'!$E$15=1,0,MIN(Calc!$AA$242*(1+'财富模型'!$E$20/12)+'Calc'!$B$6,IF(Calc!$Y$243&lt;='财富模型'!$E$11*12,'Calc'!$W$15,'Calc'!$Y$15)))),0))</x:f>
      </x:c>
      <x:c r="AB243" t="str">
        <x:f>IF(Calc!$Y$243&gt;'Calc'!$B$8,"",IF('Calc'!$E$15=1,'财富模型'!$E$9,'财富模型'!$M$7+IF(Calc!$Y$243&lt;='财富模型'!$E$11*12,'Calc'!$W$15,'Calc'!$Y$15)-(IF('Calc'!$E$15=1,0,MIN(Calc!$AA$242*(1+'财富模型'!$E$20/12)+'Calc'!$B$6,IF(Calc!$Y$243&lt;='财富模型'!$E$11*12,'Calc'!$W$15,'Calc'!$Y$15))))))</x:f>
      </x:c>
      <x:c r="AC243" t="str">
        <x:f>IF(Calc!$Y$243&gt;'Calc'!$B$8,"",IF('Calc'!$E$15=1,0,MIN(Calc!$AA$242*(1+'财富模型'!$E$20/12)+'Calc'!$B$6,IF(Calc!$Y$243&lt;='财富模型'!$E$11*12,'Calc'!$W$15,'Calc'!$Y$15))))</x:f>
      </x:c>
      <x:c r="AD243" t="str">
        <x:f>IF(Calc!$Y$243&gt;'Calc'!$B$8,"",'Calc'!$B$5-'财富模型'!$E$5-(IF('Calc'!$E$15=1,'财富模型'!$E$9,'财富模型'!$M$7+IF(Calc!$Y$243&lt;='财富模型'!$E$11*12,'Calc'!$W$15,'Calc'!$Y$15)-(IF('Calc'!$E$15=1,0,MIN(Calc!$AA$242*(1+'财富模型'!$E$20/12)+'Calc'!$B$6,IF(Calc!$Y$243&lt;='财富模型'!$E$11*12,'Calc'!$W$15,'Calc'!$Y$15)))))))</x:f>
      </x:c>
      <x:c r="AE243" t="str">
        <x:f>IF(Calc!$Y$243&gt;'Calc'!$B$8,"",IF('Calc'!$E$15=1,0,MAX(Calc!$AE$242*(1+IF(Calc!$Y$243&lt;='财富模型'!$E$11*12,'财富模型'!$E$10,'财富模型'!$E$12)/12)-IF('Calc'!$E$15=1,0,IF(Calc!$Y$243&lt;='财富模型'!$E$11*12,'Calc'!$W$15,'Calc'!$Y$15)),0)))</x:f>
      </x:c>
      <x:c r="AG243" t="n">
        <x:v>222</x:v>
      </x:c>
      <x:c r="AH243" t="str">
        <x:f>IF(Calc!$AG$243&gt;'Calc'!$B$8,"",MAX(Calc!$AH$242*(1+'财富模型'!$E$6/12)+('Calc'!$B$5-'财富模型'!$E$5-(IF('Calc'!$E$16=1,'财富模型'!$E$9,'财富模型'!$M$8+IF(Calc!$AG$243&lt;='财富模型'!$E$11*12,'Calc'!$W$16,'Calc'!$Y$16)-(IF('Calc'!$E$16=1,0,MIN(Calc!$AI$242*(1+'财富模型'!$E$20/12)+'Calc'!$B$6,IF(Calc!$AG$243&lt;='财富模型'!$E$11*12,'Calc'!$W$16,'Calc'!$Y$16))))))),0))</x:f>
      </x:c>
      <x:c r="AI243" t="str">
        <x:f>IF(Calc!$AG$243&gt;'Calc'!$B$8,"",MAX(Calc!$AI$242*(1+'财富模型'!$E$20/12)+'Calc'!$B$6-(IF('Calc'!$E$16=1,0,MIN(Calc!$AI$242*(1+'财富模型'!$E$20/12)+'Calc'!$B$6,IF(Calc!$AG$243&lt;='财富模型'!$E$11*12,'Calc'!$W$16,'Calc'!$Y$16)))),0))</x:f>
      </x:c>
      <x:c r="AJ243" t="str">
        <x:f>IF(Calc!$AG$243&gt;'Calc'!$B$8,"",IF('Calc'!$E$16=1,'财富模型'!$E$9,'财富模型'!$M$8+IF(Calc!$AG$243&lt;='财富模型'!$E$11*12,'Calc'!$W$16,'Calc'!$Y$16)-(IF('Calc'!$E$16=1,0,MIN(Calc!$AI$242*(1+'财富模型'!$E$20/12)+'Calc'!$B$6,IF(Calc!$AG$243&lt;='财富模型'!$E$11*12,'Calc'!$W$16,'Calc'!$Y$16))))))</x:f>
      </x:c>
      <x:c r="AK243" t="str">
        <x:f>IF(Calc!$AG$243&gt;'Calc'!$B$8,"",IF('Calc'!$E$16=1,0,MIN(Calc!$AI$242*(1+'财富模型'!$E$20/12)+'Calc'!$B$6,IF(Calc!$AG$243&lt;='财富模型'!$E$11*12,'Calc'!$W$16,'Calc'!$Y$16))))</x:f>
      </x:c>
      <x:c r="AL243" t="str">
        <x:f>IF(Calc!$AG$243&gt;'Calc'!$B$8,"",'Calc'!$B$5-'财富模型'!$E$5-(IF('Calc'!$E$16=1,'财富模型'!$E$9,'财富模型'!$M$8+IF(Calc!$AG$243&lt;='财富模型'!$E$11*12,'Calc'!$W$16,'Calc'!$Y$16)-(IF('Calc'!$E$16=1,0,MIN(Calc!$AI$242*(1+'财富模型'!$E$20/12)+'Calc'!$B$6,IF(Calc!$AG$243&lt;='财富模型'!$E$11*12,'Calc'!$W$16,'Calc'!$Y$16)))))))</x:f>
      </x:c>
      <x:c r="AM243" t="str">
        <x:f>IF(Calc!$AG$243&gt;'Calc'!$B$8,"",IF('Calc'!$E$16=1,0,MAX(Calc!$AM$242*(1+IF(Calc!$AG$243&lt;='财富模型'!$E$11*12,'财富模型'!$E$10,'财富模型'!$E$12)/12)-IF('Calc'!$E$16=1,0,IF(Calc!$AG$243&lt;='财富模型'!$E$11*12,'Calc'!$W$16,'Calc'!$Y$16)),0)))</x:f>
      </x:c>
      <x:c r="AO243" t="n">
        <x:v>222</x:v>
      </x:c>
      <x:c r="AP243" t="str">
        <x:f>IF(Calc!$AO$243&gt;'Calc'!$B$8,"",MAX(Calc!$AP$242*(1+'财富模型'!$E$6/12)+('Calc'!$B$5-'财富模型'!$E$5-(IF('Calc'!$E$17=1,'财富模型'!$E$9,'财富模型'!$M$9+IF(Calc!$AO$243&lt;='财富模型'!$E$11*12,'Calc'!$W$17,'Calc'!$Y$17)-(IF('Calc'!$E$17=1,0,MIN(Calc!$AQ$242*(1+'财富模型'!$E$20/12)+'Calc'!$B$6,IF(Calc!$AO$243&lt;='财富模型'!$E$11*12,'Calc'!$W$17,'Calc'!$Y$17))))))),0))</x:f>
      </x:c>
      <x:c r="AQ243" t="str">
        <x:f>IF(Calc!$AO$243&gt;'Calc'!$B$8,"",MAX(Calc!$AQ$242*(1+'财富模型'!$E$20/12)+'Calc'!$B$6-(IF('Calc'!$E$17=1,0,MIN(Calc!$AQ$242*(1+'财富模型'!$E$20/12)+'Calc'!$B$6,IF(Calc!$AO$243&lt;='财富模型'!$E$11*12,'Calc'!$W$17,'Calc'!$Y$17)))),0))</x:f>
      </x:c>
      <x:c r="AR243" t="str">
        <x:f>IF(Calc!$AO$243&gt;'Calc'!$B$8,"",IF('Calc'!$E$17=1,'财富模型'!$E$9,'财富模型'!$M$9+IF(Calc!$AO$243&lt;='财富模型'!$E$11*12,'Calc'!$W$17,'Calc'!$Y$17)-(IF('Calc'!$E$17=1,0,MIN(Calc!$AQ$242*(1+'财富模型'!$E$20/12)+'Calc'!$B$6,IF(Calc!$AO$243&lt;='财富模型'!$E$11*12,'Calc'!$W$17,'Calc'!$Y$17))))))</x:f>
      </x:c>
      <x:c r="AS243" t="str">
        <x:f>IF(Calc!$AO$243&gt;'Calc'!$B$8,"",IF('Calc'!$E$17=1,0,MIN(Calc!$AQ$242*(1+'财富模型'!$E$20/12)+'Calc'!$B$6,IF(Calc!$AO$243&lt;='财富模型'!$E$11*12,'Calc'!$W$17,'Calc'!$Y$17))))</x:f>
      </x:c>
      <x:c r="AT243" t="str">
        <x:f>IF(Calc!$AO$243&gt;'Calc'!$B$8,"",'Calc'!$B$5-'财富模型'!$E$5-(IF('Calc'!$E$17=1,'财富模型'!$E$9,'财富模型'!$M$9+IF(Calc!$AO$243&lt;='财富模型'!$E$11*12,'Calc'!$W$17,'Calc'!$Y$17)-(IF('Calc'!$E$17=1,0,MIN(Calc!$AQ$242*(1+'财富模型'!$E$20/12)+'Calc'!$B$6,IF(Calc!$AO$243&lt;='财富模型'!$E$11*12,'Calc'!$W$17,'Calc'!$Y$17)))))))</x:f>
      </x:c>
      <x:c r="AU243" t="str">
        <x:f>IF(Calc!$AO$243&gt;'Calc'!$B$8,"",IF('Calc'!$E$17=1,0,MAX(Calc!$AU$242*(1+IF(Calc!$AO$243&lt;='财富模型'!$E$11*12,'财富模型'!$E$10,'财富模型'!$E$12)/12)-IF('Calc'!$E$17=1,0,IF(Calc!$AO$243&lt;='财富模型'!$E$11*12,'Calc'!$W$17,'Calc'!$Y$17)),0)))</x:f>
      </x:c>
    </x:row>
    <x:row r="244">
      <x:c r="A244" t="n">
        <x:v>223</x:v>
      </x:c>
      <x:c r="B244" t="str">
        <x:f>IF(Calc!$A$244&gt;'Calc'!$B$8,"",MAX(Calc!$B$243*(1+'财富模型'!$E$6/12)+('Calc'!$B$5-'财富模型'!$E$5-(IF('Calc'!$E$12=1,'财富模型'!$E$9,'财富模型'!$M$4+IF(Calc!$A$244&lt;='财富模型'!$E$11*12,'Calc'!$W$12,'Calc'!$Y$12)-(IF('Calc'!$E$12=1,0,MIN(Calc!$C$243*(1+'财富模型'!$E$20/12)+'Calc'!$B$6,IF(Calc!$A$244&lt;='财富模型'!$E$11*12,'Calc'!$W$12,'Calc'!$Y$12))))))),0))</x:f>
      </x:c>
      <x:c r="C244" t="str">
        <x:f>IF(Calc!$A$244&gt;'Calc'!$B$8,"",MAX(Calc!$C$243*(1+'财富模型'!$E$20/12)+'Calc'!$B$6-(IF('Calc'!$E$12=1,0,MIN(Calc!$C$243*(1+'财富模型'!$E$20/12)+'Calc'!$B$6,IF(Calc!$A$244&lt;='财富模型'!$E$11*12,'Calc'!$W$12,'Calc'!$Y$12)))),0))</x:f>
      </x:c>
      <x:c r="D244" t="str">
        <x:f>IF(Calc!$A$244&gt;'Calc'!$B$8,"",IF('Calc'!$E$12=1,'财富模型'!$E$9,'财富模型'!$M$4+IF(Calc!$A$244&lt;='财富模型'!$E$11*12,'Calc'!$W$12,'Calc'!$Y$12)-(IF('Calc'!$E$12=1,0,MIN(Calc!$C$243*(1+'财富模型'!$E$20/12)+'Calc'!$B$6,IF(Calc!$A$244&lt;='财富模型'!$E$11*12,'Calc'!$W$12,'Calc'!$Y$12))))))</x:f>
      </x:c>
      <x:c r="E244" t="str">
        <x:f>IF(Calc!$A$244&gt;'Calc'!$B$8,"",IF('Calc'!$E$12=1,0,MIN(Calc!$C$243*(1+'财富模型'!$E$20/12)+'Calc'!$B$6,IF(Calc!$A$244&lt;='财富模型'!$E$11*12,'Calc'!$W$12,'Calc'!$Y$12))))</x:f>
      </x:c>
      <x:c r="F244" t="str">
        <x:f>IF(Calc!$A$244&gt;'Calc'!$B$8,"",'Calc'!$B$5-'财富模型'!$E$5-(IF('Calc'!$E$12=1,'财富模型'!$E$9,'财富模型'!$M$4+IF(Calc!$A$244&lt;='财富模型'!$E$11*12,'Calc'!$W$12,'Calc'!$Y$12)-(IF('Calc'!$E$12=1,0,MIN(Calc!$C$243*(1+'财富模型'!$E$20/12)+'Calc'!$B$6,IF(Calc!$A$244&lt;='财富模型'!$E$11*12,'Calc'!$W$12,'Calc'!$Y$12)))))))</x:f>
      </x:c>
      <x:c r="G244" t="str">
        <x:f>IF(Calc!$A$244&gt;'Calc'!$B$8,"",IF('Calc'!$E$12=1,0,MAX(Calc!$G$243*(1+IF(Calc!$A$244&lt;='财富模型'!$E$11*12,'财富模型'!$E$10,'财富模型'!$E$12)/12)-IF('Calc'!$E$12=1,0,IF(Calc!$A$244&lt;='财富模型'!$E$11*12,'Calc'!$W$12,'Calc'!$Y$12)),0)))</x:f>
      </x:c>
      <x:c r="I244" t="n">
        <x:v>223</x:v>
      </x:c>
      <x:c r="J244" t="str">
        <x:f>IF(Calc!$I$244&gt;'Calc'!$B$8,"",MAX(Calc!$J$243*(1+'财富模型'!$E$6/12)+('Calc'!$B$5-'财富模型'!$E$5-(IF('Calc'!$E$13=1,'财富模型'!$E$9,'财富模型'!$M$5+IF(Calc!$I$244&lt;='财富模型'!$E$11*12,'Calc'!$W$13,'Calc'!$Y$13)-(IF('Calc'!$E$13=1,0,MIN(Calc!$K$243*(1+'财富模型'!$E$20/12)+'Calc'!$B$6,IF(Calc!$I$244&lt;='财富模型'!$E$11*12,'Calc'!$W$13,'Calc'!$Y$13))))))),0))</x:f>
      </x:c>
      <x:c r="K244" t="str">
        <x:f>IF(Calc!$I$244&gt;'Calc'!$B$8,"",MAX(Calc!$K$243*(1+'财富模型'!$E$20/12)+'Calc'!$B$6-(IF('Calc'!$E$13=1,0,MIN(Calc!$K$243*(1+'财富模型'!$E$20/12)+'Calc'!$B$6,IF(Calc!$I$244&lt;='财富模型'!$E$11*12,'Calc'!$W$13,'Calc'!$Y$13)))),0))</x:f>
      </x:c>
      <x:c r="L244" t="str">
        <x:f>IF(Calc!$I$244&gt;'Calc'!$B$8,"",IF('Calc'!$E$13=1,'财富模型'!$E$9,'财富模型'!$M$5+IF(Calc!$I$244&lt;='财富模型'!$E$11*12,'Calc'!$W$13,'Calc'!$Y$13)-(IF('Calc'!$E$13=1,0,MIN(Calc!$K$243*(1+'财富模型'!$E$20/12)+'Calc'!$B$6,IF(Calc!$I$244&lt;='财富模型'!$E$11*12,'Calc'!$W$13,'Calc'!$Y$13))))))</x:f>
      </x:c>
      <x:c r="M244" t="str">
        <x:f>IF(Calc!$I$244&gt;'Calc'!$B$8,"",IF('Calc'!$E$13=1,0,MIN(Calc!$K$243*(1+'财富模型'!$E$20/12)+'Calc'!$B$6,IF(Calc!$I$244&lt;='财富模型'!$E$11*12,'Calc'!$W$13,'Calc'!$Y$13))))</x:f>
      </x:c>
      <x:c r="N244" t="str">
        <x:f>IF(Calc!$I$244&gt;'Calc'!$B$8,"",'Calc'!$B$5-'财富模型'!$E$5-(IF('Calc'!$E$13=1,'财富模型'!$E$9,'财富模型'!$M$5+IF(Calc!$I$244&lt;='财富模型'!$E$11*12,'Calc'!$W$13,'Calc'!$Y$13)-(IF('Calc'!$E$13=1,0,MIN(Calc!$K$243*(1+'财富模型'!$E$20/12)+'Calc'!$B$6,IF(Calc!$I$244&lt;='财富模型'!$E$11*12,'Calc'!$W$13,'Calc'!$Y$13)))))))</x:f>
      </x:c>
      <x:c r="O244" t="str">
        <x:f>IF(Calc!$I$244&gt;'Calc'!$B$8,"",IF('Calc'!$E$13=1,0,MAX(Calc!$O$243*(1+IF(Calc!$I$244&lt;='财富模型'!$E$11*12,'财富模型'!$E$10,'财富模型'!$E$12)/12)-IF('Calc'!$E$13=1,0,IF(Calc!$I$244&lt;='财富模型'!$E$11*12,'Calc'!$W$13,'Calc'!$Y$13)),0)))</x:f>
      </x:c>
      <x:c r="Q244" t="n">
        <x:v>223</x:v>
      </x:c>
      <x:c r="R244" t="str">
        <x:f>IF(Calc!$Q$244&gt;'Calc'!$B$8,"",MAX(Calc!$R$243*(1+'财富模型'!$E$6/12)+('Calc'!$B$5-'财富模型'!$E$5-(IF('Calc'!$E$14=1,'财富模型'!$E$9,'财富模型'!$M$6+IF(Calc!$Q$244&lt;='财富模型'!$E$11*12,'Calc'!$W$14,'Calc'!$Y$14)-(IF('Calc'!$E$14=1,0,MIN(Calc!$S$243*(1+'财富模型'!$E$20/12)+'Calc'!$B$6,IF(Calc!$Q$244&lt;='财富模型'!$E$11*12,'Calc'!$W$14,'Calc'!$Y$14))))))),0))</x:f>
      </x:c>
      <x:c r="S244" t="str">
        <x:f>IF(Calc!$Q$244&gt;'Calc'!$B$8,"",MAX(Calc!$S$243*(1+'财富模型'!$E$20/12)+'Calc'!$B$6-(IF('Calc'!$E$14=1,0,MIN(Calc!$S$243*(1+'财富模型'!$E$20/12)+'Calc'!$B$6,IF(Calc!$Q$244&lt;='财富模型'!$E$11*12,'Calc'!$W$14,'Calc'!$Y$14)))),0))</x:f>
      </x:c>
      <x:c r="T244" t="str">
        <x:f>IF(Calc!$Q$244&gt;'Calc'!$B$8,"",IF('Calc'!$E$14=1,'财富模型'!$E$9,'财富模型'!$M$6+IF(Calc!$Q$244&lt;='财富模型'!$E$11*12,'Calc'!$W$14,'Calc'!$Y$14)-(IF('Calc'!$E$14=1,0,MIN(Calc!$S$243*(1+'财富模型'!$E$20/12)+'Calc'!$B$6,IF(Calc!$Q$244&lt;='财富模型'!$E$11*12,'Calc'!$W$14,'Calc'!$Y$14))))))</x:f>
      </x:c>
      <x:c r="U244" t="str">
        <x:f>IF(Calc!$Q$244&gt;'Calc'!$B$8,"",IF('Calc'!$E$14=1,0,MIN(Calc!$S$243*(1+'财富模型'!$E$20/12)+'Calc'!$B$6,IF(Calc!$Q$244&lt;='财富模型'!$E$11*12,'Calc'!$W$14,'Calc'!$Y$14))))</x:f>
      </x:c>
      <x:c r="V244" t="str">
        <x:f>IF(Calc!$Q$244&gt;'Calc'!$B$8,"",'Calc'!$B$5-'财富模型'!$E$5-(IF('Calc'!$E$14=1,'财富模型'!$E$9,'财富模型'!$M$6+IF(Calc!$Q$244&lt;='财富模型'!$E$11*12,'Calc'!$W$14,'Calc'!$Y$14)-(IF('Calc'!$E$14=1,0,MIN(Calc!$S$243*(1+'财富模型'!$E$20/12)+'Calc'!$B$6,IF(Calc!$Q$244&lt;='财富模型'!$E$11*12,'Calc'!$W$14,'Calc'!$Y$14)))))))</x:f>
      </x:c>
      <x:c r="W244" t="str">
        <x:f>IF(Calc!$Q$244&gt;'Calc'!$B$8,"",IF('Calc'!$E$14=1,0,MAX(Calc!$W$243*(1+IF(Calc!$Q$244&lt;='财富模型'!$E$11*12,'财富模型'!$E$10,'财富模型'!$E$12)/12)-IF('Calc'!$E$14=1,0,IF(Calc!$Q$244&lt;='财富模型'!$E$11*12,'Calc'!$W$14,'Calc'!$Y$14)),0)))</x:f>
      </x:c>
      <x:c r="Y244" t="n">
        <x:v>223</x:v>
      </x:c>
      <x:c r="Z244" t="str">
        <x:f>IF(Calc!$Y$244&gt;'Calc'!$B$8,"",MAX(Calc!$Z$243*(1+'财富模型'!$E$6/12)+('Calc'!$B$5-'财富模型'!$E$5-(IF('Calc'!$E$15=1,'财富模型'!$E$9,'财富模型'!$M$7+IF(Calc!$Y$244&lt;='财富模型'!$E$11*12,'Calc'!$W$15,'Calc'!$Y$15)-(IF('Calc'!$E$15=1,0,MIN(Calc!$AA$243*(1+'财富模型'!$E$20/12)+'Calc'!$B$6,IF(Calc!$Y$244&lt;='财富模型'!$E$11*12,'Calc'!$W$15,'Calc'!$Y$15))))))),0))</x:f>
      </x:c>
      <x:c r="AA244" t="str">
        <x:f>IF(Calc!$Y$244&gt;'Calc'!$B$8,"",MAX(Calc!$AA$243*(1+'财富模型'!$E$20/12)+'Calc'!$B$6-(IF('Calc'!$E$15=1,0,MIN(Calc!$AA$243*(1+'财富模型'!$E$20/12)+'Calc'!$B$6,IF(Calc!$Y$244&lt;='财富模型'!$E$11*12,'Calc'!$W$15,'Calc'!$Y$15)))),0))</x:f>
      </x:c>
      <x:c r="AB244" t="str">
        <x:f>IF(Calc!$Y$244&gt;'Calc'!$B$8,"",IF('Calc'!$E$15=1,'财富模型'!$E$9,'财富模型'!$M$7+IF(Calc!$Y$244&lt;='财富模型'!$E$11*12,'Calc'!$W$15,'Calc'!$Y$15)-(IF('Calc'!$E$15=1,0,MIN(Calc!$AA$243*(1+'财富模型'!$E$20/12)+'Calc'!$B$6,IF(Calc!$Y$244&lt;='财富模型'!$E$11*12,'Calc'!$W$15,'Calc'!$Y$15))))))</x:f>
      </x:c>
      <x:c r="AC244" t="str">
        <x:f>IF(Calc!$Y$244&gt;'Calc'!$B$8,"",IF('Calc'!$E$15=1,0,MIN(Calc!$AA$243*(1+'财富模型'!$E$20/12)+'Calc'!$B$6,IF(Calc!$Y$244&lt;='财富模型'!$E$11*12,'Calc'!$W$15,'Calc'!$Y$15))))</x:f>
      </x:c>
      <x:c r="AD244" t="str">
        <x:f>IF(Calc!$Y$244&gt;'Calc'!$B$8,"",'Calc'!$B$5-'财富模型'!$E$5-(IF('Calc'!$E$15=1,'财富模型'!$E$9,'财富模型'!$M$7+IF(Calc!$Y$244&lt;='财富模型'!$E$11*12,'Calc'!$W$15,'Calc'!$Y$15)-(IF('Calc'!$E$15=1,0,MIN(Calc!$AA$243*(1+'财富模型'!$E$20/12)+'Calc'!$B$6,IF(Calc!$Y$244&lt;='财富模型'!$E$11*12,'Calc'!$W$15,'Calc'!$Y$15)))))))</x:f>
      </x:c>
      <x:c r="AE244" t="str">
        <x:f>IF(Calc!$Y$244&gt;'Calc'!$B$8,"",IF('Calc'!$E$15=1,0,MAX(Calc!$AE$243*(1+IF(Calc!$Y$244&lt;='财富模型'!$E$11*12,'财富模型'!$E$10,'财富模型'!$E$12)/12)-IF('Calc'!$E$15=1,0,IF(Calc!$Y$244&lt;='财富模型'!$E$11*12,'Calc'!$W$15,'Calc'!$Y$15)),0)))</x:f>
      </x:c>
      <x:c r="AG244" t="n">
        <x:v>223</x:v>
      </x:c>
      <x:c r="AH244" t="str">
        <x:f>IF(Calc!$AG$244&gt;'Calc'!$B$8,"",MAX(Calc!$AH$243*(1+'财富模型'!$E$6/12)+('Calc'!$B$5-'财富模型'!$E$5-(IF('Calc'!$E$16=1,'财富模型'!$E$9,'财富模型'!$M$8+IF(Calc!$AG$244&lt;='财富模型'!$E$11*12,'Calc'!$W$16,'Calc'!$Y$16)-(IF('Calc'!$E$16=1,0,MIN(Calc!$AI$243*(1+'财富模型'!$E$20/12)+'Calc'!$B$6,IF(Calc!$AG$244&lt;='财富模型'!$E$11*12,'Calc'!$W$16,'Calc'!$Y$16))))))),0))</x:f>
      </x:c>
      <x:c r="AI244" t="str">
        <x:f>IF(Calc!$AG$244&gt;'Calc'!$B$8,"",MAX(Calc!$AI$243*(1+'财富模型'!$E$20/12)+'Calc'!$B$6-(IF('Calc'!$E$16=1,0,MIN(Calc!$AI$243*(1+'财富模型'!$E$20/12)+'Calc'!$B$6,IF(Calc!$AG$244&lt;='财富模型'!$E$11*12,'Calc'!$W$16,'Calc'!$Y$16)))),0))</x:f>
      </x:c>
      <x:c r="AJ244" t="str">
        <x:f>IF(Calc!$AG$244&gt;'Calc'!$B$8,"",IF('Calc'!$E$16=1,'财富模型'!$E$9,'财富模型'!$M$8+IF(Calc!$AG$244&lt;='财富模型'!$E$11*12,'Calc'!$W$16,'Calc'!$Y$16)-(IF('Calc'!$E$16=1,0,MIN(Calc!$AI$243*(1+'财富模型'!$E$20/12)+'Calc'!$B$6,IF(Calc!$AG$244&lt;='财富模型'!$E$11*12,'Calc'!$W$16,'Calc'!$Y$16))))))</x:f>
      </x:c>
      <x:c r="AK244" t="str">
        <x:f>IF(Calc!$AG$244&gt;'Calc'!$B$8,"",IF('Calc'!$E$16=1,0,MIN(Calc!$AI$243*(1+'财富模型'!$E$20/12)+'Calc'!$B$6,IF(Calc!$AG$244&lt;='财富模型'!$E$11*12,'Calc'!$W$16,'Calc'!$Y$16))))</x:f>
      </x:c>
      <x:c r="AL244" t="str">
        <x:f>IF(Calc!$AG$244&gt;'Calc'!$B$8,"",'Calc'!$B$5-'财富模型'!$E$5-(IF('Calc'!$E$16=1,'财富模型'!$E$9,'财富模型'!$M$8+IF(Calc!$AG$244&lt;='财富模型'!$E$11*12,'Calc'!$W$16,'Calc'!$Y$16)-(IF('Calc'!$E$16=1,0,MIN(Calc!$AI$243*(1+'财富模型'!$E$20/12)+'Calc'!$B$6,IF(Calc!$AG$244&lt;='财富模型'!$E$11*12,'Calc'!$W$16,'Calc'!$Y$16)))))))</x:f>
      </x:c>
      <x:c r="AM244" t="str">
        <x:f>IF(Calc!$AG$244&gt;'Calc'!$B$8,"",IF('Calc'!$E$16=1,0,MAX(Calc!$AM$243*(1+IF(Calc!$AG$244&lt;='财富模型'!$E$11*12,'财富模型'!$E$10,'财富模型'!$E$12)/12)-IF('Calc'!$E$16=1,0,IF(Calc!$AG$244&lt;='财富模型'!$E$11*12,'Calc'!$W$16,'Calc'!$Y$16)),0)))</x:f>
      </x:c>
      <x:c r="AO244" t="n">
        <x:v>223</x:v>
      </x:c>
      <x:c r="AP244" t="str">
        <x:f>IF(Calc!$AO$244&gt;'Calc'!$B$8,"",MAX(Calc!$AP$243*(1+'财富模型'!$E$6/12)+('Calc'!$B$5-'财富模型'!$E$5-(IF('Calc'!$E$17=1,'财富模型'!$E$9,'财富模型'!$M$9+IF(Calc!$AO$244&lt;='财富模型'!$E$11*12,'Calc'!$W$17,'Calc'!$Y$17)-(IF('Calc'!$E$17=1,0,MIN(Calc!$AQ$243*(1+'财富模型'!$E$20/12)+'Calc'!$B$6,IF(Calc!$AO$244&lt;='财富模型'!$E$11*12,'Calc'!$W$17,'Calc'!$Y$17))))))),0))</x:f>
      </x:c>
      <x:c r="AQ244" t="str">
        <x:f>IF(Calc!$AO$244&gt;'Calc'!$B$8,"",MAX(Calc!$AQ$243*(1+'财富模型'!$E$20/12)+'Calc'!$B$6-(IF('Calc'!$E$17=1,0,MIN(Calc!$AQ$243*(1+'财富模型'!$E$20/12)+'Calc'!$B$6,IF(Calc!$AO$244&lt;='财富模型'!$E$11*12,'Calc'!$W$17,'Calc'!$Y$17)))),0))</x:f>
      </x:c>
      <x:c r="AR244" t="str">
        <x:f>IF(Calc!$AO$244&gt;'Calc'!$B$8,"",IF('Calc'!$E$17=1,'财富模型'!$E$9,'财富模型'!$M$9+IF(Calc!$AO$244&lt;='财富模型'!$E$11*12,'Calc'!$W$17,'Calc'!$Y$17)-(IF('Calc'!$E$17=1,0,MIN(Calc!$AQ$243*(1+'财富模型'!$E$20/12)+'Calc'!$B$6,IF(Calc!$AO$244&lt;='财富模型'!$E$11*12,'Calc'!$W$17,'Calc'!$Y$17))))))</x:f>
      </x:c>
      <x:c r="AS244" t="str">
        <x:f>IF(Calc!$AO$244&gt;'Calc'!$B$8,"",IF('Calc'!$E$17=1,0,MIN(Calc!$AQ$243*(1+'财富模型'!$E$20/12)+'Calc'!$B$6,IF(Calc!$AO$244&lt;='财富模型'!$E$11*12,'Calc'!$W$17,'Calc'!$Y$17))))</x:f>
      </x:c>
      <x:c r="AT244" t="str">
        <x:f>IF(Calc!$AO$244&gt;'Calc'!$B$8,"",'Calc'!$B$5-'财富模型'!$E$5-(IF('Calc'!$E$17=1,'财富模型'!$E$9,'财富模型'!$M$9+IF(Calc!$AO$244&lt;='财富模型'!$E$11*12,'Calc'!$W$17,'Calc'!$Y$17)-(IF('Calc'!$E$17=1,0,MIN(Calc!$AQ$243*(1+'财富模型'!$E$20/12)+'Calc'!$B$6,IF(Calc!$AO$244&lt;='财富模型'!$E$11*12,'Calc'!$W$17,'Calc'!$Y$17)))))))</x:f>
      </x:c>
      <x:c r="AU244" t="str">
        <x:f>IF(Calc!$AO$244&gt;'Calc'!$B$8,"",IF('Calc'!$E$17=1,0,MAX(Calc!$AU$243*(1+IF(Calc!$AO$244&lt;='财富模型'!$E$11*12,'财富模型'!$E$10,'财富模型'!$E$12)/12)-IF('Calc'!$E$17=1,0,IF(Calc!$AO$244&lt;='财富模型'!$E$11*12,'Calc'!$W$17,'Calc'!$Y$17)),0)))</x:f>
      </x:c>
    </x:row>
    <x:row r="245">
      <x:c r="A245" t="n">
        <x:v>224</x:v>
      </x:c>
      <x:c r="B245" t="str">
        <x:f>IF(Calc!$A$245&gt;'Calc'!$B$8,"",MAX(Calc!$B$244*(1+'财富模型'!$E$6/12)+('Calc'!$B$5-'财富模型'!$E$5-(IF('Calc'!$E$12=1,'财富模型'!$E$9,'财富模型'!$M$4+IF(Calc!$A$245&lt;='财富模型'!$E$11*12,'Calc'!$W$12,'Calc'!$Y$12)-(IF('Calc'!$E$12=1,0,MIN(Calc!$C$244*(1+'财富模型'!$E$20/12)+'Calc'!$B$6,IF(Calc!$A$245&lt;='财富模型'!$E$11*12,'Calc'!$W$12,'Calc'!$Y$12))))))),0))</x:f>
      </x:c>
      <x:c r="C245" t="str">
        <x:f>IF(Calc!$A$245&gt;'Calc'!$B$8,"",MAX(Calc!$C$244*(1+'财富模型'!$E$20/12)+'Calc'!$B$6-(IF('Calc'!$E$12=1,0,MIN(Calc!$C$244*(1+'财富模型'!$E$20/12)+'Calc'!$B$6,IF(Calc!$A$245&lt;='财富模型'!$E$11*12,'Calc'!$W$12,'Calc'!$Y$12)))),0))</x:f>
      </x:c>
      <x:c r="D245" t="str">
        <x:f>IF(Calc!$A$245&gt;'Calc'!$B$8,"",IF('Calc'!$E$12=1,'财富模型'!$E$9,'财富模型'!$M$4+IF(Calc!$A$245&lt;='财富模型'!$E$11*12,'Calc'!$W$12,'Calc'!$Y$12)-(IF('Calc'!$E$12=1,0,MIN(Calc!$C$244*(1+'财富模型'!$E$20/12)+'Calc'!$B$6,IF(Calc!$A$245&lt;='财富模型'!$E$11*12,'Calc'!$W$12,'Calc'!$Y$12))))))</x:f>
      </x:c>
      <x:c r="E245" t="str">
        <x:f>IF(Calc!$A$245&gt;'Calc'!$B$8,"",IF('Calc'!$E$12=1,0,MIN(Calc!$C$244*(1+'财富模型'!$E$20/12)+'Calc'!$B$6,IF(Calc!$A$245&lt;='财富模型'!$E$11*12,'Calc'!$W$12,'Calc'!$Y$12))))</x:f>
      </x:c>
      <x:c r="F245" t="str">
        <x:f>IF(Calc!$A$245&gt;'Calc'!$B$8,"",'Calc'!$B$5-'财富模型'!$E$5-(IF('Calc'!$E$12=1,'财富模型'!$E$9,'财富模型'!$M$4+IF(Calc!$A$245&lt;='财富模型'!$E$11*12,'Calc'!$W$12,'Calc'!$Y$12)-(IF('Calc'!$E$12=1,0,MIN(Calc!$C$244*(1+'财富模型'!$E$20/12)+'Calc'!$B$6,IF(Calc!$A$245&lt;='财富模型'!$E$11*12,'Calc'!$W$12,'Calc'!$Y$12)))))))</x:f>
      </x:c>
      <x:c r="G245" t="str">
        <x:f>IF(Calc!$A$245&gt;'Calc'!$B$8,"",IF('Calc'!$E$12=1,0,MAX(Calc!$G$244*(1+IF(Calc!$A$245&lt;='财富模型'!$E$11*12,'财富模型'!$E$10,'财富模型'!$E$12)/12)-IF('Calc'!$E$12=1,0,IF(Calc!$A$245&lt;='财富模型'!$E$11*12,'Calc'!$W$12,'Calc'!$Y$12)),0)))</x:f>
      </x:c>
      <x:c r="I245" t="n">
        <x:v>224</x:v>
      </x:c>
      <x:c r="J245" t="str">
        <x:f>IF(Calc!$I$245&gt;'Calc'!$B$8,"",MAX(Calc!$J$244*(1+'财富模型'!$E$6/12)+('Calc'!$B$5-'财富模型'!$E$5-(IF('Calc'!$E$13=1,'财富模型'!$E$9,'财富模型'!$M$5+IF(Calc!$I$245&lt;='财富模型'!$E$11*12,'Calc'!$W$13,'Calc'!$Y$13)-(IF('Calc'!$E$13=1,0,MIN(Calc!$K$244*(1+'财富模型'!$E$20/12)+'Calc'!$B$6,IF(Calc!$I$245&lt;='财富模型'!$E$11*12,'Calc'!$W$13,'Calc'!$Y$13))))))),0))</x:f>
      </x:c>
      <x:c r="K245" t="str">
        <x:f>IF(Calc!$I$245&gt;'Calc'!$B$8,"",MAX(Calc!$K$244*(1+'财富模型'!$E$20/12)+'Calc'!$B$6-(IF('Calc'!$E$13=1,0,MIN(Calc!$K$244*(1+'财富模型'!$E$20/12)+'Calc'!$B$6,IF(Calc!$I$245&lt;='财富模型'!$E$11*12,'Calc'!$W$13,'Calc'!$Y$13)))),0))</x:f>
      </x:c>
      <x:c r="L245" t="str">
        <x:f>IF(Calc!$I$245&gt;'Calc'!$B$8,"",IF('Calc'!$E$13=1,'财富模型'!$E$9,'财富模型'!$M$5+IF(Calc!$I$245&lt;='财富模型'!$E$11*12,'Calc'!$W$13,'Calc'!$Y$13)-(IF('Calc'!$E$13=1,0,MIN(Calc!$K$244*(1+'财富模型'!$E$20/12)+'Calc'!$B$6,IF(Calc!$I$245&lt;='财富模型'!$E$11*12,'Calc'!$W$13,'Calc'!$Y$13))))))</x:f>
      </x:c>
      <x:c r="M245" t="str">
        <x:f>IF(Calc!$I$245&gt;'Calc'!$B$8,"",IF('Calc'!$E$13=1,0,MIN(Calc!$K$244*(1+'财富模型'!$E$20/12)+'Calc'!$B$6,IF(Calc!$I$245&lt;='财富模型'!$E$11*12,'Calc'!$W$13,'Calc'!$Y$13))))</x:f>
      </x:c>
      <x:c r="N245" t="str">
        <x:f>IF(Calc!$I$245&gt;'Calc'!$B$8,"",'Calc'!$B$5-'财富模型'!$E$5-(IF('Calc'!$E$13=1,'财富模型'!$E$9,'财富模型'!$M$5+IF(Calc!$I$245&lt;='财富模型'!$E$11*12,'Calc'!$W$13,'Calc'!$Y$13)-(IF('Calc'!$E$13=1,0,MIN(Calc!$K$244*(1+'财富模型'!$E$20/12)+'Calc'!$B$6,IF(Calc!$I$245&lt;='财富模型'!$E$11*12,'Calc'!$W$13,'Calc'!$Y$13)))))))</x:f>
      </x:c>
      <x:c r="O245" t="str">
        <x:f>IF(Calc!$I$245&gt;'Calc'!$B$8,"",IF('Calc'!$E$13=1,0,MAX(Calc!$O$244*(1+IF(Calc!$I$245&lt;='财富模型'!$E$11*12,'财富模型'!$E$10,'财富模型'!$E$12)/12)-IF('Calc'!$E$13=1,0,IF(Calc!$I$245&lt;='财富模型'!$E$11*12,'Calc'!$W$13,'Calc'!$Y$13)),0)))</x:f>
      </x:c>
      <x:c r="Q245" t="n">
        <x:v>224</x:v>
      </x:c>
      <x:c r="R245" t="str">
        <x:f>IF(Calc!$Q$245&gt;'Calc'!$B$8,"",MAX(Calc!$R$244*(1+'财富模型'!$E$6/12)+('Calc'!$B$5-'财富模型'!$E$5-(IF('Calc'!$E$14=1,'财富模型'!$E$9,'财富模型'!$M$6+IF(Calc!$Q$245&lt;='财富模型'!$E$11*12,'Calc'!$W$14,'Calc'!$Y$14)-(IF('Calc'!$E$14=1,0,MIN(Calc!$S$244*(1+'财富模型'!$E$20/12)+'Calc'!$B$6,IF(Calc!$Q$245&lt;='财富模型'!$E$11*12,'Calc'!$W$14,'Calc'!$Y$14))))))),0))</x:f>
      </x:c>
      <x:c r="S245" t="str">
        <x:f>IF(Calc!$Q$245&gt;'Calc'!$B$8,"",MAX(Calc!$S$244*(1+'财富模型'!$E$20/12)+'Calc'!$B$6-(IF('Calc'!$E$14=1,0,MIN(Calc!$S$244*(1+'财富模型'!$E$20/12)+'Calc'!$B$6,IF(Calc!$Q$245&lt;='财富模型'!$E$11*12,'Calc'!$W$14,'Calc'!$Y$14)))),0))</x:f>
      </x:c>
      <x:c r="T245" t="str">
        <x:f>IF(Calc!$Q$245&gt;'Calc'!$B$8,"",IF('Calc'!$E$14=1,'财富模型'!$E$9,'财富模型'!$M$6+IF(Calc!$Q$245&lt;='财富模型'!$E$11*12,'Calc'!$W$14,'Calc'!$Y$14)-(IF('Calc'!$E$14=1,0,MIN(Calc!$S$244*(1+'财富模型'!$E$20/12)+'Calc'!$B$6,IF(Calc!$Q$245&lt;='财富模型'!$E$11*12,'Calc'!$W$14,'Calc'!$Y$14))))))</x:f>
      </x:c>
      <x:c r="U245" t="str">
        <x:f>IF(Calc!$Q$245&gt;'Calc'!$B$8,"",IF('Calc'!$E$14=1,0,MIN(Calc!$S$244*(1+'财富模型'!$E$20/12)+'Calc'!$B$6,IF(Calc!$Q$245&lt;='财富模型'!$E$11*12,'Calc'!$W$14,'Calc'!$Y$14))))</x:f>
      </x:c>
      <x:c r="V245" t="str">
        <x:f>IF(Calc!$Q$245&gt;'Calc'!$B$8,"",'Calc'!$B$5-'财富模型'!$E$5-(IF('Calc'!$E$14=1,'财富模型'!$E$9,'财富模型'!$M$6+IF(Calc!$Q$245&lt;='财富模型'!$E$11*12,'Calc'!$W$14,'Calc'!$Y$14)-(IF('Calc'!$E$14=1,0,MIN(Calc!$S$244*(1+'财富模型'!$E$20/12)+'Calc'!$B$6,IF(Calc!$Q$245&lt;='财富模型'!$E$11*12,'Calc'!$W$14,'Calc'!$Y$14)))))))</x:f>
      </x:c>
      <x:c r="W245" t="str">
        <x:f>IF(Calc!$Q$245&gt;'Calc'!$B$8,"",IF('Calc'!$E$14=1,0,MAX(Calc!$W$244*(1+IF(Calc!$Q$245&lt;='财富模型'!$E$11*12,'财富模型'!$E$10,'财富模型'!$E$12)/12)-IF('Calc'!$E$14=1,0,IF(Calc!$Q$245&lt;='财富模型'!$E$11*12,'Calc'!$W$14,'Calc'!$Y$14)),0)))</x:f>
      </x:c>
      <x:c r="Y245" t="n">
        <x:v>224</x:v>
      </x:c>
      <x:c r="Z245" t="str">
        <x:f>IF(Calc!$Y$245&gt;'Calc'!$B$8,"",MAX(Calc!$Z$244*(1+'财富模型'!$E$6/12)+('Calc'!$B$5-'财富模型'!$E$5-(IF('Calc'!$E$15=1,'财富模型'!$E$9,'财富模型'!$M$7+IF(Calc!$Y$245&lt;='财富模型'!$E$11*12,'Calc'!$W$15,'Calc'!$Y$15)-(IF('Calc'!$E$15=1,0,MIN(Calc!$AA$244*(1+'财富模型'!$E$20/12)+'Calc'!$B$6,IF(Calc!$Y$245&lt;='财富模型'!$E$11*12,'Calc'!$W$15,'Calc'!$Y$15))))))),0))</x:f>
      </x:c>
      <x:c r="AA245" t="str">
        <x:f>IF(Calc!$Y$245&gt;'Calc'!$B$8,"",MAX(Calc!$AA$244*(1+'财富模型'!$E$20/12)+'Calc'!$B$6-(IF('Calc'!$E$15=1,0,MIN(Calc!$AA$244*(1+'财富模型'!$E$20/12)+'Calc'!$B$6,IF(Calc!$Y$245&lt;='财富模型'!$E$11*12,'Calc'!$W$15,'Calc'!$Y$15)))),0))</x:f>
      </x:c>
      <x:c r="AB245" t="str">
        <x:f>IF(Calc!$Y$245&gt;'Calc'!$B$8,"",IF('Calc'!$E$15=1,'财富模型'!$E$9,'财富模型'!$M$7+IF(Calc!$Y$245&lt;='财富模型'!$E$11*12,'Calc'!$W$15,'Calc'!$Y$15)-(IF('Calc'!$E$15=1,0,MIN(Calc!$AA$244*(1+'财富模型'!$E$20/12)+'Calc'!$B$6,IF(Calc!$Y$245&lt;='财富模型'!$E$11*12,'Calc'!$W$15,'Calc'!$Y$15))))))</x:f>
      </x:c>
      <x:c r="AC245" t="str">
        <x:f>IF(Calc!$Y$245&gt;'Calc'!$B$8,"",IF('Calc'!$E$15=1,0,MIN(Calc!$AA$244*(1+'财富模型'!$E$20/12)+'Calc'!$B$6,IF(Calc!$Y$245&lt;='财富模型'!$E$11*12,'Calc'!$W$15,'Calc'!$Y$15))))</x:f>
      </x:c>
      <x:c r="AD245" t="str">
        <x:f>IF(Calc!$Y$245&gt;'Calc'!$B$8,"",'Calc'!$B$5-'财富模型'!$E$5-(IF('Calc'!$E$15=1,'财富模型'!$E$9,'财富模型'!$M$7+IF(Calc!$Y$245&lt;='财富模型'!$E$11*12,'Calc'!$W$15,'Calc'!$Y$15)-(IF('Calc'!$E$15=1,0,MIN(Calc!$AA$244*(1+'财富模型'!$E$20/12)+'Calc'!$B$6,IF(Calc!$Y$245&lt;='财富模型'!$E$11*12,'Calc'!$W$15,'Calc'!$Y$15)))))))</x:f>
      </x:c>
      <x:c r="AE245" t="str">
        <x:f>IF(Calc!$Y$245&gt;'Calc'!$B$8,"",IF('Calc'!$E$15=1,0,MAX(Calc!$AE$244*(1+IF(Calc!$Y$245&lt;='财富模型'!$E$11*12,'财富模型'!$E$10,'财富模型'!$E$12)/12)-IF('Calc'!$E$15=1,0,IF(Calc!$Y$245&lt;='财富模型'!$E$11*12,'Calc'!$W$15,'Calc'!$Y$15)),0)))</x:f>
      </x:c>
      <x:c r="AG245" t="n">
        <x:v>224</x:v>
      </x:c>
      <x:c r="AH245" t="str">
        <x:f>IF(Calc!$AG$245&gt;'Calc'!$B$8,"",MAX(Calc!$AH$244*(1+'财富模型'!$E$6/12)+('Calc'!$B$5-'财富模型'!$E$5-(IF('Calc'!$E$16=1,'财富模型'!$E$9,'财富模型'!$M$8+IF(Calc!$AG$245&lt;='财富模型'!$E$11*12,'Calc'!$W$16,'Calc'!$Y$16)-(IF('Calc'!$E$16=1,0,MIN(Calc!$AI$244*(1+'财富模型'!$E$20/12)+'Calc'!$B$6,IF(Calc!$AG$245&lt;='财富模型'!$E$11*12,'Calc'!$W$16,'Calc'!$Y$16))))))),0))</x:f>
      </x:c>
      <x:c r="AI245" t="str">
        <x:f>IF(Calc!$AG$245&gt;'Calc'!$B$8,"",MAX(Calc!$AI$244*(1+'财富模型'!$E$20/12)+'Calc'!$B$6-(IF('Calc'!$E$16=1,0,MIN(Calc!$AI$244*(1+'财富模型'!$E$20/12)+'Calc'!$B$6,IF(Calc!$AG$245&lt;='财富模型'!$E$11*12,'Calc'!$W$16,'Calc'!$Y$16)))),0))</x:f>
      </x:c>
      <x:c r="AJ245" t="str">
        <x:f>IF(Calc!$AG$245&gt;'Calc'!$B$8,"",IF('Calc'!$E$16=1,'财富模型'!$E$9,'财富模型'!$M$8+IF(Calc!$AG$245&lt;='财富模型'!$E$11*12,'Calc'!$W$16,'Calc'!$Y$16)-(IF('Calc'!$E$16=1,0,MIN(Calc!$AI$244*(1+'财富模型'!$E$20/12)+'Calc'!$B$6,IF(Calc!$AG$245&lt;='财富模型'!$E$11*12,'Calc'!$W$16,'Calc'!$Y$16))))))</x:f>
      </x:c>
      <x:c r="AK245" t="str">
        <x:f>IF(Calc!$AG$245&gt;'Calc'!$B$8,"",IF('Calc'!$E$16=1,0,MIN(Calc!$AI$244*(1+'财富模型'!$E$20/12)+'Calc'!$B$6,IF(Calc!$AG$245&lt;='财富模型'!$E$11*12,'Calc'!$W$16,'Calc'!$Y$16))))</x:f>
      </x:c>
      <x:c r="AL245" t="str">
        <x:f>IF(Calc!$AG$245&gt;'Calc'!$B$8,"",'Calc'!$B$5-'财富模型'!$E$5-(IF('Calc'!$E$16=1,'财富模型'!$E$9,'财富模型'!$M$8+IF(Calc!$AG$245&lt;='财富模型'!$E$11*12,'Calc'!$W$16,'Calc'!$Y$16)-(IF('Calc'!$E$16=1,0,MIN(Calc!$AI$244*(1+'财富模型'!$E$20/12)+'Calc'!$B$6,IF(Calc!$AG$245&lt;='财富模型'!$E$11*12,'Calc'!$W$16,'Calc'!$Y$16)))))))</x:f>
      </x:c>
      <x:c r="AM245" t="str">
        <x:f>IF(Calc!$AG$245&gt;'Calc'!$B$8,"",IF('Calc'!$E$16=1,0,MAX(Calc!$AM$244*(1+IF(Calc!$AG$245&lt;='财富模型'!$E$11*12,'财富模型'!$E$10,'财富模型'!$E$12)/12)-IF('Calc'!$E$16=1,0,IF(Calc!$AG$245&lt;='财富模型'!$E$11*12,'Calc'!$W$16,'Calc'!$Y$16)),0)))</x:f>
      </x:c>
      <x:c r="AO245" t="n">
        <x:v>224</x:v>
      </x:c>
      <x:c r="AP245" t="str">
        <x:f>IF(Calc!$AO$245&gt;'Calc'!$B$8,"",MAX(Calc!$AP$244*(1+'财富模型'!$E$6/12)+('Calc'!$B$5-'财富模型'!$E$5-(IF('Calc'!$E$17=1,'财富模型'!$E$9,'财富模型'!$M$9+IF(Calc!$AO$245&lt;='财富模型'!$E$11*12,'Calc'!$W$17,'Calc'!$Y$17)-(IF('Calc'!$E$17=1,0,MIN(Calc!$AQ$244*(1+'财富模型'!$E$20/12)+'Calc'!$B$6,IF(Calc!$AO$245&lt;='财富模型'!$E$11*12,'Calc'!$W$17,'Calc'!$Y$17))))))),0))</x:f>
      </x:c>
      <x:c r="AQ245" t="str">
        <x:f>IF(Calc!$AO$245&gt;'Calc'!$B$8,"",MAX(Calc!$AQ$244*(1+'财富模型'!$E$20/12)+'Calc'!$B$6-(IF('Calc'!$E$17=1,0,MIN(Calc!$AQ$244*(1+'财富模型'!$E$20/12)+'Calc'!$B$6,IF(Calc!$AO$245&lt;='财富模型'!$E$11*12,'Calc'!$W$17,'Calc'!$Y$17)))),0))</x:f>
      </x:c>
      <x:c r="AR245" t="str">
        <x:f>IF(Calc!$AO$245&gt;'Calc'!$B$8,"",IF('Calc'!$E$17=1,'财富模型'!$E$9,'财富模型'!$M$9+IF(Calc!$AO$245&lt;='财富模型'!$E$11*12,'Calc'!$W$17,'Calc'!$Y$17)-(IF('Calc'!$E$17=1,0,MIN(Calc!$AQ$244*(1+'财富模型'!$E$20/12)+'Calc'!$B$6,IF(Calc!$AO$245&lt;='财富模型'!$E$11*12,'Calc'!$W$17,'Calc'!$Y$17))))))</x:f>
      </x:c>
      <x:c r="AS245" t="str">
        <x:f>IF(Calc!$AO$245&gt;'Calc'!$B$8,"",IF('Calc'!$E$17=1,0,MIN(Calc!$AQ$244*(1+'财富模型'!$E$20/12)+'Calc'!$B$6,IF(Calc!$AO$245&lt;='财富模型'!$E$11*12,'Calc'!$W$17,'Calc'!$Y$17))))</x:f>
      </x:c>
      <x:c r="AT245" t="str">
        <x:f>IF(Calc!$AO$245&gt;'Calc'!$B$8,"",'Calc'!$B$5-'财富模型'!$E$5-(IF('Calc'!$E$17=1,'财富模型'!$E$9,'财富模型'!$M$9+IF(Calc!$AO$245&lt;='财富模型'!$E$11*12,'Calc'!$W$17,'Calc'!$Y$17)-(IF('Calc'!$E$17=1,0,MIN(Calc!$AQ$244*(1+'财富模型'!$E$20/12)+'Calc'!$B$6,IF(Calc!$AO$245&lt;='财富模型'!$E$11*12,'Calc'!$W$17,'Calc'!$Y$17)))))))</x:f>
      </x:c>
      <x:c r="AU245" t="str">
        <x:f>IF(Calc!$AO$245&gt;'Calc'!$B$8,"",IF('Calc'!$E$17=1,0,MAX(Calc!$AU$244*(1+IF(Calc!$AO$245&lt;='财富模型'!$E$11*12,'财富模型'!$E$10,'财富模型'!$E$12)/12)-IF('Calc'!$E$17=1,0,IF(Calc!$AO$245&lt;='财富模型'!$E$11*12,'Calc'!$W$17,'Calc'!$Y$17)),0)))</x:f>
      </x:c>
    </x:row>
    <x:row r="246">
      <x:c r="A246" t="n">
        <x:v>225</x:v>
      </x:c>
      <x:c r="B246" t="str">
        <x:f>IF(Calc!$A$246&gt;'Calc'!$B$8,"",MAX(Calc!$B$245*(1+'财富模型'!$E$6/12)+('Calc'!$B$5-'财富模型'!$E$5-(IF('Calc'!$E$12=1,'财富模型'!$E$9,'财富模型'!$M$4+IF(Calc!$A$246&lt;='财富模型'!$E$11*12,'Calc'!$W$12,'Calc'!$Y$12)-(IF('Calc'!$E$12=1,0,MIN(Calc!$C$245*(1+'财富模型'!$E$20/12)+'Calc'!$B$6,IF(Calc!$A$246&lt;='财富模型'!$E$11*12,'Calc'!$W$12,'Calc'!$Y$12))))))),0))</x:f>
      </x:c>
      <x:c r="C246" t="str">
        <x:f>IF(Calc!$A$246&gt;'Calc'!$B$8,"",MAX(Calc!$C$245*(1+'财富模型'!$E$20/12)+'Calc'!$B$6-(IF('Calc'!$E$12=1,0,MIN(Calc!$C$245*(1+'财富模型'!$E$20/12)+'Calc'!$B$6,IF(Calc!$A$246&lt;='财富模型'!$E$11*12,'Calc'!$W$12,'Calc'!$Y$12)))),0))</x:f>
      </x:c>
      <x:c r="D246" t="str">
        <x:f>IF(Calc!$A$246&gt;'Calc'!$B$8,"",IF('Calc'!$E$12=1,'财富模型'!$E$9,'财富模型'!$M$4+IF(Calc!$A$246&lt;='财富模型'!$E$11*12,'Calc'!$W$12,'Calc'!$Y$12)-(IF('Calc'!$E$12=1,0,MIN(Calc!$C$245*(1+'财富模型'!$E$20/12)+'Calc'!$B$6,IF(Calc!$A$246&lt;='财富模型'!$E$11*12,'Calc'!$W$12,'Calc'!$Y$12))))))</x:f>
      </x:c>
      <x:c r="E246" t="str">
        <x:f>IF(Calc!$A$246&gt;'Calc'!$B$8,"",IF('Calc'!$E$12=1,0,MIN(Calc!$C$245*(1+'财富模型'!$E$20/12)+'Calc'!$B$6,IF(Calc!$A$246&lt;='财富模型'!$E$11*12,'Calc'!$W$12,'Calc'!$Y$12))))</x:f>
      </x:c>
      <x:c r="F246" t="str">
        <x:f>IF(Calc!$A$246&gt;'Calc'!$B$8,"",'Calc'!$B$5-'财富模型'!$E$5-(IF('Calc'!$E$12=1,'财富模型'!$E$9,'财富模型'!$M$4+IF(Calc!$A$246&lt;='财富模型'!$E$11*12,'Calc'!$W$12,'Calc'!$Y$12)-(IF('Calc'!$E$12=1,0,MIN(Calc!$C$245*(1+'财富模型'!$E$20/12)+'Calc'!$B$6,IF(Calc!$A$246&lt;='财富模型'!$E$11*12,'Calc'!$W$12,'Calc'!$Y$12)))))))</x:f>
      </x:c>
      <x:c r="G246" t="str">
        <x:f>IF(Calc!$A$246&gt;'Calc'!$B$8,"",IF('Calc'!$E$12=1,0,MAX(Calc!$G$245*(1+IF(Calc!$A$246&lt;='财富模型'!$E$11*12,'财富模型'!$E$10,'财富模型'!$E$12)/12)-IF('Calc'!$E$12=1,0,IF(Calc!$A$246&lt;='财富模型'!$E$11*12,'Calc'!$W$12,'Calc'!$Y$12)),0)))</x:f>
      </x:c>
      <x:c r="I246" t="n">
        <x:v>225</x:v>
      </x:c>
      <x:c r="J246" t="str">
        <x:f>IF(Calc!$I$246&gt;'Calc'!$B$8,"",MAX(Calc!$J$245*(1+'财富模型'!$E$6/12)+('Calc'!$B$5-'财富模型'!$E$5-(IF('Calc'!$E$13=1,'财富模型'!$E$9,'财富模型'!$M$5+IF(Calc!$I$246&lt;='财富模型'!$E$11*12,'Calc'!$W$13,'Calc'!$Y$13)-(IF('Calc'!$E$13=1,0,MIN(Calc!$K$245*(1+'财富模型'!$E$20/12)+'Calc'!$B$6,IF(Calc!$I$246&lt;='财富模型'!$E$11*12,'Calc'!$W$13,'Calc'!$Y$13))))))),0))</x:f>
      </x:c>
      <x:c r="K246" t="str">
        <x:f>IF(Calc!$I$246&gt;'Calc'!$B$8,"",MAX(Calc!$K$245*(1+'财富模型'!$E$20/12)+'Calc'!$B$6-(IF('Calc'!$E$13=1,0,MIN(Calc!$K$245*(1+'财富模型'!$E$20/12)+'Calc'!$B$6,IF(Calc!$I$246&lt;='财富模型'!$E$11*12,'Calc'!$W$13,'Calc'!$Y$13)))),0))</x:f>
      </x:c>
      <x:c r="L246" t="str">
        <x:f>IF(Calc!$I$246&gt;'Calc'!$B$8,"",IF('Calc'!$E$13=1,'财富模型'!$E$9,'财富模型'!$M$5+IF(Calc!$I$246&lt;='财富模型'!$E$11*12,'Calc'!$W$13,'Calc'!$Y$13)-(IF('Calc'!$E$13=1,0,MIN(Calc!$K$245*(1+'财富模型'!$E$20/12)+'Calc'!$B$6,IF(Calc!$I$246&lt;='财富模型'!$E$11*12,'Calc'!$W$13,'Calc'!$Y$13))))))</x:f>
      </x:c>
      <x:c r="M246" t="str">
        <x:f>IF(Calc!$I$246&gt;'Calc'!$B$8,"",IF('Calc'!$E$13=1,0,MIN(Calc!$K$245*(1+'财富模型'!$E$20/12)+'Calc'!$B$6,IF(Calc!$I$246&lt;='财富模型'!$E$11*12,'Calc'!$W$13,'Calc'!$Y$13))))</x:f>
      </x:c>
      <x:c r="N246" t="str">
        <x:f>IF(Calc!$I$246&gt;'Calc'!$B$8,"",'Calc'!$B$5-'财富模型'!$E$5-(IF('Calc'!$E$13=1,'财富模型'!$E$9,'财富模型'!$M$5+IF(Calc!$I$246&lt;='财富模型'!$E$11*12,'Calc'!$W$13,'Calc'!$Y$13)-(IF('Calc'!$E$13=1,0,MIN(Calc!$K$245*(1+'财富模型'!$E$20/12)+'Calc'!$B$6,IF(Calc!$I$246&lt;='财富模型'!$E$11*12,'Calc'!$W$13,'Calc'!$Y$13)))))))</x:f>
      </x:c>
      <x:c r="O246" t="str">
        <x:f>IF(Calc!$I$246&gt;'Calc'!$B$8,"",IF('Calc'!$E$13=1,0,MAX(Calc!$O$245*(1+IF(Calc!$I$246&lt;='财富模型'!$E$11*12,'财富模型'!$E$10,'财富模型'!$E$12)/12)-IF('Calc'!$E$13=1,0,IF(Calc!$I$246&lt;='财富模型'!$E$11*12,'Calc'!$W$13,'Calc'!$Y$13)),0)))</x:f>
      </x:c>
      <x:c r="Q246" t="n">
        <x:v>225</x:v>
      </x:c>
      <x:c r="R246" t="str">
        <x:f>IF(Calc!$Q$246&gt;'Calc'!$B$8,"",MAX(Calc!$R$245*(1+'财富模型'!$E$6/12)+('Calc'!$B$5-'财富模型'!$E$5-(IF('Calc'!$E$14=1,'财富模型'!$E$9,'财富模型'!$M$6+IF(Calc!$Q$246&lt;='财富模型'!$E$11*12,'Calc'!$W$14,'Calc'!$Y$14)-(IF('Calc'!$E$14=1,0,MIN(Calc!$S$245*(1+'财富模型'!$E$20/12)+'Calc'!$B$6,IF(Calc!$Q$246&lt;='财富模型'!$E$11*12,'Calc'!$W$14,'Calc'!$Y$14))))))),0))</x:f>
      </x:c>
      <x:c r="S246" t="str">
        <x:f>IF(Calc!$Q$246&gt;'Calc'!$B$8,"",MAX(Calc!$S$245*(1+'财富模型'!$E$20/12)+'Calc'!$B$6-(IF('Calc'!$E$14=1,0,MIN(Calc!$S$245*(1+'财富模型'!$E$20/12)+'Calc'!$B$6,IF(Calc!$Q$246&lt;='财富模型'!$E$11*12,'Calc'!$W$14,'Calc'!$Y$14)))),0))</x:f>
      </x:c>
      <x:c r="T246" t="str">
        <x:f>IF(Calc!$Q$246&gt;'Calc'!$B$8,"",IF('Calc'!$E$14=1,'财富模型'!$E$9,'财富模型'!$M$6+IF(Calc!$Q$246&lt;='财富模型'!$E$11*12,'Calc'!$W$14,'Calc'!$Y$14)-(IF('Calc'!$E$14=1,0,MIN(Calc!$S$245*(1+'财富模型'!$E$20/12)+'Calc'!$B$6,IF(Calc!$Q$246&lt;='财富模型'!$E$11*12,'Calc'!$W$14,'Calc'!$Y$14))))))</x:f>
      </x:c>
      <x:c r="U246" t="str">
        <x:f>IF(Calc!$Q$246&gt;'Calc'!$B$8,"",IF('Calc'!$E$14=1,0,MIN(Calc!$S$245*(1+'财富模型'!$E$20/12)+'Calc'!$B$6,IF(Calc!$Q$246&lt;='财富模型'!$E$11*12,'Calc'!$W$14,'Calc'!$Y$14))))</x:f>
      </x:c>
      <x:c r="V246" t="str">
        <x:f>IF(Calc!$Q$246&gt;'Calc'!$B$8,"",'Calc'!$B$5-'财富模型'!$E$5-(IF('Calc'!$E$14=1,'财富模型'!$E$9,'财富模型'!$M$6+IF(Calc!$Q$246&lt;='财富模型'!$E$11*12,'Calc'!$W$14,'Calc'!$Y$14)-(IF('Calc'!$E$14=1,0,MIN(Calc!$S$245*(1+'财富模型'!$E$20/12)+'Calc'!$B$6,IF(Calc!$Q$246&lt;='财富模型'!$E$11*12,'Calc'!$W$14,'Calc'!$Y$14)))))))</x:f>
      </x:c>
      <x:c r="W246" t="str">
        <x:f>IF(Calc!$Q$246&gt;'Calc'!$B$8,"",IF('Calc'!$E$14=1,0,MAX(Calc!$W$245*(1+IF(Calc!$Q$246&lt;='财富模型'!$E$11*12,'财富模型'!$E$10,'财富模型'!$E$12)/12)-IF('Calc'!$E$14=1,0,IF(Calc!$Q$246&lt;='财富模型'!$E$11*12,'Calc'!$W$14,'Calc'!$Y$14)),0)))</x:f>
      </x:c>
      <x:c r="Y246" t="n">
        <x:v>225</x:v>
      </x:c>
      <x:c r="Z246" t="str">
        <x:f>IF(Calc!$Y$246&gt;'Calc'!$B$8,"",MAX(Calc!$Z$245*(1+'财富模型'!$E$6/12)+('Calc'!$B$5-'财富模型'!$E$5-(IF('Calc'!$E$15=1,'财富模型'!$E$9,'财富模型'!$M$7+IF(Calc!$Y$246&lt;='财富模型'!$E$11*12,'Calc'!$W$15,'Calc'!$Y$15)-(IF('Calc'!$E$15=1,0,MIN(Calc!$AA$245*(1+'财富模型'!$E$20/12)+'Calc'!$B$6,IF(Calc!$Y$246&lt;='财富模型'!$E$11*12,'Calc'!$W$15,'Calc'!$Y$15))))))),0))</x:f>
      </x:c>
      <x:c r="AA246" t="str">
        <x:f>IF(Calc!$Y$246&gt;'Calc'!$B$8,"",MAX(Calc!$AA$245*(1+'财富模型'!$E$20/12)+'Calc'!$B$6-(IF('Calc'!$E$15=1,0,MIN(Calc!$AA$245*(1+'财富模型'!$E$20/12)+'Calc'!$B$6,IF(Calc!$Y$246&lt;='财富模型'!$E$11*12,'Calc'!$W$15,'Calc'!$Y$15)))),0))</x:f>
      </x:c>
      <x:c r="AB246" t="str">
        <x:f>IF(Calc!$Y$246&gt;'Calc'!$B$8,"",IF('Calc'!$E$15=1,'财富模型'!$E$9,'财富模型'!$M$7+IF(Calc!$Y$246&lt;='财富模型'!$E$11*12,'Calc'!$W$15,'Calc'!$Y$15)-(IF('Calc'!$E$15=1,0,MIN(Calc!$AA$245*(1+'财富模型'!$E$20/12)+'Calc'!$B$6,IF(Calc!$Y$246&lt;='财富模型'!$E$11*12,'Calc'!$W$15,'Calc'!$Y$15))))))</x:f>
      </x:c>
      <x:c r="AC246" t="str">
        <x:f>IF(Calc!$Y$246&gt;'Calc'!$B$8,"",IF('Calc'!$E$15=1,0,MIN(Calc!$AA$245*(1+'财富模型'!$E$20/12)+'Calc'!$B$6,IF(Calc!$Y$246&lt;='财富模型'!$E$11*12,'Calc'!$W$15,'Calc'!$Y$15))))</x:f>
      </x:c>
      <x:c r="AD246" t="str">
        <x:f>IF(Calc!$Y$246&gt;'Calc'!$B$8,"",'Calc'!$B$5-'财富模型'!$E$5-(IF('Calc'!$E$15=1,'财富模型'!$E$9,'财富模型'!$M$7+IF(Calc!$Y$246&lt;='财富模型'!$E$11*12,'Calc'!$W$15,'Calc'!$Y$15)-(IF('Calc'!$E$15=1,0,MIN(Calc!$AA$245*(1+'财富模型'!$E$20/12)+'Calc'!$B$6,IF(Calc!$Y$246&lt;='财富模型'!$E$11*12,'Calc'!$W$15,'Calc'!$Y$15)))))))</x:f>
      </x:c>
      <x:c r="AE246" t="str">
        <x:f>IF(Calc!$Y$246&gt;'Calc'!$B$8,"",IF('Calc'!$E$15=1,0,MAX(Calc!$AE$245*(1+IF(Calc!$Y$246&lt;='财富模型'!$E$11*12,'财富模型'!$E$10,'财富模型'!$E$12)/12)-IF('Calc'!$E$15=1,0,IF(Calc!$Y$246&lt;='财富模型'!$E$11*12,'Calc'!$W$15,'Calc'!$Y$15)),0)))</x:f>
      </x:c>
      <x:c r="AG246" t="n">
        <x:v>225</x:v>
      </x:c>
      <x:c r="AH246" t="str">
        <x:f>IF(Calc!$AG$246&gt;'Calc'!$B$8,"",MAX(Calc!$AH$245*(1+'财富模型'!$E$6/12)+('Calc'!$B$5-'财富模型'!$E$5-(IF('Calc'!$E$16=1,'财富模型'!$E$9,'财富模型'!$M$8+IF(Calc!$AG$246&lt;='财富模型'!$E$11*12,'Calc'!$W$16,'Calc'!$Y$16)-(IF('Calc'!$E$16=1,0,MIN(Calc!$AI$245*(1+'财富模型'!$E$20/12)+'Calc'!$B$6,IF(Calc!$AG$246&lt;='财富模型'!$E$11*12,'Calc'!$W$16,'Calc'!$Y$16))))))),0))</x:f>
      </x:c>
      <x:c r="AI246" t="str">
        <x:f>IF(Calc!$AG$246&gt;'Calc'!$B$8,"",MAX(Calc!$AI$245*(1+'财富模型'!$E$20/12)+'Calc'!$B$6-(IF('Calc'!$E$16=1,0,MIN(Calc!$AI$245*(1+'财富模型'!$E$20/12)+'Calc'!$B$6,IF(Calc!$AG$246&lt;='财富模型'!$E$11*12,'Calc'!$W$16,'Calc'!$Y$16)))),0))</x:f>
      </x:c>
      <x:c r="AJ246" t="str">
        <x:f>IF(Calc!$AG$246&gt;'Calc'!$B$8,"",IF('Calc'!$E$16=1,'财富模型'!$E$9,'财富模型'!$M$8+IF(Calc!$AG$246&lt;='财富模型'!$E$11*12,'Calc'!$W$16,'Calc'!$Y$16)-(IF('Calc'!$E$16=1,0,MIN(Calc!$AI$245*(1+'财富模型'!$E$20/12)+'Calc'!$B$6,IF(Calc!$AG$246&lt;='财富模型'!$E$11*12,'Calc'!$W$16,'Calc'!$Y$16))))))</x:f>
      </x:c>
      <x:c r="AK246" t="str">
        <x:f>IF(Calc!$AG$246&gt;'Calc'!$B$8,"",IF('Calc'!$E$16=1,0,MIN(Calc!$AI$245*(1+'财富模型'!$E$20/12)+'Calc'!$B$6,IF(Calc!$AG$246&lt;='财富模型'!$E$11*12,'Calc'!$W$16,'Calc'!$Y$16))))</x:f>
      </x:c>
      <x:c r="AL246" t="str">
        <x:f>IF(Calc!$AG$246&gt;'Calc'!$B$8,"",'Calc'!$B$5-'财富模型'!$E$5-(IF('Calc'!$E$16=1,'财富模型'!$E$9,'财富模型'!$M$8+IF(Calc!$AG$246&lt;='财富模型'!$E$11*12,'Calc'!$W$16,'Calc'!$Y$16)-(IF('Calc'!$E$16=1,0,MIN(Calc!$AI$245*(1+'财富模型'!$E$20/12)+'Calc'!$B$6,IF(Calc!$AG$246&lt;='财富模型'!$E$11*12,'Calc'!$W$16,'Calc'!$Y$16)))))))</x:f>
      </x:c>
      <x:c r="AM246" t="str">
        <x:f>IF(Calc!$AG$246&gt;'Calc'!$B$8,"",IF('Calc'!$E$16=1,0,MAX(Calc!$AM$245*(1+IF(Calc!$AG$246&lt;='财富模型'!$E$11*12,'财富模型'!$E$10,'财富模型'!$E$12)/12)-IF('Calc'!$E$16=1,0,IF(Calc!$AG$246&lt;='财富模型'!$E$11*12,'Calc'!$W$16,'Calc'!$Y$16)),0)))</x:f>
      </x:c>
      <x:c r="AO246" t="n">
        <x:v>225</x:v>
      </x:c>
      <x:c r="AP246" t="str">
        <x:f>IF(Calc!$AO$246&gt;'Calc'!$B$8,"",MAX(Calc!$AP$245*(1+'财富模型'!$E$6/12)+('Calc'!$B$5-'财富模型'!$E$5-(IF('Calc'!$E$17=1,'财富模型'!$E$9,'财富模型'!$M$9+IF(Calc!$AO$246&lt;='财富模型'!$E$11*12,'Calc'!$W$17,'Calc'!$Y$17)-(IF('Calc'!$E$17=1,0,MIN(Calc!$AQ$245*(1+'财富模型'!$E$20/12)+'Calc'!$B$6,IF(Calc!$AO$246&lt;='财富模型'!$E$11*12,'Calc'!$W$17,'Calc'!$Y$17))))))),0))</x:f>
      </x:c>
      <x:c r="AQ246" t="str">
        <x:f>IF(Calc!$AO$246&gt;'Calc'!$B$8,"",MAX(Calc!$AQ$245*(1+'财富模型'!$E$20/12)+'Calc'!$B$6-(IF('Calc'!$E$17=1,0,MIN(Calc!$AQ$245*(1+'财富模型'!$E$20/12)+'Calc'!$B$6,IF(Calc!$AO$246&lt;='财富模型'!$E$11*12,'Calc'!$W$17,'Calc'!$Y$17)))),0))</x:f>
      </x:c>
      <x:c r="AR246" t="str">
        <x:f>IF(Calc!$AO$246&gt;'Calc'!$B$8,"",IF('Calc'!$E$17=1,'财富模型'!$E$9,'财富模型'!$M$9+IF(Calc!$AO$246&lt;='财富模型'!$E$11*12,'Calc'!$W$17,'Calc'!$Y$17)-(IF('Calc'!$E$17=1,0,MIN(Calc!$AQ$245*(1+'财富模型'!$E$20/12)+'Calc'!$B$6,IF(Calc!$AO$246&lt;='财富模型'!$E$11*12,'Calc'!$W$17,'Calc'!$Y$17))))))</x:f>
      </x:c>
      <x:c r="AS246" t="str">
        <x:f>IF(Calc!$AO$246&gt;'Calc'!$B$8,"",IF('Calc'!$E$17=1,0,MIN(Calc!$AQ$245*(1+'财富模型'!$E$20/12)+'Calc'!$B$6,IF(Calc!$AO$246&lt;='财富模型'!$E$11*12,'Calc'!$W$17,'Calc'!$Y$17))))</x:f>
      </x:c>
      <x:c r="AT246" t="str">
        <x:f>IF(Calc!$AO$246&gt;'Calc'!$B$8,"",'Calc'!$B$5-'财富模型'!$E$5-(IF('Calc'!$E$17=1,'财富模型'!$E$9,'财富模型'!$M$9+IF(Calc!$AO$246&lt;='财富模型'!$E$11*12,'Calc'!$W$17,'Calc'!$Y$17)-(IF('Calc'!$E$17=1,0,MIN(Calc!$AQ$245*(1+'财富模型'!$E$20/12)+'Calc'!$B$6,IF(Calc!$AO$246&lt;='财富模型'!$E$11*12,'Calc'!$W$17,'Calc'!$Y$17)))))))</x:f>
      </x:c>
      <x:c r="AU246" t="str">
        <x:f>IF(Calc!$AO$246&gt;'Calc'!$B$8,"",IF('Calc'!$E$17=1,0,MAX(Calc!$AU$245*(1+IF(Calc!$AO$246&lt;='财富模型'!$E$11*12,'财富模型'!$E$10,'财富模型'!$E$12)/12)-IF('Calc'!$E$17=1,0,IF(Calc!$AO$246&lt;='财富模型'!$E$11*12,'Calc'!$W$17,'Calc'!$Y$17)),0)))</x:f>
      </x:c>
    </x:row>
    <x:row r="247">
      <x:c r="A247" t="n">
        <x:v>226</x:v>
      </x:c>
      <x:c r="B247" t="str">
        <x:f>IF(Calc!$A$247&gt;'Calc'!$B$8,"",MAX(Calc!$B$246*(1+'财富模型'!$E$6/12)+('Calc'!$B$5-'财富模型'!$E$5-(IF('Calc'!$E$12=1,'财富模型'!$E$9,'财富模型'!$M$4+IF(Calc!$A$247&lt;='财富模型'!$E$11*12,'Calc'!$W$12,'Calc'!$Y$12)-(IF('Calc'!$E$12=1,0,MIN(Calc!$C$246*(1+'财富模型'!$E$20/12)+'Calc'!$B$6,IF(Calc!$A$247&lt;='财富模型'!$E$11*12,'Calc'!$W$12,'Calc'!$Y$12))))))),0))</x:f>
      </x:c>
      <x:c r="C247" t="str">
        <x:f>IF(Calc!$A$247&gt;'Calc'!$B$8,"",MAX(Calc!$C$246*(1+'财富模型'!$E$20/12)+'Calc'!$B$6-(IF('Calc'!$E$12=1,0,MIN(Calc!$C$246*(1+'财富模型'!$E$20/12)+'Calc'!$B$6,IF(Calc!$A$247&lt;='财富模型'!$E$11*12,'Calc'!$W$12,'Calc'!$Y$12)))),0))</x:f>
      </x:c>
      <x:c r="D247" t="str">
        <x:f>IF(Calc!$A$247&gt;'Calc'!$B$8,"",IF('Calc'!$E$12=1,'财富模型'!$E$9,'财富模型'!$M$4+IF(Calc!$A$247&lt;='财富模型'!$E$11*12,'Calc'!$W$12,'Calc'!$Y$12)-(IF('Calc'!$E$12=1,0,MIN(Calc!$C$246*(1+'财富模型'!$E$20/12)+'Calc'!$B$6,IF(Calc!$A$247&lt;='财富模型'!$E$11*12,'Calc'!$W$12,'Calc'!$Y$12))))))</x:f>
      </x:c>
      <x:c r="E247" t="str">
        <x:f>IF(Calc!$A$247&gt;'Calc'!$B$8,"",IF('Calc'!$E$12=1,0,MIN(Calc!$C$246*(1+'财富模型'!$E$20/12)+'Calc'!$B$6,IF(Calc!$A$247&lt;='财富模型'!$E$11*12,'Calc'!$W$12,'Calc'!$Y$12))))</x:f>
      </x:c>
      <x:c r="F247" t="str">
        <x:f>IF(Calc!$A$247&gt;'Calc'!$B$8,"",'Calc'!$B$5-'财富模型'!$E$5-(IF('Calc'!$E$12=1,'财富模型'!$E$9,'财富模型'!$M$4+IF(Calc!$A$247&lt;='财富模型'!$E$11*12,'Calc'!$W$12,'Calc'!$Y$12)-(IF('Calc'!$E$12=1,0,MIN(Calc!$C$246*(1+'财富模型'!$E$20/12)+'Calc'!$B$6,IF(Calc!$A$247&lt;='财富模型'!$E$11*12,'Calc'!$W$12,'Calc'!$Y$12)))))))</x:f>
      </x:c>
      <x:c r="G247" t="str">
        <x:f>IF(Calc!$A$247&gt;'Calc'!$B$8,"",IF('Calc'!$E$12=1,0,MAX(Calc!$G$246*(1+IF(Calc!$A$247&lt;='财富模型'!$E$11*12,'财富模型'!$E$10,'财富模型'!$E$12)/12)-IF('Calc'!$E$12=1,0,IF(Calc!$A$247&lt;='财富模型'!$E$11*12,'Calc'!$W$12,'Calc'!$Y$12)),0)))</x:f>
      </x:c>
      <x:c r="I247" t="n">
        <x:v>226</x:v>
      </x:c>
      <x:c r="J247" t="str">
        <x:f>IF(Calc!$I$247&gt;'Calc'!$B$8,"",MAX(Calc!$J$246*(1+'财富模型'!$E$6/12)+('Calc'!$B$5-'财富模型'!$E$5-(IF('Calc'!$E$13=1,'财富模型'!$E$9,'财富模型'!$M$5+IF(Calc!$I$247&lt;='财富模型'!$E$11*12,'Calc'!$W$13,'Calc'!$Y$13)-(IF('Calc'!$E$13=1,0,MIN(Calc!$K$246*(1+'财富模型'!$E$20/12)+'Calc'!$B$6,IF(Calc!$I$247&lt;='财富模型'!$E$11*12,'Calc'!$W$13,'Calc'!$Y$13))))))),0))</x:f>
      </x:c>
      <x:c r="K247" t="str">
        <x:f>IF(Calc!$I$247&gt;'Calc'!$B$8,"",MAX(Calc!$K$246*(1+'财富模型'!$E$20/12)+'Calc'!$B$6-(IF('Calc'!$E$13=1,0,MIN(Calc!$K$246*(1+'财富模型'!$E$20/12)+'Calc'!$B$6,IF(Calc!$I$247&lt;='财富模型'!$E$11*12,'Calc'!$W$13,'Calc'!$Y$13)))),0))</x:f>
      </x:c>
      <x:c r="L247" t="str">
        <x:f>IF(Calc!$I$247&gt;'Calc'!$B$8,"",IF('Calc'!$E$13=1,'财富模型'!$E$9,'财富模型'!$M$5+IF(Calc!$I$247&lt;='财富模型'!$E$11*12,'Calc'!$W$13,'Calc'!$Y$13)-(IF('Calc'!$E$13=1,0,MIN(Calc!$K$246*(1+'财富模型'!$E$20/12)+'Calc'!$B$6,IF(Calc!$I$247&lt;='财富模型'!$E$11*12,'Calc'!$W$13,'Calc'!$Y$13))))))</x:f>
      </x:c>
      <x:c r="M247" t="str">
        <x:f>IF(Calc!$I$247&gt;'Calc'!$B$8,"",IF('Calc'!$E$13=1,0,MIN(Calc!$K$246*(1+'财富模型'!$E$20/12)+'Calc'!$B$6,IF(Calc!$I$247&lt;='财富模型'!$E$11*12,'Calc'!$W$13,'Calc'!$Y$13))))</x:f>
      </x:c>
      <x:c r="N247" t="str">
        <x:f>IF(Calc!$I$247&gt;'Calc'!$B$8,"",'Calc'!$B$5-'财富模型'!$E$5-(IF('Calc'!$E$13=1,'财富模型'!$E$9,'财富模型'!$M$5+IF(Calc!$I$247&lt;='财富模型'!$E$11*12,'Calc'!$W$13,'Calc'!$Y$13)-(IF('Calc'!$E$13=1,0,MIN(Calc!$K$246*(1+'财富模型'!$E$20/12)+'Calc'!$B$6,IF(Calc!$I$247&lt;='财富模型'!$E$11*12,'Calc'!$W$13,'Calc'!$Y$13)))))))</x:f>
      </x:c>
      <x:c r="O247" t="str">
        <x:f>IF(Calc!$I$247&gt;'Calc'!$B$8,"",IF('Calc'!$E$13=1,0,MAX(Calc!$O$246*(1+IF(Calc!$I$247&lt;='财富模型'!$E$11*12,'财富模型'!$E$10,'财富模型'!$E$12)/12)-IF('Calc'!$E$13=1,0,IF(Calc!$I$247&lt;='财富模型'!$E$11*12,'Calc'!$W$13,'Calc'!$Y$13)),0)))</x:f>
      </x:c>
      <x:c r="Q247" t="n">
        <x:v>226</x:v>
      </x:c>
      <x:c r="R247" t="str">
        <x:f>IF(Calc!$Q$247&gt;'Calc'!$B$8,"",MAX(Calc!$R$246*(1+'财富模型'!$E$6/12)+('Calc'!$B$5-'财富模型'!$E$5-(IF('Calc'!$E$14=1,'财富模型'!$E$9,'财富模型'!$M$6+IF(Calc!$Q$247&lt;='财富模型'!$E$11*12,'Calc'!$W$14,'Calc'!$Y$14)-(IF('Calc'!$E$14=1,0,MIN(Calc!$S$246*(1+'财富模型'!$E$20/12)+'Calc'!$B$6,IF(Calc!$Q$247&lt;='财富模型'!$E$11*12,'Calc'!$W$14,'Calc'!$Y$14))))))),0))</x:f>
      </x:c>
      <x:c r="S247" t="str">
        <x:f>IF(Calc!$Q$247&gt;'Calc'!$B$8,"",MAX(Calc!$S$246*(1+'财富模型'!$E$20/12)+'Calc'!$B$6-(IF('Calc'!$E$14=1,0,MIN(Calc!$S$246*(1+'财富模型'!$E$20/12)+'Calc'!$B$6,IF(Calc!$Q$247&lt;='财富模型'!$E$11*12,'Calc'!$W$14,'Calc'!$Y$14)))),0))</x:f>
      </x:c>
      <x:c r="T247" t="str">
        <x:f>IF(Calc!$Q$247&gt;'Calc'!$B$8,"",IF('Calc'!$E$14=1,'财富模型'!$E$9,'财富模型'!$M$6+IF(Calc!$Q$247&lt;='财富模型'!$E$11*12,'Calc'!$W$14,'Calc'!$Y$14)-(IF('Calc'!$E$14=1,0,MIN(Calc!$S$246*(1+'财富模型'!$E$20/12)+'Calc'!$B$6,IF(Calc!$Q$247&lt;='财富模型'!$E$11*12,'Calc'!$W$14,'Calc'!$Y$14))))))</x:f>
      </x:c>
      <x:c r="U247" t="str">
        <x:f>IF(Calc!$Q$247&gt;'Calc'!$B$8,"",IF('Calc'!$E$14=1,0,MIN(Calc!$S$246*(1+'财富模型'!$E$20/12)+'Calc'!$B$6,IF(Calc!$Q$247&lt;='财富模型'!$E$11*12,'Calc'!$W$14,'Calc'!$Y$14))))</x:f>
      </x:c>
      <x:c r="V247" t="str">
        <x:f>IF(Calc!$Q$247&gt;'Calc'!$B$8,"",'Calc'!$B$5-'财富模型'!$E$5-(IF('Calc'!$E$14=1,'财富模型'!$E$9,'财富模型'!$M$6+IF(Calc!$Q$247&lt;='财富模型'!$E$11*12,'Calc'!$W$14,'Calc'!$Y$14)-(IF('Calc'!$E$14=1,0,MIN(Calc!$S$246*(1+'财富模型'!$E$20/12)+'Calc'!$B$6,IF(Calc!$Q$247&lt;='财富模型'!$E$11*12,'Calc'!$W$14,'Calc'!$Y$14)))))))</x:f>
      </x:c>
      <x:c r="W247" t="str">
        <x:f>IF(Calc!$Q$247&gt;'Calc'!$B$8,"",IF('Calc'!$E$14=1,0,MAX(Calc!$W$246*(1+IF(Calc!$Q$247&lt;='财富模型'!$E$11*12,'财富模型'!$E$10,'财富模型'!$E$12)/12)-IF('Calc'!$E$14=1,0,IF(Calc!$Q$247&lt;='财富模型'!$E$11*12,'Calc'!$W$14,'Calc'!$Y$14)),0)))</x:f>
      </x:c>
      <x:c r="Y247" t="n">
        <x:v>226</x:v>
      </x:c>
      <x:c r="Z247" t="str">
        <x:f>IF(Calc!$Y$247&gt;'Calc'!$B$8,"",MAX(Calc!$Z$246*(1+'财富模型'!$E$6/12)+('Calc'!$B$5-'财富模型'!$E$5-(IF('Calc'!$E$15=1,'财富模型'!$E$9,'财富模型'!$M$7+IF(Calc!$Y$247&lt;='财富模型'!$E$11*12,'Calc'!$W$15,'Calc'!$Y$15)-(IF('Calc'!$E$15=1,0,MIN(Calc!$AA$246*(1+'财富模型'!$E$20/12)+'Calc'!$B$6,IF(Calc!$Y$247&lt;='财富模型'!$E$11*12,'Calc'!$W$15,'Calc'!$Y$15))))))),0))</x:f>
      </x:c>
      <x:c r="AA247" t="str">
        <x:f>IF(Calc!$Y$247&gt;'Calc'!$B$8,"",MAX(Calc!$AA$246*(1+'财富模型'!$E$20/12)+'Calc'!$B$6-(IF('Calc'!$E$15=1,0,MIN(Calc!$AA$246*(1+'财富模型'!$E$20/12)+'Calc'!$B$6,IF(Calc!$Y$247&lt;='财富模型'!$E$11*12,'Calc'!$W$15,'Calc'!$Y$15)))),0))</x:f>
      </x:c>
      <x:c r="AB247" t="str">
        <x:f>IF(Calc!$Y$247&gt;'Calc'!$B$8,"",IF('Calc'!$E$15=1,'财富模型'!$E$9,'财富模型'!$M$7+IF(Calc!$Y$247&lt;='财富模型'!$E$11*12,'Calc'!$W$15,'Calc'!$Y$15)-(IF('Calc'!$E$15=1,0,MIN(Calc!$AA$246*(1+'财富模型'!$E$20/12)+'Calc'!$B$6,IF(Calc!$Y$247&lt;='财富模型'!$E$11*12,'Calc'!$W$15,'Calc'!$Y$15))))))</x:f>
      </x:c>
      <x:c r="AC247" t="str">
        <x:f>IF(Calc!$Y$247&gt;'Calc'!$B$8,"",IF('Calc'!$E$15=1,0,MIN(Calc!$AA$246*(1+'财富模型'!$E$20/12)+'Calc'!$B$6,IF(Calc!$Y$247&lt;='财富模型'!$E$11*12,'Calc'!$W$15,'Calc'!$Y$15))))</x:f>
      </x:c>
      <x:c r="AD247" t="str">
        <x:f>IF(Calc!$Y$247&gt;'Calc'!$B$8,"",'Calc'!$B$5-'财富模型'!$E$5-(IF('Calc'!$E$15=1,'财富模型'!$E$9,'财富模型'!$M$7+IF(Calc!$Y$247&lt;='财富模型'!$E$11*12,'Calc'!$W$15,'Calc'!$Y$15)-(IF('Calc'!$E$15=1,0,MIN(Calc!$AA$246*(1+'财富模型'!$E$20/12)+'Calc'!$B$6,IF(Calc!$Y$247&lt;='财富模型'!$E$11*12,'Calc'!$W$15,'Calc'!$Y$15)))))))</x:f>
      </x:c>
      <x:c r="AE247" t="str">
        <x:f>IF(Calc!$Y$247&gt;'Calc'!$B$8,"",IF('Calc'!$E$15=1,0,MAX(Calc!$AE$246*(1+IF(Calc!$Y$247&lt;='财富模型'!$E$11*12,'财富模型'!$E$10,'财富模型'!$E$12)/12)-IF('Calc'!$E$15=1,0,IF(Calc!$Y$247&lt;='财富模型'!$E$11*12,'Calc'!$W$15,'Calc'!$Y$15)),0)))</x:f>
      </x:c>
      <x:c r="AG247" t="n">
        <x:v>226</x:v>
      </x:c>
      <x:c r="AH247" t="str">
        <x:f>IF(Calc!$AG$247&gt;'Calc'!$B$8,"",MAX(Calc!$AH$246*(1+'财富模型'!$E$6/12)+('Calc'!$B$5-'财富模型'!$E$5-(IF('Calc'!$E$16=1,'财富模型'!$E$9,'财富模型'!$M$8+IF(Calc!$AG$247&lt;='财富模型'!$E$11*12,'Calc'!$W$16,'Calc'!$Y$16)-(IF('Calc'!$E$16=1,0,MIN(Calc!$AI$246*(1+'财富模型'!$E$20/12)+'Calc'!$B$6,IF(Calc!$AG$247&lt;='财富模型'!$E$11*12,'Calc'!$W$16,'Calc'!$Y$16))))))),0))</x:f>
      </x:c>
      <x:c r="AI247" t="str">
        <x:f>IF(Calc!$AG$247&gt;'Calc'!$B$8,"",MAX(Calc!$AI$246*(1+'财富模型'!$E$20/12)+'Calc'!$B$6-(IF('Calc'!$E$16=1,0,MIN(Calc!$AI$246*(1+'财富模型'!$E$20/12)+'Calc'!$B$6,IF(Calc!$AG$247&lt;='财富模型'!$E$11*12,'Calc'!$W$16,'Calc'!$Y$16)))),0))</x:f>
      </x:c>
      <x:c r="AJ247" t="str">
        <x:f>IF(Calc!$AG$247&gt;'Calc'!$B$8,"",IF('Calc'!$E$16=1,'财富模型'!$E$9,'财富模型'!$M$8+IF(Calc!$AG$247&lt;='财富模型'!$E$11*12,'Calc'!$W$16,'Calc'!$Y$16)-(IF('Calc'!$E$16=1,0,MIN(Calc!$AI$246*(1+'财富模型'!$E$20/12)+'Calc'!$B$6,IF(Calc!$AG$247&lt;='财富模型'!$E$11*12,'Calc'!$W$16,'Calc'!$Y$16))))))</x:f>
      </x:c>
      <x:c r="AK247" t="str">
        <x:f>IF(Calc!$AG$247&gt;'Calc'!$B$8,"",IF('Calc'!$E$16=1,0,MIN(Calc!$AI$246*(1+'财富模型'!$E$20/12)+'Calc'!$B$6,IF(Calc!$AG$247&lt;='财富模型'!$E$11*12,'Calc'!$W$16,'Calc'!$Y$16))))</x:f>
      </x:c>
      <x:c r="AL247" t="str">
        <x:f>IF(Calc!$AG$247&gt;'Calc'!$B$8,"",'Calc'!$B$5-'财富模型'!$E$5-(IF('Calc'!$E$16=1,'财富模型'!$E$9,'财富模型'!$M$8+IF(Calc!$AG$247&lt;='财富模型'!$E$11*12,'Calc'!$W$16,'Calc'!$Y$16)-(IF('Calc'!$E$16=1,0,MIN(Calc!$AI$246*(1+'财富模型'!$E$20/12)+'Calc'!$B$6,IF(Calc!$AG$247&lt;='财富模型'!$E$11*12,'Calc'!$W$16,'Calc'!$Y$16)))))))</x:f>
      </x:c>
      <x:c r="AM247" t="str">
        <x:f>IF(Calc!$AG$247&gt;'Calc'!$B$8,"",IF('Calc'!$E$16=1,0,MAX(Calc!$AM$246*(1+IF(Calc!$AG$247&lt;='财富模型'!$E$11*12,'财富模型'!$E$10,'财富模型'!$E$12)/12)-IF('Calc'!$E$16=1,0,IF(Calc!$AG$247&lt;='财富模型'!$E$11*12,'Calc'!$W$16,'Calc'!$Y$16)),0)))</x:f>
      </x:c>
      <x:c r="AO247" t="n">
        <x:v>226</x:v>
      </x:c>
      <x:c r="AP247" t="str">
        <x:f>IF(Calc!$AO$247&gt;'Calc'!$B$8,"",MAX(Calc!$AP$246*(1+'财富模型'!$E$6/12)+('Calc'!$B$5-'财富模型'!$E$5-(IF('Calc'!$E$17=1,'财富模型'!$E$9,'财富模型'!$M$9+IF(Calc!$AO$247&lt;='财富模型'!$E$11*12,'Calc'!$W$17,'Calc'!$Y$17)-(IF('Calc'!$E$17=1,0,MIN(Calc!$AQ$246*(1+'财富模型'!$E$20/12)+'Calc'!$B$6,IF(Calc!$AO$247&lt;='财富模型'!$E$11*12,'Calc'!$W$17,'Calc'!$Y$17))))))),0))</x:f>
      </x:c>
      <x:c r="AQ247" t="str">
        <x:f>IF(Calc!$AO$247&gt;'Calc'!$B$8,"",MAX(Calc!$AQ$246*(1+'财富模型'!$E$20/12)+'Calc'!$B$6-(IF('Calc'!$E$17=1,0,MIN(Calc!$AQ$246*(1+'财富模型'!$E$20/12)+'Calc'!$B$6,IF(Calc!$AO$247&lt;='财富模型'!$E$11*12,'Calc'!$W$17,'Calc'!$Y$17)))),0))</x:f>
      </x:c>
      <x:c r="AR247" t="str">
        <x:f>IF(Calc!$AO$247&gt;'Calc'!$B$8,"",IF('Calc'!$E$17=1,'财富模型'!$E$9,'财富模型'!$M$9+IF(Calc!$AO$247&lt;='财富模型'!$E$11*12,'Calc'!$W$17,'Calc'!$Y$17)-(IF('Calc'!$E$17=1,0,MIN(Calc!$AQ$246*(1+'财富模型'!$E$20/12)+'Calc'!$B$6,IF(Calc!$AO$247&lt;='财富模型'!$E$11*12,'Calc'!$W$17,'Calc'!$Y$17))))))</x:f>
      </x:c>
      <x:c r="AS247" t="str">
        <x:f>IF(Calc!$AO$247&gt;'Calc'!$B$8,"",IF('Calc'!$E$17=1,0,MIN(Calc!$AQ$246*(1+'财富模型'!$E$20/12)+'Calc'!$B$6,IF(Calc!$AO$247&lt;='财富模型'!$E$11*12,'Calc'!$W$17,'Calc'!$Y$17))))</x:f>
      </x:c>
      <x:c r="AT247" t="str">
        <x:f>IF(Calc!$AO$247&gt;'Calc'!$B$8,"",'Calc'!$B$5-'财富模型'!$E$5-(IF('Calc'!$E$17=1,'财富模型'!$E$9,'财富模型'!$M$9+IF(Calc!$AO$247&lt;='财富模型'!$E$11*12,'Calc'!$W$17,'Calc'!$Y$17)-(IF('Calc'!$E$17=1,0,MIN(Calc!$AQ$246*(1+'财富模型'!$E$20/12)+'Calc'!$B$6,IF(Calc!$AO$247&lt;='财富模型'!$E$11*12,'Calc'!$W$17,'Calc'!$Y$17)))))))</x:f>
      </x:c>
      <x:c r="AU247" t="str">
        <x:f>IF(Calc!$AO$247&gt;'Calc'!$B$8,"",IF('Calc'!$E$17=1,0,MAX(Calc!$AU$246*(1+IF(Calc!$AO$247&lt;='财富模型'!$E$11*12,'财富模型'!$E$10,'财富模型'!$E$12)/12)-IF('Calc'!$E$17=1,0,IF(Calc!$AO$247&lt;='财富模型'!$E$11*12,'Calc'!$W$17,'Calc'!$Y$17)),0)))</x:f>
      </x:c>
    </x:row>
    <x:row r="248">
      <x:c r="A248" t="n">
        <x:v>227</x:v>
      </x:c>
      <x:c r="B248" t="str">
        <x:f>IF(Calc!$A$248&gt;'Calc'!$B$8,"",MAX(Calc!$B$247*(1+'财富模型'!$E$6/12)+('Calc'!$B$5-'财富模型'!$E$5-(IF('Calc'!$E$12=1,'财富模型'!$E$9,'财富模型'!$M$4+IF(Calc!$A$248&lt;='财富模型'!$E$11*12,'Calc'!$W$12,'Calc'!$Y$12)-(IF('Calc'!$E$12=1,0,MIN(Calc!$C$247*(1+'财富模型'!$E$20/12)+'Calc'!$B$6,IF(Calc!$A$248&lt;='财富模型'!$E$11*12,'Calc'!$W$12,'Calc'!$Y$12))))))),0))</x:f>
      </x:c>
      <x:c r="C248" t="str">
        <x:f>IF(Calc!$A$248&gt;'Calc'!$B$8,"",MAX(Calc!$C$247*(1+'财富模型'!$E$20/12)+'Calc'!$B$6-(IF('Calc'!$E$12=1,0,MIN(Calc!$C$247*(1+'财富模型'!$E$20/12)+'Calc'!$B$6,IF(Calc!$A$248&lt;='财富模型'!$E$11*12,'Calc'!$W$12,'Calc'!$Y$12)))),0))</x:f>
      </x:c>
      <x:c r="D248" t="str">
        <x:f>IF(Calc!$A$248&gt;'Calc'!$B$8,"",IF('Calc'!$E$12=1,'财富模型'!$E$9,'财富模型'!$M$4+IF(Calc!$A$248&lt;='财富模型'!$E$11*12,'Calc'!$W$12,'Calc'!$Y$12)-(IF('Calc'!$E$12=1,0,MIN(Calc!$C$247*(1+'财富模型'!$E$20/12)+'Calc'!$B$6,IF(Calc!$A$248&lt;='财富模型'!$E$11*12,'Calc'!$W$12,'Calc'!$Y$12))))))</x:f>
      </x:c>
      <x:c r="E248" t="str">
        <x:f>IF(Calc!$A$248&gt;'Calc'!$B$8,"",IF('Calc'!$E$12=1,0,MIN(Calc!$C$247*(1+'财富模型'!$E$20/12)+'Calc'!$B$6,IF(Calc!$A$248&lt;='财富模型'!$E$11*12,'Calc'!$W$12,'Calc'!$Y$12))))</x:f>
      </x:c>
      <x:c r="F248" t="str">
        <x:f>IF(Calc!$A$248&gt;'Calc'!$B$8,"",'Calc'!$B$5-'财富模型'!$E$5-(IF('Calc'!$E$12=1,'财富模型'!$E$9,'财富模型'!$M$4+IF(Calc!$A$248&lt;='财富模型'!$E$11*12,'Calc'!$W$12,'Calc'!$Y$12)-(IF('Calc'!$E$12=1,0,MIN(Calc!$C$247*(1+'财富模型'!$E$20/12)+'Calc'!$B$6,IF(Calc!$A$248&lt;='财富模型'!$E$11*12,'Calc'!$W$12,'Calc'!$Y$12)))))))</x:f>
      </x:c>
      <x:c r="G248" t="str">
        <x:f>IF(Calc!$A$248&gt;'Calc'!$B$8,"",IF('Calc'!$E$12=1,0,MAX(Calc!$G$247*(1+IF(Calc!$A$248&lt;='财富模型'!$E$11*12,'财富模型'!$E$10,'财富模型'!$E$12)/12)-IF('Calc'!$E$12=1,0,IF(Calc!$A$248&lt;='财富模型'!$E$11*12,'Calc'!$W$12,'Calc'!$Y$12)),0)))</x:f>
      </x:c>
      <x:c r="I248" t="n">
        <x:v>227</x:v>
      </x:c>
      <x:c r="J248" t="str">
        <x:f>IF(Calc!$I$248&gt;'Calc'!$B$8,"",MAX(Calc!$J$247*(1+'财富模型'!$E$6/12)+('Calc'!$B$5-'财富模型'!$E$5-(IF('Calc'!$E$13=1,'财富模型'!$E$9,'财富模型'!$M$5+IF(Calc!$I$248&lt;='财富模型'!$E$11*12,'Calc'!$W$13,'Calc'!$Y$13)-(IF('Calc'!$E$13=1,0,MIN(Calc!$K$247*(1+'财富模型'!$E$20/12)+'Calc'!$B$6,IF(Calc!$I$248&lt;='财富模型'!$E$11*12,'Calc'!$W$13,'Calc'!$Y$13))))))),0))</x:f>
      </x:c>
      <x:c r="K248" t="str">
        <x:f>IF(Calc!$I$248&gt;'Calc'!$B$8,"",MAX(Calc!$K$247*(1+'财富模型'!$E$20/12)+'Calc'!$B$6-(IF('Calc'!$E$13=1,0,MIN(Calc!$K$247*(1+'财富模型'!$E$20/12)+'Calc'!$B$6,IF(Calc!$I$248&lt;='财富模型'!$E$11*12,'Calc'!$W$13,'Calc'!$Y$13)))),0))</x:f>
      </x:c>
      <x:c r="L248" t="str">
        <x:f>IF(Calc!$I$248&gt;'Calc'!$B$8,"",IF('Calc'!$E$13=1,'财富模型'!$E$9,'财富模型'!$M$5+IF(Calc!$I$248&lt;='财富模型'!$E$11*12,'Calc'!$W$13,'Calc'!$Y$13)-(IF('Calc'!$E$13=1,0,MIN(Calc!$K$247*(1+'财富模型'!$E$20/12)+'Calc'!$B$6,IF(Calc!$I$248&lt;='财富模型'!$E$11*12,'Calc'!$W$13,'Calc'!$Y$13))))))</x:f>
      </x:c>
      <x:c r="M248" t="str">
        <x:f>IF(Calc!$I$248&gt;'Calc'!$B$8,"",IF('Calc'!$E$13=1,0,MIN(Calc!$K$247*(1+'财富模型'!$E$20/12)+'Calc'!$B$6,IF(Calc!$I$248&lt;='财富模型'!$E$11*12,'Calc'!$W$13,'Calc'!$Y$13))))</x:f>
      </x:c>
      <x:c r="N248" t="str">
        <x:f>IF(Calc!$I$248&gt;'Calc'!$B$8,"",'Calc'!$B$5-'财富模型'!$E$5-(IF('Calc'!$E$13=1,'财富模型'!$E$9,'财富模型'!$M$5+IF(Calc!$I$248&lt;='财富模型'!$E$11*12,'Calc'!$W$13,'Calc'!$Y$13)-(IF('Calc'!$E$13=1,0,MIN(Calc!$K$247*(1+'财富模型'!$E$20/12)+'Calc'!$B$6,IF(Calc!$I$248&lt;='财富模型'!$E$11*12,'Calc'!$W$13,'Calc'!$Y$13)))))))</x:f>
      </x:c>
      <x:c r="O248" t="str">
        <x:f>IF(Calc!$I$248&gt;'Calc'!$B$8,"",IF('Calc'!$E$13=1,0,MAX(Calc!$O$247*(1+IF(Calc!$I$248&lt;='财富模型'!$E$11*12,'财富模型'!$E$10,'财富模型'!$E$12)/12)-IF('Calc'!$E$13=1,0,IF(Calc!$I$248&lt;='财富模型'!$E$11*12,'Calc'!$W$13,'Calc'!$Y$13)),0)))</x:f>
      </x:c>
      <x:c r="Q248" t="n">
        <x:v>227</x:v>
      </x:c>
      <x:c r="R248" t="str">
        <x:f>IF(Calc!$Q$248&gt;'Calc'!$B$8,"",MAX(Calc!$R$247*(1+'财富模型'!$E$6/12)+('Calc'!$B$5-'财富模型'!$E$5-(IF('Calc'!$E$14=1,'财富模型'!$E$9,'财富模型'!$M$6+IF(Calc!$Q$248&lt;='财富模型'!$E$11*12,'Calc'!$W$14,'Calc'!$Y$14)-(IF('Calc'!$E$14=1,0,MIN(Calc!$S$247*(1+'财富模型'!$E$20/12)+'Calc'!$B$6,IF(Calc!$Q$248&lt;='财富模型'!$E$11*12,'Calc'!$W$14,'Calc'!$Y$14))))))),0))</x:f>
      </x:c>
      <x:c r="S248" t="str">
        <x:f>IF(Calc!$Q$248&gt;'Calc'!$B$8,"",MAX(Calc!$S$247*(1+'财富模型'!$E$20/12)+'Calc'!$B$6-(IF('Calc'!$E$14=1,0,MIN(Calc!$S$247*(1+'财富模型'!$E$20/12)+'Calc'!$B$6,IF(Calc!$Q$248&lt;='财富模型'!$E$11*12,'Calc'!$W$14,'Calc'!$Y$14)))),0))</x:f>
      </x:c>
      <x:c r="T248" t="str">
        <x:f>IF(Calc!$Q$248&gt;'Calc'!$B$8,"",IF('Calc'!$E$14=1,'财富模型'!$E$9,'财富模型'!$M$6+IF(Calc!$Q$248&lt;='财富模型'!$E$11*12,'Calc'!$W$14,'Calc'!$Y$14)-(IF('Calc'!$E$14=1,0,MIN(Calc!$S$247*(1+'财富模型'!$E$20/12)+'Calc'!$B$6,IF(Calc!$Q$248&lt;='财富模型'!$E$11*12,'Calc'!$W$14,'Calc'!$Y$14))))))</x:f>
      </x:c>
      <x:c r="U248" t="str">
        <x:f>IF(Calc!$Q$248&gt;'Calc'!$B$8,"",IF('Calc'!$E$14=1,0,MIN(Calc!$S$247*(1+'财富模型'!$E$20/12)+'Calc'!$B$6,IF(Calc!$Q$248&lt;='财富模型'!$E$11*12,'Calc'!$W$14,'Calc'!$Y$14))))</x:f>
      </x:c>
      <x:c r="V248" t="str">
        <x:f>IF(Calc!$Q$248&gt;'Calc'!$B$8,"",'Calc'!$B$5-'财富模型'!$E$5-(IF('Calc'!$E$14=1,'财富模型'!$E$9,'财富模型'!$M$6+IF(Calc!$Q$248&lt;='财富模型'!$E$11*12,'Calc'!$W$14,'Calc'!$Y$14)-(IF('Calc'!$E$14=1,0,MIN(Calc!$S$247*(1+'财富模型'!$E$20/12)+'Calc'!$B$6,IF(Calc!$Q$248&lt;='财富模型'!$E$11*12,'Calc'!$W$14,'Calc'!$Y$14)))))))</x:f>
      </x:c>
      <x:c r="W248" t="str">
        <x:f>IF(Calc!$Q$248&gt;'Calc'!$B$8,"",IF('Calc'!$E$14=1,0,MAX(Calc!$W$247*(1+IF(Calc!$Q$248&lt;='财富模型'!$E$11*12,'财富模型'!$E$10,'财富模型'!$E$12)/12)-IF('Calc'!$E$14=1,0,IF(Calc!$Q$248&lt;='财富模型'!$E$11*12,'Calc'!$W$14,'Calc'!$Y$14)),0)))</x:f>
      </x:c>
      <x:c r="Y248" t="n">
        <x:v>227</x:v>
      </x:c>
      <x:c r="Z248" t="str">
        <x:f>IF(Calc!$Y$248&gt;'Calc'!$B$8,"",MAX(Calc!$Z$247*(1+'财富模型'!$E$6/12)+('Calc'!$B$5-'财富模型'!$E$5-(IF('Calc'!$E$15=1,'财富模型'!$E$9,'财富模型'!$M$7+IF(Calc!$Y$248&lt;='财富模型'!$E$11*12,'Calc'!$W$15,'Calc'!$Y$15)-(IF('Calc'!$E$15=1,0,MIN(Calc!$AA$247*(1+'财富模型'!$E$20/12)+'Calc'!$B$6,IF(Calc!$Y$248&lt;='财富模型'!$E$11*12,'Calc'!$W$15,'Calc'!$Y$15))))))),0))</x:f>
      </x:c>
      <x:c r="AA248" t="str">
        <x:f>IF(Calc!$Y$248&gt;'Calc'!$B$8,"",MAX(Calc!$AA$247*(1+'财富模型'!$E$20/12)+'Calc'!$B$6-(IF('Calc'!$E$15=1,0,MIN(Calc!$AA$247*(1+'财富模型'!$E$20/12)+'Calc'!$B$6,IF(Calc!$Y$248&lt;='财富模型'!$E$11*12,'Calc'!$W$15,'Calc'!$Y$15)))),0))</x:f>
      </x:c>
      <x:c r="AB248" t="str">
        <x:f>IF(Calc!$Y$248&gt;'Calc'!$B$8,"",IF('Calc'!$E$15=1,'财富模型'!$E$9,'财富模型'!$M$7+IF(Calc!$Y$248&lt;='财富模型'!$E$11*12,'Calc'!$W$15,'Calc'!$Y$15)-(IF('Calc'!$E$15=1,0,MIN(Calc!$AA$247*(1+'财富模型'!$E$20/12)+'Calc'!$B$6,IF(Calc!$Y$248&lt;='财富模型'!$E$11*12,'Calc'!$W$15,'Calc'!$Y$15))))))</x:f>
      </x:c>
      <x:c r="AC248" t="str">
        <x:f>IF(Calc!$Y$248&gt;'Calc'!$B$8,"",IF('Calc'!$E$15=1,0,MIN(Calc!$AA$247*(1+'财富模型'!$E$20/12)+'Calc'!$B$6,IF(Calc!$Y$248&lt;='财富模型'!$E$11*12,'Calc'!$W$15,'Calc'!$Y$15))))</x:f>
      </x:c>
      <x:c r="AD248" t="str">
        <x:f>IF(Calc!$Y$248&gt;'Calc'!$B$8,"",'Calc'!$B$5-'财富模型'!$E$5-(IF('Calc'!$E$15=1,'财富模型'!$E$9,'财富模型'!$M$7+IF(Calc!$Y$248&lt;='财富模型'!$E$11*12,'Calc'!$W$15,'Calc'!$Y$15)-(IF('Calc'!$E$15=1,0,MIN(Calc!$AA$247*(1+'财富模型'!$E$20/12)+'Calc'!$B$6,IF(Calc!$Y$248&lt;='财富模型'!$E$11*12,'Calc'!$W$15,'Calc'!$Y$15)))))))</x:f>
      </x:c>
      <x:c r="AE248" t="str">
        <x:f>IF(Calc!$Y$248&gt;'Calc'!$B$8,"",IF('Calc'!$E$15=1,0,MAX(Calc!$AE$247*(1+IF(Calc!$Y$248&lt;='财富模型'!$E$11*12,'财富模型'!$E$10,'财富模型'!$E$12)/12)-IF('Calc'!$E$15=1,0,IF(Calc!$Y$248&lt;='财富模型'!$E$11*12,'Calc'!$W$15,'Calc'!$Y$15)),0)))</x:f>
      </x:c>
      <x:c r="AG248" t="n">
        <x:v>227</x:v>
      </x:c>
      <x:c r="AH248" t="str">
        <x:f>IF(Calc!$AG$248&gt;'Calc'!$B$8,"",MAX(Calc!$AH$247*(1+'财富模型'!$E$6/12)+('Calc'!$B$5-'财富模型'!$E$5-(IF('Calc'!$E$16=1,'财富模型'!$E$9,'财富模型'!$M$8+IF(Calc!$AG$248&lt;='财富模型'!$E$11*12,'Calc'!$W$16,'Calc'!$Y$16)-(IF('Calc'!$E$16=1,0,MIN(Calc!$AI$247*(1+'财富模型'!$E$20/12)+'Calc'!$B$6,IF(Calc!$AG$248&lt;='财富模型'!$E$11*12,'Calc'!$W$16,'Calc'!$Y$16))))))),0))</x:f>
      </x:c>
      <x:c r="AI248" t="str">
        <x:f>IF(Calc!$AG$248&gt;'Calc'!$B$8,"",MAX(Calc!$AI$247*(1+'财富模型'!$E$20/12)+'Calc'!$B$6-(IF('Calc'!$E$16=1,0,MIN(Calc!$AI$247*(1+'财富模型'!$E$20/12)+'Calc'!$B$6,IF(Calc!$AG$248&lt;='财富模型'!$E$11*12,'Calc'!$W$16,'Calc'!$Y$16)))),0))</x:f>
      </x:c>
      <x:c r="AJ248" t="str">
        <x:f>IF(Calc!$AG$248&gt;'Calc'!$B$8,"",IF('Calc'!$E$16=1,'财富模型'!$E$9,'财富模型'!$M$8+IF(Calc!$AG$248&lt;='财富模型'!$E$11*12,'Calc'!$W$16,'Calc'!$Y$16)-(IF('Calc'!$E$16=1,0,MIN(Calc!$AI$247*(1+'财富模型'!$E$20/12)+'Calc'!$B$6,IF(Calc!$AG$248&lt;='财富模型'!$E$11*12,'Calc'!$W$16,'Calc'!$Y$16))))))</x:f>
      </x:c>
      <x:c r="AK248" t="str">
        <x:f>IF(Calc!$AG$248&gt;'Calc'!$B$8,"",IF('Calc'!$E$16=1,0,MIN(Calc!$AI$247*(1+'财富模型'!$E$20/12)+'Calc'!$B$6,IF(Calc!$AG$248&lt;='财富模型'!$E$11*12,'Calc'!$W$16,'Calc'!$Y$16))))</x:f>
      </x:c>
      <x:c r="AL248" t="str">
        <x:f>IF(Calc!$AG$248&gt;'Calc'!$B$8,"",'Calc'!$B$5-'财富模型'!$E$5-(IF('Calc'!$E$16=1,'财富模型'!$E$9,'财富模型'!$M$8+IF(Calc!$AG$248&lt;='财富模型'!$E$11*12,'Calc'!$W$16,'Calc'!$Y$16)-(IF('Calc'!$E$16=1,0,MIN(Calc!$AI$247*(1+'财富模型'!$E$20/12)+'Calc'!$B$6,IF(Calc!$AG$248&lt;='财富模型'!$E$11*12,'Calc'!$W$16,'Calc'!$Y$16)))))))</x:f>
      </x:c>
      <x:c r="AM248" t="str">
        <x:f>IF(Calc!$AG$248&gt;'Calc'!$B$8,"",IF('Calc'!$E$16=1,0,MAX(Calc!$AM$247*(1+IF(Calc!$AG$248&lt;='财富模型'!$E$11*12,'财富模型'!$E$10,'财富模型'!$E$12)/12)-IF('Calc'!$E$16=1,0,IF(Calc!$AG$248&lt;='财富模型'!$E$11*12,'Calc'!$W$16,'Calc'!$Y$16)),0)))</x:f>
      </x:c>
      <x:c r="AO248" t="n">
        <x:v>227</x:v>
      </x:c>
      <x:c r="AP248" t="str">
        <x:f>IF(Calc!$AO$248&gt;'Calc'!$B$8,"",MAX(Calc!$AP$247*(1+'财富模型'!$E$6/12)+('Calc'!$B$5-'财富模型'!$E$5-(IF('Calc'!$E$17=1,'财富模型'!$E$9,'财富模型'!$M$9+IF(Calc!$AO$248&lt;='财富模型'!$E$11*12,'Calc'!$W$17,'Calc'!$Y$17)-(IF('Calc'!$E$17=1,0,MIN(Calc!$AQ$247*(1+'财富模型'!$E$20/12)+'Calc'!$B$6,IF(Calc!$AO$248&lt;='财富模型'!$E$11*12,'Calc'!$W$17,'Calc'!$Y$17))))))),0))</x:f>
      </x:c>
      <x:c r="AQ248" t="str">
        <x:f>IF(Calc!$AO$248&gt;'Calc'!$B$8,"",MAX(Calc!$AQ$247*(1+'财富模型'!$E$20/12)+'Calc'!$B$6-(IF('Calc'!$E$17=1,0,MIN(Calc!$AQ$247*(1+'财富模型'!$E$20/12)+'Calc'!$B$6,IF(Calc!$AO$248&lt;='财富模型'!$E$11*12,'Calc'!$W$17,'Calc'!$Y$17)))),0))</x:f>
      </x:c>
      <x:c r="AR248" t="str">
        <x:f>IF(Calc!$AO$248&gt;'Calc'!$B$8,"",IF('Calc'!$E$17=1,'财富模型'!$E$9,'财富模型'!$M$9+IF(Calc!$AO$248&lt;='财富模型'!$E$11*12,'Calc'!$W$17,'Calc'!$Y$17)-(IF('Calc'!$E$17=1,0,MIN(Calc!$AQ$247*(1+'财富模型'!$E$20/12)+'Calc'!$B$6,IF(Calc!$AO$248&lt;='财富模型'!$E$11*12,'Calc'!$W$17,'Calc'!$Y$17))))))</x:f>
      </x:c>
      <x:c r="AS248" t="str">
        <x:f>IF(Calc!$AO$248&gt;'Calc'!$B$8,"",IF('Calc'!$E$17=1,0,MIN(Calc!$AQ$247*(1+'财富模型'!$E$20/12)+'Calc'!$B$6,IF(Calc!$AO$248&lt;='财富模型'!$E$11*12,'Calc'!$W$17,'Calc'!$Y$17))))</x:f>
      </x:c>
      <x:c r="AT248" t="str">
        <x:f>IF(Calc!$AO$248&gt;'Calc'!$B$8,"",'Calc'!$B$5-'财富模型'!$E$5-(IF('Calc'!$E$17=1,'财富模型'!$E$9,'财富模型'!$M$9+IF(Calc!$AO$248&lt;='财富模型'!$E$11*12,'Calc'!$W$17,'Calc'!$Y$17)-(IF('Calc'!$E$17=1,0,MIN(Calc!$AQ$247*(1+'财富模型'!$E$20/12)+'Calc'!$B$6,IF(Calc!$AO$248&lt;='财富模型'!$E$11*12,'Calc'!$W$17,'Calc'!$Y$17)))))))</x:f>
      </x:c>
      <x:c r="AU248" t="str">
        <x:f>IF(Calc!$AO$248&gt;'Calc'!$B$8,"",IF('Calc'!$E$17=1,0,MAX(Calc!$AU$247*(1+IF(Calc!$AO$248&lt;='财富模型'!$E$11*12,'财富模型'!$E$10,'财富模型'!$E$12)/12)-IF('Calc'!$E$17=1,0,IF(Calc!$AO$248&lt;='财富模型'!$E$11*12,'Calc'!$W$17,'Calc'!$Y$17)),0)))</x:f>
      </x:c>
    </x:row>
    <x:row r="249">
      <x:c r="A249" t="n">
        <x:v>228</x:v>
      </x:c>
      <x:c r="B249" t="str">
        <x:f>IF(Calc!$A$249&gt;'Calc'!$B$8,"",MAX(Calc!$B$248*(1+'财富模型'!$E$6/12)+('Calc'!$B$5-'财富模型'!$E$5-(IF('Calc'!$E$12=1,'财富模型'!$E$9,'财富模型'!$M$4+IF(Calc!$A$249&lt;='财富模型'!$E$11*12,'Calc'!$W$12,'Calc'!$Y$12)-(IF('Calc'!$E$12=1,0,MIN(Calc!$C$248*(1+'财富模型'!$E$20/12)+'Calc'!$B$6,IF(Calc!$A$249&lt;='财富模型'!$E$11*12,'Calc'!$W$12,'Calc'!$Y$12))))))),0))</x:f>
      </x:c>
      <x:c r="C249" t="str">
        <x:f>IF(Calc!$A$249&gt;'Calc'!$B$8,"",MAX(Calc!$C$248*(1+'财富模型'!$E$20/12)+'Calc'!$B$6-(IF('Calc'!$E$12=1,0,MIN(Calc!$C$248*(1+'财富模型'!$E$20/12)+'Calc'!$B$6,IF(Calc!$A$249&lt;='财富模型'!$E$11*12,'Calc'!$W$12,'Calc'!$Y$12)))),0))</x:f>
      </x:c>
      <x:c r="D249" t="str">
        <x:f>IF(Calc!$A$249&gt;'Calc'!$B$8,"",IF('Calc'!$E$12=1,'财富模型'!$E$9,'财富模型'!$M$4+IF(Calc!$A$249&lt;='财富模型'!$E$11*12,'Calc'!$W$12,'Calc'!$Y$12)-(IF('Calc'!$E$12=1,0,MIN(Calc!$C$248*(1+'财富模型'!$E$20/12)+'Calc'!$B$6,IF(Calc!$A$249&lt;='财富模型'!$E$11*12,'Calc'!$W$12,'Calc'!$Y$12))))))</x:f>
      </x:c>
      <x:c r="E249" t="str">
        <x:f>IF(Calc!$A$249&gt;'Calc'!$B$8,"",IF('Calc'!$E$12=1,0,MIN(Calc!$C$248*(1+'财富模型'!$E$20/12)+'Calc'!$B$6,IF(Calc!$A$249&lt;='财富模型'!$E$11*12,'Calc'!$W$12,'Calc'!$Y$12))))</x:f>
      </x:c>
      <x:c r="F249" t="str">
        <x:f>IF(Calc!$A$249&gt;'Calc'!$B$8,"",'Calc'!$B$5-'财富模型'!$E$5-(IF('Calc'!$E$12=1,'财富模型'!$E$9,'财富模型'!$M$4+IF(Calc!$A$249&lt;='财富模型'!$E$11*12,'Calc'!$W$12,'Calc'!$Y$12)-(IF('Calc'!$E$12=1,0,MIN(Calc!$C$248*(1+'财富模型'!$E$20/12)+'Calc'!$B$6,IF(Calc!$A$249&lt;='财富模型'!$E$11*12,'Calc'!$W$12,'Calc'!$Y$12)))))))</x:f>
      </x:c>
      <x:c r="G249" t="str">
        <x:f>IF(Calc!$A$249&gt;'Calc'!$B$8,"",IF('Calc'!$E$12=1,0,MAX(Calc!$G$248*(1+IF(Calc!$A$249&lt;='财富模型'!$E$11*12,'财富模型'!$E$10,'财富模型'!$E$12)/12)-IF('Calc'!$E$12=1,0,IF(Calc!$A$249&lt;='财富模型'!$E$11*12,'Calc'!$W$12,'Calc'!$Y$12)),0)))</x:f>
      </x:c>
      <x:c r="I249" t="n">
        <x:v>228</x:v>
      </x:c>
      <x:c r="J249" t="str">
        <x:f>IF(Calc!$I$249&gt;'Calc'!$B$8,"",MAX(Calc!$J$248*(1+'财富模型'!$E$6/12)+('Calc'!$B$5-'财富模型'!$E$5-(IF('Calc'!$E$13=1,'财富模型'!$E$9,'财富模型'!$M$5+IF(Calc!$I$249&lt;='财富模型'!$E$11*12,'Calc'!$W$13,'Calc'!$Y$13)-(IF('Calc'!$E$13=1,0,MIN(Calc!$K$248*(1+'财富模型'!$E$20/12)+'Calc'!$B$6,IF(Calc!$I$249&lt;='财富模型'!$E$11*12,'Calc'!$W$13,'Calc'!$Y$13))))))),0))</x:f>
      </x:c>
      <x:c r="K249" t="str">
        <x:f>IF(Calc!$I$249&gt;'Calc'!$B$8,"",MAX(Calc!$K$248*(1+'财富模型'!$E$20/12)+'Calc'!$B$6-(IF('Calc'!$E$13=1,0,MIN(Calc!$K$248*(1+'财富模型'!$E$20/12)+'Calc'!$B$6,IF(Calc!$I$249&lt;='财富模型'!$E$11*12,'Calc'!$W$13,'Calc'!$Y$13)))),0))</x:f>
      </x:c>
      <x:c r="L249" t="str">
        <x:f>IF(Calc!$I$249&gt;'Calc'!$B$8,"",IF('Calc'!$E$13=1,'财富模型'!$E$9,'财富模型'!$M$5+IF(Calc!$I$249&lt;='财富模型'!$E$11*12,'Calc'!$W$13,'Calc'!$Y$13)-(IF('Calc'!$E$13=1,0,MIN(Calc!$K$248*(1+'财富模型'!$E$20/12)+'Calc'!$B$6,IF(Calc!$I$249&lt;='财富模型'!$E$11*12,'Calc'!$W$13,'Calc'!$Y$13))))))</x:f>
      </x:c>
      <x:c r="M249" t="str">
        <x:f>IF(Calc!$I$249&gt;'Calc'!$B$8,"",IF('Calc'!$E$13=1,0,MIN(Calc!$K$248*(1+'财富模型'!$E$20/12)+'Calc'!$B$6,IF(Calc!$I$249&lt;='财富模型'!$E$11*12,'Calc'!$W$13,'Calc'!$Y$13))))</x:f>
      </x:c>
      <x:c r="N249" t="str">
        <x:f>IF(Calc!$I$249&gt;'Calc'!$B$8,"",'Calc'!$B$5-'财富模型'!$E$5-(IF('Calc'!$E$13=1,'财富模型'!$E$9,'财富模型'!$M$5+IF(Calc!$I$249&lt;='财富模型'!$E$11*12,'Calc'!$W$13,'Calc'!$Y$13)-(IF('Calc'!$E$13=1,0,MIN(Calc!$K$248*(1+'财富模型'!$E$20/12)+'Calc'!$B$6,IF(Calc!$I$249&lt;='财富模型'!$E$11*12,'Calc'!$W$13,'Calc'!$Y$13)))))))</x:f>
      </x:c>
      <x:c r="O249" t="str">
        <x:f>IF(Calc!$I$249&gt;'Calc'!$B$8,"",IF('Calc'!$E$13=1,0,MAX(Calc!$O$248*(1+IF(Calc!$I$249&lt;='财富模型'!$E$11*12,'财富模型'!$E$10,'财富模型'!$E$12)/12)-IF('Calc'!$E$13=1,0,IF(Calc!$I$249&lt;='财富模型'!$E$11*12,'Calc'!$W$13,'Calc'!$Y$13)),0)))</x:f>
      </x:c>
      <x:c r="Q249" t="n">
        <x:v>228</x:v>
      </x:c>
      <x:c r="R249" t="str">
        <x:f>IF(Calc!$Q$249&gt;'Calc'!$B$8,"",MAX(Calc!$R$248*(1+'财富模型'!$E$6/12)+('Calc'!$B$5-'财富模型'!$E$5-(IF('Calc'!$E$14=1,'财富模型'!$E$9,'财富模型'!$M$6+IF(Calc!$Q$249&lt;='财富模型'!$E$11*12,'Calc'!$W$14,'Calc'!$Y$14)-(IF('Calc'!$E$14=1,0,MIN(Calc!$S$248*(1+'财富模型'!$E$20/12)+'Calc'!$B$6,IF(Calc!$Q$249&lt;='财富模型'!$E$11*12,'Calc'!$W$14,'Calc'!$Y$14))))))),0))</x:f>
      </x:c>
      <x:c r="S249" t="str">
        <x:f>IF(Calc!$Q$249&gt;'Calc'!$B$8,"",MAX(Calc!$S$248*(1+'财富模型'!$E$20/12)+'Calc'!$B$6-(IF('Calc'!$E$14=1,0,MIN(Calc!$S$248*(1+'财富模型'!$E$20/12)+'Calc'!$B$6,IF(Calc!$Q$249&lt;='财富模型'!$E$11*12,'Calc'!$W$14,'Calc'!$Y$14)))),0))</x:f>
      </x:c>
      <x:c r="T249" t="str">
        <x:f>IF(Calc!$Q$249&gt;'Calc'!$B$8,"",IF('Calc'!$E$14=1,'财富模型'!$E$9,'财富模型'!$M$6+IF(Calc!$Q$249&lt;='财富模型'!$E$11*12,'Calc'!$W$14,'Calc'!$Y$14)-(IF('Calc'!$E$14=1,0,MIN(Calc!$S$248*(1+'财富模型'!$E$20/12)+'Calc'!$B$6,IF(Calc!$Q$249&lt;='财富模型'!$E$11*12,'Calc'!$W$14,'Calc'!$Y$14))))))</x:f>
      </x:c>
      <x:c r="U249" t="str">
        <x:f>IF(Calc!$Q$249&gt;'Calc'!$B$8,"",IF('Calc'!$E$14=1,0,MIN(Calc!$S$248*(1+'财富模型'!$E$20/12)+'Calc'!$B$6,IF(Calc!$Q$249&lt;='财富模型'!$E$11*12,'Calc'!$W$14,'Calc'!$Y$14))))</x:f>
      </x:c>
      <x:c r="V249" t="str">
        <x:f>IF(Calc!$Q$249&gt;'Calc'!$B$8,"",'Calc'!$B$5-'财富模型'!$E$5-(IF('Calc'!$E$14=1,'财富模型'!$E$9,'财富模型'!$M$6+IF(Calc!$Q$249&lt;='财富模型'!$E$11*12,'Calc'!$W$14,'Calc'!$Y$14)-(IF('Calc'!$E$14=1,0,MIN(Calc!$S$248*(1+'财富模型'!$E$20/12)+'Calc'!$B$6,IF(Calc!$Q$249&lt;='财富模型'!$E$11*12,'Calc'!$W$14,'Calc'!$Y$14)))))))</x:f>
      </x:c>
      <x:c r="W249" t="str">
        <x:f>IF(Calc!$Q$249&gt;'Calc'!$B$8,"",IF('Calc'!$E$14=1,0,MAX(Calc!$W$248*(1+IF(Calc!$Q$249&lt;='财富模型'!$E$11*12,'财富模型'!$E$10,'财富模型'!$E$12)/12)-IF('Calc'!$E$14=1,0,IF(Calc!$Q$249&lt;='财富模型'!$E$11*12,'Calc'!$W$14,'Calc'!$Y$14)),0)))</x:f>
      </x:c>
      <x:c r="Y249" t="n">
        <x:v>228</x:v>
      </x:c>
      <x:c r="Z249" t="str">
        <x:f>IF(Calc!$Y$249&gt;'Calc'!$B$8,"",MAX(Calc!$Z$248*(1+'财富模型'!$E$6/12)+('Calc'!$B$5-'财富模型'!$E$5-(IF('Calc'!$E$15=1,'财富模型'!$E$9,'财富模型'!$M$7+IF(Calc!$Y$249&lt;='财富模型'!$E$11*12,'Calc'!$W$15,'Calc'!$Y$15)-(IF('Calc'!$E$15=1,0,MIN(Calc!$AA$248*(1+'财富模型'!$E$20/12)+'Calc'!$B$6,IF(Calc!$Y$249&lt;='财富模型'!$E$11*12,'Calc'!$W$15,'Calc'!$Y$15))))))),0))</x:f>
      </x:c>
      <x:c r="AA249" t="str">
        <x:f>IF(Calc!$Y$249&gt;'Calc'!$B$8,"",MAX(Calc!$AA$248*(1+'财富模型'!$E$20/12)+'Calc'!$B$6-(IF('Calc'!$E$15=1,0,MIN(Calc!$AA$248*(1+'财富模型'!$E$20/12)+'Calc'!$B$6,IF(Calc!$Y$249&lt;='财富模型'!$E$11*12,'Calc'!$W$15,'Calc'!$Y$15)))),0))</x:f>
      </x:c>
      <x:c r="AB249" t="str">
        <x:f>IF(Calc!$Y$249&gt;'Calc'!$B$8,"",IF('Calc'!$E$15=1,'财富模型'!$E$9,'财富模型'!$M$7+IF(Calc!$Y$249&lt;='财富模型'!$E$11*12,'Calc'!$W$15,'Calc'!$Y$15)-(IF('Calc'!$E$15=1,0,MIN(Calc!$AA$248*(1+'财富模型'!$E$20/12)+'Calc'!$B$6,IF(Calc!$Y$249&lt;='财富模型'!$E$11*12,'Calc'!$W$15,'Calc'!$Y$15))))))</x:f>
      </x:c>
      <x:c r="AC249" t="str">
        <x:f>IF(Calc!$Y$249&gt;'Calc'!$B$8,"",IF('Calc'!$E$15=1,0,MIN(Calc!$AA$248*(1+'财富模型'!$E$20/12)+'Calc'!$B$6,IF(Calc!$Y$249&lt;='财富模型'!$E$11*12,'Calc'!$W$15,'Calc'!$Y$15))))</x:f>
      </x:c>
      <x:c r="AD249" t="str">
        <x:f>IF(Calc!$Y$249&gt;'Calc'!$B$8,"",'Calc'!$B$5-'财富模型'!$E$5-(IF('Calc'!$E$15=1,'财富模型'!$E$9,'财富模型'!$M$7+IF(Calc!$Y$249&lt;='财富模型'!$E$11*12,'Calc'!$W$15,'Calc'!$Y$15)-(IF('Calc'!$E$15=1,0,MIN(Calc!$AA$248*(1+'财富模型'!$E$20/12)+'Calc'!$B$6,IF(Calc!$Y$249&lt;='财富模型'!$E$11*12,'Calc'!$W$15,'Calc'!$Y$15)))))))</x:f>
      </x:c>
      <x:c r="AE249" t="str">
        <x:f>IF(Calc!$Y$249&gt;'Calc'!$B$8,"",IF('Calc'!$E$15=1,0,MAX(Calc!$AE$248*(1+IF(Calc!$Y$249&lt;='财富模型'!$E$11*12,'财富模型'!$E$10,'财富模型'!$E$12)/12)-IF('Calc'!$E$15=1,0,IF(Calc!$Y$249&lt;='财富模型'!$E$11*12,'Calc'!$W$15,'Calc'!$Y$15)),0)))</x:f>
      </x:c>
      <x:c r="AG249" t="n">
        <x:v>228</x:v>
      </x:c>
      <x:c r="AH249" t="str">
        <x:f>IF(Calc!$AG$249&gt;'Calc'!$B$8,"",MAX(Calc!$AH$248*(1+'财富模型'!$E$6/12)+('Calc'!$B$5-'财富模型'!$E$5-(IF('Calc'!$E$16=1,'财富模型'!$E$9,'财富模型'!$M$8+IF(Calc!$AG$249&lt;='财富模型'!$E$11*12,'Calc'!$W$16,'Calc'!$Y$16)-(IF('Calc'!$E$16=1,0,MIN(Calc!$AI$248*(1+'财富模型'!$E$20/12)+'Calc'!$B$6,IF(Calc!$AG$249&lt;='财富模型'!$E$11*12,'Calc'!$W$16,'Calc'!$Y$16))))))),0))</x:f>
      </x:c>
      <x:c r="AI249" t="str">
        <x:f>IF(Calc!$AG$249&gt;'Calc'!$B$8,"",MAX(Calc!$AI$248*(1+'财富模型'!$E$20/12)+'Calc'!$B$6-(IF('Calc'!$E$16=1,0,MIN(Calc!$AI$248*(1+'财富模型'!$E$20/12)+'Calc'!$B$6,IF(Calc!$AG$249&lt;='财富模型'!$E$11*12,'Calc'!$W$16,'Calc'!$Y$16)))),0))</x:f>
      </x:c>
      <x:c r="AJ249" t="str">
        <x:f>IF(Calc!$AG$249&gt;'Calc'!$B$8,"",IF('Calc'!$E$16=1,'财富模型'!$E$9,'财富模型'!$M$8+IF(Calc!$AG$249&lt;='财富模型'!$E$11*12,'Calc'!$W$16,'Calc'!$Y$16)-(IF('Calc'!$E$16=1,0,MIN(Calc!$AI$248*(1+'财富模型'!$E$20/12)+'Calc'!$B$6,IF(Calc!$AG$249&lt;='财富模型'!$E$11*12,'Calc'!$W$16,'Calc'!$Y$16))))))</x:f>
      </x:c>
      <x:c r="AK249" t="str">
        <x:f>IF(Calc!$AG$249&gt;'Calc'!$B$8,"",IF('Calc'!$E$16=1,0,MIN(Calc!$AI$248*(1+'财富模型'!$E$20/12)+'Calc'!$B$6,IF(Calc!$AG$249&lt;='财富模型'!$E$11*12,'Calc'!$W$16,'Calc'!$Y$16))))</x:f>
      </x:c>
      <x:c r="AL249" t="str">
        <x:f>IF(Calc!$AG$249&gt;'Calc'!$B$8,"",'Calc'!$B$5-'财富模型'!$E$5-(IF('Calc'!$E$16=1,'财富模型'!$E$9,'财富模型'!$M$8+IF(Calc!$AG$249&lt;='财富模型'!$E$11*12,'Calc'!$W$16,'Calc'!$Y$16)-(IF('Calc'!$E$16=1,0,MIN(Calc!$AI$248*(1+'财富模型'!$E$20/12)+'Calc'!$B$6,IF(Calc!$AG$249&lt;='财富模型'!$E$11*12,'Calc'!$W$16,'Calc'!$Y$16)))))))</x:f>
      </x:c>
      <x:c r="AM249" t="str">
        <x:f>IF(Calc!$AG$249&gt;'Calc'!$B$8,"",IF('Calc'!$E$16=1,0,MAX(Calc!$AM$248*(1+IF(Calc!$AG$249&lt;='财富模型'!$E$11*12,'财富模型'!$E$10,'财富模型'!$E$12)/12)-IF('Calc'!$E$16=1,0,IF(Calc!$AG$249&lt;='财富模型'!$E$11*12,'Calc'!$W$16,'Calc'!$Y$16)),0)))</x:f>
      </x:c>
      <x:c r="AO249" t="n">
        <x:v>228</x:v>
      </x:c>
      <x:c r="AP249" t="str">
        <x:f>IF(Calc!$AO$249&gt;'Calc'!$B$8,"",MAX(Calc!$AP$248*(1+'财富模型'!$E$6/12)+('Calc'!$B$5-'财富模型'!$E$5-(IF('Calc'!$E$17=1,'财富模型'!$E$9,'财富模型'!$M$9+IF(Calc!$AO$249&lt;='财富模型'!$E$11*12,'Calc'!$W$17,'Calc'!$Y$17)-(IF('Calc'!$E$17=1,0,MIN(Calc!$AQ$248*(1+'财富模型'!$E$20/12)+'Calc'!$B$6,IF(Calc!$AO$249&lt;='财富模型'!$E$11*12,'Calc'!$W$17,'Calc'!$Y$17))))))),0))</x:f>
      </x:c>
      <x:c r="AQ249" t="str">
        <x:f>IF(Calc!$AO$249&gt;'Calc'!$B$8,"",MAX(Calc!$AQ$248*(1+'财富模型'!$E$20/12)+'Calc'!$B$6-(IF('Calc'!$E$17=1,0,MIN(Calc!$AQ$248*(1+'财富模型'!$E$20/12)+'Calc'!$B$6,IF(Calc!$AO$249&lt;='财富模型'!$E$11*12,'Calc'!$W$17,'Calc'!$Y$17)))),0))</x:f>
      </x:c>
      <x:c r="AR249" t="str">
        <x:f>IF(Calc!$AO$249&gt;'Calc'!$B$8,"",IF('Calc'!$E$17=1,'财富模型'!$E$9,'财富模型'!$M$9+IF(Calc!$AO$249&lt;='财富模型'!$E$11*12,'Calc'!$W$17,'Calc'!$Y$17)-(IF('Calc'!$E$17=1,0,MIN(Calc!$AQ$248*(1+'财富模型'!$E$20/12)+'Calc'!$B$6,IF(Calc!$AO$249&lt;='财富模型'!$E$11*12,'Calc'!$W$17,'Calc'!$Y$17))))))</x:f>
      </x:c>
      <x:c r="AS249" t="str">
        <x:f>IF(Calc!$AO$249&gt;'Calc'!$B$8,"",IF('Calc'!$E$17=1,0,MIN(Calc!$AQ$248*(1+'财富模型'!$E$20/12)+'Calc'!$B$6,IF(Calc!$AO$249&lt;='财富模型'!$E$11*12,'Calc'!$W$17,'Calc'!$Y$17))))</x:f>
      </x:c>
      <x:c r="AT249" t="str">
        <x:f>IF(Calc!$AO$249&gt;'Calc'!$B$8,"",'Calc'!$B$5-'财富模型'!$E$5-(IF('Calc'!$E$17=1,'财富模型'!$E$9,'财富模型'!$M$9+IF(Calc!$AO$249&lt;='财富模型'!$E$11*12,'Calc'!$W$17,'Calc'!$Y$17)-(IF('Calc'!$E$17=1,0,MIN(Calc!$AQ$248*(1+'财富模型'!$E$20/12)+'Calc'!$B$6,IF(Calc!$AO$249&lt;='财富模型'!$E$11*12,'Calc'!$W$17,'Calc'!$Y$17)))))))</x:f>
      </x:c>
      <x:c r="AU249" t="str">
        <x:f>IF(Calc!$AO$249&gt;'Calc'!$B$8,"",IF('Calc'!$E$17=1,0,MAX(Calc!$AU$248*(1+IF(Calc!$AO$249&lt;='财富模型'!$E$11*12,'财富模型'!$E$10,'财富模型'!$E$12)/12)-IF('Calc'!$E$17=1,0,IF(Calc!$AO$249&lt;='财富模型'!$E$11*12,'Calc'!$W$17,'Calc'!$Y$17)),0)))</x:f>
      </x:c>
    </x:row>
    <x:row r="250">
      <x:c r="A250" t="n">
        <x:v>229</x:v>
      </x:c>
      <x:c r="B250" t="str">
        <x:f>IF(Calc!$A$250&gt;'Calc'!$B$8,"",MAX(Calc!$B$249*(1+'财富模型'!$E$6/12)+('Calc'!$B$5-'财富模型'!$E$5-(IF('Calc'!$E$12=1,'财富模型'!$E$9,'财富模型'!$M$4+IF(Calc!$A$250&lt;='财富模型'!$E$11*12,'Calc'!$W$12,'Calc'!$Y$12)-(IF('Calc'!$E$12=1,0,MIN(Calc!$C$249*(1+'财富模型'!$E$20/12)+'Calc'!$B$6,IF(Calc!$A$250&lt;='财富模型'!$E$11*12,'Calc'!$W$12,'Calc'!$Y$12))))))),0))</x:f>
      </x:c>
      <x:c r="C250" t="str">
        <x:f>IF(Calc!$A$250&gt;'Calc'!$B$8,"",MAX(Calc!$C$249*(1+'财富模型'!$E$20/12)+'Calc'!$B$6-(IF('Calc'!$E$12=1,0,MIN(Calc!$C$249*(1+'财富模型'!$E$20/12)+'Calc'!$B$6,IF(Calc!$A$250&lt;='财富模型'!$E$11*12,'Calc'!$W$12,'Calc'!$Y$12)))),0))</x:f>
      </x:c>
      <x:c r="D250" t="str">
        <x:f>IF(Calc!$A$250&gt;'Calc'!$B$8,"",IF('Calc'!$E$12=1,'财富模型'!$E$9,'财富模型'!$M$4+IF(Calc!$A$250&lt;='财富模型'!$E$11*12,'Calc'!$W$12,'Calc'!$Y$12)-(IF('Calc'!$E$12=1,0,MIN(Calc!$C$249*(1+'财富模型'!$E$20/12)+'Calc'!$B$6,IF(Calc!$A$250&lt;='财富模型'!$E$11*12,'Calc'!$W$12,'Calc'!$Y$12))))))</x:f>
      </x:c>
      <x:c r="E250" t="str">
        <x:f>IF(Calc!$A$250&gt;'Calc'!$B$8,"",IF('Calc'!$E$12=1,0,MIN(Calc!$C$249*(1+'财富模型'!$E$20/12)+'Calc'!$B$6,IF(Calc!$A$250&lt;='财富模型'!$E$11*12,'Calc'!$W$12,'Calc'!$Y$12))))</x:f>
      </x:c>
      <x:c r="F250" t="str">
        <x:f>IF(Calc!$A$250&gt;'Calc'!$B$8,"",'Calc'!$B$5-'财富模型'!$E$5-(IF('Calc'!$E$12=1,'财富模型'!$E$9,'财富模型'!$M$4+IF(Calc!$A$250&lt;='财富模型'!$E$11*12,'Calc'!$W$12,'Calc'!$Y$12)-(IF('Calc'!$E$12=1,0,MIN(Calc!$C$249*(1+'财富模型'!$E$20/12)+'Calc'!$B$6,IF(Calc!$A$250&lt;='财富模型'!$E$11*12,'Calc'!$W$12,'Calc'!$Y$12)))))))</x:f>
      </x:c>
      <x:c r="G250" t="str">
        <x:f>IF(Calc!$A$250&gt;'Calc'!$B$8,"",IF('Calc'!$E$12=1,0,MAX(Calc!$G$249*(1+IF(Calc!$A$250&lt;='财富模型'!$E$11*12,'财富模型'!$E$10,'财富模型'!$E$12)/12)-IF('Calc'!$E$12=1,0,IF(Calc!$A$250&lt;='财富模型'!$E$11*12,'Calc'!$W$12,'Calc'!$Y$12)),0)))</x:f>
      </x:c>
      <x:c r="I250" t="n">
        <x:v>229</x:v>
      </x:c>
      <x:c r="J250" t="str">
        <x:f>IF(Calc!$I$250&gt;'Calc'!$B$8,"",MAX(Calc!$J$249*(1+'财富模型'!$E$6/12)+('Calc'!$B$5-'财富模型'!$E$5-(IF('Calc'!$E$13=1,'财富模型'!$E$9,'财富模型'!$M$5+IF(Calc!$I$250&lt;='财富模型'!$E$11*12,'Calc'!$W$13,'Calc'!$Y$13)-(IF('Calc'!$E$13=1,0,MIN(Calc!$K$249*(1+'财富模型'!$E$20/12)+'Calc'!$B$6,IF(Calc!$I$250&lt;='财富模型'!$E$11*12,'Calc'!$W$13,'Calc'!$Y$13))))))),0))</x:f>
      </x:c>
      <x:c r="K250" t="str">
        <x:f>IF(Calc!$I$250&gt;'Calc'!$B$8,"",MAX(Calc!$K$249*(1+'财富模型'!$E$20/12)+'Calc'!$B$6-(IF('Calc'!$E$13=1,0,MIN(Calc!$K$249*(1+'财富模型'!$E$20/12)+'Calc'!$B$6,IF(Calc!$I$250&lt;='财富模型'!$E$11*12,'Calc'!$W$13,'Calc'!$Y$13)))),0))</x:f>
      </x:c>
      <x:c r="L250" t="str">
        <x:f>IF(Calc!$I$250&gt;'Calc'!$B$8,"",IF('Calc'!$E$13=1,'财富模型'!$E$9,'财富模型'!$M$5+IF(Calc!$I$250&lt;='财富模型'!$E$11*12,'Calc'!$W$13,'Calc'!$Y$13)-(IF('Calc'!$E$13=1,0,MIN(Calc!$K$249*(1+'财富模型'!$E$20/12)+'Calc'!$B$6,IF(Calc!$I$250&lt;='财富模型'!$E$11*12,'Calc'!$W$13,'Calc'!$Y$13))))))</x:f>
      </x:c>
      <x:c r="M250" t="str">
        <x:f>IF(Calc!$I$250&gt;'Calc'!$B$8,"",IF('Calc'!$E$13=1,0,MIN(Calc!$K$249*(1+'财富模型'!$E$20/12)+'Calc'!$B$6,IF(Calc!$I$250&lt;='财富模型'!$E$11*12,'Calc'!$W$13,'Calc'!$Y$13))))</x:f>
      </x:c>
      <x:c r="N250" t="str">
        <x:f>IF(Calc!$I$250&gt;'Calc'!$B$8,"",'Calc'!$B$5-'财富模型'!$E$5-(IF('Calc'!$E$13=1,'财富模型'!$E$9,'财富模型'!$M$5+IF(Calc!$I$250&lt;='财富模型'!$E$11*12,'Calc'!$W$13,'Calc'!$Y$13)-(IF('Calc'!$E$13=1,0,MIN(Calc!$K$249*(1+'财富模型'!$E$20/12)+'Calc'!$B$6,IF(Calc!$I$250&lt;='财富模型'!$E$11*12,'Calc'!$W$13,'Calc'!$Y$13)))))))</x:f>
      </x:c>
      <x:c r="O250" t="str">
        <x:f>IF(Calc!$I$250&gt;'Calc'!$B$8,"",IF('Calc'!$E$13=1,0,MAX(Calc!$O$249*(1+IF(Calc!$I$250&lt;='财富模型'!$E$11*12,'财富模型'!$E$10,'财富模型'!$E$12)/12)-IF('Calc'!$E$13=1,0,IF(Calc!$I$250&lt;='财富模型'!$E$11*12,'Calc'!$W$13,'Calc'!$Y$13)),0)))</x:f>
      </x:c>
      <x:c r="Q250" t="n">
        <x:v>229</x:v>
      </x:c>
      <x:c r="R250" t="str">
        <x:f>IF(Calc!$Q$250&gt;'Calc'!$B$8,"",MAX(Calc!$R$249*(1+'财富模型'!$E$6/12)+('Calc'!$B$5-'财富模型'!$E$5-(IF('Calc'!$E$14=1,'财富模型'!$E$9,'财富模型'!$M$6+IF(Calc!$Q$250&lt;='财富模型'!$E$11*12,'Calc'!$W$14,'Calc'!$Y$14)-(IF('Calc'!$E$14=1,0,MIN(Calc!$S$249*(1+'财富模型'!$E$20/12)+'Calc'!$B$6,IF(Calc!$Q$250&lt;='财富模型'!$E$11*12,'Calc'!$W$14,'Calc'!$Y$14))))))),0))</x:f>
      </x:c>
      <x:c r="S250" t="str">
        <x:f>IF(Calc!$Q$250&gt;'Calc'!$B$8,"",MAX(Calc!$S$249*(1+'财富模型'!$E$20/12)+'Calc'!$B$6-(IF('Calc'!$E$14=1,0,MIN(Calc!$S$249*(1+'财富模型'!$E$20/12)+'Calc'!$B$6,IF(Calc!$Q$250&lt;='财富模型'!$E$11*12,'Calc'!$W$14,'Calc'!$Y$14)))),0))</x:f>
      </x:c>
      <x:c r="T250" t="str">
        <x:f>IF(Calc!$Q$250&gt;'Calc'!$B$8,"",IF('Calc'!$E$14=1,'财富模型'!$E$9,'财富模型'!$M$6+IF(Calc!$Q$250&lt;='财富模型'!$E$11*12,'Calc'!$W$14,'Calc'!$Y$14)-(IF('Calc'!$E$14=1,0,MIN(Calc!$S$249*(1+'财富模型'!$E$20/12)+'Calc'!$B$6,IF(Calc!$Q$250&lt;='财富模型'!$E$11*12,'Calc'!$W$14,'Calc'!$Y$14))))))</x:f>
      </x:c>
      <x:c r="U250" t="str">
        <x:f>IF(Calc!$Q$250&gt;'Calc'!$B$8,"",IF('Calc'!$E$14=1,0,MIN(Calc!$S$249*(1+'财富模型'!$E$20/12)+'Calc'!$B$6,IF(Calc!$Q$250&lt;='财富模型'!$E$11*12,'Calc'!$W$14,'Calc'!$Y$14))))</x:f>
      </x:c>
      <x:c r="V250" t="str">
        <x:f>IF(Calc!$Q$250&gt;'Calc'!$B$8,"",'Calc'!$B$5-'财富模型'!$E$5-(IF('Calc'!$E$14=1,'财富模型'!$E$9,'财富模型'!$M$6+IF(Calc!$Q$250&lt;='财富模型'!$E$11*12,'Calc'!$W$14,'Calc'!$Y$14)-(IF('Calc'!$E$14=1,0,MIN(Calc!$S$249*(1+'财富模型'!$E$20/12)+'Calc'!$B$6,IF(Calc!$Q$250&lt;='财富模型'!$E$11*12,'Calc'!$W$14,'Calc'!$Y$14)))))))</x:f>
      </x:c>
      <x:c r="W250" t="str">
        <x:f>IF(Calc!$Q$250&gt;'Calc'!$B$8,"",IF('Calc'!$E$14=1,0,MAX(Calc!$W$249*(1+IF(Calc!$Q$250&lt;='财富模型'!$E$11*12,'财富模型'!$E$10,'财富模型'!$E$12)/12)-IF('Calc'!$E$14=1,0,IF(Calc!$Q$250&lt;='财富模型'!$E$11*12,'Calc'!$W$14,'Calc'!$Y$14)),0)))</x:f>
      </x:c>
      <x:c r="Y250" t="n">
        <x:v>229</x:v>
      </x:c>
      <x:c r="Z250" t="str">
        <x:f>IF(Calc!$Y$250&gt;'Calc'!$B$8,"",MAX(Calc!$Z$249*(1+'财富模型'!$E$6/12)+('Calc'!$B$5-'财富模型'!$E$5-(IF('Calc'!$E$15=1,'财富模型'!$E$9,'财富模型'!$M$7+IF(Calc!$Y$250&lt;='财富模型'!$E$11*12,'Calc'!$W$15,'Calc'!$Y$15)-(IF('Calc'!$E$15=1,0,MIN(Calc!$AA$249*(1+'财富模型'!$E$20/12)+'Calc'!$B$6,IF(Calc!$Y$250&lt;='财富模型'!$E$11*12,'Calc'!$W$15,'Calc'!$Y$15))))))),0))</x:f>
      </x:c>
      <x:c r="AA250" t="str">
        <x:f>IF(Calc!$Y$250&gt;'Calc'!$B$8,"",MAX(Calc!$AA$249*(1+'财富模型'!$E$20/12)+'Calc'!$B$6-(IF('Calc'!$E$15=1,0,MIN(Calc!$AA$249*(1+'财富模型'!$E$20/12)+'Calc'!$B$6,IF(Calc!$Y$250&lt;='财富模型'!$E$11*12,'Calc'!$W$15,'Calc'!$Y$15)))),0))</x:f>
      </x:c>
      <x:c r="AB250" t="str">
        <x:f>IF(Calc!$Y$250&gt;'Calc'!$B$8,"",IF('Calc'!$E$15=1,'财富模型'!$E$9,'财富模型'!$M$7+IF(Calc!$Y$250&lt;='财富模型'!$E$11*12,'Calc'!$W$15,'Calc'!$Y$15)-(IF('Calc'!$E$15=1,0,MIN(Calc!$AA$249*(1+'财富模型'!$E$20/12)+'Calc'!$B$6,IF(Calc!$Y$250&lt;='财富模型'!$E$11*12,'Calc'!$W$15,'Calc'!$Y$15))))))</x:f>
      </x:c>
      <x:c r="AC250" t="str">
        <x:f>IF(Calc!$Y$250&gt;'Calc'!$B$8,"",IF('Calc'!$E$15=1,0,MIN(Calc!$AA$249*(1+'财富模型'!$E$20/12)+'Calc'!$B$6,IF(Calc!$Y$250&lt;='财富模型'!$E$11*12,'Calc'!$W$15,'Calc'!$Y$15))))</x:f>
      </x:c>
      <x:c r="AD250" t="str">
        <x:f>IF(Calc!$Y$250&gt;'Calc'!$B$8,"",'Calc'!$B$5-'财富模型'!$E$5-(IF('Calc'!$E$15=1,'财富模型'!$E$9,'财富模型'!$M$7+IF(Calc!$Y$250&lt;='财富模型'!$E$11*12,'Calc'!$W$15,'Calc'!$Y$15)-(IF('Calc'!$E$15=1,0,MIN(Calc!$AA$249*(1+'财富模型'!$E$20/12)+'Calc'!$B$6,IF(Calc!$Y$250&lt;='财富模型'!$E$11*12,'Calc'!$W$15,'Calc'!$Y$15)))))))</x:f>
      </x:c>
      <x:c r="AE250" t="str">
        <x:f>IF(Calc!$Y$250&gt;'Calc'!$B$8,"",IF('Calc'!$E$15=1,0,MAX(Calc!$AE$249*(1+IF(Calc!$Y$250&lt;='财富模型'!$E$11*12,'财富模型'!$E$10,'财富模型'!$E$12)/12)-IF('Calc'!$E$15=1,0,IF(Calc!$Y$250&lt;='财富模型'!$E$11*12,'Calc'!$W$15,'Calc'!$Y$15)),0)))</x:f>
      </x:c>
      <x:c r="AG250" t="n">
        <x:v>229</x:v>
      </x:c>
      <x:c r="AH250" t="str">
        <x:f>IF(Calc!$AG$250&gt;'Calc'!$B$8,"",MAX(Calc!$AH$249*(1+'财富模型'!$E$6/12)+('Calc'!$B$5-'财富模型'!$E$5-(IF('Calc'!$E$16=1,'财富模型'!$E$9,'财富模型'!$M$8+IF(Calc!$AG$250&lt;='财富模型'!$E$11*12,'Calc'!$W$16,'Calc'!$Y$16)-(IF('Calc'!$E$16=1,0,MIN(Calc!$AI$249*(1+'财富模型'!$E$20/12)+'Calc'!$B$6,IF(Calc!$AG$250&lt;='财富模型'!$E$11*12,'Calc'!$W$16,'Calc'!$Y$16))))))),0))</x:f>
      </x:c>
      <x:c r="AI250" t="str">
        <x:f>IF(Calc!$AG$250&gt;'Calc'!$B$8,"",MAX(Calc!$AI$249*(1+'财富模型'!$E$20/12)+'Calc'!$B$6-(IF('Calc'!$E$16=1,0,MIN(Calc!$AI$249*(1+'财富模型'!$E$20/12)+'Calc'!$B$6,IF(Calc!$AG$250&lt;='财富模型'!$E$11*12,'Calc'!$W$16,'Calc'!$Y$16)))),0))</x:f>
      </x:c>
      <x:c r="AJ250" t="str">
        <x:f>IF(Calc!$AG$250&gt;'Calc'!$B$8,"",IF('Calc'!$E$16=1,'财富模型'!$E$9,'财富模型'!$M$8+IF(Calc!$AG$250&lt;='财富模型'!$E$11*12,'Calc'!$W$16,'Calc'!$Y$16)-(IF('Calc'!$E$16=1,0,MIN(Calc!$AI$249*(1+'财富模型'!$E$20/12)+'Calc'!$B$6,IF(Calc!$AG$250&lt;='财富模型'!$E$11*12,'Calc'!$W$16,'Calc'!$Y$16))))))</x:f>
      </x:c>
      <x:c r="AK250" t="str">
        <x:f>IF(Calc!$AG$250&gt;'Calc'!$B$8,"",IF('Calc'!$E$16=1,0,MIN(Calc!$AI$249*(1+'财富模型'!$E$20/12)+'Calc'!$B$6,IF(Calc!$AG$250&lt;='财富模型'!$E$11*12,'Calc'!$W$16,'Calc'!$Y$16))))</x:f>
      </x:c>
      <x:c r="AL250" t="str">
        <x:f>IF(Calc!$AG$250&gt;'Calc'!$B$8,"",'Calc'!$B$5-'财富模型'!$E$5-(IF('Calc'!$E$16=1,'财富模型'!$E$9,'财富模型'!$M$8+IF(Calc!$AG$250&lt;='财富模型'!$E$11*12,'Calc'!$W$16,'Calc'!$Y$16)-(IF('Calc'!$E$16=1,0,MIN(Calc!$AI$249*(1+'财富模型'!$E$20/12)+'Calc'!$B$6,IF(Calc!$AG$250&lt;='财富模型'!$E$11*12,'Calc'!$W$16,'Calc'!$Y$16)))))))</x:f>
      </x:c>
      <x:c r="AM250" t="str">
        <x:f>IF(Calc!$AG$250&gt;'Calc'!$B$8,"",IF('Calc'!$E$16=1,0,MAX(Calc!$AM$249*(1+IF(Calc!$AG$250&lt;='财富模型'!$E$11*12,'财富模型'!$E$10,'财富模型'!$E$12)/12)-IF('Calc'!$E$16=1,0,IF(Calc!$AG$250&lt;='财富模型'!$E$11*12,'Calc'!$W$16,'Calc'!$Y$16)),0)))</x:f>
      </x:c>
      <x:c r="AO250" t="n">
        <x:v>229</x:v>
      </x:c>
      <x:c r="AP250" t="str">
        <x:f>IF(Calc!$AO$250&gt;'Calc'!$B$8,"",MAX(Calc!$AP$249*(1+'财富模型'!$E$6/12)+('Calc'!$B$5-'财富模型'!$E$5-(IF('Calc'!$E$17=1,'财富模型'!$E$9,'财富模型'!$M$9+IF(Calc!$AO$250&lt;='财富模型'!$E$11*12,'Calc'!$W$17,'Calc'!$Y$17)-(IF('Calc'!$E$17=1,0,MIN(Calc!$AQ$249*(1+'财富模型'!$E$20/12)+'Calc'!$B$6,IF(Calc!$AO$250&lt;='财富模型'!$E$11*12,'Calc'!$W$17,'Calc'!$Y$17))))))),0))</x:f>
      </x:c>
      <x:c r="AQ250" t="str">
        <x:f>IF(Calc!$AO$250&gt;'Calc'!$B$8,"",MAX(Calc!$AQ$249*(1+'财富模型'!$E$20/12)+'Calc'!$B$6-(IF('Calc'!$E$17=1,0,MIN(Calc!$AQ$249*(1+'财富模型'!$E$20/12)+'Calc'!$B$6,IF(Calc!$AO$250&lt;='财富模型'!$E$11*12,'Calc'!$W$17,'Calc'!$Y$17)))),0))</x:f>
      </x:c>
      <x:c r="AR250" t="str">
        <x:f>IF(Calc!$AO$250&gt;'Calc'!$B$8,"",IF('Calc'!$E$17=1,'财富模型'!$E$9,'财富模型'!$M$9+IF(Calc!$AO$250&lt;='财富模型'!$E$11*12,'Calc'!$W$17,'Calc'!$Y$17)-(IF('Calc'!$E$17=1,0,MIN(Calc!$AQ$249*(1+'财富模型'!$E$20/12)+'Calc'!$B$6,IF(Calc!$AO$250&lt;='财富模型'!$E$11*12,'Calc'!$W$17,'Calc'!$Y$17))))))</x:f>
      </x:c>
      <x:c r="AS250" t="str">
        <x:f>IF(Calc!$AO$250&gt;'Calc'!$B$8,"",IF('Calc'!$E$17=1,0,MIN(Calc!$AQ$249*(1+'财富模型'!$E$20/12)+'Calc'!$B$6,IF(Calc!$AO$250&lt;='财富模型'!$E$11*12,'Calc'!$W$17,'Calc'!$Y$17))))</x:f>
      </x:c>
      <x:c r="AT250" t="str">
        <x:f>IF(Calc!$AO$250&gt;'Calc'!$B$8,"",'Calc'!$B$5-'财富模型'!$E$5-(IF('Calc'!$E$17=1,'财富模型'!$E$9,'财富模型'!$M$9+IF(Calc!$AO$250&lt;='财富模型'!$E$11*12,'Calc'!$W$17,'Calc'!$Y$17)-(IF('Calc'!$E$17=1,0,MIN(Calc!$AQ$249*(1+'财富模型'!$E$20/12)+'Calc'!$B$6,IF(Calc!$AO$250&lt;='财富模型'!$E$11*12,'Calc'!$W$17,'Calc'!$Y$17)))))))</x:f>
      </x:c>
      <x:c r="AU250" t="str">
        <x:f>IF(Calc!$AO$250&gt;'Calc'!$B$8,"",IF('Calc'!$E$17=1,0,MAX(Calc!$AU$249*(1+IF(Calc!$AO$250&lt;='财富模型'!$E$11*12,'财富模型'!$E$10,'财富模型'!$E$12)/12)-IF('Calc'!$E$17=1,0,IF(Calc!$AO$250&lt;='财富模型'!$E$11*12,'Calc'!$W$17,'Calc'!$Y$17)),0)))</x:f>
      </x:c>
    </x:row>
    <x:row r="251">
      <x:c r="A251" t="n">
        <x:v>230</x:v>
      </x:c>
      <x:c r="B251" t="str">
        <x:f>IF(Calc!$A$251&gt;'Calc'!$B$8,"",MAX(Calc!$B$250*(1+'财富模型'!$E$6/12)+('Calc'!$B$5-'财富模型'!$E$5-(IF('Calc'!$E$12=1,'财富模型'!$E$9,'财富模型'!$M$4+IF(Calc!$A$251&lt;='财富模型'!$E$11*12,'Calc'!$W$12,'Calc'!$Y$12)-(IF('Calc'!$E$12=1,0,MIN(Calc!$C$250*(1+'财富模型'!$E$20/12)+'Calc'!$B$6,IF(Calc!$A$251&lt;='财富模型'!$E$11*12,'Calc'!$W$12,'Calc'!$Y$12))))))),0))</x:f>
      </x:c>
      <x:c r="C251" t="str">
        <x:f>IF(Calc!$A$251&gt;'Calc'!$B$8,"",MAX(Calc!$C$250*(1+'财富模型'!$E$20/12)+'Calc'!$B$6-(IF('Calc'!$E$12=1,0,MIN(Calc!$C$250*(1+'财富模型'!$E$20/12)+'Calc'!$B$6,IF(Calc!$A$251&lt;='财富模型'!$E$11*12,'Calc'!$W$12,'Calc'!$Y$12)))),0))</x:f>
      </x:c>
      <x:c r="D251" t="str">
        <x:f>IF(Calc!$A$251&gt;'Calc'!$B$8,"",IF('Calc'!$E$12=1,'财富模型'!$E$9,'财富模型'!$M$4+IF(Calc!$A$251&lt;='财富模型'!$E$11*12,'Calc'!$W$12,'Calc'!$Y$12)-(IF('Calc'!$E$12=1,0,MIN(Calc!$C$250*(1+'财富模型'!$E$20/12)+'Calc'!$B$6,IF(Calc!$A$251&lt;='财富模型'!$E$11*12,'Calc'!$W$12,'Calc'!$Y$12))))))</x:f>
      </x:c>
      <x:c r="E251" t="str">
        <x:f>IF(Calc!$A$251&gt;'Calc'!$B$8,"",IF('Calc'!$E$12=1,0,MIN(Calc!$C$250*(1+'财富模型'!$E$20/12)+'Calc'!$B$6,IF(Calc!$A$251&lt;='财富模型'!$E$11*12,'Calc'!$W$12,'Calc'!$Y$12))))</x:f>
      </x:c>
      <x:c r="F251" t="str">
        <x:f>IF(Calc!$A$251&gt;'Calc'!$B$8,"",'Calc'!$B$5-'财富模型'!$E$5-(IF('Calc'!$E$12=1,'财富模型'!$E$9,'财富模型'!$M$4+IF(Calc!$A$251&lt;='财富模型'!$E$11*12,'Calc'!$W$12,'Calc'!$Y$12)-(IF('Calc'!$E$12=1,0,MIN(Calc!$C$250*(1+'财富模型'!$E$20/12)+'Calc'!$B$6,IF(Calc!$A$251&lt;='财富模型'!$E$11*12,'Calc'!$W$12,'Calc'!$Y$12)))))))</x:f>
      </x:c>
      <x:c r="G251" t="str">
        <x:f>IF(Calc!$A$251&gt;'Calc'!$B$8,"",IF('Calc'!$E$12=1,0,MAX(Calc!$G$250*(1+IF(Calc!$A$251&lt;='财富模型'!$E$11*12,'财富模型'!$E$10,'财富模型'!$E$12)/12)-IF('Calc'!$E$12=1,0,IF(Calc!$A$251&lt;='财富模型'!$E$11*12,'Calc'!$W$12,'Calc'!$Y$12)),0)))</x:f>
      </x:c>
      <x:c r="I251" t="n">
        <x:v>230</x:v>
      </x:c>
      <x:c r="J251" t="str">
        <x:f>IF(Calc!$I$251&gt;'Calc'!$B$8,"",MAX(Calc!$J$250*(1+'财富模型'!$E$6/12)+('Calc'!$B$5-'财富模型'!$E$5-(IF('Calc'!$E$13=1,'财富模型'!$E$9,'财富模型'!$M$5+IF(Calc!$I$251&lt;='财富模型'!$E$11*12,'Calc'!$W$13,'Calc'!$Y$13)-(IF('Calc'!$E$13=1,0,MIN(Calc!$K$250*(1+'财富模型'!$E$20/12)+'Calc'!$B$6,IF(Calc!$I$251&lt;='财富模型'!$E$11*12,'Calc'!$W$13,'Calc'!$Y$13))))))),0))</x:f>
      </x:c>
      <x:c r="K251" t="str">
        <x:f>IF(Calc!$I$251&gt;'Calc'!$B$8,"",MAX(Calc!$K$250*(1+'财富模型'!$E$20/12)+'Calc'!$B$6-(IF('Calc'!$E$13=1,0,MIN(Calc!$K$250*(1+'财富模型'!$E$20/12)+'Calc'!$B$6,IF(Calc!$I$251&lt;='财富模型'!$E$11*12,'Calc'!$W$13,'Calc'!$Y$13)))),0))</x:f>
      </x:c>
      <x:c r="L251" t="str">
        <x:f>IF(Calc!$I$251&gt;'Calc'!$B$8,"",IF('Calc'!$E$13=1,'财富模型'!$E$9,'财富模型'!$M$5+IF(Calc!$I$251&lt;='财富模型'!$E$11*12,'Calc'!$W$13,'Calc'!$Y$13)-(IF('Calc'!$E$13=1,0,MIN(Calc!$K$250*(1+'财富模型'!$E$20/12)+'Calc'!$B$6,IF(Calc!$I$251&lt;='财富模型'!$E$11*12,'Calc'!$W$13,'Calc'!$Y$13))))))</x:f>
      </x:c>
      <x:c r="M251" t="str">
        <x:f>IF(Calc!$I$251&gt;'Calc'!$B$8,"",IF('Calc'!$E$13=1,0,MIN(Calc!$K$250*(1+'财富模型'!$E$20/12)+'Calc'!$B$6,IF(Calc!$I$251&lt;='财富模型'!$E$11*12,'Calc'!$W$13,'Calc'!$Y$13))))</x:f>
      </x:c>
      <x:c r="N251" t="str">
        <x:f>IF(Calc!$I$251&gt;'Calc'!$B$8,"",'Calc'!$B$5-'财富模型'!$E$5-(IF('Calc'!$E$13=1,'财富模型'!$E$9,'财富模型'!$M$5+IF(Calc!$I$251&lt;='财富模型'!$E$11*12,'Calc'!$W$13,'Calc'!$Y$13)-(IF('Calc'!$E$13=1,0,MIN(Calc!$K$250*(1+'财富模型'!$E$20/12)+'Calc'!$B$6,IF(Calc!$I$251&lt;='财富模型'!$E$11*12,'Calc'!$W$13,'Calc'!$Y$13)))))))</x:f>
      </x:c>
      <x:c r="O251" t="str">
        <x:f>IF(Calc!$I$251&gt;'Calc'!$B$8,"",IF('Calc'!$E$13=1,0,MAX(Calc!$O$250*(1+IF(Calc!$I$251&lt;='财富模型'!$E$11*12,'财富模型'!$E$10,'财富模型'!$E$12)/12)-IF('Calc'!$E$13=1,0,IF(Calc!$I$251&lt;='财富模型'!$E$11*12,'Calc'!$W$13,'Calc'!$Y$13)),0)))</x:f>
      </x:c>
      <x:c r="Q251" t="n">
        <x:v>230</x:v>
      </x:c>
      <x:c r="R251" t="str">
        <x:f>IF(Calc!$Q$251&gt;'Calc'!$B$8,"",MAX(Calc!$R$250*(1+'财富模型'!$E$6/12)+('Calc'!$B$5-'财富模型'!$E$5-(IF('Calc'!$E$14=1,'财富模型'!$E$9,'财富模型'!$M$6+IF(Calc!$Q$251&lt;='财富模型'!$E$11*12,'Calc'!$W$14,'Calc'!$Y$14)-(IF('Calc'!$E$14=1,0,MIN(Calc!$S$250*(1+'财富模型'!$E$20/12)+'Calc'!$B$6,IF(Calc!$Q$251&lt;='财富模型'!$E$11*12,'Calc'!$W$14,'Calc'!$Y$14))))))),0))</x:f>
      </x:c>
      <x:c r="S251" t="str">
        <x:f>IF(Calc!$Q$251&gt;'Calc'!$B$8,"",MAX(Calc!$S$250*(1+'财富模型'!$E$20/12)+'Calc'!$B$6-(IF('Calc'!$E$14=1,0,MIN(Calc!$S$250*(1+'财富模型'!$E$20/12)+'Calc'!$B$6,IF(Calc!$Q$251&lt;='财富模型'!$E$11*12,'Calc'!$W$14,'Calc'!$Y$14)))),0))</x:f>
      </x:c>
      <x:c r="T251" t="str">
        <x:f>IF(Calc!$Q$251&gt;'Calc'!$B$8,"",IF('Calc'!$E$14=1,'财富模型'!$E$9,'财富模型'!$M$6+IF(Calc!$Q$251&lt;='财富模型'!$E$11*12,'Calc'!$W$14,'Calc'!$Y$14)-(IF('Calc'!$E$14=1,0,MIN(Calc!$S$250*(1+'财富模型'!$E$20/12)+'Calc'!$B$6,IF(Calc!$Q$251&lt;='财富模型'!$E$11*12,'Calc'!$W$14,'Calc'!$Y$14))))))</x:f>
      </x:c>
      <x:c r="U251" t="str">
        <x:f>IF(Calc!$Q$251&gt;'Calc'!$B$8,"",IF('Calc'!$E$14=1,0,MIN(Calc!$S$250*(1+'财富模型'!$E$20/12)+'Calc'!$B$6,IF(Calc!$Q$251&lt;='财富模型'!$E$11*12,'Calc'!$W$14,'Calc'!$Y$14))))</x:f>
      </x:c>
      <x:c r="V251" t="str">
        <x:f>IF(Calc!$Q$251&gt;'Calc'!$B$8,"",'Calc'!$B$5-'财富模型'!$E$5-(IF('Calc'!$E$14=1,'财富模型'!$E$9,'财富模型'!$M$6+IF(Calc!$Q$251&lt;='财富模型'!$E$11*12,'Calc'!$W$14,'Calc'!$Y$14)-(IF('Calc'!$E$14=1,0,MIN(Calc!$S$250*(1+'财富模型'!$E$20/12)+'Calc'!$B$6,IF(Calc!$Q$251&lt;='财富模型'!$E$11*12,'Calc'!$W$14,'Calc'!$Y$14)))))))</x:f>
      </x:c>
      <x:c r="W251" t="str">
        <x:f>IF(Calc!$Q$251&gt;'Calc'!$B$8,"",IF('Calc'!$E$14=1,0,MAX(Calc!$W$250*(1+IF(Calc!$Q$251&lt;='财富模型'!$E$11*12,'财富模型'!$E$10,'财富模型'!$E$12)/12)-IF('Calc'!$E$14=1,0,IF(Calc!$Q$251&lt;='财富模型'!$E$11*12,'Calc'!$W$14,'Calc'!$Y$14)),0)))</x:f>
      </x:c>
      <x:c r="Y251" t="n">
        <x:v>230</x:v>
      </x:c>
      <x:c r="Z251" t="str">
        <x:f>IF(Calc!$Y$251&gt;'Calc'!$B$8,"",MAX(Calc!$Z$250*(1+'财富模型'!$E$6/12)+('Calc'!$B$5-'财富模型'!$E$5-(IF('Calc'!$E$15=1,'财富模型'!$E$9,'财富模型'!$M$7+IF(Calc!$Y$251&lt;='财富模型'!$E$11*12,'Calc'!$W$15,'Calc'!$Y$15)-(IF('Calc'!$E$15=1,0,MIN(Calc!$AA$250*(1+'财富模型'!$E$20/12)+'Calc'!$B$6,IF(Calc!$Y$251&lt;='财富模型'!$E$11*12,'Calc'!$W$15,'Calc'!$Y$15))))))),0))</x:f>
      </x:c>
      <x:c r="AA251" t="str">
        <x:f>IF(Calc!$Y$251&gt;'Calc'!$B$8,"",MAX(Calc!$AA$250*(1+'财富模型'!$E$20/12)+'Calc'!$B$6-(IF('Calc'!$E$15=1,0,MIN(Calc!$AA$250*(1+'财富模型'!$E$20/12)+'Calc'!$B$6,IF(Calc!$Y$251&lt;='财富模型'!$E$11*12,'Calc'!$W$15,'Calc'!$Y$15)))),0))</x:f>
      </x:c>
      <x:c r="AB251" t="str">
        <x:f>IF(Calc!$Y$251&gt;'Calc'!$B$8,"",IF('Calc'!$E$15=1,'财富模型'!$E$9,'财富模型'!$M$7+IF(Calc!$Y$251&lt;='财富模型'!$E$11*12,'Calc'!$W$15,'Calc'!$Y$15)-(IF('Calc'!$E$15=1,0,MIN(Calc!$AA$250*(1+'财富模型'!$E$20/12)+'Calc'!$B$6,IF(Calc!$Y$251&lt;='财富模型'!$E$11*12,'Calc'!$W$15,'Calc'!$Y$15))))))</x:f>
      </x:c>
      <x:c r="AC251" t="str">
        <x:f>IF(Calc!$Y$251&gt;'Calc'!$B$8,"",IF('Calc'!$E$15=1,0,MIN(Calc!$AA$250*(1+'财富模型'!$E$20/12)+'Calc'!$B$6,IF(Calc!$Y$251&lt;='财富模型'!$E$11*12,'Calc'!$W$15,'Calc'!$Y$15))))</x:f>
      </x:c>
      <x:c r="AD251" t="str">
        <x:f>IF(Calc!$Y$251&gt;'Calc'!$B$8,"",'Calc'!$B$5-'财富模型'!$E$5-(IF('Calc'!$E$15=1,'财富模型'!$E$9,'财富模型'!$M$7+IF(Calc!$Y$251&lt;='财富模型'!$E$11*12,'Calc'!$W$15,'Calc'!$Y$15)-(IF('Calc'!$E$15=1,0,MIN(Calc!$AA$250*(1+'财富模型'!$E$20/12)+'Calc'!$B$6,IF(Calc!$Y$251&lt;='财富模型'!$E$11*12,'Calc'!$W$15,'Calc'!$Y$15)))))))</x:f>
      </x:c>
      <x:c r="AE251" t="str">
        <x:f>IF(Calc!$Y$251&gt;'Calc'!$B$8,"",IF('Calc'!$E$15=1,0,MAX(Calc!$AE$250*(1+IF(Calc!$Y$251&lt;='财富模型'!$E$11*12,'财富模型'!$E$10,'财富模型'!$E$12)/12)-IF('Calc'!$E$15=1,0,IF(Calc!$Y$251&lt;='财富模型'!$E$11*12,'Calc'!$W$15,'Calc'!$Y$15)),0)))</x:f>
      </x:c>
      <x:c r="AG251" t="n">
        <x:v>230</x:v>
      </x:c>
      <x:c r="AH251" t="str">
        <x:f>IF(Calc!$AG$251&gt;'Calc'!$B$8,"",MAX(Calc!$AH$250*(1+'财富模型'!$E$6/12)+('Calc'!$B$5-'财富模型'!$E$5-(IF('Calc'!$E$16=1,'财富模型'!$E$9,'财富模型'!$M$8+IF(Calc!$AG$251&lt;='财富模型'!$E$11*12,'Calc'!$W$16,'Calc'!$Y$16)-(IF('Calc'!$E$16=1,0,MIN(Calc!$AI$250*(1+'财富模型'!$E$20/12)+'Calc'!$B$6,IF(Calc!$AG$251&lt;='财富模型'!$E$11*12,'Calc'!$W$16,'Calc'!$Y$16))))))),0))</x:f>
      </x:c>
      <x:c r="AI251" t="str">
        <x:f>IF(Calc!$AG$251&gt;'Calc'!$B$8,"",MAX(Calc!$AI$250*(1+'财富模型'!$E$20/12)+'Calc'!$B$6-(IF('Calc'!$E$16=1,0,MIN(Calc!$AI$250*(1+'财富模型'!$E$20/12)+'Calc'!$B$6,IF(Calc!$AG$251&lt;='财富模型'!$E$11*12,'Calc'!$W$16,'Calc'!$Y$16)))),0))</x:f>
      </x:c>
      <x:c r="AJ251" t="str">
        <x:f>IF(Calc!$AG$251&gt;'Calc'!$B$8,"",IF('Calc'!$E$16=1,'财富模型'!$E$9,'财富模型'!$M$8+IF(Calc!$AG$251&lt;='财富模型'!$E$11*12,'Calc'!$W$16,'Calc'!$Y$16)-(IF('Calc'!$E$16=1,0,MIN(Calc!$AI$250*(1+'财富模型'!$E$20/12)+'Calc'!$B$6,IF(Calc!$AG$251&lt;='财富模型'!$E$11*12,'Calc'!$W$16,'Calc'!$Y$16))))))</x:f>
      </x:c>
      <x:c r="AK251" t="str">
        <x:f>IF(Calc!$AG$251&gt;'Calc'!$B$8,"",IF('Calc'!$E$16=1,0,MIN(Calc!$AI$250*(1+'财富模型'!$E$20/12)+'Calc'!$B$6,IF(Calc!$AG$251&lt;='财富模型'!$E$11*12,'Calc'!$W$16,'Calc'!$Y$16))))</x:f>
      </x:c>
      <x:c r="AL251" t="str">
        <x:f>IF(Calc!$AG$251&gt;'Calc'!$B$8,"",'Calc'!$B$5-'财富模型'!$E$5-(IF('Calc'!$E$16=1,'财富模型'!$E$9,'财富模型'!$M$8+IF(Calc!$AG$251&lt;='财富模型'!$E$11*12,'Calc'!$W$16,'Calc'!$Y$16)-(IF('Calc'!$E$16=1,0,MIN(Calc!$AI$250*(1+'财富模型'!$E$20/12)+'Calc'!$B$6,IF(Calc!$AG$251&lt;='财富模型'!$E$11*12,'Calc'!$W$16,'Calc'!$Y$16)))))))</x:f>
      </x:c>
      <x:c r="AM251" t="str">
        <x:f>IF(Calc!$AG$251&gt;'Calc'!$B$8,"",IF('Calc'!$E$16=1,0,MAX(Calc!$AM$250*(1+IF(Calc!$AG$251&lt;='财富模型'!$E$11*12,'财富模型'!$E$10,'财富模型'!$E$12)/12)-IF('Calc'!$E$16=1,0,IF(Calc!$AG$251&lt;='财富模型'!$E$11*12,'Calc'!$W$16,'Calc'!$Y$16)),0)))</x:f>
      </x:c>
      <x:c r="AO251" t="n">
        <x:v>230</x:v>
      </x:c>
      <x:c r="AP251" t="str">
        <x:f>IF(Calc!$AO$251&gt;'Calc'!$B$8,"",MAX(Calc!$AP$250*(1+'财富模型'!$E$6/12)+('Calc'!$B$5-'财富模型'!$E$5-(IF('Calc'!$E$17=1,'财富模型'!$E$9,'财富模型'!$M$9+IF(Calc!$AO$251&lt;='财富模型'!$E$11*12,'Calc'!$W$17,'Calc'!$Y$17)-(IF('Calc'!$E$17=1,0,MIN(Calc!$AQ$250*(1+'财富模型'!$E$20/12)+'Calc'!$B$6,IF(Calc!$AO$251&lt;='财富模型'!$E$11*12,'Calc'!$W$17,'Calc'!$Y$17))))))),0))</x:f>
      </x:c>
      <x:c r="AQ251" t="str">
        <x:f>IF(Calc!$AO$251&gt;'Calc'!$B$8,"",MAX(Calc!$AQ$250*(1+'财富模型'!$E$20/12)+'Calc'!$B$6-(IF('Calc'!$E$17=1,0,MIN(Calc!$AQ$250*(1+'财富模型'!$E$20/12)+'Calc'!$B$6,IF(Calc!$AO$251&lt;='财富模型'!$E$11*12,'Calc'!$W$17,'Calc'!$Y$17)))),0))</x:f>
      </x:c>
      <x:c r="AR251" t="str">
        <x:f>IF(Calc!$AO$251&gt;'Calc'!$B$8,"",IF('Calc'!$E$17=1,'财富模型'!$E$9,'财富模型'!$M$9+IF(Calc!$AO$251&lt;='财富模型'!$E$11*12,'Calc'!$W$17,'Calc'!$Y$17)-(IF('Calc'!$E$17=1,0,MIN(Calc!$AQ$250*(1+'财富模型'!$E$20/12)+'Calc'!$B$6,IF(Calc!$AO$251&lt;='财富模型'!$E$11*12,'Calc'!$W$17,'Calc'!$Y$17))))))</x:f>
      </x:c>
      <x:c r="AS251" t="str">
        <x:f>IF(Calc!$AO$251&gt;'Calc'!$B$8,"",IF('Calc'!$E$17=1,0,MIN(Calc!$AQ$250*(1+'财富模型'!$E$20/12)+'Calc'!$B$6,IF(Calc!$AO$251&lt;='财富模型'!$E$11*12,'Calc'!$W$17,'Calc'!$Y$17))))</x:f>
      </x:c>
      <x:c r="AT251" t="str">
        <x:f>IF(Calc!$AO$251&gt;'Calc'!$B$8,"",'Calc'!$B$5-'财富模型'!$E$5-(IF('Calc'!$E$17=1,'财富模型'!$E$9,'财富模型'!$M$9+IF(Calc!$AO$251&lt;='财富模型'!$E$11*12,'Calc'!$W$17,'Calc'!$Y$17)-(IF('Calc'!$E$17=1,0,MIN(Calc!$AQ$250*(1+'财富模型'!$E$20/12)+'Calc'!$B$6,IF(Calc!$AO$251&lt;='财富模型'!$E$11*12,'Calc'!$W$17,'Calc'!$Y$17)))))))</x:f>
      </x:c>
      <x:c r="AU251" t="str">
        <x:f>IF(Calc!$AO$251&gt;'Calc'!$B$8,"",IF('Calc'!$E$17=1,0,MAX(Calc!$AU$250*(1+IF(Calc!$AO$251&lt;='财富模型'!$E$11*12,'财富模型'!$E$10,'财富模型'!$E$12)/12)-IF('Calc'!$E$17=1,0,IF(Calc!$AO$251&lt;='财富模型'!$E$11*12,'Calc'!$W$17,'Calc'!$Y$17)),0)))</x:f>
      </x:c>
    </x:row>
    <x:row r="252">
      <x:c r="A252" t="n">
        <x:v>231</x:v>
      </x:c>
      <x:c r="B252" t="str">
        <x:f>IF(Calc!$A$252&gt;'Calc'!$B$8,"",MAX(Calc!$B$251*(1+'财富模型'!$E$6/12)+('Calc'!$B$5-'财富模型'!$E$5-(IF('Calc'!$E$12=1,'财富模型'!$E$9,'财富模型'!$M$4+IF(Calc!$A$252&lt;='财富模型'!$E$11*12,'Calc'!$W$12,'Calc'!$Y$12)-(IF('Calc'!$E$12=1,0,MIN(Calc!$C$251*(1+'财富模型'!$E$20/12)+'Calc'!$B$6,IF(Calc!$A$252&lt;='财富模型'!$E$11*12,'Calc'!$W$12,'Calc'!$Y$12))))))),0))</x:f>
      </x:c>
      <x:c r="C252" t="str">
        <x:f>IF(Calc!$A$252&gt;'Calc'!$B$8,"",MAX(Calc!$C$251*(1+'财富模型'!$E$20/12)+'Calc'!$B$6-(IF('Calc'!$E$12=1,0,MIN(Calc!$C$251*(1+'财富模型'!$E$20/12)+'Calc'!$B$6,IF(Calc!$A$252&lt;='财富模型'!$E$11*12,'Calc'!$W$12,'Calc'!$Y$12)))),0))</x:f>
      </x:c>
      <x:c r="D252" t="str">
        <x:f>IF(Calc!$A$252&gt;'Calc'!$B$8,"",IF('Calc'!$E$12=1,'财富模型'!$E$9,'财富模型'!$M$4+IF(Calc!$A$252&lt;='财富模型'!$E$11*12,'Calc'!$W$12,'Calc'!$Y$12)-(IF('Calc'!$E$12=1,0,MIN(Calc!$C$251*(1+'财富模型'!$E$20/12)+'Calc'!$B$6,IF(Calc!$A$252&lt;='财富模型'!$E$11*12,'Calc'!$W$12,'Calc'!$Y$12))))))</x:f>
      </x:c>
      <x:c r="E252" t="str">
        <x:f>IF(Calc!$A$252&gt;'Calc'!$B$8,"",IF('Calc'!$E$12=1,0,MIN(Calc!$C$251*(1+'财富模型'!$E$20/12)+'Calc'!$B$6,IF(Calc!$A$252&lt;='财富模型'!$E$11*12,'Calc'!$W$12,'Calc'!$Y$12))))</x:f>
      </x:c>
      <x:c r="F252" t="str">
        <x:f>IF(Calc!$A$252&gt;'Calc'!$B$8,"",'Calc'!$B$5-'财富模型'!$E$5-(IF('Calc'!$E$12=1,'财富模型'!$E$9,'财富模型'!$M$4+IF(Calc!$A$252&lt;='财富模型'!$E$11*12,'Calc'!$W$12,'Calc'!$Y$12)-(IF('Calc'!$E$12=1,0,MIN(Calc!$C$251*(1+'财富模型'!$E$20/12)+'Calc'!$B$6,IF(Calc!$A$252&lt;='财富模型'!$E$11*12,'Calc'!$W$12,'Calc'!$Y$12)))))))</x:f>
      </x:c>
      <x:c r="G252" t="str">
        <x:f>IF(Calc!$A$252&gt;'Calc'!$B$8,"",IF('Calc'!$E$12=1,0,MAX(Calc!$G$251*(1+IF(Calc!$A$252&lt;='财富模型'!$E$11*12,'财富模型'!$E$10,'财富模型'!$E$12)/12)-IF('Calc'!$E$12=1,0,IF(Calc!$A$252&lt;='财富模型'!$E$11*12,'Calc'!$W$12,'Calc'!$Y$12)),0)))</x:f>
      </x:c>
      <x:c r="I252" t="n">
        <x:v>231</x:v>
      </x:c>
      <x:c r="J252" t="str">
        <x:f>IF(Calc!$I$252&gt;'Calc'!$B$8,"",MAX(Calc!$J$251*(1+'财富模型'!$E$6/12)+('Calc'!$B$5-'财富模型'!$E$5-(IF('Calc'!$E$13=1,'财富模型'!$E$9,'财富模型'!$M$5+IF(Calc!$I$252&lt;='财富模型'!$E$11*12,'Calc'!$W$13,'Calc'!$Y$13)-(IF('Calc'!$E$13=1,0,MIN(Calc!$K$251*(1+'财富模型'!$E$20/12)+'Calc'!$B$6,IF(Calc!$I$252&lt;='财富模型'!$E$11*12,'Calc'!$W$13,'Calc'!$Y$13))))))),0))</x:f>
      </x:c>
      <x:c r="K252" t="str">
        <x:f>IF(Calc!$I$252&gt;'Calc'!$B$8,"",MAX(Calc!$K$251*(1+'财富模型'!$E$20/12)+'Calc'!$B$6-(IF('Calc'!$E$13=1,0,MIN(Calc!$K$251*(1+'财富模型'!$E$20/12)+'Calc'!$B$6,IF(Calc!$I$252&lt;='财富模型'!$E$11*12,'Calc'!$W$13,'Calc'!$Y$13)))),0))</x:f>
      </x:c>
      <x:c r="L252" t="str">
        <x:f>IF(Calc!$I$252&gt;'Calc'!$B$8,"",IF('Calc'!$E$13=1,'财富模型'!$E$9,'财富模型'!$M$5+IF(Calc!$I$252&lt;='财富模型'!$E$11*12,'Calc'!$W$13,'Calc'!$Y$13)-(IF('Calc'!$E$13=1,0,MIN(Calc!$K$251*(1+'财富模型'!$E$20/12)+'Calc'!$B$6,IF(Calc!$I$252&lt;='财富模型'!$E$11*12,'Calc'!$W$13,'Calc'!$Y$13))))))</x:f>
      </x:c>
      <x:c r="M252" t="str">
        <x:f>IF(Calc!$I$252&gt;'Calc'!$B$8,"",IF('Calc'!$E$13=1,0,MIN(Calc!$K$251*(1+'财富模型'!$E$20/12)+'Calc'!$B$6,IF(Calc!$I$252&lt;='财富模型'!$E$11*12,'Calc'!$W$13,'Calc'!$Y$13))))</x:f>
      </x:c>
      <x:c r="N252" t="str">
        <x:f>IF(Calc!$I$252&gt;'Calc'!$B$8,"",'Calc'!$B$5-'财富模型'!$E$5-(IF('Calc'!$E$13=1,'财富模型'!$E$9,'财富模型'!$M$5+IF(Calc!$I$252&lt;='财富模型'!$E$11*12,'Calc'!$W$13,'Calc'!$Y$13)-(IF('Calc'!$E$13=1,0,MIN(Calc!$K$251*(1+'财富模型'!$E$20/12)+'Calc'!$B$6,IF(Calc!$I$252&lt;='财富模型'!$E$11*12,'Calc'!$W$13,'Calc'!$Y$13)))))))</x:f>
      </x:c>
      <x:c r="O252" t="str">
        <x:f>IF(Calc!$I$252&gt;'Calc'!$B$8,"",IF('Calc'!$E$13=1,0,MAX(Calc!$O$251*(1+IF(Calc!$I$252&lt;='财富模型'!$E$11*12,'财富模型'!$E$10,'财富模型'!$E$12)/12)-IF('Calc'!$E$13=1,0,IF(Calc!$I$252&lt;='财富模型'!$E$11*12,'Calc'!$W$13,'Calc'!$Y$13)),0)))</x:f>
      </x:c>
      <x:c r="Q252" t="n">
        <x:v>231</x:v>
      </x:c>
      <x:c r="R252" t="str">
        <x:f>IF(Calc!$Q$252&gt;'Calc'!$B$8,"",MAX(Calc!$R$251*(1+'财富模型'!$E$6/12)+('Calc'!$B$5-'财富模型'!$E$5-(IF('Calc'!$E$14=1,'财富模型'!$E$9,'财富模型'!$M$6+IF(Calc!$Q$252&lt;='财富模型'!$E$11*12,'Calc'!$W$14,'Calc'!$Y$14)-(IF('Calc'!$E$14=1,0,MIN(Calc!$S$251*(1+'财富模型'!$E$20/12)+'Calc'!$B$6,IF(Calc!$Q$252&lt;='财富模型'!$E$11*12,'Calc'!$W$14,'Calc'!$Y$14))))))),0))</x:f>
      </x:c>
      <x:c r="S252" t="str">
        <x:f>IF(Calc!$Q$252&gt;'Calc'!$B$8,"",MAX(Calc!$S$251*(1+'财富模型'!$E$20/12)+'Calc'!$B$6-(IF('Calc'!$E$14=1,0,MIN(Calc!$S$251*(1+'财富模型'!$E$20/12)+'Calc'!$B$6,IF(Calc!$Q$252&lt;='财富模型'!$E$11*12,'Calc'!$W$14,'Calc'!$Y$14)))),0))</x:f>
      </x:c>
      <x:c r="T252" t="str">
        <x:f>IF(Calc!$Q$252&gt;'Calc'!$B$8,"",IF('Calc'!$E$14=1,'财富模型'!$E$9,'财富模型'!$M$6+IF(Calc!$Q$252&lt;='财富模型'!$E$11*12,'Calc'!$W$14,'Calc'!$Y$14)-(IF('Calc'!$E$14=1,0,MIN(Calc!$S$251*(1+'财富模型'!$E$20/12)+'Calc'!$B$6,IF(Calc!$Q$252&lt;='财富模型'!$E$11*12,'Calc'!$W$14,'Calc'!$Y$14))))))</x:f>
      </x:c>
      <x:c r="U252" t="str">
        <x:f>IF(Calc!$Q$252&gt;'Calc'!$B$8,"",IF('Calc'!$E$14=1,0,MIN(Calc!$S$251*(1+'财富模型'!$E$20/12)+'Calc'!$B$6,IF(Calc!$Q$252&lt;='财富模型'!$E$11*12,'Calc'!$W$14,'Calc'!$Y$14))))</x:f>
      </x:c>
      <x:c r="V252" t="str">
        <x:f>IF(Calc!$Q$252&gt;'Calc'!$B$8,"",'Calc'!$B$5-'财富模型'!$E$5-(IF('Calc'!$E$14=1,'财富模型'!$E$9,'财富模型'!$M$6+IF(Calc!$Q$252&lt;='财富模型'!$E$11*12,'Calc'!$W$14,'Calc'!$Y$14)-(IF('Calc'!$E$14=1,0,MIN(Calc!$S$251*(1+'财富模型'!$E$20/12)+'Calc'!$B$6,IF(Calc!$Q$252&lt;='财富模型'!$E$11*12,'Calc'!$W$14,'Calc'!$Y$14)))))))</x:f>
      </x:c>
      <x:c r="W252" t="str">
        <x:f>IF(Calc!$Q$252&gt;'Calc'!$B$8,"",IF('Calc'!$E$14=1,0,MAX(Calc!$W$251*(1+IF(Calc!$Q$252&lt;='财富模型'!$E$11*12,'财富模型'!$E$10,'财富模型'!$E$12)/12)-IF('Calc'!$E$14=1,0,IF(Calc!$Q$252&lt;='财富模型'!$E$11*12,'Calc'!$W$14,'Calc'!$Y$14)),0)))</x:f>
      </x:c>
      <x:c r="Y252" t="n">
        <x:v>231</x:v>
      </x:c>
      <x:c r="Z252" t="str">
        <x:f>IF(Calc!$Y$252&gt;'Calc'!$B$8,"",MAX(Calc!$Z$251*(1+'财富模型'!$E$6/12)+('Calc'!$B$5-'财富模型'!$E$5-(IF('Calc'!$E$15=1,'财富模型'!$E$9,'财富模型'!$M$7+IF(Calc!$Y$252&lt;='财富模型'!$E$11*12,'Calc'!$W$15,'Calc'!$Y$15)-(IF('Calc'!$E$15=1,0,MIN(Calc!$AA$251*(1+'财富模型'!$E$20/12)+'Calc'!$B$6,IF(Calc!$Y$252&lt;='财富模型'!$E$11*12,'Calc'!$W$15,'Calc'!$Y$15))))))),0))</x:f>
      </x:c>
      <x:c r="AA252" t="str">
        <x:f>IF(Calc!$Y$252&gt;'Calc'!$B$8,"",MAX(Calc!$AA$251*(1+'财富模型'!$E$20/12)+'Calc'!$B$6-(IF('Calc'!$E$15=1,0,MIN(Calc!$AA$251*(1+'财富模型'!$E$20/12)+'Calc'!$B$6,IF(Calc!$Y$252&lt;='财富模型'!$E$11*12,'Calc'!$W$15,'Calc'!$Y$15)))),0))</x:f>
      </x:c>
      <x:c r="AB252" t="str">
        <x:f>IF(Calc!$Y$252&gt;'Calc'!$B$8,"",IF('Calc'!$E$15=1,'财富模型'!$E$9,'财富模型'!$M$7+IF(Calc!$Y$252&lt;='财富模型'!$E$11*12,'Calc'!$W$15,'Calc'!$Y$15)-(IF('Calc'!$E$15=1,0,MIN(Calc!$AA$251*(1+'财富模型'!$E$20/12)+'Calc'!$B$6,IF(Calc!$Y$252&lt;='财富模型'!$E$11*12,'Calc'!$W$15,'Calc'!$Y$15))))))</x:f>
      </x:c>
      <x:c r="AC252" t="str">
        <x:f>IF(Calc!$Y$252&gt;'Calc'!$B$8,"",IF('Calc'!$E$15=1,0,MIN(Calc!$AA$251*(1+'财富模型'!$E$20/12)+'Calc'!$B$6,IF(Calc!$Y$252&lt;='财富模型'!$E$11*12,'Calc'!$W$15,'Calc'!$Y$15))))</x:f>
      </x:c>
      <x:c r="AD252" t="str">
        <x:f>IF(Calc!$Y$252&gt;'Calc'!$B$8,"",'Calc'!$B$5-'财富模型'!$E$5-(IF('Calc'!$E$15=1,'财富模型'!$E$9,'财富模型'!$M$7+IF(Calc!$Y$252&lt;='财富模型'!$E$11*12,'Calc'!$W$15,'Calc'!$Y$15)-(IF('Calc'!$E$15=1,0,MIN(Calc!$AA$251*(1+'财富模型'!$E$20/12)+'Calc'!$B$6,IF(Calc!$Y$252&lt;='财富模型'!$E$11*12,'Calc'!$W$15,'Calc'!$Y$15)))))))</x:f>
      </x:c>
      <x:c r="AE252" t="str">
        <x:f>IF(Calc!$Y$252&gt;'Calc'!$B$8,"",IF('Calc'!$E$15=1,0,MAX(Calc!$AE$251*(1+IF(Calc!$Y$252&lt;='财富模型'!$E$11*12,'财富模型'!$E$10,'财富模型'!$E$12)/12)-IF('Calc'!$E$15=1,0,IF(Calc!$Y$252&lt;='财富模型'!$E$11*12,'Calc'!$W$15,'Calc'!$Y$15)),0)))</x:f>
      </x:c>
      <x:c r="AG252" t="n">
        <x:v>231</x:v>
      </x:c>
      <x:c r="AH252" t="str">
        <x:f>IF(Calc!$AG$252&gt;'Calc'!$B$8,"",MAX(Calc!$AH$251*(1+'财富模型'!$E$6/12)+('Calc'!$B$5-'财富模型'!$E$5-(IF('Calc'!$E$16=1,'财富模型'!$E$9,'财富模型'!$M$8+IF(Calc!$AG$252&lt;='财富模型'!$E$11*12,'Calc'!$W$16,'Calc'!$Y$16)-(IF('Calc'!$E$16=1,0,MIN(Calc!$AI$251*(1+'财富模型'!$E$20/12)+'Calc'!$B$6,IF(Calc!$AG$252&lt;='财富模型'!$E$11*12,'Calc'!$W$16,'Calc'!$Y$16))))))),0))</x:f>
      </x:c>
      <x:c r="AI252" t="str">
        <x:f>IF(Calc!$AG$252&gt;'Calc'!$B$8,"",MAX(Calc!$AI$251*(1+'财富模型'!$E$20/12)+'Calc'!$B$6-(IF('Calc'!$E$16=1,0,MIN(Calc!$AI$251*(1+'财富模型'!$E$20/12)+'Calc'!$B$6,IF(Calc!$AG$252&lt;='财富模型'!$E$11*12,'Calc'!$W$16,'Calc'!$Y$16)))),0))</x:f>
      </x:c>
      <x:c r="AJ252" t="str">
        <x:f>IF(Calc!$AG$252&gt;'Calc'!$B$8,"",IF('Calc'!$E$16=1,'财富模型'!$E$9,'财富模型'!$M$8+IF(Calc!$AG$252&lt;='财富模型'!$E$11*12,'Calc'!$W$16,'Calc'!$Y$16)-(IF('Calc'!$E$16=1,0,MIN(Calc!$AI$251*(1+'财富模型'!$E$20/12)+'Calc'!$B$6,IF(Calc!$AG$252&lt;='财富模型'!$E$11*12,'Calc'!$W$16,'Calc'!$Y$16))))))</x:f>
      </x:c>
      <x:c r="AK252" t="str">
        <x:f>IF(Calc!$AG$252&gt;'Calc'!$B$8,"",IF('Calc'!$E$16=1,0,MIN(Calc!$AI$251*(1+'财富模型'!$E$20/12)+'Calc'!$B$6,IF(Calc!$AG$252&lt;='财富模型'!$E$11*12,'Calc'!$W$16,'Calc'!$Y$16))))</x:f>
      </x:c>
      <x:c r="AL252" t="str">
        <x:f>IF(Calc!$AG$252&gt;'Calc'!$B$8,"",'Calc'!$B$5-'财富模型'!$E$5-(IF('Calc'!$E$16=1,'财富模型'!$E$9,'财富模型'!$M$8+IF(Calc!$AG$252&lt;='财富模型'!$E$11*12,'Calc'!$W$16,'Calc'!$Y$16)-(IF('Calc'!$E$16=1,0,MIN(Calc!$AI$251*(1+'财富模型'!$E$20/12)+'Calc'!$B$6,IF(Calc!$AG$252&lt;='财富模型'!$E$11*12,'Calc'!$W$16,'Calc'!$Y$16)))))))</x:f>
      </x:c>
      <x:c r="AM252" t="str">
        <x:f>IF(Calc!$AG$252&gt;'Calc'!$B$8,"",IF('Calc'!$E$16=1,0,MAX(Calc!$AM$251*(1+IF(Calc!$AG$252&lt;='财富模型'!$E$11*12,'财富模型'!$E$10,'财富模型'!$E$12)/12)-IF('Calc'!$E$16=1,0,IF(Calc!$AG$252&lt;='财富模型'!$E$11*12,'Calc'!$W$16,'Calc'!$Y$16)),0)))</x:f>
      </x:c>
      <x:c r="AO252" t="n">
        <x:v>231</x:v>
      </x:c>
      <x:c r="AP252" t="str">
        <x:f>IF(Calc!$AO$252&gt;'Calc'!$B$8,"",MAX(Calc!$AP$251*(1+'财富模型'!$E$6/12)+('Calc'!$B$5-'财富模型'!$E$5-(IF('Calc'!$E$17=1,'财富模型'!$E$9,'财富模型'!$M$9+IF(Calc!$AO$252&lt;='财富模型'!$E$11*12,'Calc'!$W$17,'Calc'!$Y$17)-(IF('Calc'!$E$17=1,0,MIN(Calc!$AQ$251*(1+'财富模型'!$E$20/12)+'Calc'!$B$6,IF(Calc!$AO$252&lt;='财富模型'!$E$11*12,'Calc'!$W$17,'Calc'!$Y$17))))))),0))</x:f>
      </x:c>
      <x:c r="AQ252" t="str">
        <x:f>IF(Calc!$AO$252&gt;'Calc'!$B$8,"",MAX(Calc!$AQ$251*(1+'财富模型'!$E$20/12)+'Calc'!$B$6-(IF('Calc'!$E$17=1,0,MIN(Calc!$AQ$251*(1+'财富模型'!$E$20/12)+'Calc'!$B$6,IF(Calc!$AO$252&lt;='财富模型'!$E$11*12,'Calc'!$W$17,'Calc'!$Y$17)))),0))</x:f>
      </x:c>
      <x:c r="AR252" t="str">
        <x:f>IF(Calc!$AO$252&gt;'Calc'!$B$8,"",IF('Calc'!$E$17=1,'财富模型'!$E$9,'财富模型'!$M$9+IF(Calc!$AO$252&lt;='财富模型'!$E$11*12,'Calc'!$W$17,'Calc'!$Y$17)-(IF('Calc'!$E$17=1,0,MIN(Calc!$AQ$251*(1+'财富模型'!$E$20/12)+'Calc'!$B$6,IF(Calc!$AO$252&lt;='财富模型'!$E$11*12,'Calc'!$W$17,'Calc'!$Y$17))))))</x:f>
      </x:c>
      <x:c r="AS252" t="str">
        <x:f>IF(Calc!$AO$252&gt;'Calc'!$B$8,"",IF('Calc'!$E$17=1,0,MIN(Calc!$AQ$251*(1+'财富模型'!$E$20/12)+'Calc'!$B$6,IF(Calc!$AO$252&lt;='财富模型'!$E$11*12,'Calc'!$W$17,'Calc'!$Y$17))))</x:f>
      </x:c>
      <x:c r="AT252" t="str">
        <x:f>IF(Calc!$AO$252&gt;'Calc'!$B$8,"",'Calc'!$B$5-'财富模型'!$E$5-(IF('Calc'!$E$17=1,'财富模型'!$E$9,'财富模型'!$M$9+IF(Calc!$AO$252&lt;='财富模型'!$E$11*12,'Calc'!$W$17,'Calc'!$Y$17)-(IF('Calc'!$E$17=1,0,MIN(Calc!$AQ$251*(1+'财富模型'!$E$20/12)+'Calc'!$B$6,IF(Calc!$AO$252&lt;='财富模型'!$E$11*12,'Calc'!$W$17,'Calc'!$Y$17)))))))</x:f>
      </x:c>
      <x:c r="AU252" t="str">
        <x:f>IF(Calc!$AO$252&gt;'Calc'!$B$8,"",IF('Calc'!$E$17=1,0,MAX(Calc!$AU$251*(1+IF(Calc!$AO$252&lt;='财富模型'!$E$11*12,'财富模型'!$E$10,'财富模型'!$E$12)/12)-IF('Calc'!$E$17=1,0,IF(Calc!$AO$252&lt;='财富模型'!$E$11*12,'Calc'!$W$17,'Calc'!$Y$17)),0)))</x:f>
      </x:c>
    </x:row>
    <x:row r="253">
      <x:c r="A253" t="n">
        <x:v>232</x:v>
      </x:c>
      <x:c r="B253" t="str">
        <x:f>IF(Calc!$A$253&gt;'Calc'!$B$8,"",MAX(Calc!$B$252*(1+'财富模型'!$E$6/12)+('Calc'!$B$5-'财富模型'!$E$5-(IF('Calc'!$E$12=1,'财富模型'!$E$9,'财富模型'!$M$4+IF(Calc!$A$253&lt;='财富模型'!$E$11*12,'Calc'!$W$12,'Calc'!$Y$12)-(IF('Calc'!$E$12=1,0,MIN(Calc!$C$252*(1+'财富模型'!$E$20/12)+'Calc'!$B$6,IF(Calc!$A$253&lt;='财富模型'!$E$11*12,'Calc'!$W$12,'Calc'!$Y$12))))))),0))</x:f>
      </x:c>
      <x:c r="C253" t="str">
        <x:f>IF(Calc!$A$253&gt;'Calc'!$B$8,"",MAX(Calc!$C$252*(1+'财富模型'!$E$20/12)+'Calc'!$B$6-(IF('Calc'!$E$12=1,0,MIN(Calc!$C$252*(1+'财富模型'!$E$20/12)+'Calc'!$B$6,IF(Calc!$A$253&lt;='财富模型'!$E$11*12,'Calc'!$W$12,'Calc'!$Y$12)))),0))</x:f>
      </x:c>
      <x:c r="D253" t="str">
        <x:f>IF(Calc!$A$253&gt;'Calc'!$B$8,"",IF('Calc'!$E$12=1,'财富模型'!$E$9,'财富模型'!$M$4+IF(Calc!$A$253&lt;='财富模型'!$E$11*12,'Calc'!$W$12,'Calc'!$Y$12)-(IF('Calc'!$E$12=1,0,MIN(Calc!$C$252*(1+'财富模型'!$E$20/12)+'Calc'!$B$6,IF(Calc!$A$253&lt;='财富模型'!$E$11*12,'Calc'!$W$12,'Calc'!$Y$12))))))</x:f>
      </x:c>
      <x:c r="E253" t="str">
        <x:f>IF(Calc!$A$253&gt;'Calc'!$B$8,"",IF('Calc'!$E$12=1,0,MIN(Calc!$C$252*(1+'财富模型'!$E$20/12)+'Calc'!$B$6,IF(Calc!$A$253&lt;='财富模型'!$E$11*12,'Calc'!$W$12,'Calc'!$Y$12))))</x:f>
      </x:c>
      <x:c r="F253" t="str">
        <x:f>IF(Calc!$A$253&gt;'Calc'!$B$8,"",'Calc'!$B$5-'财富模型'!$E$5-(IF('Calc'!$E$12=1,'财富模型'!$E$9,'财富模型'!$M$4+IF(Calc!$A$253&lt;='财富模型'!$E$11*12,'Calc'!$W$12,'Calc'!$Y$12)-(IF('Calc'!$E$12=1,0,MIN(Calc!$C$252*(1+'财富模型'!$E$20/12)+'Calc'!$B$6,IF(Calc!$A$253&lt;='财富模型'!$E$11*12,'Calc'!$W$12,'Calc'!$Y$12)))))))</x:f>
      </x:c>
      <x:c r="G253" t="str">
        <x:f>IF(Calc!$A$253&gt;'Calc'!$B$8,"",IF('Calc'!$E$12=1,0,MAX(Calc!$G$252*(1+IF(Calc!$A$253&lt;='财富模型'!$E$11*12,'财富模型'!$E$10,'财富模型'!$E$12)/12)-IF('Calc'!$E$12=1,0,IF(Calc!$A$253&lt;='财富模型'!$E$11*12,'Calc'!$W$12,'Calc'!$Y$12)),0)))</x:f>
      </x:c>
      <x:c r="I253" t="n">
        <x:v>232</x:v>
      </x:c>
      <x:c r="J253" t="str">
        <x:f>IF(Calc!$I$253&gt;'Calc'!$B$8,"",MAX(Calc!$J$252*(1+'财富模型'!$E$6/12)+('Calc'!$B$5-'财富模型'!$E$5-(IF('Calc'!$E$13=1,'财富模型'!$E$9,'财富模型'!$M$5+IF(Calc!$I$253&lt;='财富模型'!$E$11*12,'Calc'!$W$13,'Calc'!$Y$13)-(IF('Calc'!$E$13=1,0,MIN(Calc!$K$252*(1+'财富模型'!$E$20/12)+'Calc'!$B$6,IF(Calc!$I$253&lt;='财富模型'!$E$11*12,'Calc'!$W$13,'Calc'!$Y$13))))))),0))</x:f>
      </x:c>
      <x:c r="K253" t="str">
        <x:f>IF(Calc!$I$253&gt;'Calc'!$B$8,"",MAX(Calc!$K$252*(1+'财富模型'!$E$20/12)+'Calc'!$B$6-(IF('Calc'!$E$13=1,0,MIN(Calc!$K$252*(1+'财富模型'!$E$20/12)+'Calc'!$B$6,IF(Calc!$I$253&lt;='财富模型'!$E$11*12,'Calc'!$W$13,'Calc'!$Y$13)))),0))</x:f>
      </x:c>
      <x:c r="L253" t="str">
        <x:f>IF(Calc!$I$253&gt;'Calc'!$B$8,"",IF('Calc'!$E$13=1,'财富模型'!$E$9,'财富模型'!$M$5+IF(Calc!$I$253&lt;='财富模型'!$E$11*12,'Calc'!$W$13,'Calc'!$Y$13)-(IF('Calc'!$E$13=1,0,MIN(Calc!$K$252*(1+'财富模型'!$E$20/12)+'Calc'!$B$6,IF(Calc!$I$253&lt;='财富模型'!$E$11*12,'Calc'!$W$13,'Calc'!$Y$13))))))</x:f>
      </x:c>
      <x:c r="M253" t="str">
        <x:f>IF(Calc!$I$253&gt;'Calc'!$B$8,"",IF('Calc'!$E$13=1,0,MIN(Calc!$K$252*(1+'财富模型'!$E$20/12)+'Calc'!$B$6,IF(Calc!$I$253&lt;='财富模型'!$E$11*12,'Calc'!$W$13,'Calc'!$Y$13))))</x:f>
      </x:c>
      <x:c r="N253" t="str">
        <x:f>IF(Calc!$I$253&gt;'Calc'!$B$8,"",'Calc'!$B$5-'财富模型'!$E$5-(IF('Calc'!$E$13=1,'财富模型'!$E$9,'财富模型'!$M$5+IF(Calc!$I$253&lt;='财富模型'!$E$11*12,'Calc'!$W$13,'Calc'!$Y$13)-(IF('Calc'!$E$13=1,0,MIN(Calc!$K$252*(1+'财富模型'!$E$20/12)+'Calc'!$B$6,IF(Calc!$I$253&lt;='财富模型'!$E$11*12,'Calc'!$W$13,'Calc'!$Y$13)))))))</x:f>
      </x:c>
      <x:c r="O253" t="str">
        <x:f>IF(Calc!$I$253&gt;'Calc'!$B$8,"",IF('Calc'!$E$13=1,0,MAX(Calc!$O$252*(1+IF(Calc!$I$253&lt;='财富模型'!$E$11*12,'财富模型'!$E$10,'财富模型'!$E$12)/12)-IF('Calc'!$E$13=1,0,IF(Calc!$I$253&lt;='财富模型'!$E$11*12,'Calc'!$W$13,'Calc'!$Y$13)),0)))</x:f>
      </x:c>
      <x:c r="Q253" t="n">
        <x:v>232</x:v>
      </x:c>
      <x:c r="R253" t="str">
        <x:f>IF(Calc!$Q$253&gt;'Calc'!$B$8,"",MAX(Calc!$R$252*(1+'财富模型'!$E$6/12)+('Calc'!$B$5-'财富模型'!$E$5-(IF('Calc'!$E$14=1,'财富模型'!$E$9,'财富模型'!$M$6+IF(Calc!$Q$253&lt;='财富模型'!$E$11*12,'Calc'!$W$14,'Calc'!$Y$14)-(IF('Calc'!$E$14=1,0,MIN(Calc!$S$252*(1+'财富模型'!$E$20/12)+'Calc'!$B$6,IF(Calc!$Q$253&lt;='财富模型'!$E$11*12,'Calc'!$W$14,'Calc'!$Y$14))))))),0))</x:f>
      </x:c>
      <x:c r="S253" t="str">
        <x:f>IF(Calc!$Q$253&gt;'Calc'!$B$8,"",MAX(Calc!$S$252*(1+'财富模型'!$E$20/12)+'Calc'!$B$6-(IF('Calc'!$E$14=1,0,MIN(Calc!$S$252*(1+'财富模型'!$E$20/12)+'Calc'!$B$6,IF(Calc!$Q$253&lt;='财富模型'!$E$11*12,'Calc'!$W$14,'Calc'!$Y$14)))),0))</x:f>
      </x:c>
      <x:c r="T253" t="str">
        <x:f>IF(Calc!$Q$253&gt;'Calc'!$B$8,"",IF('Calc'!$E$14=1,'财富模型'!$E$9,'财富模型'!$M$6+IF(Calc!$Q$253&lt;='财富模型'!$E$11*12,'Calc'!$W$14,'Calc'!$Y$14)-(IF('Calc'!$E$14=1,0,MIN(Calc!$S$252*(1+'财富模型'!$E$20/12)+'Calc'!$B$6,IF(Calc!$Q$253&lt;='财富模型'!$E$11*12,'Calc'!$W$14,'Calc'!$Y$14))))))</x:f>
      </x:c>
      <x:c r="U253" t="str">
        <x:f>IF(Calc!$Q$253&gt;'Calc'!$B$8,"",IF('Calc'!$E$14=1,0,MIN(Calc!$S$252*(1+'财富模型'!$E$20/12)+'Calc'!$B$6,IF(Calc!$Q$253&lt;='财富模型'!$E$11*12,'Calc'!$W$14,'Calc'!$Y$14))))</x:f>
      </x:c>
      <x:c r="V253" t="str">
        <x:f>IF(Calc!$Q$253&gt;'Calc'!$B$8,"",'Calc'!$B$5-'财富模型'!$E$5-(IF('Calc'!$E$14=1,'财富模型'!$E$9,'财富模型'!$M$6+IF(Calc!$Q$253&lt;='财富模型'!$E$11*12,'Calc'!$W$14,'Calc'!$Y$14)-(IF('Calc'!$E$14=1,0,MIN(Calc!$S$252*(1+'财富模型'!$E$20/12)+'Calc'!$B$6,IF(Calc!$Q$253&lt;='财富模型'!$E$11*12,'Calc'!$W$14,'Calc'!$Y$14)))))))</x:f>
      </x:c>
      <x:c r="W253" t="str">
        <x:f>IF(Calc!$Q$253&gt;'Calc'!$B$8,"",IF('Calc'!$E$14=1,0,MAX(Calc!$W$252*(1+IF(Calc!$Q$253&lt;='财富模型'!$E$11*12,'财富模型'!$E$10,'财富模型'!$E$12)/12)-IF('Calc'!$E$14=1,0,IF(Calc!$Q$253&lt;='财富模型'!$E$11*12,'Calc'!$W$14,'Calc'!$Y$14)),0)))</x:f>
      </x:c>
      <x:c r="Y253" t="n">
        <x:v>232</x:v>
      </x:c>
      <x:c r="Z253" t="str">
        <x:f>IF(Calc!$Y$253&gt;'Calc'!$B$8,"",MAX(Calc!$Z$252*(1+'财富模型'!$E$6/12)+('Calc'!$B$5-'财富模型'!$E$5-(IF('Calc'!$E$15=1,'财富模型'!$E$9,'财富模型'!$M$7+IF(Calc!$Y$253&lt;='财富模型'!$E$11*12,'Calc'!$W$15,'Calc'!$Y$15)-(IF('Calc'!$E$15=1,0,MIN(Calc!$AA$252*(1+'财富模型'!$E$20/12)+'Calc'!$B$6,IF(Calc!$Y$253&lt;='财富模型'!$E$11*12,'Calc'!$W$15,'Calc'!$Y$15))))))),0))</x:f>
      </x:c>
      <x:c r="AA253" t="str">
        <x:f>IF(Calc!$Y$253&gt;'Calc'!$B$8,"",MAX(Calc!$AA$252*(1+'财富模型'!$E$20/12)+'Calc'!$B$6-(IF('Calc'!$E$15=1,0,MIN(Calc!$AA$252*(1+'财富模型'!$E$20/12)+'Calc'!$B$6,IF(Calc!$Y$253&lt;='财富模型'!$E$11*12,'Calc'!$W$15,'Calc'!$Y$15)))),0))</x:f>
      </x:c>
      <x:c r="AB253" t="str">
        <x:f>IF(Calc!$Y$253&gt;'Calc'!$B$8,"",IF('Calc'!$E$15=1,'财富模型'!$E$9,'财富模型'!$M$7+IF(Calc!$Y$253&lt;='财富模型'!$E$11*12,'Calc'!$W$15,'Calc'!$Y$15)-(IF('Calc'!$E$15=1,0,MIN(Calc!$AA$252*(1+'财富模型'!$E$20/12)+'Calc'!$B$6,IF(Calc!$Y$253&lt;='财富模型'!$E$11*12,'Calc'!$W$15,'Calc'!$Y$15))))))</x:f>
      </x:c>
      <x:c r="AC253" t="str">
        <x:f>IF(Calc!$Y$253&gt;'Calc'!$B$8,"",IF('Calc'!$E$15=1,0,MIN(Calc!$AA$252*(1+'财富模型'!$E$20/12)+'Calc'!$B$6,IF(Calc!$Y$253&lt;='财富模型'!$E$11*12,'Calc'!$W$15,'Calc'!$Y$15))))</x:f>
      </x:c>
      <x:c r="AD253" t="str">
        <x:f>IF(Calc!$Y$253&gt;'Calc'!$B$8,"",'Calc'!$B$5-'财富模型'!$E$5-(IF('Calc'!$E$15=1,'财富模型'!$E$9,'财富模型'!$M$7+IF(Calc!$Y$253&lt;='财富模型'!$E$11*12,'Calc'!$W$15,'Calc'!$Y$15)-(IF('Calc'!$E$15=1,0,MIN(Calc!$AA$252*(1+'财富模型'!$E$20/12)+'Calc'!$B$6,IF(Calc!$Y$253&lt;='财富模型'!$E$11*12,'Calc'!$W$15,'Calc'!$Y$15)))))))</x:f>
      </x:c>
      <x:c r="AE253" t="str">
        <x:f>IF(Calc!$Y$253&gt;'Calc'!$B$8,"",IF('Calc'!$E$15=1,0,MAX(Calc!$AE$252*(1+IF(Calc!$Y$253&lt;='财富模型'!$E$11*12,'财富模型'!$E$10,'财富模型'!$E$12)/12)-IF('Calc'!$E$15=1,0,IF(Calc!$Y$253&lt;='财富模型'!$E$11*12,'Calc'!$W$15,'Calc'!$Y$15)),0)))</x:f>
      </x:c>
      <x:c r="AG253" t="n">
        <x:v>232</x:v>
      </x:c>
      <x:c r="AH253" t="str">
        <x:f>IF(Calc!$AG$253&gt;'Calc'!$B$8,"",MAX(Calc!$AH$252*(1+'财富模型'!$E$6/12)+('Calc'!$B$5-'财富模型'!$E$5-(IF('Calc'!$E$16=1,'财富模型'!$E$9,'财富模型'!$M$8+IF(Calc!$AG$253&lt;='财富模型'!$E$11*12,'Calc'!$W$16,'Calc'!$Y$16)-(IF('Calc'!$E$16=1,0,MIN(Calc!$AI$252*(1+'财富模型'!$E$20/12)+'Calc'!$B$6,IF(Calc!$AG$253&lt;='财富模型'!$E$11*12,'Calc'!$W$16,'Calc'!$Y$16))))))),0))</x:f>
      </x:c>
      <x:c r="AI253" t="str">
        <x:f>IF(Calc!$AG$253&gt;'Calc'!$B$8,"",MAX(Calc!$AI$252*(1+'财富模型'!$E$20/12)+'Calc'!$B$6-(IF('Calc'!$E$16=1,0,MIN(Calc!$AI$252*(1+'财富模型'!$E$20/12)+'Calc'!$B$6,IF(Calc!$AG$253&lt;='财富模型'!$E$11*12,'Calc'!$W$16,'Calc'!$Y$16)))),0))</x:f>
      </x:c>
      <x:c r="AJ253" t="str">
        <x:f>IF(Calc!$AG$253&gt;'Calc'!$B$8,"",IF('Calc'!$E$16=1,'财富模型'!$E$9,'财富模型'!$M$8+IF(Calc!$AG$253&lt;='财富模型'!$E$11*12,'Calc'!$W$16,'Calc'!$Y$16)-(IF('Calc'!$E$16=1,0,MIN(Calc!$AI$252*(1+'财富模型'!$E$20/12)+'Calc'!$B$6,IF(Calc!$AG$253&lt;='财富模型'!$E$11*12,'Calc'!$W$16,'Calc'!$Y$16))))))</x:f>
      </x:c>
      <x:c r="AK253" t="str">
        <x:f>IF(Calc!$AG$253&gt;'Calc'!$B$8,"",IF('Calc'!$E$16=1,0,MIN(Calc!$AI$252*(1+'财富模型'!$E$20/12)+'Calc'!$B$6,IF(Calc!$AG$253&lt;='财富模型'!$E$11*12,'Calc'!$W$16,'Calc'!$Y$16))))</x:f>
      </x:c>
      <x:c r="AL253" t="str">
        <x:f>IF(Calc!$AG$253&gt;'Calc'!$B$8,"",'Calc'!$B$5-'财富模型'!$E$5-(IF('Calc'!$E$16=1,'财富模型'!$E$9,'财富模型'!$M$8+IF(Calc!$AG$253&lt;='财富模型'!$E$11*12,'Calc'!$W$16,'Calc'!$Y$16)-(IF('Calc'!$E$16=1,0,MIN(Calc!$AI$252*(1+'财富模型'!$E$20/12)+'Calc'!$B$6,IF(Calc!$AG$253&lt;='财富模型'!$E$11*12,'Calc'!$W$16,'Calc'!$Y$16)))))))</x:f>
      </x:c>
      <x:c r="AM253" t="str">
        <x:f>IF(Calc!$AG$253&gt;'Calc'!$B$8,"",IF('Calc'!$E$16=1,0,MAX(Calc!$AM$252*(1+IF(Calc!$AG$253&lt;='财富模型'!$E$11*12,'财富模型'!$E$10,'财富模型'!$E$12)/12)-IF('Calc'!$E$16=1,0,IF(Calc!$AG$253&lt;='财富模型'!$E$11*12,'Calc'!$W$16,'Calc'!$Y$16)),0)))</x:f>
      </x:c>
      <x:c r="AO253" t="n">
        <x:v>232</x:v>
      </x:c>
      <x:c r="AP253" t="str">
        <x:f>IF(Calc!$AO$253&gt;'Calc'!$B$8,"",MAX(Calc!$AP$252*(1+'财富模型'!$E$6/12)+('Calc'!$B$5-'财富模型'!$E$5-(IF('Calc'!$E$17=1,'财富模型'!$E$9,'财富模型'!$M$9+IF(Calc!$AO$253&lt;='财富模型'!$E$11*12,'Calc'!$W$17,'Calc'!$Y$17)-(IF('Calc'!$E$17=1,0,MIN(Calc!$AQ$252*(1+'财富模型'!$E$20/12)+'Calc'!$B$6,IF(Calc!$AO$253&lt;='财富模型'!$E$11*12,'Calc'!$W$17,'Calc'!$Y$17))))))),0))</x:f>
      </x:c>
      <x:c r="AQ253" t="str">
        <x:f>IF(Calc!$AO$253&gt;'Calc'!$B$8,"",MAX(Calc!$AQ$252*(1+'财富模型'!$E$20/12)+'Calc'!$B$6-(IF('Calc'!$E$17=1,0,MIN(Calc!$AQ$252*(1+'财富模型'!$E$20/12)+'Calc'!$B$6,IF(Calc!$AO$253&lt;='财富模型'!$E$11*12,'Calc'!$W$17,'Calc'!$Y$17)))),0))</x:f>
      </x:c>
      <x:c r="AR253" t="str">
        <x:f>IF(Calc!$AO$253&gt;'Calc'!$B$8,"",IF('Calc'!$E$17=1,'财富模型'!$E$9,'财富模型'!$M$9+IF(Calc!$AO$253&lt;='财富模型'!$E$11*12,'Calc'!$W$17,'Calc'!$Y$17)-(IF('Calc'!$E$17=1,0,MIN(Calc!$AQ$252*(1+'财富模型'!$E$20/12)+'Calc'!$B$6,IF(Calc!$AO$253&lt;='财富模型'!$E$11*12,'Calc'!$W$17,'Calc'!$Y$17))))))</x:f>
      </x:c>
      <x:c r="AS253" t="str">
        <x:f>IF(Calc!$AO$253&gt;'Calc'!$B$8,"",IF('Calc'!$E$17=1,0,MIN(Calc!$AQ$252*(1+'财富模型'!$E$20/12)+'Calc'!$B$6,IF(Calc!$AO$253&lt;='财富模型'!$E$11*12,'Calc'!$W$17,'Calc'!$Y$17))))</x:f>
      </x:c>
      <x:c r="AT253" t="str">
        <x:f>IF(Calc!$AO$253&gt;'Calc'!$B$8,"",'Calc'!$B$5-'财富模型'!$E$5-(IF('Calc'!$E$17=1,'财富模型'!$E$9,'财富模型'!$M$9+IF(Calc!$AO$253&lt;='财富模型'!$E$11*12,'Calc'!$W$17,'Calc'!$Y$17)-(IF('Calc'!$E$17=1,0,MIN(Calc!$AQ$252*(1+'财富模型'!$E$20/12)+'Calc'!$B$6,IF(Calc!$AO$253&lt;='财富模型'!$E$11*12,'Calc'!$W$17,'Calc'!$Y$17)))))))</x:f>
      </x:c>
      <x:c r="AU253" t="str">
        <x:f>IF(Calc!$AO$253&gt;'Calc'!$B$8,"",IF('Calc'!$E$17=1,0,MAX(Calc!$AU$252*(1+IF(Calc!$AO$253&lt;='财富模型'!$E$11*12,'财富模型'!$E$10,'财富模型'!$E$12)/12)-IF('Calc'!$E$17=1,0,IF(Calc!$AO$253&lt;='财富模型'!$E$11*12,'Calc'!$W$17,'Calc'!$Y$17)),0)))</x:f>
      </x:c>
    </x:row>
    <x:row r="254">
      <x:c r="A254" t="n">
        <x:v>233</x:v>
      </x:c>
      <x:c r="B254" t="str">
        <x:f>IF(Calc!$A$254&gt;'Calc'!$B$8,"",MAX(Calc!$B$253*(1+'财富模型'!$E$6/12)+('Calc'!$B$5-'财富模型'!$E$5-(IF('Calc'!$E$12=1,'财富模型'!$E$9,'财富模型'!$M$4+IF(Calc!$A$254&lt;='财富模型'!$E$11*12,'Calc'!$W$12,'Calc'!$Y$12)-(IF('Calc'!$E$12=1,0,MIN(Calc!$C$253*(1+'财富模型'!$E$20/12)+'Calc'!$B$6,IF(Calc!$A$254&lt;='财富模型'!$E$11*12,'Calc'!$W$12,'Calc'!$Y$12))))))),0))</x:f>
      </x:c>
      <x:c r="C254" t="str">
        <x:f>IF(Calc!$A$254&gt;'Calc'!$B$8,"",MAX(Calc!$C$253*(1+'财富模型'!$E$20/12)+'Calc'!$B$6-(IF('Calc'!$E$12=1,0,MIN(Calc!$C$253*(1+'财富模型'!$E$20/12)+'Calc'!$B$6,IF(Calc!$A$254&lt;='财富模型'!$E$11*12,'Calc'!$W$12,'Calc'!$Y$12)))),0))</x:f>
      </x:c>
      <x:c r="D254" t="str">
        <x:f>IF(Calc!$A$254&gt;'Calc'!$B$8,"",IF('Calc'!$E$12=1,'财富模型'!$E$9,'财富模型'!$M$4+IF(Calc!$A$254&lt;='财富模型'!$E$11*12,'Calc'!$W$12,'Calc'!$Y$12)-(IF('Calc'!$E$12=1,0,MIN(Calc!$C$253*(1+'财富模型'!$E$20/12)+'Calc'!$B$6,IF(Calc!$A$254&lt;='财富模型'!$E$11*12,'Calc'!$W$12,'Calc'!$Y$12))))))</x:f>
      </x:c>
      <x:c r="E254" t="str">
        <x:f>IF(Calc!$A$254&gt;'Calc'!$B$8,"",IF('Calc'!$E$12=1,0,MIN(Calc!$C$253*(1+'财富模型'!$E$20/12)+'Calc'!$B$6,IF(Calc!$A$254&lt;='财富模型'!$E$11*12,'Calc'!$W$12,'Calc'!$Y$12))))</x:f>
      </x:c>
      <x:c r="F254" t="str">
        <x:f>IF(Calc!$A$254&gt;'Calc'!$B$8,"",'Calc'!$B$5-'财富模型'!$E$5-(IF('Calc'!$E$12=1,'财富模型'!$E$9,'财富模型'!$M$4+IF(Calc!$A$254&lt;='财富模型'!$E$11*12,'Calc'!$W$12,'Calc'!$Y$12)-(IF('Calc'!$E$12=1,0,MIN(Calc!$C$253*(1+'财富模型'!$E$20/12)+'Calc'!$B$6,IF(Calc!$A$254&lt;='财富模型'!$E$11*12,'Calc'!$W$12,'Calc'!$Y$12)))))))</x:f>
      </x:c>
      <x:c r="G254" t="str">
        <x:f>IF(Calc!$A$254&gt;'Calc'!$B$8,"",IF('Calc'!$E$12=1,0,MAX(Calc!$G$253*(1+IF(Calc!$A$254&lt;='财富模型'!$E$11*12,'财富模型'!$E$10,'财富模型'!$E$12)/12)-IF('Calc'!$E$12=1,0,IF(Calc!$A$254&lt;='财富模型'!$E$11*12,'Calc'!$W$12,'Calc'!$Y$12)),0)))</x:f>
      </x:c>
      <x:c r="I254" t="n">
        <x:v>233</x:v>
      </x:c>
      <x:c r="J254" t="str">
        <x:f>IF(Calc!$I$254&gt;'Calc'!$B$8,"",MAX(Calc!$J$253*(1+'财富模型'!$E$6/12)+('Calc'!$B$5-'财富模型'!$E$5-(IF('Calc'!$E$13=1,'财富模型'!$E$9,'财富模型'!$M$5+IF(Calc!$I$254&lt;='财富模型'!$E$11*12,'Calc'!$W$13,'Calc'!$Y$13)-(IF('Calc'!$E$13=1,0,MIN(Calc!$K$253*(1+'财富模型'!$E$20/12)+'Calc'!$B$6,IF(Calc!$I$254&lt;='财富模型'!$E$11*12,'Calc'!$W$13,'Calc'!$Y$13))))))),0))</x:f>
      </x:c>
      <x:c r="K254" t="str">
        <x:f>IF(Calc!$I$254&gt;'Calc'!$B$8,"",MAX(Calc!$K$253*(1+'财富模型'!$E$20/12)+'Calc'!$B$6-(IF('Calc'!$E$13=1,0,MIN(Calc!$K$253*(1+'财富模型'!$E$20/12)+'Calc'!$B$6,IF(Calc!$I$254&lt;='财富模型'!$E$11*12,'Calc'!$W$13,'Calc'!$Y$13)))),0))</x:f>
      </x:c>
      <x:c r="L254" t="str">
        <x:f>IF(Calc!$I$254&gt;'Calc'!$B$8,"",IF('Calc'!$E$13=1,'财富模型'!$E$9,'财富模型'!$M$5+IF(Calc!$I$254&lt;='财富模型'!$E$11*12,'Calc'!$W$13,'Calc'!$Y$13)-(IF('Calc'!$E$13=1,0,MIN(Calc!$K$253*(1+'财富模型'!$E$20/12)+'Calc'!$B$6,IF(Calc!$I$254&lt;='财富模型'!$E$11*12,'Calc'!$W$13,'Calc'!$Y$13))))))</x:f>
      </x:c>
      <x:c r="M254" t="str">
        <x:f>IF(Calc!$I$254&gt;'Calc'!$B$8,"",IF('Calc'!$E$13=1,0,MIN(Calc!$K$253*(1+'财富模型'!$E$20/12)+'Calc'!$B$6,IF(Calc!$I$254&lt;='财富模型'!$E$11*12,'Calc'!$W$13,'Calc'!$Y$13))))</x:f>
      </x:c>
      <x:c r="N254" t="str">
        <x:f>IF(Calc!$I$254&gt;'Calc'!$B$8,"",'Calc'!$B$5-'财富模型'!$E$5-(IF('Calc'!$E$13=1,'财富模型'!$E$9,'财富模型'!$M$5+IF(Calc!$I$254&lt;='财富模型'!$E$11*12,'Calc'!$W$13,'Calc'!$Y$13)-(IF('Calc'!$E$13=1,0,MIN(Calc!$K$253*(1+'财富模型'!$E$20/12)+'Calc'!$B$6,IF(Calc!$I$254&lt;='财富模型'!$E$11*12,'Calc'!$W$13,'Calc'!$Y$13)))))))</x:f>
      </x:c>
      <x:c r="O254" t="str">
        <x:f>IF(Calc!$I$254&gt;'Calc'!$B$8,"",IF('Calc'!$E$13=1,0,MAX(Calc!$O$253*(1+IF(Calc!$I$254&lt;='财富模型'!$E$11*12,'财富模型'!$E$10,'财富模型'!$E$12)/12)-IF('Calc'!$E$13=1,0,IF(Calc!$I$254&lt;='财富模型'!$E$11*12,'Calc'!$W$13,'Calc'!$Y$13)),0)))</x:f>
      </x:c>
      <x:c r="Q254" t="n">
        <x:v>233</x:v>
      </x:c>
      <x:c r="R254" t="str">
        <x:f>IF(Calc!$Q$254&gt;'Calc'!$B$8,"",MAX(Calc!$R$253*(1+'财富模型'!$E$6/12)+('Calc'!$B$5-'财富模型'!$E$5-(IF('Calc'!$E$14=1,'财富模型'!$E$9,'财富模型'!$M$6+IF(Calc!$Q$254&lt;='财富模型'!$E$11*12,'Calc'!$W$14,'Calc'!$Y$14)-(IF('Calc'!$E$14=1,0,MIN(Calc!$S$253*(1+'财富模型'!$E$20/12)+'Calc'!$B$6,IF(Calc!$Q$254&lt;='财富模型'!$E$11*12,'Calc'!$W$14,'Calc'!$Y$14))))))),0))</x:f>
      </x:c>
      <x:c r="S254" t="str">
        <x:f>IF(Calc!$Q$254&gt;'Calc'!$B$8,"",MAX(Calc!$S$253*(1+'财富模型'!$E$20/12)+'Calc'!$B$6-(IF('Calc'!$E$14=1,0,MIN(Calc!$S$253*(1+'财富模型'!$E$20/12)+'Calc'!$B$6,IF(Calc!$Q$254&lt;='财富模型'!$E$11*12,'Calc'!$W$14,'Calc'!$Y$14)))),0))</x:f>
      </x:c>
      <x:c r="T254" t="str">
        <x:f>IF(Calc!$Q$254&gt;'Calc'!$B$8,"",IF('Calc'!$E$14=1,'财富模型'!$E$9,'财富模型'!$M$6+IF(Calc!$Q$254&lt;='财富模型'!$E$11*12,'Calc'!$W$14,'Calc'!$Y$14)-(IF('Calc'!$E$14=1,0,MIN(Calc!$S$253*(1+'财富模型'!$E$20/12)+'Calc'!$B$6,IF(Calc!$Q$254&lt;='财富模型'!$E$11*12,'Calc'!$W$14,'Calc'!$Y$14))))))</x:f>
      </x:c>
      <x:c r="U254" t="str">
        <x:f>IF(Calc!$Q$254&gt;'Calc'!$B$8,"",IF('Calc'!$E$14=1,0,MIN(Calc!$S$253*(1+'财富模型'!$E$20/12)+'Calc'!$B$6,IF(Calc!$Q$254&lt;='财富模型'!$E$11*12,'Calc'!$W$14,'Calc'!$Y$14))))</x:f>
      </x:c>
      <x:c r="V254" t="str">
        <x:f>IF(Calc!$Q$254&gt;'Calc'!$B$8,"",'Calc'!$B$5-'财富模型'!$E$5-(IF('Calc'!$E$14=1,'财富模型'!$E$9,'财富模型'!$M$6+IF(Calc!$Q$254&lt;='财富模型'!$E$11*12,'Calc'!$W$14,'Calc'!$Y$14)-(IF('Calc'!$E$14=1,0,MIN(Calc!$S$253*(1+'财富模型'!$E$20/12)+'Calc'!$B$6,IF(Calc!$Q$254&lt;='财富模型'!$E$11*12,'Calc'!$W$14,'Calc'!$Y$14)))))))</x:f>
      </x:c>
      <x:c r="W254" t="str">
        <x:f>IF(Calc!$Q$254&gt;'Calc'!$B$8,"",IF('Calc'!$E$14=1,0,MAX(Calc!$W$253*(1+IF(Calc!$Q$254&lt;='财富模型'!$E$11*12,'财富模型'!$E$10,'财富模型'!$E$12)/12)-IF('Calc'!$E$14=1,0,IF(Calc!$Q$254&lt;='财富模型'!$E$11*12,'Calc'!$W$14,'Calc'!$Y$14)),0)))</x:f>
      </x:c>
      <x:c r="Y254" t="n">
        <x:v>233</x:v>
      </x:c>
      <x:c r="Z254" t="str">
        <x:f>IF(Calc!$Y$254&gt;'Calc'!$B$8,"",MAX(Calc!$Z$253*(1+'财富模型'!$E$6/12)+('Calc'!$B$5-'财富模型'!$E$5-(IF('Calc'!$E$15=1,'财富模型'!$E$9,'财富模型'!$M$7+IF(Calc!$Y$254&lt;='财富模型'!$E$11*12,'Calc'!$W$15,'Calc'!$Y$15)-(IF('Calc'!$E$15=1,0,MIN(Calc!$AA$253*(1+'财富模型'!$E$20/12)+'Calc'!$B$6,IF(Calc!$Y$254&lt;='财富模型'!$E$11*12,'Calc'!$W$15,'Calc'!$Y$15))))))),0))</x:f>
      </x:c>
      <x:c r="AA254" t="str">
        <x:f>IF(Calc!$Y$254&gt;'Calc'!$B$8,"",MAX(Calc!$AA$253*(1+'财富模型'!$E$20/12)+'Calc'!$B$6-(IF('Calc'!$E$15=1,0,MIN(Calc!$AA$253*(1+'财富模型'!$E$20/12)+'Calc'!$B$6,IF(Calc!$Y$254&lt;='财富模型'!$E$11*12,'Calc'!$W$15,'Calc'!$Y$15)))),0))</x:f>
      </x:c>
      <x:c r="AB254" t="str">
        <x:f>IF(Calc!$Y$254&gt;'Calc'!$B$8,"",IF('Calc'!$E$15=1,'财富模型'!$E$9,'财富模型'!$M$7+IF(Calc!$Y$254&lt;='财富模型'!$E$11*12,'Calc'!$W$15,'Calc'!$Y$15)-(IF('Calc'!$E$15=1,0,MIN(Calc!$AA$253*(1+'财富模型'!$E$20/12)+'Calc'!$B$6,IF(Calc!$Y$254&lt;='财富模型'!$E$11*12,'Calc'!$W$15,'Calc'!$Y$15))))))</x:f>
      </x:c>
      <x:c r="AC254" t="str">
        <x:f>IF(Calc!$Y$254&gt;'Calc'!$B$8,"",IF('Calc'!$E$15=1,0,MIN(Calc!$AA$253*(1+'财富模型'!$E$20/12)+'Calc'!$B$6,IF(Calc!$Y$254&lt;='财富模型'!$E$11*12,'Calc'!$W$15,'Calc'!$Y$15))))</x:f>
      </x:c>
      <x:c r="AD254" t="str">
        <x:f>IF(Calc!$Y$254&gt;'Calc'!$B$8,"",'Calc'!$B$5-'财富模型'!$E$5-(IF('Calc'!$E$15=1,'财富模型'!$E$9,'财富模型'!$M$7+IF(Calc!$Y$254&lt;='财富模型'!$E$11*12,'Calc'!$W$15,'Calc'!$Y$15)-(IF('Calc'!$E$15=1,0,MIN(Calc!$AA$253*(1+'财富模型'!$E$20/12)+'Calc'!$B$6,IF(Calc!$Y$254&lt;='财富模型'!$E$11*12,'Calc'!$W$15,'Calc'!$Y$15)))))))</x:f>
      </x:c>
      <x:c r="AE254" t="str">
        <x:f>IF(Calc!$Y$254&gt;'Calc'!$B$8,"",IF('Calc'!$E$15=1,0,MAX(Calc!$AE$253*(1+IF(Calc!$Y$254&lt;='财富模型'!$E$11*12,'财富模型'!$E$10,'财富模型'!$E$12)/12)-IF('Calc'!$E$15=1,0,IF(Calc!$Y$254&lt;='财富模型'!$E$11*12,'Calc'!$W$15,'Calc'!$Y$15)),0)))</x:f>
      </x:c>
      <x:c r="AG254" t="n">
        <x:v>233</x:v>
      </x:c>
      <x:c r="AH254" t="str">
        <x:f>IF(Calc!$AG$254&gt;'Calc'!$B$8,"",MAX(Calc!$AH$253*(1+'财富模型'!$E$6/12)+('Calc'!$B$5-'财富模型'!$E$5-(IF('Calc'!$E$16=1,'财富模型'!$E$9,'财富模型'!$M$8+IF(Calc!$AG$254&lt;='财富模型'!$E$11*12,'Calc'!$W$16,'Calc'!$Y$16)-(IF('Calc'!$E$16=1,0,MIN(Calc!$AI$253*(1+'财富模型'!$E$20/12)+'Calc'!$B$6,IF(Calc!$AG$254&lt;='财富模型'!$E$11*12,'Calc'!$W$16,'Calc'!$Y$16))))))),0))</x:f>
      </x:c>
      <x:c r="AI254" t="str">
        <x:f>IF(Calc!$AG$254&gt;'Calc'!$B$8,"",MAX(Calc!$AI$253*(1+'财富模型'!$E$20/12)+'Calc'!$B$6-(IF('Calc'!$E$16=1,0,MIN(Calc!$AI$253*(1+'财富模型'!$E$20/12)+'Calc'!$B$6,IF(Calc!$AG$254&lt;='财富模型'!$E$11*12,'Calc'!$W$16,'Calc'!$Y$16)))),0))</x:f>
      </x:c>
      <x:c r="AJ254" t="str">
        <x:f>IF(Calc!$AG$254&gt;'Calc'!$B$8,"",IF('Calc'!$E$16=1,'财富模型'!$E$9,'财富模型'!$M$8+IF(Calc!$AG$254&lt;='财富模型'!$E$11*12,'Calc'!$W$16,'Calc'!$Y$16)-(IF('Calc'!$E$16=1,0,MIN(Calc!$AI$253*(1+'财富模型'!$E$20/12)+'Calc'!$B$6,IF(Calc!$AG$254&lt;='财富模型'!$E$11*12,'Calc'!$W$16,'Calc'!$Y$16))))))</x:f>
      </x:c>
      <x:c r="AK254" t="str">
        <x:f>IF(Calc!$AG$254&gt;'Calc'!$B$8,"",IF('Calc'!$E$16=1,0,MIN(Calc!$AI$253*(1+'财富模型'!$E$20/12)+'Calc'!$B$6,IF(Calc!$AG$254&lt;='财富模型'!$E$11*12,'Calc'!$W$16,'Calc'!$Y$16))))</x:f>
      </x:c>
      <x:c r="AL254" t="str">
        <x:f>IF(Calc!$AG$254&gt;'Calc'!$B$8,"",'Calc'!$B$5-'财富模型'!$E$5-(IF('Calc'!$E$16=1,'财富模型'!$E$9,'财富模型'!$M$8+IF(Calc!$AG$254&lt;='财富模型'!$E$11*12,'Calc'!$W$16,'Calc'!$Y$16)-(IF('Calc'!$E$16=1,0,MIN(Calc!$AI$253*(1+'财富模型'!$E$20/12)+'Calc'!$B$6,IF(Calc!$AG$254&lt;='财富模型'!$E$11*12,'Calc'!$W$16,'Calc'!$Y$16)))))))</x:f>
      </x:c>
      <x:c r="AM254" t="str">
        <x:f>IF(Calc!$AG$254&gt;'Calc'!$B$8,"",IF('Calc'!$E$16=1,0,MAX(Calc!$AM$253*(1+IF(Calc!$AG$254&lt;='财富模型'!$E$11*12,'财富模型'!$E$10,'财富模型'!$E$12)/12)-IF('Calc'!$E$16=1,0,IF(Calc!$AG$254&lt;='财富模型'!$E$11*12,'Calc'!$W$16,'Calc'!$Y$16)),0)))</x:f>
      </x:c>
      <x:c r="AO254" t="n">
        <x:v>233</x:v>
      </x:c>
      <x:c r="AP254" t="str">
        <x:f>IF(Calc!$AO$254&gt;'Calc'!$B$8,"",MAX(Calc!$AP$253*(1+'财富模型'!$E$6/12)+('Calc'!$B$5-'财富模型'!$E$5-(IF('Calc'!$E$17=1,'财富模型'!$E$9,'财富模型'!$M$9+IF(Calc!$AO$254&lt;='财富模型'!$E$11*12,'Calc'!$W$17,'Calc'!$Y$17)-(IF('Calc'!$E$17=1,0,MIN(Calc!$AQ$253*(1+'财富模型'!$E$20/12)+'Calc'!$B$6,IF(Calc!$AO$254&lt;='财富模型'!$E$11*12,'Calc'!$W$17,'Calc'!$Y$17))))))),0))</x:f>
      </x:c>
      <x:c r="AQ254" t="str">
        <x:f>IF(Calc!$AO$254&gt;'Calc'!$B$8,"",MAX(Calc!$AQ$253*(1+'财富模型'!$E$20/12)+'Calc'!$B$6-(IF('Calc'!$E$17=1,0,MIN(Calc!$AQ$253*(1+'财富模型'!$E$20/12)+'Calc'!$B$6,IF(Calc!$AO$254&lt;='财富模型'!$E$11*12,'Calc'!$W$17,'Calc'!$Y$17)))),0))</x:f>
      </x:c>
      <x:c r="AR254" t="str">
        <x:f>IF(Calc!$AO$254&gt;'Calc'!$B$8,"",IF('Calc'!$E$17=1,'财富模型'!$E$9,'财富模型'!$M$9+IF(Calc!$AO$254&lt;='财富模型'!$E$11*12,'Calc'!$W$17,'Calc'!$Y$17)-(IF('Calc'!$E$17=1,0,MIN(Calc!$AQ$253*(1+'财富模型'!$E$20/12)+'Calc'!$B$6,IF(Calc!$AO$254&lt;='财富模型'!$E$11*12,'Calc'!$W$17,'Calc'!$Y$17))))))</x:f>
      </x:c>
      <x:c r="AS254" t="str">
        <x:f>IF(Calc!$AO$254&gt;'Calc'!$B$8,"",IF('Calc'!$E$17=1,0,MIN(Calc!$AQ$253*(1+'财富模型'!$E$20/12)+'Calc'!$B$6,IF(Calc!$AO$254&lt;='财富模型'!$E$11*12,'Calc'!$W$17,'Calc'!$Y$17))))</x:f>
      </x:c>
      <x:c r="AT254" t="str">
        <x:f>IF(Calc!$AO$254&gt;'Calc'!$B$8,"",'Calc'!$B$5-'财富模型'!$E$5-(IF('Calc'!$E$17=1,'财富模型'!$E$9,'财富模型'!$M$9+IF(Calc!$AO$254&lt;='财富模型'!$E$11*12,'Calc'!$W$17,'Calc'!$Y$17)-(IF('Calc'!$E$17=1,0,MIN(Calc!$AQ$253*(1+'财富模型'!$E$20/12)+'Calc'!$B$6,IF(Calc!$AO$254&lt;='财富模型'!$E$11*12,'Calc'!$W$17,'Calc'!$Y$17)))))))</x:f>
      </x:c>
      <x:c r="AU254" t="str">
        <x:f>IF(Calc!$AO$254&gt;'Calc'!$B$8,"",IF('Calc'!$E$17=1,0,MAX(Calc!$AU$253*(1+IF(Calc!$AO$254&lt;='财富模型'!$E$11*12,'财富模型'!$E$10,'财富模型'!$E$12)/12)-IF('Calc'!$E$17=1,0,IF(Calc!$AO$254&lt;='财富模型'!$E$11*12,'Calc'!$W$17,'Calc'!$Y$17)),0)))</x:f>
      </x:c>
    </x:row>
    <x:row r="255">
      <x:c r="A255" t="n">
        <x:v>234</x:v>
      </x:c>
      <x:c r="B255" t="str">
        <x:f>IF(Calc!$A$255&gt;'Calc'!$B$8,"",MAX(Calc!$B$254*(1+'财富模型'!$E$6/12)+('Calc'!$B$5-'财富模型'!$E$5-(IF('Calc'!$E$12=1,'财富模型'!$E$9,'财富模型'!$M$4+IF(Calc!$A$255&lt;='财富模型'!$E$11*12,'Calc'!$W$12,'Calc'!$Y$12)-(IF('Calc'!$E$12=1,0,MIN(Calc!$C$254*(1+'财富模型'!$E$20/12)+'Calc'!$B$6,IF(Calc!$A$255&lt;='财富模型'!$E$11*12,'Calc'!$W$12,'Calc'!$Y$12))))))),0))</x:f>
      </x:c>
      <x:c r="C255" t="str">
        <x:f>IF(Calc!$A$255&gt;'Calc'!$B$8,"",MAX(Calc!$C$254*(1+'财富模型'!$E$20/12)+'Calc'!$B$6-(IF('Calc'!$E$12=1,0,MIN(Calc!$C$254*(1+'财富模型'!$E$20/12)+'Calc'!$B$6,IF(Calc!$A$255&lt;='财富模型'!$E$11*12,'Calc'!$W$12,'Calc'!$Y$12)))),0))</x:f>
      </x:c>
      <x:c r="D255" t="str">
        <x:f>IF(Calc!$A$255&gt;'Calc'!$B$8,"",IF('Calc'!$E$12=1,'财富模型'!$E$9,'财富模型'!$M$4+IF(Calc!$A$255&lt;='财富模型'!$E$11*12,'Calc'!$W$12,'Calc'!$Y$12)-(IF('Calc'!$E$12=1,0,MIN(Calc!$C$254*(1+'财富模型'!$E$20/12)+'Calc'!$B$6,IF(Calc!$A$255&lt;='财富模型'!$E$11*12,'Calc'!$W$12,'Calc'!$Y$12))))))</x:f>
      </x:c>
      <x:c r="E255" t="str">
        <x:f>IF(Calc!$A$255&gt;'Calc'!$B$8,"",IF('Calc'!$E$12=1,0,MIN(Calc!$C$254*(1+'财富模型'!$E$20/12)+'Calc'!$B$6,IF(Calc!$A$255&lt;='财富模型'!$E$11*12,'Calc'!$W$12,'Calc'!$Y$12))))</x:f>
      </x:c>
      <x:c r="F255" t="str">
        <x:f>IF(Calc!$A$255&gt;'Calc'!$B$8,"",'Calc'!$B$5-'财富模型'!$E$5-(IF('Calc'!$E$12=1,'财富模型'!$E$9,'财富模型'!$M$4+IF(Calc!$A$255&lt;='财富模型'!$E$11*12,'Calc'!$W$12,'Calc'!$Y$12)-(IF('Calc'!$E$12=1,0,MIN(Calc!$C$254*(1+'财富模型'!$E$20/12)+'Calc'!$B$6,IF(Calc!$A$255&lt;='财富模型'!$E$11*12,'Calc'!$W$12,'Calc'!$Y$12)))))))</x:f>
      </x:c>
      <x:c r="G255" t="str">
        <x:f>IF(Calc!$A$255&gt;'Calc'!$B$8,"",IF('Calc'!$E$12=1,0,MAX(Calc!$G$254*(1+IF(Calc!$A$255&lt;='财富模型'!$E$11*12,'财富模型'!$E$10,'财富模型'!$E$12)/12)-IF('Calc'!$E$12=1,0,IF(Calc!$A$255&lt;='财富模型'!$E$11*12,'Calc'!$W$12,'Calc'!$Y$12)),0)))</x:f>
      </x:c>
      <x:c r="I255" t="n">
        <x:v>234</x:v>
      </x:c>
      <x:c r="J255" t="str">
        <x:f>IF(Calc!$I$255&gt;'Calc'!$B$8,"",MAX(Calc!$J$254*(1+'财富模型'!$E$6/12)+('Calc'!$B$5-'财富模型'!$E$5-(IF('Calc'!$E$13=1,'财富模型'!$E$9,'财富模型'!$M$5+IF(Calc!$I$255&lt;='财富模型'!$E$11*12,'Calc'!$W$13,'Calc'!$Y$13)-(IF('Calc'!$E$13=1,0,MIN(Calc!$K$254*(1+'财富模型'!$E$20/12)+'Calc'!$B$6,IF(Calc!$I$255&lt;='财富模型'!$E$11*12,'Calc'!$W$13,'Calc'!$Y$13))))))),0))</x:f>
      </x:c>
      <x:c r="K255" t="str">
        <x:f>IF(Calc!$I$255&gt;'Calc'!$B$8,"",MAX(Calc!$K$254*(1+'财富模型'!$E$20/12)+'Calc'!$B$6-(IF('Calc'!$E$13=1,0,MIN(Calc!$K$254*(1+'财富模型'!$E$20/12)+'Calc'!$B$6,IF(Calc!$I$255&lt;='财富模型'!$E$11*12,'Calc'!$W$13,'Calc'!$Y$13)))),0))</x:f>
      </x:c>
      <x:c r="L255" t="str">
        <x:f>IF(Calc!$I$255&gt;'Calc'!$B$8,"",IF('Calc'!$E$13=1,'财富模型'!$E$9,'财富模型'!$M$5+IF(Calc!$I$255&lt;='财富模型'!$E$11*12,'Calc'!$W$13,'Calc'!$Y$13)-(IF('Calc'!$E$13=1,0,MIN(Calc!$K$254*(1+'财富模型'!$E$20/12)+'Calc'!$B$6,IF(Calc!$I$255&lt;='财富模型'!$E$11*12,'Calc'!$W$13,'Calc'!$Y$13))))))</x:f>
      </x:c>
      <x:c r="M255" t="str">
        <x:f>IF(Calc!$I$255&gt;'Calc'!$B$8,"",IF('Calc'!$E$13=1,0,MIN(Calc!$K$254*(1+'财富模型'!$E$20/12)+'Calc'!$B$6,IF(Calc!$I$255&lt;='财富模型'!$E$11*12,'Calc'!$W$13,'Calc'!$Y$13))))</x:f>
      </x:c>
      <x:c r="N255" t="str">
        <x:f>IF(Calc!$I$255&gt;'Calc'!$B$8,"",'Calc'!$B$5-'财富模型'!$E$5-(IF('Calc'!$E$13=1,'财富模型'!$E$9,'财富模型'!$M$5+IF(Calc!$I$255&lt;='财富模型'!$E$11*12,'Calc'!$W$13,'Calc'!$Y$13)-(IF('Calc'!$E$13=1,0,MIN(Calc!$K$254*(1+'财富模型'!$E$20/12)+'Calc'!$B$6,IF(Calc!$I$255&lt;='财富模型'!$E$11*12,'Calc'!$W$13,'Calc'!$Y$13)))))))</x:f>
      </x:c>
      <x:c r="O255" t="str">
        <x:f>IF(Calc!$I$255&gt;'Calc'!$B$8,"",IF('Calc'!$E$13=1,0,MAX(Calc!$O$254*(1+IF(Calc!$I$255&lt;='财富模型'!$E$11*12,'财富模型'!$E$10,'财富模型'!$E$12)/12)-IF('Calc'!$E$13=1,0,IF(Calc!$I$255&lt;='财富模型'!$E$11*12,'Calc'!$W$13,'Calc'!$Y$13)),0)))</x:f>
      </x:c>
      <x:c r="Q255" t="n">
        <x:v>234</x:v>
      </x:c>
      <x:c r="R255" t="str">
        <x:f>IF(Calc!$Q$255&gt;'Calc'!$B$8,"",MAX(Calc!$R$254*(1+'财富模型'!$E$6/12)+('Calc'!$B$5-'财富模型'!$E$5-(IF('Calc'!$E$14=1,'财富模型'!$E$9,'财富模型'!$M$6+IF(Calc!$Q$255&lt;='财富模型'!$E$11*12,'Calc'!$W$14,'Calc'!$Y$14)-(IF('Calc'!$E$14=1,0,MIN(Calc!$S$254*(1+'财富模型'!$E$20/12)+'Calc'!$B$6,IF(Calc!$Q$255&lt;='财富模型'!$E$11*12,'Calc'!$W$14,'Calc'!$Y$14))))))),0))</x:f>
      </x:c>
      <x:c r="S255" t="str">
        <x:f>IF(Calc!$Q$255&gt;'Calc'!$B$8,"",MAX(Calc!$S$254*(1+'财富模型'!$E$20/12)+'Calc'!$B$6-(IF('Calc'!$E$14=1,0,MIN(Calc!$S$254*(1+'财富模型'!$E$20/12)+'Calc'!$B$6,IF(Calc!$Q$255&lt;='财富模型'!$E$11*12,'Calc'!$W$14,'Calc'!$Y$14)))),0))</x:f>
      </x:c>
      <x:c r="T255" t="str">
        <x:f>IF(Calc!$Q$255&gt;'Calc'!$B$8,"",IF('Calc'!$E$14=1,'财富模型'!$E$9,'财富模型'!$M$6+IF(Calc!$Q$255&lt;='财富模型'!$E$11*12,'Calc'!$W$14,'Calc'!$Y$14)-(IF('Calc'!$E$14=1,0,MIN(Calc!$S$254*(1+'财富模型'!$E$20/12)+'Calc'!$B$6,IF(Calc!$Q$255&lt;='财富模型'!$E$11*12,'Calc'!$W$14,'Calc'!$Y$14))))))</x:f>
      </x:c>
      <x:c r="U255" t="str">
        <x:f>IF(Calc!$Q$255&gt;'Calc'!$B$8,"",IF('Calc'!$E$14=1,0,MIN(Calc!$S$254*(1+'财富模型'!$E$20/12)+'Calc'!$B$6,IF(Calc!$Q$255&lt;='财富模型'!$E$11*12,'Calc'!$W$14,'Calc'!$Y$14))))</x:f>
      </x:c>
      <x:c r="V255" t="str">
        <x:f>IF(Calc!$Q$255&gt;'Calc'!$B$8,"",'Calc'!$B$5-'财富模型'!$E$5-(IF('Calc'!$E$14=1,'财富模型'!$E$9,'财富模型'!$M$6+IF(Calc!$Q$255&lt;='财富模型'!$E$11*12,'Calc'!$W$14,'Calc'!$Y$14)-(IF('Calc'!$E$14=1,0,MIN(Calc!$S$254*(1+'财富模型'!$E$20/12)+'Calc'!$B$6,IF(Calc!$Q$255&lt;='财富模型'!$E$11*12,'Calc'!$W$14,'Calc'!$Y$14)))))))</x:f>
      </x:c>
      <x:c r="W255" t="str">
        <x:f>IF(Calc!$Q$255&gt;'Calc'!$B$8,"",IF('Calc'!$E$14=1,0,MAX(Calc!$W$254*(1+IF(Calc!$Q$255&lt;='财富模型'!$E$11*12,'财富模型'!$E$10,'财富模型'!$E$12)/12)-IF('Calc'!$E$14=1,0,IF(Calc!$Q$255&lt;='财富模型'!$E$11*12,'Calc'!$W$14,'Calc'!$Y$14)),0)))</x:f>
      </x:c>
      <x:c r="Y255" t="n">
        <x:v>234</x:v>
      </x:c>
      <x:c r="Z255" t="str">
        <x:f>IF(Calc!$Y$255&gt;'Calc'!$B$8,"",MAX(Calc!$Z$254*(1+'财富模型'!$E$6/12)+('Calc'!$B$5-'财富模型'!$E$5-(IF('Calc'!$E$15=1,'财富模型'!$E$9,'财富模型'!$M$7+IF(Calc!$Y$255&lt;='财富模型'!$E$11*12,'Calc'!$W$15,'Calc'!$Y$15)-(IF('Calc'!$E$15=1,0,MIN(Calc!$AA$254*(1+'财富模型'!$E$20/12)+'Calc'!$B$6,IF(Calc!$Y$255&lt;='财富模型'!$E$11*12,'Calc'!$W$15,'Calc'!$Y$15))))))),0))</x:f>
      </x:c>
      <x:c r="AA255" t="str">
        <x:f>IF(Calc!$Y$255&gt;'Calc'!$B$8,"",MAX(Calc!$AA$254*(1+'财富模型'!$E$20/12)+'Calc'!$B$6-(IF('Calc'!$E$15=1,0,MIN(Calc!$AA$254*(1+'财富模型'!$E$20/12)+'Calc'!$B$6,IF(Calc!$Y$255&lt;='财富模型'!$E$11*12,'Calc'!$W$15,'Calc'!$Y$15)))),0))</x:f>
      </x:c>
      <x:c r="AB255" t="str">
        <x:f>IF(Calc!$Y$255&gt;'Calc'!$B$8,"",IF('Calc'!$E$15=1,'财富模型'!$E$9,'财富模型'!$M$7+IF(Calc!$Y$255&lt;='财富模型'!$E$11*12,'Calc'!$W$15,'Calc'!$Y$15)-(IF('Calc'!$E$15=1,0,MIN(Calc!$AA$254*(1+'财富模型'!$E$20/12)+'Calc'!$B$6,IF(Calc!$Y$255&lt;='财富模型'!$E$11*12,'Calc'!$W$15,'Calc'!$Y$15))))))</x:f>
      </x:c>
      <x:c r="AC255" t="str">
        <x:f>IF(Calc!$Y$255&gt;'Calc'!$B$8,"",IF('Calc'!$E$15=1,0,MIN(Calc!$AA$254*(1+'财富模型'!$E$20/12)+'Calc'!$B$6,IF(Calc!$Y$255&lt;='财富模型'!$E$11*12,'Calc'!$W$15,'Calc'!$Y$15))))</x:f>
      </x:c>
      <x:c r="AD255" t="str">
        <x:f>IF(Calc!$Y$255&gt;'Calc'!$B$8,"",'Calc'!$B$5-'财富模型'!$E$5-(IF('Calc'!$E$15=1,'财富模型'!$E$9,'财富模型'!$M$7+IF(Calc!$Y$255&lt;='财富模型'!$E$11*12,'Calc'!$W$15,'Calc'!$Y$15)-(IF('Calc'!$E$15=1,0,MIN(Calc!$AA$254*(1+'财富模型'!$E$20/12)+'Calc'!$B$6,IF(Calc!$Y$255&lt;='财富模型'!$E$11*12,'Calc'!$W$15,'Calc'!$Y$15)))))))</x:f>
      </x:c>
      <x:c r="AE255" t="str">
        <x:f>IF(Calc!$Y$255&gt;'Calc'!$B$8,"",IF('Calc'!$E$15=1,0,MAX(Calc!$AE$254*(1+IF(Calc!$Y$255&lt;='财富模型'!$E$11*12,'财富模型'!$E$10,'财富模型'!$E$12)/12)-IF('Calc'!$E$15=1,0,IF(Calc!$Y$255&lt;='财富模型'!$E$11*12,'Calc'!$W$15,'Calc'!$Y$15)),0)))</x:f>
      </x:c>
      <x:c r="AG255" t="n">
        <x:v>234</x:v>
      </x:c>
      <x:c r="AH255" t="str">
        <x:f>IF(Calc!$AG$255&gt;'Calc'!$B$8,"",MAX(Calc!$AH$254*(1+'财富模型'!$E$6/12)+('Calc'!$B$5-'财富模型'!$E$5-(IF('Calc'!$E$16=1,'财富模型'!$E$9,'财富模型'!$M$8+IF(Calc!$AG$255&lt;='财富模型'!$E$11*12,'Calc'!$W$16,'Calc'!$Y$16)-(IF('Calc'!$E$16=1,0,MIN(Calc!$AI$254*(1+'财富模型'!$E$20/12)+'Calc'!$B$6,IF(Calc!$AG$255&lt;='财富模型'!$E$11*12,'Calc'!$W$16,'Calc'!$Y$16))))))),0))</x:f>
      </x:c>
      <x:c r="AI255" t="str">
        <x:f>IF(Calc!$AG$255&gt;'Calc'!$B$8,"",MAX(Calc!$AI$254*(1+'财富模型'!$E$20/12)+'Calc'!$B$6-(IF('Calc'!$E$16=1,0,MIN(Calc!$AI$254*(1+'财富模型'!$E$20/12)+'Calc'!$B$6,IF(Calc!$AG$255&lt;='财富模型'!$E$11*12,'Calc'!$W$16,'Calc'!$Y$16)))),0))</x:f>
      </x:c>
      <x:c r="AJ255" t="str">
        <x:f>IF(Calc!$AG$255&gt;'Calc'!$B$8,"",IF('Calc'!$E$16=1,'财富模型'!$E$9,'财富模型'!$M$8+IF(Calc!$AG$255&lt;='财富模型'!$E$11*12,'Calc'!$W$16,'Calc'!$Y$16)-(IF('Calc'!$E$16=1,0,MIN(Calc!$AI$254*(1+'财富模型'!$E$20/12)+'Calc'!$B$6,IF(Calc!$AG$255&lt;='财富模型'!$E$11*12,'Calc'!$W$16,'Calc'!$Y$16))))))</x:f>
      </x:c>
      <x:c r="AK255" t="str">
        <x:f>IF(Calc!$AG$255&gt;'Calc'!$B$8,"",IF('Calc'!$E$16=1,0,MIN(Calc!$AI$254*(1+'财富模型'!$E$20/12)+'Calc'!$B$6,IF(Calc!$AG$255&lt;='财富模型'!$E$11*12,'Calc'!$W$16,'Calc'!$Y$16))))</x:f>
      </x:c>
      <x:c r="AL255" t="str">
        <x:f>IF(Calc!$AG$255&gt;'Calc'!$B$8,"",'Calc'!$B$5-'财富模型'!$E$5-(IF('Calc'!$E$16=1,'财富模型'!$E$9,'财富模型'!$M$8+IF(Calc!$AG$255&lt;='财富模型'!$E$11*12,'Calc'!$W$16,'Calc'!$Y$16)-(IF('Calc'!$E$16=1,0,MIN(Calc!$AI$254*(1+'财富模型'!$E$20/12)+'Calc'!$B$6,IF(Calc!$AG$255&lt;='财富模型'!$E$11*12,'Calc'!$W$16,'Calc'!$Y$16)))))))</x:f>
      </x:c>
      <x:c r="AM255" t="str">
        <x:f>IF(Calc!$AG$255&gt;'Calc'!$B$8,"",IF('Calc'!$E$16=1,0,MAX(Calc!$AM$254*(1+IF(Calc!$AG$255&lt;='财富模型'!$E$11*12,'财富模型'!$E$10,'财富模型'!$E$12)/12)-IF('Calc'!$E$16=1,0,IF(Calc!$AG$255&lt;='财富模型'!$E$11*12,'Calc'!$W$16,'Calc'!$Y$16)),0)))</x:f>
      </x:c>
      <x:c r="AO255" t="n">
        <x:v>234</x:v>
      </x:c>
      <x:c r="AP255" t="str">
        <x:f>IF(Calc!$AO$255&gt;'Calc'!$B$8,"",MAX(Calc!$AP$254*(1+'财富模型'!$E$6/12)+('Calc'!$B$5-'财富模型'!$E$5-(IF('Calc'!$E$17=1,'财富模型'!$E$9,'财富模型'!$M$9+IF(Calc!$AO$255&lt;='财富模型'!$E$11*12,'Calc'!$W$17,'Calc'!$Y$17)-(IF('Calc'!$E$17=1,0,MIN(Calc!$AQ$254*(1+'财富模型'!$E$20/12)+'Calc'!$B$6,IF(Calc!$AO$255&lt;='财富模型'!$E$11*12,'Calc'!$W$17,'Calc'!$Y$17))))))),0))</x:f>
      </x:c>
      <x:c r="AQ255" t="str">
        <x:f>IF(Calc!$AO$255&gt;'Calc'!$B$8,"",MAX(Calc!$AQ$254*(1+'财富模型'!$E$20/12)+'Calc'!$B$6-(IF('Calc'!$E$17=1,0,MIN(Calc!$AQ$254*(1+'财富模型'!$E$20/12)+'Calc'!$B$6,IF(Calc!$AO$255&lt;='财富模型'!$E$11*12,'Calc'!$W$17,'Calc'!$Y$17)))),0))</x:f>
      </x:c>
      <x:c r="AR255" t="str">
        <x:f>IF(Calc!$AO$255&gt;'Calc'!$B$8,"",IF('Calc'!$E$17=1,'财富模型'!$E$9,'财富模型'!$M$9+IF(Calc!$AO$255&lt;='财富模型'!$E$11*12,'Calc'!$W$17,'Calc'!$Y$17)-(IF('Calc'!$E$17=1,0,MIN(Calc!$AQ$254*(1+'财富模型'!$E$20/12)+'Calc'!$B$6,IF(Calc!$AO$255&lt;='财富模型'!$E$11*12,'Calc'!$W$17,'Calc'!$Y$17))))))</x:f>
      </x:c>
      <x:c r="AS255" t="str">
        <x:f>IF(Calc!$AO$255&gt;'Calc'!$B$8,"",IF('Calc'!$E$17=1,0,MIN(Calc!$AQ$254*(1+'财富模型'!$E$20/12)+'Calc'!$B$6,IF(Calc!$AO$255&lt;='财富模型'!$E$11*12,'Calc'!$W$17,'Calc'!$Y$17))))</x:f>
      </x:c>
      <x:c r="AT255" t="str">
        <x:f>IF(Calc!$AO$255&gt;'Calc'!$B$8,"",'Calc'!$B$5-'财富模型'!$E$5-(IF('Calc'!$E$17=1,'财富模型'!$E$9,'财富模型'!$M$9+IF(Calc!$AO$255&lt;='财富模型'!$E$11*12,'Calc'!$W$17,'Calc'!$Y$17)-(IF('Calc'!$E$17=1,0,MIN(Calc!$AQ$254*(1+'财富模型'!$E$20/12)+'Calc'!$B$6,IF(Calc!$AO$255&lt;='财富模型'!$E$11*12,'Calc'!$W$17,'Calc'!$Y$17)))))))</x:f>
      </x:c>
      <x:c r="AU255" t="str">
        <x:f>IF(Calc!$AO$255&gt;'Calc'!$B$8,"",IF('Calc'!$E$17=1,0,MAX(Calc!$AU$254*(1+IF(Calc!$AO$255&lt;='财富模型'!$E$11*12,'财富模型'!$E$10,'财富模型'!$E$12)/12)-IF('Calc'!$E$17=1,0,IF(Calc!$AO$255&lt;='财富模型'!$E$11*12,'Calc'!$W$17,'Calc'!$Y$17)),0)))</x:f>
      </x:c>
    </x:row>
    <x:row r="256">
      <x:c r="A256" t="n">
        <x:v>235</x:v>
      </x:c>
      <x:c r="B256" t="str">
        <x:f>IF(Calc!$A$256&gt;'Calc'!$B$8,"",MAX(Calc!$B$255*(1+'财富模型'!$E$6/12)+('Calc'!$B$5-'财富模型'!$E$5-(IF('Calc'!$E$12=1,'财富模型'!$E$9,'财富模型'!$M$4+IF(Calc!$A$256&lt;='财富模型'!$E$11*12,'Calc'!$W$12,'Calc'!$Y$12)-(IF('Calc'!$E$12=1,0,MIN(Calc!$C$255*(1+'财富模型'!$E$20/12)+'Calc'!$B$6,IF(Calc!$A$256&lt;='财富模型'!$E$11*12,'Calc'!$W$12,'Calc'!$Y$12))))))),0))</x:f>
      </x:c>
      <x:c r="C256" t="str">
        <x:f>IF(Calc!$A$256&gt;'Calc'!$B$8,"",MAX(Calc!$C$255*(1+'财富模型'!$E$20/12)+'Calc'!$B$6-(IF('Calc'!$E$12=1,0,MIN(Calc!$C$255*(1+'财富模型'!$E$20/12)+'Calc'!$B$6,IF(Calc!$A$256&lt;='财富模型'!$E$11*12,'Calc'!$W$12,'Calc'!$Y$12)))),0))</x:f>
      </x:c>
      <x:c r="D256" t="str">
        <x:f>IF(Calc!$A$256&gt;'Calc'!$B$8,"",IF('Calc'!$E$12=1,'财富模型'!$E$9,'财富模型'!$M$4+IF(Calc!$A$256&lt;='财富模型'!$E$11*12,'Calc'!$W$12,'Calc'!$Y$12)-(IF('Calc'!$E$12=1,0,MIN(Calc!$C$255*(1+'财富模型'!$E$20/12)+'Calc'!$B$6,IF(Calc!$A$256&lt;='财富模型'!$E$11*12,'Calc'!$W$12,'Calc'!$Y$12))))))</x:f>
      </x:c>
      <x:c r="E256" t="str">
        <x:f>IF(Calc!$A$256&gt;'Calc'!$B$8,"",IF('Calc'!$E$12=1,0,MIN(Calc!$C$255*(1+'财富模型'!$E$20/12)+'Calc'!$B$6,IF(Calc!$A$256&lt;='财富模型'!$E$11*12,'Calc'!$W$12,'Calc'!$Y$12))))</x:f>
      </x:c>
      <x:c r="F256" t="str">
        <x:f>IF(Calc!$A$256&gt;'Calc'!$B$8,"",'Calc'!$B$5-'财富模型'!$E$5-(IF('Calc'!$E$12=1,'财富模型'!$E$9,'财富模型'!$M$4+IF(Calc!$A$256&lt;='财富模型'!$E$11*12,'Calc'!$W$12,'Calc'!$Y$12)-(IF('Calc'!$E$12=1,0,MIN(Calc!$C$255*(1+'财富模型'!$E$20/12)+'Calc'!$B$6,IF(Calc!$A$256&lt;='财富模型'!$E$11*12,'Calc'!$W$12,'Calc'!$Y$12)))))))</x:f>
      </x:c>
      <x:c r="G256" t="str">
        <x:f>IF(Calc!$A$256&gt;'Calc'!$B$8,"",IF('Calc'!$E$12=1,0,MAX(Calc!$G$255*(1+IF(Calc!$A$256&lt;='财富模型'!$E$11*12,'财富模型'!$E$10,'财富模型'!$E$12)/12)-IF('Calc'!$E$12=1,0,IF(Calc!$A$256&lt;='财富模型'!$E$11*12,'Calc'!$W$12,'Calc'!$Y$12)),0)))</x:f>
      </x:c>
      <x:c r="I256" t="n">
        <x:v>235</x:v>
      </x:c>
      <x:c r="J256" t="str">
        <x:f>IF(Calc!$I$256&gt;'Calc'!$B$8,"",MAX(Calc!$J$255*(1+'财富模型'!$E$6/12)+('Calc'!$B$5-'财富模型'!$E$5-(IF('Calc'!$E$13=1,'财富模型'!$E$9,'财富模型'!$M$5+IF(Calc!$I$256&lt;='财富模型'!$E$11*12,'Calc'!$W$13,'Calc'!$Y$13)-(IF('Calc'!$E$13=1,0,MIN(Calc!$K$255*(1+'财富模型'!$E$20/12)+'Calc'!$B$6,IF(Calc!$I$256&lt;='财富模型'!$E$11*12,'Calc'!$W$13,'Calc'!$Y$13))))))),0))</x:f>
      </x:c>
      <x:c r="K256" t="str">
        <x:f>IF(Calc!$I$256&gt;'Calc'!$B$8,"",MAX(Calc!$K$255*(1+'财富模型'!$E$20/12)+'Calc'!$B$6-(IF('Calc'!$E$13=1,0,MIN(Calc!$K$255*(1+'财富模型'!$E$20/12)+'Calc'!$B$6,IF(Calc!$I$256&lt;='财富模型'!$E$11*12,'Calc'!$W$13,'Calc'!$Y$13)))),0))</x:f>
      </x:c>
      <x:c r="L256" t="str">
        <x:f>IF(Calc!$I$256&gt;'Calc'!$B$8,"",IF('Calc'!$E$13=1,'财富模型'!$E$9,'财富模型'!$M$5+IF(Calc!$I$256&lt;='财富模型'!$E$11*12,'Calc'!$W$13,'Calc'!$Y$13)-(IF('Calc'!$E$13=1,0,MIN(Calc!$K$255*(1+'财富模型'!$E$20/12)+'Calc'!$B$6,IF(Calc!$I$256&lt;='财富模型'!$E$11*12,'Calc'!$W$13,'Calc'!$Y$13))))))</x:f>
      </x:c>
      <x:c r="M256" t="str">
        <x:f>IF(Calc!$I$256&gt;'Calc'!$B$8,"",IF('Calc'!$E$13=1,0,MIN(Calc!$K$255*(1+'财富模型'!$E$20/12)+'Calc'!$B$6,IF(Calc!$I$256&lt;='财富模型'!$E$11*12,'Calc'!$W$13,'Calc'!$Y$13))))</x:f>
      </x:c>
      <x:c r="N256" t="str">
        <x:f>IF(Calc!$I$256&gt;'Calc'!$B$8,"",'Calc'!$B$5-'财富模型'!$E$5-(IF('Calc'!$E$13=1,'财富模型'!$E$9,'财富模型'!$M$5+IF(Calc!$I$256&lt;='财富模型'!$E$11*12,'Calc'!$W$13,'Calc'!$Y$13)-(IF('Calc'!$E$13=1,0,MIN(Calc!$K$255*(1+'财富模型'!$E$20/12)+'Calc'!$B$6,IF(Calc!$I$256&lt;='财富模型'!$E$11*12,'Calc'!$W$13,'Calc'!$Y$13)))))))</x:f>
      </x:c>
      <x:c r="O256" t="str">
        <x:f>IF(Calc!$I$256&gt;'Calc'!$B$8,"",IF('Calc'!$E$13=1,0,MAX(Calc!$O$255*(1+IF(Calc!$I$256&lt;='财富模型'!$E$11*12,'财富模型'!$E$10,'财富模型'!$E$12)/12)-IF('Calc'!$E$13=1,0,IF(Calc!$I$256&lt;='财富模型'!$E$11*12,'Calc'!$W$13,'Calc'!$Y$13)),0)))</x:f>
      </x:c>
      <x:c r="Q256" t="n">
        <x:v>235</x:v>
      </x:c>
      <x:c r="R256" t="str">
        <x:f>IF(Calc!$Q$256&gt;'Calc'!$B$8,"",MAX(Calc!$R$255*(1+'财富模型'!$E$6/12)+('Calc'!$B$5-'财富模型'!$E$5-(IF('Calc'!$E$14=1,'财富模型'!$E$9,'财富模型'!$M$6+IF(Calc!$Q$256&lt;='财富模型'!$E$11*12,'Calc'!$W$14,'Calc'!$Y$14)-(IF('Calc'!$E$14=1,0,MIN(Calc!$S$255*(1+'财富模型'!$E$20/12)+'Calc'!$B$6,IF(Calc!$Q$256&lt;='财富模型'!$E$11*12,'Calc'!$W$14,'Calc'!$Y$14))))))),0))</x:f>
      </x:c>
      <x:c r="S256" t="str">
        <x:f>IF(Calc!$Q$256&gt;'Calc'!$B$8,"",MAX(Calc!$S$255*(1+'财富模型'!$E$20/12)+'Calc'!$B$6-(IF('Calc'!$E$14=1,0,MIN(Calc!$S$255*(1+'财富模型'!$E$20/12)+'Calc'!$B$6,IF(Calc!$Q$256&lt;='财富模型'!$E$11*12,'Calc'!$W$14,'Calc'!$Y$14)))),0))</x:f>
      </x:c>
      <x:c r="T256" t="str">
        <x:f>IF(Calc!$Q$256&gt;'Calc'!$B$8,"",IF('Calc'!$E$14=1,'财富模型'!$E$9,'财富模型'!$M$6+IF(Calc!$Q$256&lt;='财富模型'!$E$11*12,'Calc'!$W$14,'Calc'!$Y$14)-(IF('Calc'!$E$14=1,0,MIN(Calc!$S$255*(1+'财富模型'!$E$20/12)+'Calc'!$B$6,IF(Calc!$Q$256&lt;='财富模型'!$E$11*12,'Calc'!$W$14,'Calc'!$Y$14))))))</x:f>
      </x:c>
      <x:c r="U256" t="str">
        <x:f>IF(Calc!$Q$256&gt;'Calc'!$B$8,"",IF('Calc'!$E$14=1,0,MIN(Calc!$S$255*(1+'财富模型'!$E$20/12)+'Calc'!$B$6,IF(Calc!$Q$256&lt;='财富模型'!$E$11*12,'Calc'!$W$14,'Calc'!$Y$14))))</x:f>
      </x:c>
      <x:c r="V256" t="str">
        <x:f>IF(Calc!$Q$256&gt;'Calc'!$B$8,"",'Calc'!$B$5-'财富模型'!$E$5-(IF('Calc'!$E$14=1,'财富模型'!$E$9,'财富模型'!$M$6+IF(Calc!$Q$256&lt;='财富模型'!$E$11*12,'Calc'!$W$14,'Calc'!$Y$14)-(IF('Calc'!$E$14=1,0,MIN(Calc!$S$255*(1+'财富模型'!$E$20/12)+'Calc'!$B$6,IF(Calc!$Q$256&lt;='财富模型'!$E$11*12,'Calc'!$W$14,'Calc'!$Y$14)))))))</x:f>
      </x:c>
      <x:c r="W256" t="str">
        <x:f>IF(Calc!$Q$256&gt;'Calc'!$B$8,"",IF('Calc'!$E$14=1,0,MAX(Calc!$W$255*(1+IF(Calc!$Q$256&lt;='财富模型'!$E$11*12,'财富模型'!$E$10,'财富模型'!$E$12)/12)-IF('Calc'!$E$14=1,0,IF(Calc!$Q$256&lt;='财富模型'!$E$11*12,'Calc'!$W$14,'Calc'!$Y$14)),0)))</x:f>
      </x:c>
      <x:c r="Y256" t="n">
        <x:v>235</x:v>
      </x:c>
      <x:c r="Z256" t="str">
        <x:f>IF(Calc!$Y$256&gt;'Calc'!$B$8,"",MAX(Calc!$Z$255*(1+'财富模型'!$E$6/12)+('Calc'!$B$5-'财富模型'!$E$5-(IF('Calc'!$E$15=1,'财富模型'!$E$9,'财富模型'!$M$7+IF(Calc!$Y$256&lt;='财富模型'!$E$11*12,'Calc'!$W$15,'Calc'!$Y$15)-(IF('Calc'!$E$15=1,0,MIN(Calc!$AA$255*(1+'财富模型'!$E$20/12)+'Calc'!$B$6,IF(Calc!$Y$256&lt;='财富模型'!$E$11*12,'Calc'!$W$15,'Calc'!$Y$15))))))),0))</x:f>
      </x:c>
      <x:c r="AA256" t="str">
        <x:f>IF(Calc!$Y$256&gt;'Calc'!$B$8,"",MAX(Calc!$AA$255*(1+'财富模型'!$E$20/12)+'Calc'!$B$6-(IF('Calc'!$E$15=1,0,MIN(Calc!$AA$255*(1+'财富模型'!$E$20/12)+'Calc'!$B$6,IF(Calc!$Y$256&lt;='财富模型'!$E$11*12,'Calc'!$W$15,'Calc'!$Y$15)))),0))</x:f>
      </x:c>
      <x:c r="AB256" t="str">
        <x:f>IF(Calc!$Y$256&gt;'Calc'!$B$8,"",IF('Calc'!$E$15=1,'财富模型'!$E$9,'财富模型'!$M$7+IF(Calc!$Y$256&lt;='财富模型'!$E$11*12,'Calc'!$W$15,'Calc'!$Y$15)-(IF('Calc'!$E$15=1,0,MIN(Calc!$AA$255*(1+'财富模型'!$E$20/12)+'Calc'!$B$6,IF(Calc!$Y$256&lt;='财富模型'!$E$11*12,'Calc'!$W$15,'Calc'!$Y$15))))))</x:f>
      </x:c>
      <x:c r="AC256" t="str">
        <x:f>IF(Calc!$Y$256&gt;'Calc'!$B$8,"",IF('Calc'!$E$15=1,0,MIN(Calc!$AA$255*(1+'财富模型'!$E$20/12)+'Calc'!$B$6,IF(Calc!$Y$256&lt;='财富模型'!$E$11*12,'Calc'!$W$15,'Calc'!$Y$15))))</x:f>
      </x:c>
      <x:c r="AD256" t="str">
        <x:f>IF(Calc!$Y$256&gt;'Calc'!$B$8,"",'Calc'!$B$5-'财富模型'!$E$5-(IF('Calc'!$E$15=1,'财富模型'!$E$9,'财富模型'!$M$7+IF(Calc!$Y$256&lt;='财富模型'!$E$11*12,'Calc'!$W$15,'Calc'!$Y$15)-(IF('Calc'!$E$15=1,0,MIN(Calc!$AA$255*(1+'财富模型'!$E$20/12)+'Calc'!$B$6,IF(Calc!$Y$256&lt;='财富模型'!$E$11*12,'Calc'!$W$15,'Calc'!$Y$15)))))))</x:f>
      </x:c>
      <x:c r="AE256" t="str">
        <x:f>IF(Calc!$Y$256&gt;'Calc'!$B$8,"",IF('Calc'!$E$15=1,0,MAX(Calc!$AE$255*(1+IF(Calc!$Y$256&lt;='财富模型'!$E$11*12,'财富模型'!$E$10,'财富模型'!$E$12)/12)-IF('Calc'!$E$15=1,0,IF(Calc!$Y$256&lt;='财富模型'!$E$11*12,'Calc'!$W$15,'Calc'!$Y$15)),0)))</x:f>
      </x:c>
      <x:c r="AG256" t="n">
        <x:v>235</x:v>
      </x:c>
      <x:c r="AH256" t="str">
        <x:f>IF(Calc!$AG$256&gt;'Calc'!$B$8,"",MAX(Calc!$AH$255*(1+'财富模型'!$E$6/12)+('Calc'!$B$5-'财富模型'!$E$5-(IF('Calc'!$E$16=1,'财富模型'!$E$9,'财富模型'!$M$8+IF(Calc!$AG$256&lt;='财富模型'!$E$11*12,'Calc'!$W$16,'Calc'!$Y$16)-(IF('Calc'!$E$16=1,0,MIN(Calc!$AI$255*(1+'财富模型'!$E$20/12)+'Calc'!$B$6,IF(Calc!$AG$256&lt;='财富模型'!$E$11*12,'Calc'!$W$16,'Calc'!$Y$16))))))),0))</x:f>
      </x:c>
      <x:c r="AI256" t="str">
        <x:f>IF(Calc!$AG$256&gt;'Calc'!$B$8,"",MAX(Calc!$AI$255*(1+'财富模型'!$E$20/12)+'Calc'!$B$6-(IF('Calc'!$E$16=1,0,MIN(Calc!$AI$255*(1+'财富模型'!$E$20/12)+'Calc'!$B$6,IF(Calc!$AG$256&lt;='财富模型'!$E$11*12,'Calc'!$W$16,'Calc'!$Y$16)))),0))</x:f>
      </x:c>
      <x:c r="AJ256" t="str">
        <x:f>IF(Calc!$AG$256&gt;'Calc'!$B$8,"",IF('Calc'!$E$16=1,'财富模型'!$E$9,'财富模型'!$M$8+IF(Calc!$AG$256&lt;='财富模型'!$E$11*12,'Calc'!$W$16,'Calc'!$Y$16)-(IF('Calc'!$E$16=1,0,MIN(Calc!$AI$255*(1+'财富模型'!$E$20/12)+'Calc'!$B$6,IF(Calc!$AG$256&lt;='财富模型'!$E$11*12,'Calc'!$W$16,'Calc'!$Y$16))))))</x:f>
      </x:c>
      <x:c r="AK256" t="str">
        <x:f>IF(Calc!$AG$256&gt;'Calc'!$B$8,"",IF('Calc'!$E$16=1,0,MIN(Calc!$AI$255*(1+'财富模型'!$E$20/12)+'Calc'!$B$6,IF(Calc!$AG$256&lt;='财富模型'!$E$11*12,'Calc'!$W$16,'Calc'!$Y$16))))</x:f>
      </x:c>
      <x:c r="AL256" t="str">
        <x:f>IF(Calc!$AG$256&gt;'Calc'!$B$8,"",'Calc'!$B$5-'财富模型'!$E$5-(IF('Calc'!$E$16=1,'财富模型'!$E$9,'财富模型'!$M$8+IF(Calc!$AG$256&lt;='财富模型'!$E$11*12,'Calc'!$W$16,'Calc'!$Y$16)-(IF('Calc'!$E$16=1,0,MIN(Calc!$AI$255*(1+'财富模型'!$E$20/12)+'Calc'!$B$6,IF(Calc!$AG$256&lt;='财富模型'!$E$11*12,'Calc'!$W$16,'Calc'!$Y$16)))))))</x:f>
      </x:c>
      <x:c r="AM256" t="str">
        <x:f>IF(Calc!$AG$256&gt;'Calc'!$B$8,"",IF('Calc'!$E$16=1,0,MAX(Calc!$AM$255*(1+IF(Calc!$AG$256&lt;='财富模型'!$E$11*12,'财富模型'!$E$10,'财富模型'!$E$12)/12)-IF('Calc'!$E$16=1,0,IF(Calc!$AG$256&lt;='财富模型'!$E$11*12,'Calc'!$W$16,'Calc'!$Y$16)),0)))</x:f>
      </x:c>
      <x:c r="AO256" t="n">
        <x:v>235</x:v>
      </x:c>
      <x:c r="AP256" t="str">
        <x:f>IF(Calc!$AO$256&gt;'Calc'!$B$8,"",MAX(Calc!$AP$255*(1+'财富模型'!$E$6/12)+('Calc'!$B$5-'财富模型'!$E$5-(IF('Calc'!$E$17=1,'财富模型'!$E$9,'财富模型'!$M$9+IF(Calc!$AO$256&lt;='财富模型'!$E$11*12,'Calc'!$W$17,'Calc'!$Y$17)-(IF('Calc'!$E$17=1,0,MIN(Calc!$AQ$255*(1+'财富模型'!$E$20/12)+'Calc'!$B$6,IF(Calc!$AO$256&lt;='财富模型'!$E$11*12,'Calc'!$W$17,'Calc'!$Y$17))))))),0))</x:f>
      </x:c>
      <x:c r="AQ256" t="str">
        <x:f>IF(Calc!$AO$256&gt;'Calc'!$B$8,"",MAX(Calc!$AQ$255*(1+'财富模型'!$E$20/12)+'Calc'!$B$6-(IF('Calc'!$E$17=1,0,MIN(Calc!$AQ$255*(1+'财富模型'!$E$20/12)+'Calc'!$B$6,IF(Calc!$AO$256&lt;='财富模型'!$E$11*12,'Calc'!$W$17,'Calc'!$Y$17)))),0))</x:f>
      </x:c>
      <x:c r="AR256" t="str">
        <x:f>IF(Calc!$AO$256&gt;'Calc'!$B$8,"",IF('Calc'!$E$17=1,'财富模型'!$E$9,'财富模型'!$M$9+IF(Calc!$AO$256&lt;='财富模型'!$E$11*12,'Calc'!$W$17,'Calc'!$Y$17)-(IF('Calc'!$E$17=1,0,MIN(Calc!$AQ$255*(1+'财富模型'!$E$20/12)+'Calc'!$B$6,IF(Calc!$AO$256&lt;='财富模型'!$E$11*12,'Calc'!$W$17,'Calc'!$Y$17))))))</x:f>
      </x:c>
      <x:c r="AS256" t="str">
        <x:f>IF(Calc!$AO$256&gt;'Calc'!$B$8,"",IF('Calc'!$E$17=1,0,MIN(Calc!$AQ$255*(1+'财富模型'!$E$20/12)+'Calc'!$B$6,IF(Calc!$AO$256&lt;='财富模型'!$E$11*12,'Calc'!$W$17,'Calc'!$Y$17))))</x:f>
      </x:c>
      <x:c r="AT256" t="str">
        <x:f>IF(Calc!$AO$256&gt;'Calc'!$B$8,"",'Calc'!$B$5-'财富模型'!$E$5-(IF('Calc'!$E$17=1,'财富模型'!$E$9,'财富模型'!$M$9+IF(Calc!$AO$256&lt;='财富模型'!$E$11*12,'Calc'!$W$17,'Calc'!$Y$17)-(IF('Calc'!$E$17=1,0,MIN(Calc!$AQ$255*(1+'财富模型'!$E$20/12)+'Calc'!$B$6,IF(Calc!$AO$256&lt;='财富模型'!$E$11*12,'Calc'!$W$17,'Calc'!$Y$17)))))))</x:f>
      </x:c>
      <x:c r="AU256" t="str">
        <x:f>IF(Calc!$AO$256&gt;'Calc'!$B$8,"",IF('Calc'!$E$17=1,0,MAX(Calc!$AU$255*(1+IF(Calc!$AO$256&lt;='财富模型'!$E$11*12,'财富模型'!$E$10,'财富模型'!$E$12)/12)-IF('Calc'!$E$17=1,0,IF(Calc!$AO$256&lt;='财富模型'!$E$11*12,'Calc'!$W$17,'Calc'!$Y$17)),0)))</x:f>
      </x:c>
    </x:row>
    <x:row r="257">
      <x:c r="A257" t="n">
        <x:v>236</x:v>
      </x:c>
      <x:c r="B257" t="str">
        <x:f>IF(Calc!$A$257&gt;'Calc'!$B$8,"",MAX(Calc!$B$256*(1+'财富模型'!$E$6/12)+('Calc'!$B$5-'财富模型'!$E$5-(IF('Calc'!$E$12=1,'财富模型'!$E$9,'财富模型'!$M$4+IF(Calc!$A$257&lt;='财富模型'!$E$11*12,'Calc'!$W$12,'Calc'!$Y$12)-(IF('Calc'!$E$12=1,0,MIN(Calc!$C$256*(1+'财富模型'!$E$20/12)+'Calc'!$B$6,IF(Calc!$A$257&lt;='财富模型'!$E$11*12,'Calc'!$W$12,'Calc'!$Y$12))))))),0))</x:f>
      </x:c>
      <x:c r="C257" t="str">
        <x:f>IF(Calc!$A$257&gt;'Calc'!$B$8,"",MAX(Calc!$C$256*(1+'财富模型'!$E$20/12)+'Calc'!$B$6-(IF('Calc'!$E$12=1,0,MIN(Calc!$C$256*(1+'财富模型'!$E$20/12)+'Calc'!$B$6,IF(Calc!$A$257&lt;='财富模型'!$E$11*12,'Calc'!$W$12,'Calc'!$Y$12)))),0))</x:f>
      </x:c>
      <x:c r="D257" t="str">
        <x:f>IF(Calc!$A$257&gt;'Calc'!$B$8,"",IF('Calc'!$E$12=1,'财富模型'!$E$9,'财富模型'!$M$4+IF(Calc!$A$257&lt;='财富模型'!$E$11*12,'Calc'!$W$12,'Calc'!$Y$12)-(IF('Calc'!$E$12=1,0,MIN(Calc!$C$256*(1+'财富模型'!$E$20/12)+'Calc'!$B$6,IF(Calc!$A$257&lt;='财富模型'!$E$11*12,'Calc'!$W$12,'Calc'!$Y$12))))))</x:f>
      </x:c>
      <x:c r="E257" t="str">
        <x:f>IF(Calc!$A$257&gt;'Calc'!$B$8,"",IF('Calc'!$E$12=1,0,MIN(Calc!$C$256*(1+'财富模型'!$E$20/12)+'Calc'!$B$6,IF(Calc!$A$257&lt;='财富模型'!$E$11*12,'Calc'!$W$12,'Calc'!$Y$12))))</x:f>
      </x:c>
      <x:c r="F257" t="str">
        <x:f>IF(Calc!$A$257&gt;'Calc'!$B$8,"",'Calc'!$B$5-'财富模型'!$E$5-(IF('Calc'!$E$12=1,'财富模型'!$E$9,'财富模型'!$M$4+IF(Calc!$A$257&lt;='财富模型'!$E$11*12,'Calc'!$W$12,'Calc'!$Y$12)-(IF('Calc'!$E$12=1,0,MIN(Calc!$C$256*(1+'财富模型'!$E$20/12)+'Calc'!$B$6,IF(Calc!$A$257&lt;='财富模型'!$E$11*12,'Calc'!$W$12,'Calc'!$Y$12)))))))</x:f>
      </x:c>
      <x:c r="G257" t="str">
        <x:f>IF(Calc!$A$257&gt;'Calc'!$B$8,"",IF('Calc'!$E$12=1,0,MAX(Calc!$G$256*(1+IF(Calc!$A$257&lt;='财富模型'!$E$11*12,'财富模型'!$E$10,'财富模型'!$E$12)/12)-IF('Calc'!$E$12=1,0,IF(Calc!$A$257&lt;='财富模型'!$E$11*12,'Calc'!$W$12,'Calc'!$Y$12)),0)))</x:f>
      </x:c>
      <x:c r="I257" t="n">
        <x:v>236</x:v>
      </x:c>
      <x:c r="J257" t="str">
        <x:f>IF(Calc!$I$257&gt;'Calc'!$B$8,"",MAX(Calc!$J$256*(1+'财富模型'!$E$6/12)+('Calc'!$B$5-'财富模型'!$E$5-(IF('Calc'!$E$13=1,'财富模型'!$E$9,'财富模型'!$M$5+IF(Calc!$I$257&lt;='财富模型'!$E$11*12,'Calc'!$W$13,'Calc'!$Y$13)-(IF('Calc'!$E$13=1,0,MIN(Calc!$K$256*(1+'财富模型'!$E$20/12)+'Calc'!$B$6,IF(Calc!$I$257&lt;='财富模型'!$E$11*12,'Calc'!$W$13,'Calc'!$Y$13))))))),0))</x:f>
      </x:c>
      <x:c r="K257" t="str">
        <x:f>IF(Calc!$I$257&gt;'Calc'!$B$8,"",MAX(Calc!$K$256*(1+'财富模型'!$E$20/12)+'Calc'!$B$6-(IF('Calc'!$E$13=1,0,MIN(Calc!$K$256*(1+'财富模型'!$E$20/12)+'Calc'!$B$6,IF(Calc!$I$257&lt;='财富模型'!$E$11*12,'Calc'!$W$13,'Calc'!$Y$13)))),0))</x:f>
      </x:c>
      <x:c r="L257" t="str">
        <x:f>IF(Calc!$I$257&gt;'Calc'!$B$8,"",IF('Calc'!$E$13=1,'财富模型'!$E$9,'财富模型'!$M$5+IF(Calc!$I$257&lt;='财富模型'!$E$11*12,'Calc'!$W$13,'Calc'!$Y$13)-(IF('Calc'!$E$13=1,0,MIN(Calc!$K$256*(1+'财富模型'!$E$20/12)+'Calc'!$B$6,IF(Calc!$I$257&lt;='财富模型'!$E$11*12,'Calc'!$W$13,'Calc'!$Y$13))))))</x:f>
      </x:c>
      <x:c r="M257" t="str">
        <x:f>IF(Calc!$I$257&gt;'Calc'!$B$8,"",IF('Calc'!$E$13=1,0,MIN(Calc!$K$256*(1+'财富模型'!$E$20/12)+'Calc'!$B$6,IF(Calc!$I$257&lt;='财富模型'!$E$11*12,'Calc'!$W$13,'Calc'!$Y$13))))</x:f>
      </x:c>
      <x:c r="N257" t="str">
        <x:f>IF(Calc!$I$257&gt;'Calc'!$B$8,"",'Calc'!$B$5-'财富模型'!$E$5-(IF('Calc'!$E$13=1,'财富模型'!$E$9,'财富模型'!$M$5+IF(Calc!$I$257&lt;='财富模型'!$E$11*12,'Calc'!$W$13,'Calc'!$Y$13)-(IF('Calc'!$E$13=1,0,MIN(Calc!$K$256*(1+'财富模型'!$E$20/12)+'Calc'!$B$6,IF(Calc!$I$257&lt;='财富模型'!$E$11*12,'Calc'!$W$13,'Calc'!$Y$13)))))))</x:f>
      </x:c>
      <x:c r="O257" t="str">
        <x:f>IF(Calc!$I$257&gt;'Calc'!$B$8,"",IF('Calc'!$E$13=1,0,MAX(Calc!$O$256*(1+IF(Calc!$I$257&lt;='财富模型'!$E$11*12,'财富模型'!$E$10,'财富模型'!$E$12)/12)-IF('Calc'!$E$13=1,0,IF(Calc!$I$257&lt;='财富模型'!$E$11*12,'Calc'!$W$13,'Calc'!$Y$13)),0)))</x:f>
      </x:c>
      <x:c r="Q257" t="n">
        <x:v>236</x:v>
      </x:c>
      <x:c r="R257" t="str">
        <x:f>IF(Calc!$Q$257&gt;'Calc'!$B$8,"",MAX(Calc!$R$256*(1+'财富模型'!$E$6/12)+('Calc'!$B$5-'财富模型'!$E$5-(IF('Calc'!$E$14=1,'财富模型'!$E$9,'财富模型'!$M$6+IF(Calc!$Q$257&lt;='财富模型'!$E$11*12,'Calc'!$W$14,'Calc'!$Y$14)-(IF('Calc'!$E$14=1,0,MIN(Calc!$S$256*(1+'财富模型'!$E$20/12)+'Calc'!$B$6,IF(Calc!$Q$257&lt;='财富模型'!$E$11*12,'Calc'!$W$14,'Calc'!$Y$14))))))),0))</x:f>
      </x:c>
      <x:c r="S257" t="str">
        <x:f>IF(Calc!$Q$257&gt;'Calc'!$B$8,"",MAX(Calc!$S$256*(1+'财富模型'!$E$20/12)+'Calc'!$B$6-(IF('Calc'!$E$14=1,0,MIN(Calc!$S$256*(1+'财富模型'!$E$20/12)+'Calc'!$B$6,IF(Calc!$Q$257&lt;='财富模型'!$E$11*12,'Calc'!$W$14,'Calc'!$Y$14)))),0))</x:f>
      </x:c>
      <x:c r="T257" t="str">
        <x:f>IF(Calc!$Q$257&gt;'Calc'!$B$8,"",IF('Calc'!$E$14=1,'财富模型'!$E$9,'财富模型'!$M$6+IF(Calc!$Q$257&lt;='财富模型'!$E$11*12,'Calc'!$W$14,'Calc'!$Y$14)-(IF('Calc'!$E$14=1,0,MIN(Calc!$S$256*(1+'财富模型'!$E$20/12)+'Calc'!$B$6,IF(Calc!$Q$257&lt;='财富模型'!$E$11*12,'Calc'!$W$14,'Calc'!$Y$14))))))</x:f>
      </x:c>
      <x:c r="U257" t="str">
        <x:f>IF(Calc!$Q$257&gt;'Calc'!$B$8,"",IF('Calc'!$E$14=1,0,MIN(Calc!$S$256*(1+'财富模型'!$E$20/12)+'Calc'!$B$6,IF(Calc!$Q$257&lt;='财富模型'!$E$11*12,'Calc'!$W$14,'Calc'!$Y$14))))</x:f>
      </x:c>
      <x:c r="V257" t="str">
        <x:f>IF(Calc!$Q$257&gt;'Calc'!$B$8,"",'Calc'!$B$5-'财富模型'!$E$5-(IF('Calc'!$E$14=1,'财富模型'!$E$9,'财富模型'!$M$6+IF(Calc!$Q$257&lt;='财富模型'!$E$11*12,'Calc'!$W$14,'Calc'!$Y$14)-(IF('Calc'!$E$14=1,0,MIN(Calc!$S$256*(1+'财富模型'!$E$20/12)+'Calc'!$B$6,IF(Calc!$Q$257&lt;='财富模型'!$E$11*12,'Calc'!$W$14,'Calc'!$Y$14)))))))</x:f>
      </x:c>
      <x:c r="W257" t="str">
        <x:f>IF(Calc!$Q$257&gt;'Calc'!$B$8,"",IF('Calc'!$E$14=1,0,MAX(Calc!$W$256*(1+IF(Calc!$Q$257&lt;='财富模型'!$E$11*12,'财富模型'!$E$10,'财富模型'!$E$12)/12)-IF('Calc'!$E$14=1,0,IF(Calc!$Q$257&lt;='财富模型'!$E$11*12,'Calc'!$W$14,'Calc'!$Y$14)),0)))</x:f>
      </x:c>
      <x:c r="Y257" t="n">
        <x:v>236</x:v>
      </x:c>
      <x:c r="Z257" t="str">
        <x:f>IF(Calc!$Y$257&gt;'Calc'!$B$8,"",MAX(Calc!$Z$256*(1+'财富模型'!$E$6/12)+('Calc'!$B$5-'财富模型'!$E$5-(IF('Calc'!$E$15=1,'财富模型'!$E$9,'财富模型'!$M$7+IF(Calc!$Y$257&lt;='财富模型'!$E$11*12,'Calc'!$W$15,'Calc'!$Y$15)-(IF('Calc'!$E$15=1,0,MIN(Calc!$AA$256*(1+'财富模型'!$E$20/12)+'Calc'!$B$6,IF(Calc!$Y$257&lt;='财富模型'!$E$11*12,'Calc'!$W$15,'Calc'!$Y$15))))))),0))</x:f>
      </x:c>
      <x:c r="AA257" t="str">
        <x:f>IF(Calc!$Y$257&gt;'Calc'!$B$8,"",MAX(Calc!$AA$256*(1+'财富模型'!$E$20/12)+'Calc'!$B$6-(IF('Calc'!$E$15=1,0,MIN(Calc!$AA$256*(1+'财富模型'!$E$20/12)+'Calc'!$B$6,IF(Calc!$Y$257&lt;='财富模型'!$E$11*12,'Calc'!$W$15,'Calc'!$Y$15)))),0))</x:f>
      </x:c>
      <x:c r="AB257" t="str">
        <x:f>IF(Calc!$Y$257&gt;'Calc'!$B$8,"",IF('Calc'!$E$15=1,'财富模型'!$E$9,'财富模型'!$M$7+IF(Calc!$Y$257&lt;='财富模型'!$E$11*12,'Calc'!$W$15,'Calc'!$Y$15)-(IF('Calc'!$E$15=1,0,MIN(Calc!$AA$256*(1+'财富模型'!$E$20/12)+'Calc'!$B$6,IF(Calc!$Y$257&lt;='财富模型'!$E$11*12,'Calc'!$W$15,'Calc'!$Y$15))))))</x:f>
      </x:c>
      <x:c r="AC257" t="str">
        <x:f>IF(Calc!$Y$257&gt;'Calc'!$B$8,"",IF('Calc'!$E$15=1,0,MIN(Calc!$AA$256*(1+'财富模型'!$E$20/12)+'Calc'!$B$6,IF(Calc!$Y$257&lt;='财富模型'!$E$11*12,'Calc'!$W$15,'Calc'!$Y$15))))</x:f>
      </x:c>
      <x:c r="AD257" t="str">
        <x:f>IF(Calc!$Y$257&gt;'Calc'!$B$8,"",'Calc'!$B$5-'财富模型'!$E$5-(IF('Calc'!$E$15=1,'财富模型'!$E$9,'财富模型'!$M$7+IF(Calc!$Y$257&lt;='财富模型'!$E$11*12,'Calc'!$W$15,'Calc'!$Y$15)-(IF('Calc'!$E$15=1,0,MIN(Calc!$AA$256*(1+'财富模型'!$E$20/12)+'Calc'!$B$6,IF(Calc!$Y$257&lt;='财富模型'!$E$11*12,'Calc'!$W$15,'Calc'!$Y$15)))))))</x:f>
      </x:c>
      <x:c r="AE257" t="str">
        <x:f>IF(Calc!$Y$257&gt;'Calc'!$B$8,"",IF('Calc'!$E$15=1,0,MAX(Calc!$AE$256*(1+IF(Calc!$Y$257&lt;='财富模型'!$E$11*12,'财富模型'!$E$10,'财富模型'!$E$12)/12)-IF('Calc'!$E$15=1,0,IF(Calc!$Y$257&lt;='财富模型'!$E$11*12,'Calc'!$W$15,'Calc'!$Y$15)),0)))</x:f>
      </x:c>
      <x:c r="AG257" t="n">
        <x:v>236</x:v>
      </x:c>
      <x:c r="AH257" t="str">
        <x:f>IF(Calc!$AG$257&gt;'Calc'!$B$8,"",MAX(Calc!$AH$256*(1+'财富模型'!$E$6/12)+('Calc'!$B$5-'财富模型'!$E$5-(IF('Calc'!$E$16=1,'财富模型'!$E$9,'财富模型'!$M$8+IF(Calc!$AG$257&lt;='财富模型'!$E$11*12,'Calc'!$W$16,'Calc'!$Y$16)-(IF('Calc'!$E$16=1,0,MIN(Calc!$AI$256*(1+'财富模型'!$E$20/12)+'Calc'!$B$6,IF(Calc!$AG$257&lt;='财富模型'!$E$11*12,'Calc'!$W$16,'Calc'!$Y$16))))))),0))</x:f>
      </x:c>
      <x:c r="AI257" t="str">
        <x:f>IF(Calc!$AG$257&gt;'Calc'!$B$8,"",MAX(Calc!$AI$256*(1+'财富模型'!$E$20/12)+'Calc'!$B$6-(IF('Calc'!$E$16=1,0,MIN(Calc!$AI$256*(1+'财富模型'!$E$20/12)+'Calc'!$B$6,IF(Calc!$AG$257&lt;='财富模型'!$E$11*12,'Calc'!$W$16,'Calc'!$Y$16)))),0))</x:f>
      </x:c>
      <x:c r="AJ257" t="str">
        <x:f>IF(Calc!$AG$257&gt;'Calc'!$B$8,"",IF('Calc'!$E$16=1,'财富模型'!$E$9,'财富模型'!$M$8+IF(Calc!$AG$257&lt;='财富模型'!$E$11*12,'Calc'!$W$16,'Calc'!$Y$16)-(IF('Calc'!$E$16=1,0,MIN(Calc!$AI$256*(1+'财富模型'!$E$20/12)+'Calc'!$B$6,IF(Calc!$AG$257&lt;='财富模型'!$E$11*12,'Calc'!$W$16,'Calc'!$Y$16))))))</x:f>
      </x:c>
      <x:c r="AK257" t="str">
        <x:f>IF(Calc!$AG$257&gt;'Calc'!$B$8,"",IF('Calc'!$E$16=1,0,MIN(Calc!$AI$256*(1+'财富模型'!$E$20/12)+'Calc'!$B$6,IF(Calc!$AG$257&lt;='财富模型'!$E$11*12,'Calc'!$W$16,'Calc'!$Y$16))))</x:f>
      </x:c>
      <x:c r="AL257" t="str">
        <x:f>IF(Calc!$AG$257&gt;'Calc'!$B$8,"",'Calc'!$B$5-'财富模型'!$E$5-(IF('Calc'!$E$16=1,'财富模型'!$E$9,'财富模型'!$M$8+IF(Calc!$AG$257&lt;='财富模型'!$E$11*12,'Calc'!$W$16,'Calc'!$Y$16)-(IF('Calc'!$E$16=1,0,MIN(Calc!$AI$256*(1+'财富模型'!$E$20/12)+'Calc'!$B$6,IF(Calc!$AG$257&lt;='财富模型'!$E$11*12,'Calc'!$W$16,'Calc'!$Y$16)))))))</x:f>
      </x:c>
      <x:c r="AM257" t="str">
        <x:f>IF(Calc!$AG$257&gt;'Calc'!$B$8,"",IF('Calc'!$E$16=1,0,MAX(Calc!$AM$256*(1+IF(Calc!$AG$257&lt;='财富模型'!$E$11*12,'财富模型'!$E$10,'财富模型'!$E$12)/12)-IF('Calc'!$E$16=1,0,IF(Calc!$AG$257&lt;='财富模型'!$E$11*12,'Calc'!$W$16,'Calc'!$Y$16)),0)))</x:f>
      </x:c>
      <x:c r="AO257" t="n">
        <x:v>236</x:v>
      </x:c>
      <x:c r="AP257" t="str">
        <x:f>IF(Calc!$AO$257&gt;'Calc'!$B$8,"",MAX(Calc!$AP$256*(1+'财富模型'!$E$6/12)+('Calc'!$B$5-'财富模型'!$E$5-(IF('Calc'!$E$17=1,'财富模型'!$E$9,'财富模型'!$M$9+IF(Calc!$AO$257&lt;='财富模型'!$E$11*12,'Calc'!$W$17,'Calc'!$Y$17)-(IF('Calc'!$E$17=1,0,MIN(Calc!$AQ$256*(1+'财富模型'!$E$20/12)+'Calc'!$B$6,IF(Calc!$AO$257&lt;='财富模型'!$E$11*12,'Calc'!$W$17,'Calc'!$Y$17))))))),0))</x:f>
      </x:c>
      <x:c r="AQ257" t="str">
        <x:f>IF(Calc!$AO$257&gt;'Calc'!$B$8,"",MAX(Calc!$AQ$256*(1+'财富模型'!$E$20/12)+'Calc'!$B$6-(IF('Calc'!$E$17=1,0,MIN(Calc!$AQ$256*(1+'财富模型'!$E$20/12)+'Calc'!$B$6,IF(Calc!$AO$257&lt;='财富模型'!$E$11*12,'Calc'!$W$17,'Calc'!$Y$17)))),0))</x:f>
      </x:c>
      <x:c r="AR257" t="str">
        <x:f>IF(Calc!$AO$257&gt;'Calc'!$B$8,"",IF('Calc'!$E$17=1,'财富模型'!$E$9,'财富模型'!$M$9+IF(Calc!$AO$257&lt;='财富模型'!$E$11*12,'Calc'!$W$17,'Calc'!$Y$17)-(IF('Calc'!$E$17=1,0,MIN(Calc!$AQ$256*(1+'财富模型'!$E$20/12)+'Calc'!$B$6,IF(Calc!$AO$257&lt;='财富模型'!$E$11*12,'Calc'!$W$17,'Calc'!$Y$17))))))</x:f>
      </x:c>
      <x:c r="AS257" t="str">
        <x:f>IF(Calc!$AO$257&gt;'Calc'!$B$8,"",IF('Calc'!$E$17=1,0,MIN(Calc!$AQ$256*(1+'财富模型'!$E$20/12)+'Calc'!$B$6,IF(Calc!$AO$257&lt;='财富模型'!$E$11*12,'Calc'!$W$17,'Calc'!$Y$17))))</x:f>
      </x:c>
      <x:c r="AT257" t="str">
        <x:f>IF(Calc!$AO$257&gt;'Calc'!$B$8,"",'Calc'!$B$5-'财富模型'!$E$5-(IF('Calc'!$E$17=1,'财富模型'!$E$9,'财富模型'!$M$9+IF(Calc!$AO$257&lt;='财富模型'!$E$11*12,'Calc'!$W$17,'Calc'!$Y$17)-(IF('Calc'!$E$17=1,0,MIN(Calc!$AQ$256*(1+'财富模型'!$E$20/12)+'Calc'!$B$6,IF(Calc!$AO$257&lt;='财富模型'!$E$11*12,'Calc'!$W$17,'Calc'!$Y$17)))))))</x:f>
      </x:c>
      <x:c r="AU257" t="str">
        <x:f>IF(Calc!$AO$257&gt;'Calc'!$B$8,"",IF('Calc'!$E$17=1,0,MAX(Calc!$AU$256*(1+IF(Calc!$AO$257&lt;='财富模型'!$E$11*12,'财富模型'!$E$10,'财富模型'!$E$12)/12)-IF('Calc'!$E$17=1,0,IF(Calc!$AO$257&lt;='财富模型'!$E$11*12,'Calc'!$W$17,'Calc'!$Y$17)),0)))</x:f>
      </x:c>
    </x:row>
    <x:row r="258">
      <x:c r="A258" t="n">
        <x:v>237</x:v>
      </x:c>
      <x:c r="B258" t="str">
        <x:f>IF(Calc!$A$258&gt;'Calc'!$B$8,"",MAX(Calc!$B$257*(1+'财富模型'!$E$6/12)+('Calc'!$B$5-'财富模型'!$E$5-(IF('Calc'!$E$12=1,'财富模型'!$E$9,'财富模型'!$M$4+IF(Calc!$A$258&lt;='财富模型'!$E$11*12,'Calc'!$W$12,'Calc'!$Y$12)-(IF('Calc'!$E$12=1,0,MIN(Calc!$C$257*(1+'财富模型'!$E$20/12)+'Calc'!$B$6,IF(Calc!$A$258&lt;='财富模型'!$E$11*12,'Calc'!$W$12,'Calc'!$Y$12))))))),0))</x:f>
      </x:c>
      <x:c r="C258" t="str">
        <x:f>IF(Calc!$A$258&gt;'Calc'!$B$8,"",MAX(Calc!$C$257*(1+'财富模型'!$E$20/12)+'Calc'!$B$6-(IF('Calc'!$E$12=1,0,MIN(Calc!$C$257*(1+'财富模型'!$E$20/12)+'Calc'!$B$6,IF(Calc!$A$258&lt;='财富模型'!$E$11*12,'Calc'!$W$12,'Calc'!$Y$12)))),0))</x:f>
      </x:c>
      <x:c r="D258" t="str">
        <x:f>IF(Calc!$A$258&gt;'Calc'!$B$8,"",IF('Calc'!$E$12=1,'财富模型'!$E$9,'财富模型'!$M$4+IF(Calc!$A$258&lt;='财富模型'!$E$11*12,'Calc'!$W$12,'Calc'!$Y$12)-(IF('Calc'!$E$12=1,0,MIN(Calc!$C$257*(1+'财富模型'!$E$20/12)+'Calc'!$B$6,IF(Calc!$A$258&lt;='财富模型'!$E$11*12,'Calc'!$W$12,'Calc'!$Y$12))))))</x:f>
      </x:c>
      <x:c r="E258" t="str">
        <x:f>IF(Calc!$A$258&gt;'Calc'!$B$8,"",IF('Calc'!$E$12=1,0,MIN(Calc!$C$257*(1+'财富模型'!$E$20/12)+'Calc'!$B$6,IF(Calc!$A$258&lt;='财富模型'!$E$11*12,'Calc'!$W$12,'Calc'!$Y$12))))</x:f>
      </x:c>
      <x:c r="F258" t="str">
        <x:f>IF(Calc!$A$258&gt;'Calc'!$B$8,"",'Calc'!$B$5-'财富模型'!$E$5-(IF('Calc'!$E$12=1,'财富模型'!$E$9,'财富模型'!$M$4+IF(Calc!$A$258&lt;='财富模型'!$E$11*12,'Calc'!$W$12,'Calc'!$Y$12)-(IF('Calc'!$E$12=1,0,MIN(Calc!$C$257*(1+'财富模型'!$E$20/12)+'Calc'!$B$6,IF(Calc!$A$258&lt;='财富模型'!$E$11*12,'Calc'!$W$12,'Calc'!$Y$12)))))))</x:f>
      </x:c>
      <x:c r="G258" t="str">
        <x:f>IF(Calc!$A$258&gt;'Calc'!$B$8,"",IF('Calc'!$E$12=1,0,MAX(Calc!$G$257*(1+IF(Calc!$A$258&lt;='财富模型'!$E$11*12,'财富模型'!$E$10,'财富模型'!$E$12)/12)-IF('Calc'!$E$12=1,0,IF(Calc!$A$258&lt;='财富模型'!$E$11*12,'Calc'!$W$12,'Calc'!$Y$12)),0)))</x:f>
      </x:c>
      <x:c r="I258" t="n">
        <x:v>237</x:v>
      </x:c>
      <x:c r="J258" t="str">
        <x:f>IF(Calc!$I$258&gt;'Calc'!$B$8,"",MAX(Calc!$J$257*(1+'财富模型'!$E$6/12)+('Calc'!$B$5-'财富模型'!$E$5-(IF('Calc'!$E$13=1,'财富模型'!$E$9,'财富模型'!$M$5+IF(Calc!$I$258&lt;='财富模型'!$E$11*12,'Calc'!$W$13,'Calc'!$Y$13)-(IF('Calc'!$E$13=1,0,MIN(Calc!$K$257*(1+'财富模型'!$E$20/12)+'Calc'!$B$6,IF(Calc!$I$258&lt;='财富模型'!$E$11*12,'Calc'!$W$13,'Calc'!$Y$13))))))),0))</x:f>
      </x:c>
      <x:c r="K258" t="str">
        <x:f>IF(Calc!$I$258&gt;'Calc'!$B$8,"",MAX(Calc!$K$257*(1+'财富模型'!$E$20/12)+'Calc'!$B$6-(IF('Calc'!$E$13=1,0,MIN(Calc!$K$257*(1+'财富模型'!$E$20/12)+'Calc'!$B$6,IF(Calc!$I$258&lt;='财富模型'!$E$11*12,'Calc'!$W$13,'Calc'!$Y$13)))),0))</x:f>
      </x:c>
      <x:c r="L258" t="str">
        <x:f>IF(Calc!$I$258&gt;'Calc'!$B$8,"",IF('Calc'!$E$13=1,'财富模型'!$E$9,'财富模型'!$M$5+IF(Calc!$I$258&lt;='财富模型'!$E$11*12,'Calc'!$W$13,'Calc'!$Y$13)-(IF('Calc'!$E$13=1,0,MIN(Calc!$K$257*(1+'财富模型'!$E$20/12)+'Calc'!$B$6,IF(Calc!$I$258&lt;='财富模型'!$E$11*12,'Calc'!$W$13,'Calc'!$Y$13))))))</x:f>
      </x:c>
      <x:c r="M258" t="str">
        <x:f>IF(Calc!$I$258&gt;'Calc'!$B$8,"",IF('Calc'!$E$13=1,0,MIN(Calc!$K$257*(1+'财富模型'!$E$20/12)+'Calc'!$B$6,IF(Calc!$I$258&lt;='财富模型'!$E$11*12,'Calc'!$W$13,'Calc'!$Y$13))))</x:f>
      </x:c>
      <x:c r="N258" t="str">
        <x:f>IF(Calc!$I$258&gt;'Calc'!$B$8,"",'Calc'!$B$5-'财富模型'!$E$5-(IF('Calc'!$E$13=1,'财富模型'!$E$9,'财富模型'!$M$5+IF(Calc!$I$258&lt;='财富模型'!$E$11*12,'Calc'!$W$13,'Calc'!$Y$13)-(IF('Calc'!$E$13=1,0,MIN(Calc!$K$257*(1+'财富模型'!$E$20/12)+'Calc'!$B$6,IF(Calc!$I$258&lt;='财富模型'!$E$11*12,'Calc'!$W$13,'Calc'!$Y$13)))))))</x:f>
      </x:c>
      <x:c r="O258" t="str">
        <x:f>IF(Calc!$I$258&gt;'Calc'!$B$8,"",IF('Calc'!$E$13=1,0,MAX(Calc!$O$257*(1+IF(Calc!$I$258&lt;='财富模型'!$E$11*12,'财富模型'!$E$10,'财富模型'!$E$12)/12)-IF('Calc'!$E$13=1,0,IF(Calc!$I$258&lt;='财富模型'!$E$11*12,'Calc'!$W$13,'Calc'!$Y$13)),0)))</x:f>
      </x:c>
      <x:c r="Q258" t="n">
        <x:v>237</x:v>
      </x:c>
      <x:c r="R258" t="str">
        <x:f>IF(Calc!$Q$258&gt;'Calc'!$B$8,"",MAX(Calc!$R$257*(1+'财富模型'!$E$6/12)+('Calc'!$B$5-'财富模型'!$E$5-(IF('Calc'!$E$14=1,'财富模型'!$E$9,'财富模型'!$M$6+IF(Calc!$Q$258&lt;='财富模型'!$E$11*12,'Calc'!$W$14,'Calc'!$Y$14)-(IF('Calc'!$E$14=1,0,MIN(Calc!$S$257*(1+'财富模型'!$E$20/12)+'Calc'!$B$6,IF(Calc!$Q$258&lt;='财富模型'!$E$11*12,'Calc'!$W$14,'Calc'!$Y$14))))))),0))</x:f>
      </x:c>
      <x:c r="S258" t="str">
        <x:f>IF(Calc!$Q$258&gt;'Calc'!$B$8,"",MAX(Calc!$S$257*(1+'财富模型'!$E$20/12)+'Calc'!$B$6-(IF('Calc'!$E$14=1,0,MIN(Calc!$S$257*(1+'财富模型'!$E$20/12)+'Calc'!$B$6,IF(Calc!$Q$258&lt;='财富模型'!$E$11*12,'Calc'!$W$14,'Calc'!$Y$14)))),0))</x:f>
      </x:c>
      <x:c r="T258" t="str">
        <x:f>IF(Calc!$Q$258&gt;'Calc'!$B$8,"",IF('Calc'!$E$14=1,'财富模型'!$E$9,'财富模型'!$M$6+IF(Calc!$Q$258&lt;='财富模型'!$E$11*12,'Calc'!$W$14,'Calc'!$Y$14)-(IF('Calc'!$E$14=1,0,MIN(Calc!$S$257*(1+'财富模型'!$E$20/12)+'Calc'!$B$6,IF(Calc!$Q$258&lt;='财富模型'!$E$11*12,'Calc'!$W$14,'Calc'!$Y$14))))))</x:f>
      </x:c>
      <x:c r="U258" t="str">
        <x:f>IF(Calc!$Q$258&gt;'Calc'!$B$8,"",IF('Calc'!$E$14=1,0,MIN(Calc!$S$257*(1+'财富模型'!$E$20/12)+'Calc'!$B$6,IF(Calc!$Q$258&lt;='财富模型'!$E$11*12,'Calc'!$W$14,'Calc'!$Y$14))))</x:f>
      </x:c>
      <x:c r="V258" t="str">
        <x:f>IF(Calc!$Q$258&gt;'Calc'!$B$8,"",'Calc'!$B$5-'财富模型'!$E$5-(IF('Calc'!$E$14=1,'财富模型'!$E$9,'财富模型'!$M$6+IF(Calc!$Q$258&lt;='财富模型'!$E$11*12,'Calc'!$W$14,'Calc'!$Y$14)-(IF('Calc'!$E$14=1,0,MIN(Calc!$S$257*(1+'财富模型'!$E$20/12)+'Calc'!$B$6,IF(Calc!$Q$258&lt;='财富模型'!$E$11*12,'Calc'!$W$14,'Calc'!$Y$14)))))))</x:f>
      </x:c>
      <x:c r="W258" t="str">
        <x:f>IF(Calc!$Q$258&gt;'Calc'!$B$8,"",IF('Calc'!$E$14=1,0,MAX(Calc!$W$257*(1+IF(Calc!$Q$258&lt;='财富模型'!$E$11*12,'财富模型'!$E$10,'财富模型'!$E$12)/12)-IF('Calc'!$E$14=1,0,IF(Calc!$Q$258&lt;='财富模型'!$E$11*12,'Calc'!$W$14,'Calc'!$Y$14)),0)))</x:f>
      </x:c>
      <x:c r="Y258" t="n">
        <x:v>237</x:v>
      </x:c>
      <x:c r="Z258" t="str">
        <x:f>IF(Calc!$Y$258&gt;'Calc'!$B$8,"",MAX(Calc!$Z$257*(1+'财富模型'!$E$6/12)+('Calc'!$B$5-'财富模型'!$E$5-(IF('Calc'!$E$15=1,'财富模型'!$E$9,'财富模型'!$M$7+IF(Calc!$Y$258&lt;='财富模型'!$E$11*12,'Calc'!$W$15,'Calc'!$Y$15)-(IF('Calc'!$E$15=1,0,MIN(Calc!$AA$257*(1+'财富模型'!$E$20/12)+'Calc'!$B$6,IF(Calc!$Y$258&lt;='财富模型'!$E$11*12,'Calc'!$W$15,'Calc'!$Y$15))))))),0))</x:f>
      </x:c>
      <x:c r="AA258" t="str">
        <x:f>IF(Calc!$Y$258&gt;'Calc'!$B$8,"",MAX(Calc!$AA$257*(1+'财富模型'!$E$20/12)+'Calc'!$B$6-(IF('Calc'!$E$15=1,0,MIN(Calc!$AA$257*(1+'财富模型'!$E$20/12)+'Calc'!$B$6,IF(Calc!$Y$258&lt;='财富模型'!$E$11*12,'Calc'!$W$15,'Calc'!$Y$15)))),0))</x:f>
      </x:c>
      <x:c r="AB258" t="str">
        <x:f>IF(Calc!$Y$258&gt;'Calc'!$B$8,"",IF('Calc'!$E$15=1,'财富模型'!$E$9,'财富模型'!$M$7+IF(Calc!$Y$258&lt;='财富模型'!$E$11*12,'Calc'!$W$15,'Calc'!$Y$15)-(IF('Calc'!$E$15=1,0,MIN(Calc!$AA$257*(1+'财富模型'!$E$20/12)+'Calc'!$B$6,IF(Calc!$Y$258&lt;='财富模型'!$E$11*12,'Calc'!$W$15,'Calc'!$Y$15))))))</x:f>
      </x:c>
      <x:c r="AC258" t="str">
        <x:f>IF(Calc!$Y$258&gt;'Calc'!$B$8,"",IF('Calc'!$E$15=1,0,MIN(Calc!$AA$257*(1+'财富模型'!$E$20/12)+'Calc'!$B$6,IF(Calc!$Y$258&lt;='财富模型'!$E$11*12,'Calc'!$W$15,'Calc'!$Y$15))))</x:f>
      </x:c>
      <x:c r="AD258" t="str">
        <x:f>IF(Calc!$Y$258&gt;'Calc'!$B$8,"",'Calc'!$B$5-'财富模型'!$E$5-(IF('Calc'!$E$15=1,'财富模型'!$E$9,'财富模型'!$M$7+IF(Calc!$Y$258&lt;='财富模型'!$E$11*12,'Calc'!$W$15,'Calc'!$Y$15)-(IF('Calc'!$E$15=1,0,MIN(Calc!$AA$257*(1+'财富模型'!$E$20/12)+'Calc'!$B$6,IF(Calc!$Y$258&lt;='财富模型'!$E$11*12,'Calc'!$W$15,'Calc'!$Y$15)))))))</x:f>
      </x:c>
      <x:c r="AE258" t="str">
        <x:f>IF(Calc!$Y$258&gt;'Calc'!$B$8,"",IF('Calc'!$E$15=1,0,MAX(Calc!$AE$257*(1+IF(Calc!$Y$258&lt;='财富模型'!$E$11*12,'财富模型'!$E$10,'财富模型'!$E$12)/12)-IF('Calc'!$E$15=1,0,IF(Calc!$Y$258&lt;='财富模型'!$E$11*12,'Calc'!$W$15,'Calc'!$Y$15)),0)))</x:f>
      </x:c>
      <x:c r="AG258" t="n">
        <x:v>237</x:v>
      </x:c>
      <x:c r="AH258" t="str">
        <x:f>IF(Calc!$AG$258&gt;'Calc'!$B$8,"",MAX(Calc!$AH$257*(1+'财富模型'!$E$6/12)+('Calc'!$B$5-'财富模型'!$E$5-(IF('Calc'!$E$16=1,'财富模型'!$E$9,'财富模型'!$M$8+IF(Calc!$AG$258&lt;='财富模型'!$E$11*12,'Calc'!$W$16,'Calc'!$Y$16)-(IF('Calc'!$E$16=1,0,MIN(Calc!$AI$257*(1+'财富模型'!$E$20/12)+'Calc'!$B$6,IF(Calc!$AG$258&lt;='财富模型'!$E$11*12,'Calc'!$W$16,'Calc'!$Y$16))))))),0))</x:f>
      </x:c>
      <x:c r="AI258" t="str">
        <x:f>IF(Calc!$AG$258&gt;'Calc'!$B$8,"",MAX(Calc!$AI$257*(1+'财富模型'!$E$20/12)+'Calc'!$B$6-(IF('Calc'!$E$16=1,0,MIN(Calc!$AI$257*(1+'财富模型'!$E$20/12)+'Calc'!$B$6,IF(Calc!$AG$258&lt;='财富模型'!$E$11*12,'Calc'!$W$16,'Calc'!$Y$16)))),0))</x:f>
      </x:c>
      <x:c r="AJ258" t="str">
        <x:f>IF(Calc!$AG$258&gt;'Calc'!$B$8,"",IF('Calc'!$E$16=1,'财富模型'!$E$9,'财富模型'!$M$8+IF(Calc!$AG$258&lt;='财富模型'!$E$11*12,'Calc'!$W$16,'Calc'!$Y$16)-(IF('Calc'!$E$16=1,0,MIN(Calc!$AI$257*(1+'财富模型'!$E$20/12)+'Calc'!$B$6,IF(Calc!$AG$258&lt;='财富模型'!$E$11*12,'Calc'!$W$16,'Calc'!$Y$16))))))</x:f>
      </x:c>
      <x:c r="AK258" t="str">
        <x:f>IF(Calc!$AG$258&gt;'Calc'!$B$8,"",IF('Calc'!$E$16=1,0,MIN(Calc!$AI$257*(1+'财富模型'!$E$20/12)+'Calc'!$B$6,IF(Calc!$AG$258&lt;='财富模型'!$E$11*12,'Calc'!$W$16,'Calc'!$Y$16))))</x:f>
      </x:c>
      <x:c r="AL258" t="str">
        <x:f>IF(Calc!$AG$258&gt;'Calc'!$B$8,"",'Calc'!$B$5-'财富模型'!$E$5-(IF('Calc'!$E$16=1,'财富模型'!$E$9,'财富模型'!$M$8+IF(Calc!$AG$258&lt;='财富模型'!$E$11*12,'Calc'!$W$16,'Calc'!$Y$16)-(IF('Calc'!$E$16=1,0,MIN(Calc!$AI$257*(1+'财富模型'!$E$20/12)+'Calc'!$B$6,IF(Calc!$AG$258&lt;='财富模型'!$E$11*12,'Calc'!$W$16,'Calc'!$Y$16)))))))</x:f>
      </x:c>
      <x:c r="AM258" t="str">
        <x:f>IF(Calc!$AG$258&gt;'Calc'!$B$8,"",IF('Calc'!$E$16=1,0,MAX(Calc!$AM$257*(1+IF(Calc!$AG$258&lt;='财富模型'!$E$11*12,'财富模型'!$E$10,'财富模型'!$E$12)/12)-IF('Calc'!$E$16=1,0,IF(Calc!$AG$258&lt;='财富模型'!$E$11*12,'Calc'!$W$16,'Calc'!$Y$16)),0)))</x:f>
      </x:c>
      <x:c r="AO258" t="n">
        <x:v>237</x:v>
      </x:c>
      <x:c r="AP258" t="str">
        <x:f>IF(Calc!$AO$258&gt;'Calc'!$B$8,"",MAX(Calc!$AP$257*(1+'财富模型'!$E$6/12)+('Calc'!$B$5-'财富模型'!$E$5-(IF('Calc'!$E$17=1,'财富模型'!$E$9,'财富模型'!$M$9+IF(Calc!$AO$258&lt;='财富模型'!$E$11*12,'Calc'!$W$17,'Calc'!$Y$17)-(IF('Calc'!$E$17=1,0,MIN(Calc!$AQ$257*(1+'财富模型'!$E$20/12)+'Calc'!$B$6,IF(Calc!$AO$258&lt;='财富模型'!$E$11*12,'Calc'!$W$17,'Calc'!$Y$17))))))),0))</x:f>
      </x:c>
      <x:c r="AQ258" t="str">
        <x:f>IF(Calc!$AO$258&gt;'Calc'!$B$8,"",MAX(Calc!$AQ$257*(1+'财富模型'!$E$20/12)+'Calc'!$B$6-(IF('Calc'!$E$17=1,0,MIN(Calc!$AQ$257*(1+'财富模型'!$E$20/12)+'Calc'!$B$6,IF(Calc!$AO$258&lt;='财富模型'!$E$11*12,'Calc'!$W$17,'Calc'!$Y$17)))),0))</x:f>
      </x:c>
      <x:c r="AR258" t="str">
        <x:f>IF(Calc!$AO$258&gt;'Calc'!$B$8,"",IF('Calc'!$E$17=1,'财富模型'!$E$9,'财富模型'!$M$9+IF(Calc!$AO$258&lt;='财富模型'!$E$11*12,'Calc'!$W$17,'Calc'!$Y$17)-(IF('Calc'!$E$17=1,0,MIN(Calc!$AQ$257*(1+'财富模型'!$E$20/12)+'Calc'!$B$6,IF(Calc!$AO$258&lt;='财富模型'!$E$11*12,'Calc'!$W$17,'Calc'!$Y$17))))))</x:f>
      </x:c>
      <x:c r="AS258" t="str">
        <x:f>IF(Calc!$AO$258&gt;'Calc'!$B$8,"",IF('Calc'!$E$17=1,0,MIN(Calc!$AQ$257*(1+'财富模型'!$E$20/12)+'Calc'!$B$6,IF(Calc!$AO$258&lt;='财富模型'!$E$11*12,'Calc'!$W$17,'Calc'!$Y$17))))</x:f>
      </x:c>
      <x:c r="AT258" t="str">
        <x:f>IF(Calc!$AO$258&gt;'Calc'!$B$8,"",'Calc'!$B$5-'财富模型'!$E$5-(IF('Calc'!$E$17=1,'财富模型'!$E$9,'财富模型'!$M$9+IF(Calc!$AO$258&lt;='财富模型'!$E$11*12,'Calc'!$W$17,'Calc'!$Y$17)-(IF('Calc'!$E$17=1,0,MIN(Calc!$AQ$257*(1+'财富模型'!$E$20/12)+'Calc'!$B$6,IF(Calc!$AO$258&lt;='财富模型'!$E$11*12,'Calc'!$W$17,'Calc'!$Y$17)))))))</x:f>
      </x:c>
      <x:c r="AU258" t="str">
        <x:f>IF(Calc!$AO$258&gt;'Calc'!$B$8,"",IF('Calc'!$E$17=1,0,MAX(Calc!$AU$257*(1+IF(Calc!$AO$258&lt;='财富模型'!$E$11*12,'财富模型'!$E$10,'财富模型'!$E$12)/12)-IF('Calc'!$E$17=1,0,IF(Calc!$AO$258&lt;='财富模型'!$E$11*12,'Calc'!$W$17,'Calc'!$Y$17)),0)))</x:f>
      </x:c>
    </x:row>
    <x:row r="259">
      <x:c r="A259" t="n">
        <x:v>238</x:v>
      </x:c>
      <x:c r="B259" t="str">
        <x:f>IF(Calc!$A$259&gt;'Calc'!$B$8,"",MAX(Calc!$B$258*(1+'财富模型'!$E$6/12)+('Calc'!$B$5-'财富模型'!$E$5-(IF('Calc'!$E$12=1,'财富模型'!$E$9,'财富模型'!$M$4+IF(Calc!$A$259&lt;='财富模型'!$E$11*12,'Calc'!$W$12,'Calc'!$Y$12)-(IF('Calc'!$E$12=1,0,MIN(Calc!$C$258*(1+'财富模型'!$E$20/12)+'Calc'!$B$6,IF(Calc!$A$259&lt;='财富模型'!$E$11*12,'Calc'!$W$12,'Calc'!$Y$12))))))),0))</x:f>
      </x:c>
      <x:c r="C259" t="str">
        <x:f>IF(Calc!$A$259&gt;'Calc'!$B$8,"",MAX(Calc!$C$258*(1+'财富模型'!$E$20/12)+'Calc'!$B$6-(IF('Calc'!$E$12=1,0,MIN(Calc!$C$258*(1+'财富模型'!$E$20/12)+'Calc'!$B$6,IF(Calc!$A$259&lt;='财富模型'!$E$11*12,'Calc'!$W$12,'Calc'!$Y$12)))),0))</x:f>
      </x:c>
      <x:c r="D259" t="str">
        <x:f>IF(Calc!$A$259&gt;'Calc'!$B$8,"",IF('Calc'!$E$12=1,'财富模型'!$E$9,'财富模型'!$M$4+IF(Calc!$A$259&lt;='财富模型'!$E$11*12,'Calc'!$W$12,'Calc'!$Y$12)-(IF('Calc'!$E$12=1,0,MIN(Calc!$C$258*(1+'财富模型'!$E$20/12)+'Calc'!$B$6,IF(Calc!$A$259&lt;='财富模型'!$E$11*12,'Calc'!$W$12,'Calc'!$Y$12))))))</x:f>
      </x:c>
      <x:c r="E259" t="str">
        <x:f>IF(Calc!$A$259&gt;'Calc'!$B$8,"",IF('Calc'!$E$12=1,0,MIN(Calc!$C$258*(1+'财富模型'!$E$20/12)+'Calc'!$B$6,IF(Calc!$A$259&lt;='财富模型'!$E$11*12,'Calc'!$W$12,'Calc'!$Y$12))))</x:f>
      </x:c>
      <x:c r="F259" t="str">
        <x:f>IF(Calc!$A$259&gt;'Calc'!$B$8,"",'Calc'!$B$5-'财富模型'!$E$5-(IF('Calc'!$E$12=1,'财富模型'!$E$9,'财富模型'!$M$4+IF(Calc!$A$259&lt;='财富模型'!$E$11*12,'Calc'!$W$12,'Calc'!$Y$12)-(IF('Calc'!$E$12=1,0,MIN(Calc!$C$258*(1+'财富模型'!$E$20/12)+'Calc'!$B$6,IF(Calc!$A$259&lt;='财富模型'!$E$11*12,'Calc'!$W$12,'Calc'!$Y$12)))))))</x:f>
      </x:c>
      <x:c r="G259" t="str">
        <x:f>IF(Calc!$A$259&gt;'Calc'!$B$8,"",IF('Calc'!$E$12=1,0,MAX(Calc!$G$258*(1+IF(Calc!$A$259&lt;='财富模型'!$E$11*12,'财富模型'!$E$10,'财富模型'!$E$12)/12)-IF('Calc'!$E$12=1,0,IF(Calc!$A$259&lt;='财富模型'!$E$11*12,'Calc'!$W$12,'Calc'!$Y$12)),0)))</x:f>
      </x:c>
      <x:c r="I259" t="n">
        <x:v>238</x:v>
      </x:c>
      <x:c r="J259" t="str">
        <x:f>IF(Calc!$I$259&gt;'Calc'!$B$8,"",MAX(Calc!$J$258*(1+'财富模型'!$E$6/12)+('Calc'!$B$5-'财富模型'!$E$5-(IF('Calc'!$E$13=1,'财富模型'!$E$9,'财富模型'!$M$5+IF(Calc!$I$259&lt;='财富模型'!$E$11*12,'Calc'!$W$13,'Calc'!$Y$13)-(IF('Calc'!$E$13=1,0,MIN(Calc!$K$258*(1+'财富模型'!$E$20/12)+'Calc'!$B$6,IF(Calc!$I$259&lt;='财富模型'!$E$11*12,'Calc'!$W$13,'Calc'!$Y$13))))))),0))</x:f>
      </x:c>
      <x:c r="K259" t="str">
        <x:f>IF(Calc!$I$259&gt;'Calc'!$B$8,"",MAX(Calc!$K$258*(1+'财富模型'!$E$20/12)+'Calc'!$B$6-(IF('Calc'!$E$13=1,0,MIN(Calc!$K$258*(1+'财富模型'!$E$20/12)+'Calc'!$B$6,IF(Calc!$I$259&lt;='财富模型'!$E$11*12,'Calc'!$W$13,'Calc'!$Y$13)))),0))</x:f>
      </x:c>
      <x:c r="L259" t="str">
        <x:f>IF(Calc!$I$259&gt;'Calc'!$B$8,"",IF('Calc'!$E$13=1,'财富模型'!$E$9,'财富模型'!$M$5+IF(Calc!$I$259&lt;='财富模型'!$E$11*12,'Calc'!$W$13,'Calc'!$Y$13)-(IF('Calc'!$E$13=1,0,MIN(Calc!$K$258*(1+'财富模型'!$E$20/12)+'Calc'!$B$6,IF(Calc!$I$259&lt;='财富模型'!$E$11*12,'Calc'!$W$13,'Calc'!$Y$13))))))</x:f>
      </x:c>
      <x:c r="M259" t="str">
        <x:f>IF(Calc!$I$259&gt;'Calc'!$B$8,"",IF('Calc'!$E$13=1,0,MIN(Calc!$K$258*(1+'财富模型'!$E$20/12)+'Calc'!$B$6,IF(Calc!$I$259&lt;='财富模型'!$E$11*12,'Calc'!$W$13,'Calc'!$Y$13))))</x:f>
      </x:c>
      <x:c r="N259" t="str">
        <x:f>IF(Calc!$I$259&gt;'Calc'!$B$8,"",'Calc'!$B$5-'财富模型'!$E$5-(IF('Calc'!$E$13=1,'财富模型'!$E$9,'财富模型'!$M$5+IF(Calc!$I$259&lt;='财富模型'!$E$11*12,'Calc'!$W$13,'Calc'!$Y$13)-(IF('Calc'!$E$13=1,0,MIN(Calc!$K$258*(1+'财富模型'!$E$20/12)+'Calc'!$B$6,IF(Calc!$I$259&lt;='财富模型'!$E$11*12,'Calc'!$W$13,'Calc'!$Y$13)))))))</x:f>
      </x:c>
      <x:c r="O259" t="str">
        <x:f>IF(Calc!$I$259&gt;'Calc'!$B$8,"",IF('Calc'!$E$13=1,0,MAX(Calc!$O$258*(1+IF(Calc!$I$259&lt;='财富模型'!$E$11*12,'财富模型'!$E$10,'财富模型'!$E$12)/12)-IF('Calc'!$E$13=1,0,IF(Calc!$I$259&lt;='财富模型'!$E$11*12,'Calc'!$W$13,'Calc'!$Y$13)),0)))</x:f>
      </x:c>
      <x:c r="Q259" t="n">
        <x:v>238</x:v>
      </x:c>
      <x:c r="R259" t="str">
        <x:f>IF(Calc!$Q$259&gt;'Calc'!$B$8,"",MAX(Calc!$R$258*(1+'财富模型'!$E$6/12)+('Calc'!$B$5-'财富模型'!$E$5-(IF('Calc'!$E$14=1,'财富模型'!$E$9,'财富模型'!$M$6+IF(Calc!$Q$259&lt;='财富模型'!$E$11*12,'Calc'!$W$14,'Calc'!$Y$14)-(IF('Calc'!$E$14=1,0,MIN(Calc!$S$258*(1+'财富模型'!$E$20/12)+'Calc'!$B$6,IF(Calc!$Q$259&lt;='财富模型'!$E$11*12,'Calc'!$W$14,'Calc'!$Y$14))))))),0))</x:f>
      </x:c>
      <x:c r="S259" t="str">
        <x:f>IF(Calc!$Q$259&gt;'Calc'!$B$8,"",MAX(Calc!$S$258*(1+'财富模型'!$E$20/12)+'Calc'!$B$6-(IF('Calc'!$E$14=1,0,MIN(Calc!$S$258*(1+'财富模型'!$E$20/12)+'Calc'!$B$6,IF(Calc!$Q$259&lt;='财富模型'!$E$11*12,'Calc'!$W$14,'Calc'!$Y$14)))),0))</x:f>
      </x:c>
      <x:c r="T259" t="str">
        <x:f>IF(Calc!$Q$259&gt;'Calc'!$B$8,"",IF('Calc'!$E$14=1,'财富模型'!$E$9,'财富模型'!$M$6+IF(Calc!$Q$259&lt;='财富模型'!$E$11*12,'Calc'!$W$14,'Calc'!$Y$14)-(IF('Calc'!$E$14=1,0,MIN(Calc!$S$258*(1+'财富模型'!$E$20/12)+'Calc'!$B$6,IF(Calc!$Q$259&lt;='财富模型'!$E$11*12,'Calc'!$W$14,'Calc'!$Y$14))))))</x:f>
      </x:c>
      <x:c r="U259" t="str">
        <x:f>IF(Calc!$Q$259&gt;'Calc'!$B$8,"",IF('Calc'!$E$14=1,0,MIN(Calc!$S$258*(1+'财富模型'!$E$20/12)+'Calc'!$B$6,IF(Calc!$Q$259&lt;='财富模型'!$E$11*12,'Calc'!$W$14,'Calc'!$Y$14))))</x:f>
      </x:c>
      <x:c r="V259" t="str">
        <x:f>IF(Calc!$Q$259&gt;'Calc'!$B$8,"",'Calc'!$B$5-'财富模型'!$E$5-(IF('Calc'!$E$14=1,'财富模型'!$E$9,'财富模型'!$M$6+IF(Calc!$Q$259&lt;='财富模型'!$E$11*12,'Calc'!$W$14,'Calc'!$Y$14)-(IF('Calc'!$E$14=1,0,MIN(Calc!$S$258*(1+'财富模型'!$E$20/12)+'Calc'!$B$6,IF(Calc!$Q$259&lt;='财富模型'!$E$11*12,'Calc'!$W$14,'Calc'!$Y$14)))))))</x:f>
      </x:c>
      <x:c r="W259" t="str">
        <x:f>IF(Calc!$Q$259&gt;'Calc'!$B$8,"",IF('Calc'!$E$14=1,0,MAX(Calc!$W$258*(1+IF(Calc!$Q$259&lt;='财富模型'!$E$11*12,'财富模型'!$E$10,'财富模型'!$E$12)/12)-IF('Calc'!$E$14=1,0,IF(Calc!$Q$259&lt;='财富模型'!$E$11*12,'Calc'!$W$14,'Calc'!$Y$14)),0)))</x:f>
      </x:c>
      <x:c r="Y259" t="n">
        <x:v>238</x:v>
      </x:c>
      <x:c r="Z259" t="str">
        <x:f>IF(Calc!$Y$259&gt;'Calc'!$B$8,"",MAX(Calc!$Z$258*(1+'财富模型'!$E$6/12)+('Calc'!$B$5-'财富模型'!$E$5-(IF('Calc'!$E$15=1,'财富模型'!$E$9,'财富模型'!$M$7+IF(Calc!$Y$259&lt;='财富模型'!$E$11*12,'Calc'!$W$15,'Calc'!$Y$15)-(IF('Calc'!$E$15=1,0,MIN(Calc!$AA$258*(1+'财富模型'!$E$20/12)+'Calc'!$B$6,IF(Calc!$Y$259&lt;='财富模型'!$E$11*12,'Calc'!$W$15,'Calc'!$Y$15))))))),0))</x:f>
      </x:c>
      <x:c r="AA259" t="str">
        <x:f>IF(Calc!$Y$259&gt;'Calc'!$B$8,"",MAX(Calc!$AA$258*(1+'财富模型'!$E$20/12)+'Calc'!$B$6-(IF('Calc'!$E$15=1,0,MIN(Calc!$AA$258*(1+'财富模型'!$E$20/12)+'Calc'!$B$6,IF(Calc!$Y$259&lt;='财富模型'!$E$11*12,'Calc'!$W$15,'Calc'!$Y$15)))),0))</x:f>
      </x:c>
      <x:c r="AB259" t="str">
        <x:f>IF(Calc!$Y$259&gt;'Calc'!$B$8,"",IF('Calc'!$E$15=1,'财富模型'!$E$9,'财富模型'!$M$7+IF(Calc!$Y$259&lt;='财富模型'!$E$11*12,'Calc'!$W$15,'Calc'!$Y$15)-(IF('Calc'!$E$15=1,0,MIN(Calc!$AA$258*(1+'财富模型'!$E$20/12)+'Calc'!$B$6,IF(Calc!$Y$259&lt;='财富模型'!$E$11*12,'Calc'!$W$15,'Calc'!$Y$15))))))</x:f>
      </x:c>
      <x:c r="AC259" t="str">
        <x:f>IF(Calc!$Y$259&gt;'Calc'!$B$8,"",IF('Calc'!$E$15=1,0,MIN(Calc!$AA$258*(1+'财富模型'!$E$20/12)+'Calc'!$B$6,IF(Calc!$Y$259&lt;='财富模型'!$E$11*12,'Calc'!$W$15,'Calc'!$Y$15))))</x:f>
      </x:c>
      <x:c r="AD259" t="str">
        <x:f>IF(Calc!$Y$259&gt;'Calc'!$B$8,"",'Calc'!$B$5-'财富模型'!$E$5-(IF('Calc'!$E$15=1,'财富模型'!$E$9,'财富模型'!$M$7+IF(Calc!$Y$259&lt;='财富模型'!$E$11*12,'Calc'!$W$15,'Calc'!$Y$15)-(IF('Calc'!$E$15=1,0,MIN(Calc!$AA$258*(1+'财富模型'!$E$20/12)+'Calc'!$B$6,IF(Calc!$Y$259&lt;='财富模型'!$E$11*12,'Calc'!$W$15,'Calc'!$Y$15)))))))</x:f>
      </x:c>
      <x:c r="AE259" t="str">
        <x:f>IF(Calc!$Y$259&gt;'Calc'!$B$8,"",IF('Calc'!$E$15=1,0,MAX(Calc!$AE$258*(1+IF(Calc!$Y$259&lt;='财富模型'!$E$11*12,'财富模型'!$E$10,'财富模型'!$E$12)/12)-IF('Calc'!$E$15=1,0,IF(Calc!$Y$259&lt;='财富模型'!$E$11*12,'Calc'!$W$15,'Calc'!$Y$15)),0)))</x:f>
      </x:c>
      <x:c r="AG259" t="n">
        <x:v>238</x:v>
      </x:c>
      <x:c r="AH259" t="str">
        <x:f>IF(Calc!$AG$259&gt;'Calc'!$B$8,"",MAX(Calc!$AH$258*(1+'财富模型'!$E$6/12)+('Calc'!$B$5-'财富模型'!$E$5-(IF('Calc'!$E$16=1,'财富模型'!$E$9,'财富模型'!$M$8+IF(Calc!$AG$259&lt;='财富模型'!$E$11*12,'Calc'!$W$16,'Calc'!$Y$16)-(IF('Calc'!$E$16=1,0,MIN(Calc!$AI$258*(1+'财富模型'!$E$20/12)+'Calc'!$B$6,IF(Calc!$AG$259&lt;='财富模型'!$E$11*12,'Calc'!$W$16,'Calc'!$Y$16))))))),0))</x:f>
      </x:c>
      <x:c r="AI259" t="str">
        <x:f>IF(Calc!$AG$259&gt;'Calc'!$B$8,"",MAX(Calc!$AI$258*(1+'财富模型'!$E$20/12)+'Calc'!$B$6-(IF('Calc'!$E$16=1,0,MIN(Calc!$AI$258*(1+'财富模型'!$E$20/12)+'Calc'!$B$6,IF(Calc!$AG$259&lt;='财富模型'!$E$11*12,'Calc'!$W$16,'Calc'!$Y$16)))),0))</x:f>
      </x:c>
      <x:c r="AJ259" t="str">
        <x:f>IF(Calc!$AG$259&gt;'Calc'!$B$8,"",IF('Calc'!$E$16=1,'财富模型'!$E$9,'财富模型'!$M$8+IF(Calc!$AG$259&lt;='财富模型'!$E$11*12,'Calc'!$W$16,'Calc'!$Y$16)-(IF('Calc'!$E$16=1,0,MIN(Calc!$AI$258*(1+'财富模型'!$E$20/12)+'Calc'!$B$6,IF(Calc!$AG$259&lt;='财富模型'!$E$11*12,'Calc'!$W$16,'Calc'!$Y$16))))))</x:f>
      </x:c>
      <x:c r="AK259" t="str">
        <x:f>IF(Calc!$AG$259&gt;'Calc'!$B$8,"",IF('Calc'!$E$16=1,0,MIN(Calc!$AI$258*(1+'财富模型'!$E$20/12)+'Calc'!$B$6,IF(Calc!$AG$259&lt;='财富模型'!$E$11*12,'Calc'!$W$16,'Calc'!$Y$16))))</x:f>
      </x:c>
      <x:c r="AL259" t="str">
        <x:f>IF(Calc!$AG$259&gt;'Calc'!$B$8,"",'Calc'!$B$5-'财富模型'!$E$5-(IF('Calc'!$E$16=1,'财富模型'!$E$9,'财富模型'!$M$8+IF(Calc!$AG$259&lt;='财富模型'!$E$11*12,'Calc'!$W$16,'Calc'!$Y$16)-(IF('Calc'!$E$16=1,0,MIN(Calc!$AI$258*(1+'财富模型'!$E$20/12)+'Calc'!$B$6,IF(Calc!$AG$259&lt;='财富模型'!$E$11*12,'Calc'!$W$16,'Calc'!$Y$16)))))))</x:f>
      </x:c>
      <x:c r="AM259" t="str">
        <x:f>IF(Calc!$AG$259&gt;'Calc'!$B$8,"",IF('Calc'!$E$16=1,0,MAX(Calc!$AM$258*(1+IF(Calc!$AG$259&lt;='财富模型'!$E$11*12,'财富模型'!$E$10,'财富模型'!$E$12)/12)-IF('Calc'!$E$16=1,0,IF(Calc!$AG$259&lt;='财富模型'!$E$11*12,'Calc'!$W$16,'Calc'!$Y$16)),0)))</x:f>
      </x:c>
      <x:c r="AO259" t="n">
        <x:v>238</x:v>
      </x:c>
      <x:c r="AP259" t="str">
        <x:f>IF(Calc!$AO$259&gt;'Calc'!$B$8,"",MAX(Calc!$AP$258*(1+'财富模型'!$E$6/12)+('Calc'!$B$5-'财富模型'!$E$5-(IF('Calc'!$E$17=1,'财富模型'!$E$9,'财富模型'!$M$9+IF(Calc!$AO$259&lt;='财富模型'!$E$11*12,'Calc'!$W$17,'Calc'!$Y$17)-(IF('Calc'!$E$17=1,0,MIN(Calc!$AQ$258*(1+'财富模型'!$E$20/12)+'Calc'!$B$6,IF(Calc!$AO$259&lt;='财富模型'!$E$11*12,'Calc'!$W$17,'Calc'!$Y$17))))))),0))</x:f>
      </x:c>
      <x:c r="AQ259" t="str">
        <x:f>IF(Calc!$AO$259&gt;'Calc'!$B$8,"",MAX(Calc!$AQ$258*(1+'财富模型'!$E$20/12)+'Calc'!$B$6-(IF('Calc'!$E$17=1,0,MIN(Calc!$AQ$258*(1+'财富模型'!$E$20/12)+'Calc'!$B$6,IF(Calc!$AO$259&lt;='财富模型'!$E$11*12,'Calc'!$W$17,'Calc'!$Y$17)))),0))</x:f>
      </x:c>
      <x:c r="AR259" t="str">
        <x:f>IF(Calc!$AO$259&gt;'Calc'!$B$8,"",IF('Calc'!$E$17=1,'财富模型'!$E$9,'财富模型'!$M$9+IF(Calc!$AO$259&lt;='财富模型'!$E$11*12,'Calc'!$W$17,'Calc'!$Y$17)-(IF('Calc'!$E$17=1,0,MIN(Calc!$AQ$258*(1+'财富模型'!$E$20/12)+'Calc'!$B$6,IF(Calc!$AO$259&lt;='财富模型'!$E$11*12,'Calc'!$W$17,'Calc'!$Y$17))))))</x:f>
      </x:c>
      <x:c r="AS259" t="str">
        <x:f>IF(Calc!$AO$259&gt;'Calc'!$B$8,"",IF('Calc'!$E$17=1,0,MIN(Calc!$AQ$258*(1+'财富模型'!$E$20/12)+'Calc'!$B$6,IF(Calc!$AO$259&lt;='财富模型'!$E$11*12,'Calc'!$W$17,'Calc'!$Y$17))))</x:f>
      </x:c>
      <x:c r="AT259" t="str">
        <x:f>IF(Calc!$AO$259&gt;'Calc'!$B$8,"",'Calc'!$B$5-'财富模型'!$E$5-(IF('Calc'!$E$17=1,'财富模型'!$E$9,'财富模型'!$M$9+IF(Calc!$AO$259&lt;='财富模型'!$E$11*12,'Calc'!$W$17,'Calc'!$Y$17)-(IF('Calc'!$E$17=1,0,MIN(Calc!$AQ$258*(1+'财富模型'!$E$20/12)+'Calc'!$B$6,IF(Calc!$AO$259&lt;='财富模型'!$E$11*12,'Calc'!$W$17,'Calc'!$Y$17)))))))</x:f>
      </x:c>
      <x:c r="AU259" t="str">
        <x:f>IF(Calc!$AO$259&gt;'Calc'!$B$8,"",IF('Calc'!$E$17=1,0,MAX(Calc!$AU$258*(1+IF(Calc!$AO$259&lt;='财富模型'!$E$11*12,'财富模型'!$E$10,'财富模型'!$E$12)/12)-IF('Calc'!$E$17=1,0,IF(Calc!$AO$259&lt;='财富模型'!$E$11*12,'Calc'!$W$17,'Calc'!$Y$17)),0)))</x:f>
      </x:c>
    </x:row>
    <x:row r="260">
      <x:c r="A260" t="n">
        <x:v>239</x:v>
      </x:c>
      <x:c r="B260" t="str">
        <x:f>IF(Calc!$A$260&gt;'Calc'!$B$8,"",MAX(Calc!$B$259*(1+'财富模型'!$E$6/12)+('Calc'!$B$5-'财富模型'!$E$5-(IF('Calc'!$E$12=1,'财富模型'!$E$9,'财富模型'!$M$4+IF(Calc!$A$260&lt;='财富模型'!$E$11*12,'Calc'!$W$12,'Calc'!$Y$12)-(IF('Calc'!$E$12=1,0,MIN(Calc!$C$259*(1+'财富模型'!$E$20/12)+'Calc'!$B$6,IF(Calc!$A$260&lt;='财富模型'!$E$11*12,'Calc'!$W$12,'Calc'!$Y$12))))))),0))</x:f>
      </x:c>
      <x:c r="C260" t="str">
        <x:f>IF(Calc!$A$260&gt;'Calc'!$B$8,"",MAX(Calc!$C$259*(1+'财富模型'!$E$20/12)+'Calc'!$B$6-(IF('Calc'!$E$12=1,0,MIN(Calc!$C$259*(1+'财富模型'!$E$20/12)+'Calc'!$B$6,IF(Calc!$A$260&lt;='财富模型'!$E$11*12,'Calc'!$W$12,'Calc'!$Y$12)))),0))</x:f>
      </x:c>
      <x:c r="D260" t="str">
        <x:f>IF(Calc!$A$260&gt;'Calc'!$B$8,"",IF('Calc'!$E$12=1,'财富模型'!$E$9,'财富模型'!$M$4+IF(Calc!$A$260&lt;='财富模型'!$E$11*12,'Calc'!$W$12,'Calc'!$Y$12)-(IF('Calc'!$E$12=1,0,MIN(Calc!$C$259*(1+'财富模型'!$E$20/12)+'Calc'!$B$6,IF(Calc!$A$260&lt;='财富模型'!$E$11*12,'Calc'!$W$12,'Calc'!$Y$12))))))</x:f>
      </x:c>
      <x:c r="E260" t="str">
        <x:f>IF(Calc!$A$260&gt;'Calc'!$B$8,"",IF('Calc'!$E$12=1,0,MIN(Calc!$C$259*(1+'财富模型'!$E$20/12)+'Calc'!$B$6,IF(Calc!$A$260&lt;='财富模型'!$E$11*12,'Calc'!$W$12,'Calc'!$Y$12))))</x:f>
      </x:c>
      <x:c r="F260" t="str">
        <x:f>IF(Calc!$A$260&gt;'Calc'!$B$8,"",'Calc'!$B$5-'财富模型'!$E$5-(IF('Calc'!$E$12=1,'财富模型'!$E$9,'财富模型'!$M$4+IF(Calc!$A$260&lt;='财富模型'!$E$11*12,'Calc'!$W$12,'Calc'!$Y$12)-(IF('Calc'!$E$12=1,0,MIN(Calc!$C$259*(1+'财富模型'!$E$20/12)+'Calc'!$B$6,IF(Calc!$A$260&lt;='财富模型'!$E$11*12,'Calc'!$W$12,'Calc'!$Y$12)))))))</x:f>
      </x:c>
      <x:c r="G260" t="str">
        <x:f>IF(Calc!$A$260&gt;'Calc'!$B$8,"",IF('Calc'!$E$12=1,0,MAX(Calc!$G$259*(1+IF(Calc!$A$260&lt;='财富模型'!$E$11*12,'财富模型'!$E$10,'财富模型'!$E$12)/12)-IF('Calc'!$E$12=1,0,IF(Calc!$A$260&lt;='财富模型'!$E$11*12,'Calc'!$W$12,'Calc'!$Y$12)),0)))</x:f>
      </x:c>
      <x:c r="I260" t="n">
        <x:v>239</x:v>
      </x:c>
      <x:c r="J260" t="str">
        <x:f>IF(Calc!$I$260&gt;'Calc'!$B$8,"",MAX(Calc!$J$259*(1+'财富模型'!$E$6/12)+('Calc'!$B$5-'财富模型'!$E$5-(IF('Calc'!$E$13=1,'财富模型'!$E$9,'财富模型'!$M$5+IF(Calc!$I$260&lt;='财富模型'!$E$11*12,'Calc'!$W$13,'Calc'!$Y$13)-(IF('Calc'!$E$13=1,0,MIN(Calc!$K$259*(1+'财富模型'!$E$20/12)+'Calc'!$B$6,IF(Calc!$I$260&lt;='财富模型'!$E$11*12,'Calc'!$W$13,'Calc'!$Y$13))))))),0))</x:f>
      </x:c>
      <x:c r="K260" t="str">
        <x:f>IF(Calc!$I$260&gt;'Calc'!$B$8,"",MAX(Calc!$K$259*(1+'财富模型'!$E$20/12)+'Calc'!$B$6-(IF('Calc'!$E$13=1,0,MIN(Calc!$K$259*(1+'财富模型'!$E$20/12)+'Calc'!$B$6,IF(Calc!$I$260&lt;='财富模型'!$E$11*12,'Calc'!$W$13,'Calc'!$Y$13)))),0))</x:f>
      </x:c>
      <x:c r="L260" t="str">
        <x:f>IF(Calc!$I$260&gt;'Calc'!$B$8,"",IF('Calc'!$E$13=1,'财富模型'!$E$9,'财富模型'!$M$5+IF(Calc!$I$260&lt;='财富模型'!$E$11*12,'Calc'!$W$13,'Calc'!$Y$13)-(IF('Calc'!$E$13=1,0,MIN(Calc!$K$259*(1+'财富模型'!$E$20/12)+'Calc'!$B$6,IF(Calc!$I$260&lt;='财富模型'!$E$11*12,'Calc'!$W$13,'Calc'!$Y$13))))))</x:f>
      </x:c>
      <x:c r="M260" t="str">
        <x:f>IF(Calc!$I$260&gt;'Calc'!$B$8,"",IF('Calc'!$E$13=1,0,MIN(Calc!$K$259*(1+'财富模型'!$E$20/12)+'Calc'!$B$6,IF(Calc!$I$260&lt;='财富模型'!$E$11*12,'Calc'!$W$13,'Calc'!$Y$13))))</x:f>
      </x:c>
      <x:c r="N260" t="str">
        <x:f>IF(Calc!$I$260&gt;'Calc'!$B$8,"",'Calc'!$B$5-'财富模型'!$E$5-(IF('Calc'!$E$13=1,'财富模型'!$E$9,'财富模型'!$M$5+IF(Calc!$I$260&lt;='财富模型'!$E$11*12,'Calc'!$W$13,'Calc'!$Y$13)-(IF('Calc'!$E$13=1,0,MIN(Calc!$K$259*(1+'财富模型'!$E$20/12)+'Calc'!$B$6,IF(Calc!$I$260&lt;='财富模型'!$E$11*12,'Calc'!$W$13,'Calc'!$Y$13)))))))</x:f>
      </x:c>
      <x:c r="O260" t="str">
        <x:f>IF(Calc!$I$260&gt;'Calc'!$B$8,"",IF('Calc'!$E$13=1,0,MAX(Calc!$O$259*(1+IF(Calc!$I$260&lt;='财富模型'!$E$11*12,'财富模型'!$E$10,'财富模型'!$E$12)/12)-IF('Calc'!$E$13=1,0,IF(Calc!$I$260&lt;='财富模型'!$E$11*12,'Calc'!$W$13,'Calc'!$Y$13)),0)))</x:f>
      </x:c>
      <x:c r="Q260" t="n">
        <x:v>239</x:v>
      </x:c>
      <x:c r="R260" t="str">
        <x:f>IF(Calc!$Q$260&gt;'Calc'!$B$8,"",MAX(Calc!$R$259*(1+'财富模型'!$E$6/12)+('Calc'!$B$5-'财富模型'!$E$5-(IF('Calc'!$E$14=1,'财富模型'!$E$9,'财富模型'!$M$6+IF(Calc!$Q$260&lt;='财富模型'!$E$11*12,'Calc'!$W$14,'Calc'!$Y$14)-(IF('Calc'!$E$14=1,0,MIN(Calc!$S$259*(1+'财富模型'!$E$20/12)+'Calc'!$B$6,IF(Calc!$Q$260&lt;='财富模型'!$E$11*12,'Calc'!$W$14,'Calc'!$Y$14))))))),0))</x:f>
      </x:c>
      <x:c r="S260" t="str">
        <x:f>IF(Calc!$Q$260&gt;'Calc'!$B$8,"",MAX(Calc!$S$259*(1+'财富模型'!$E$20/12)+'Calc'!$B$6-(IF('Calc'!$E$14=1,0,MIN(Calc!$S$259*(1+'财富模型'!$E$20/12)+'Calc'!$B$6,IF(Calc!$Q$260&lt;='财富模型'!$E$11*12,'Calc'!$W$14,'Calc'!$Y$14)))),0))</x:f>
      </x:c>
      <x:c r="T260" t="str">
        <x:f>IF(Calc!$Q$260&gt;'Calc'!$B$8,"",IF('Calc'!$E$14=1,'财富模型'!$E$9,'财富模型'!$M$6+IF(Calc!$Q$260&lt;='财富模型'!$E$11*12,'Calc'!$W$14,'Calc'!$Y$14)-(IF('Calc'!$E$14=1,0,MIN(Calc!$S$259*(1+'财富模型'!$E$20/12)+'Calc'!$B$6,IF(Calc!$Q$260&lt;='财富模型'!$E$11*12,'Calc'!$W$14,'Calc'!$Y$14))))))</x:f>
      </x:c>
      <x:c r="U260" t="str">
        <x:f>IF(Calc!$Q$260&gt;'Calc'!$B$8,"",IF('Calc'!$E$14=1,0,MIN(Calc!$S$259*(1+'财富模型'!$E$20/12)+'Calc'!$B$6,IF(Calc!$Q$260&lt;='财富模型'!$E$11*12,'Calc'!$W$14,'Calc'!$Y$14))))</x:f>
      </x:c>
      <x:c r="V260" t="str">
        <x:f>IF(Calc!$Q$260&gt;'Calc'!$B$8,"",'Calc'!$B$5-'财富模型'!$E$5-(IF('Calc'!$E$14=1,'财富模型'!$E$9,'财富模型'!$M$6+IF(Calc!$Q$260&lt;='财富模型'!$E$11*12,'Calc'!$W$14,'Calc'!$Y$14)-(IF('Calc'!$E$14=1,0,MIN(Calc!$S$259*(1+'财富模型'!$E$20/12)+'Calc'!$B$6,IF(Calc!$Q$260&lt;='财富模型'!$E$11*12,'Calc'!$W$14,'Calc'!$Y$14)))))))</x:f>
      </x:c>
      <x:c r="W260" t="str">
        <x:f>IF(Calc!$Q$260&gt;'Calc'!$B$8,"",IF('Calc'!$E$14=1,0,MAX(Calc!$W$259*(1+IF(Calc!$Q$260&lt;='财富模型'!$E$11*12,'财富模型'!$E$10,'财富模型'!$E$12)/12)-IF('Calc'!$E$14=1,0,IF(Calc!$Q$260&lt;='财富模型'!$E$11*12,'Calc'!$W$14,'Calc'!$Y$14)),0)))</x:f>
      </x:c>
      <x:c r="Y260" t="n">
        <x:v>239</x:v>
      </x:c>
      <x:c r="Z260" t="str">
        <x:f>IF(Calc!$Y$260&gt;'Calc'!$B$8,"",MAX(Calc!$Z$259*(1+'财富模型'!$E$6/12)+('Calc'!$B$5-'财富模型'!$E$5-(IF('Calc'!$E$15=1,'财富模型'!$E$9,'财富模型'!$M$7+IF(Calc!$Y$260&lt;='财富模型'!$E$11*12,'Calc'!$W$15,'Calc'!$Y$15)-(IF('Calc'!$E$15=1,0,MIN(Calc!$AA$259*(1+'财富模型'!$E$20/12)+'Calc'!$B$6,IF(Calc!$Y$260&lt;='财富模型'!$E$11*12,'Calc'!$W$15,'Calc'!$Y$15))))))),0))</x:f>
      </x:c>
      <x:c r="AA260" t="str">
        <x:f>IF(Calc!$Y$260&gt;'Calc'!$B$8,"",MAX(Calc!$AA$259*(1+'财富模型'!$E$20/12)+'Calc'!$B$6-(IF('Calc'!$E$15=1,0,MIN(Calc!$AA$259*(1+'财富模型'!$E$20/12)+'Calc'!$B$6,IF(Calc!$Y$260&lt;='财富模型'!$E$11*12,'Calc'!$W$15,'Calc'!$Y$15)))),0))</x:f>
      </x:c>
      <x:c r="AB260" t="str">
        <x:f>IF(Calc!$Y$260&gt;'Calc'!$B$8,"",IF('Calc'!$E$15=1,'财富模型'!$E$9,'财富模型'!$M$7+IF(Calc!$Y$260&lt;='财富模型'!$E$11*12,'Calc'!$W$15,'Calc'!$Y$15)-(IF('Calc'!$E$15=1,0,MIN(Calc!$AA$259*(1+'财富模型'!$E$20/12)+'Calc'!$B$6,IF(Calc!$Y$260&lt;='财富模型'!$E$11*12,'Calc'!$W$15,'Calc'!$Y$15))))))</x:f>
      </x:c>
      <x:c r="AC260" t="str">
        <x:f>IF(Calc!$Y$260&gt;'Calc'!$B$8,"",IF('Calc'!$E$15=1,0,MIN(Calc!$AA$259*(1+'财富模型'!$E$20/12)+'Calc'!$B$6,IF(Calc!$Y$260&lt;='财富模型'!$E$11*12,'Calc'!$W$15,'Calc'!$Y$15))))</x:f>
      </x:c>
      <x:c r="AD260" t="str">
        <x:f>IF(Calc!$Y$260&gt;'Calc'!$B$8,"",'Calc'!$B$5-'财富模型'!$E$5-(IF('Calc'!$E$15=1,'财富模型'!$E$9,'财富模型'!$M$7+IF(Calc!$Y$260&lt;='财富模型'!$E$11*12,'Calc'!$W$15,'Calc'!$Y$15)-(IF('Calc'!$E$15=1,0,MIN(Calc!$AA$259*(1+'财富模型'!$E$20/12)+'Calc'!$B$6,IF(Calc!$Y$260&lt;='财富模型'!$E$11*12,'Calc'!$W$15,'Calc'!$Y$15)))))))</x:f>
      </x:c>
      <x:c r="AE260" t="str">
        <x:f>IF(Calc!$Y$260&gt;'Calc'!$B$8,"",IF('Calc'!$E$15=1,0,MAX(Calc!$AE$259*(1+IF(Calc!$Y$260&lt;='财富模型'!$E$11*12,'财富模型'!$E$10,'财富模型'!$E$12)/12)-IF('Calc'!$E$15=1,0,IF(Calc!$Y$260&lt;='财富模型'!$E$11*12,'Calc'!$W$15,'Calc'!$Y$15)),0)))</x:f>
      </x:c>
      <x:c r="AG260" t="n">
        <x:v>239</x:v>
      </x:c>
      <x:c r="AH260" t="str">
        <x:f>IF(Calc!$AG$260&gt;'Calc'!$B$8,"",MAX(Calc!$AH$259*(1+'财富模型'!$E$6/12)+('Calc'!$B$5-'财富模型'!$E$5-(IF('Calc'!$E$16=1,'财富模型'!$E$9,'财富模型'!$M$8+IF(Calc!$AG$260&lt;='财富模型'!$E$11*12,'Calc'!$W$16,'Calc'!$Y$16)-(IF('Calc'!$E$16=1,0,MIN(Calc!$AI$259*(1+'财富模型'!$E$20/12)+'Calc'!$B$6,IF(Calc!$AG$260&lt;='财富模型'!$E$11*12,'Calc'!$W$16,'Calc'!$Y$16))))))),0))</x:f>
      </x:c>
      <x:c r="AI260" t="str">
        <x:f>IF(Calc!$AG$260&gt;'Calc'!$B$8,"",MAX(Calc!$AI$259*(1+'财富模型'!$E$20/12)+'Calc'!$B$6-(IF('Calc'!$E$16=1,0,MIN(Calc!$AI$259*(1+'财富模型'!$E$20/12)+'Calc'!$B$6,IF(Calc!$AG$260&lt;='财富模型'!$E$11*12,'Calc'!$W$16,'Calc'!$Y$16)))),0))</x:f>
      </x:c>
      <x:c r="AJ260" t="str">
        <x:f>IF(Calc!$AG$260&gt;'Calc'!$B$8,"",IF('Calc'!$E$16=1,'财富模型'!$E$9,'财富模型'!$M$8+IF(Calc!$AG$260&lt;='财富模型'!$E$11*12,'Calc'!$W$16,'Calc'!$Y$16)-(IF('Calc'!$E$16=1,0,MIN(Calc!$AI$259*(1+'财富模型'!$E$20/12)+'Calc'!$B$6,IF(Calc!$AG$260&lt;='财富模型'!$E$11*12,'Calc'!$W$16,'Calc'!$Y$16))))))</x:f>
      </x:c>
      <x:c r="AK260" t="str">
        <x:f>IF(Calc!$AG$260&gt;'Calc'!$B$8,"",IF('Calc'!$E$16=1,0,MIN(Calc!$AI$259*(1+'财富模型'!$E$20/12)+'Calc'!$B$6,IF(Calc!$AG$260&lt;='财富模型'!$E$11*12,'Calc'!$W$16,'Calc'!$Y$16))))</x:f>
      </x:c>
      <x:c r="AL260" t="str">
        <x:f>IF(Calc!$AG$260&gt;'Calc'!$B$8,"",'Calc'!$B$5-'财富模型'!$E$5-(IF('Calc'!$E$16=1,'财富模型'!$E$9,'财富模型'!$M$8+IF(Calc!$AG$260&lt;='财富模型'!$E$11*12,'Calc'!$W$16,'Calc'!$Y$16)-(IF('Calc'!$E$16=1,0,MIN(Calc!$AI$259*(1+'财富模型'!$E$20/12)+'Calc'!$B$6,IF(Calc!$AG$260&lt;='财富模型'!$E$11*12,'Calc'!$W$16,'Calc'!$Y$16)))))))</x:f>
      </x:c>
      <x:c r="AM260" t="str">
        <x:f>IF(Calc!$AG$260&gt;'Calc'!$B$8,"",IF('Calc'!$E$16=1,0,MAX(Calc!$AM$259*(1+IF(Calc!$AG$260&lt;='财富模型'!$E$11*12,'财富模型'!$E$10,'财富模型'!$E$12)/12)-IF('Calc'!$E$16=1,0,IF(Calc!$AG$260&lt;='财富模型'!$E$11*12,'Calc'!$W$16,'Calc'!$Y$16)),0)))</x:f>
      </x:c>
      <x:c r="AO260" t="n">
        <x:v>239</x:v>
      </x:c>
      <x:c r="AP260" t="str">
        <x:f>IF(Calc!$AO$260&gt;'Calc'!$B$8,"",MAX(Calc!$AP$259*(1+'财富模型'!$E$6/12)+('Calc'!$B$5-'财富模型'!$E$5-(IF('Calc'!$E$17=1,'财富模型'!$E$9,'财富模型'!$M$9+IF(Calc!$AO$260&lt;='财富模型'!$E$11*12,'Calc'!$W$17,'Calc'!$Y$17)-(IF('Calc'!$E$17=1,0,MIN(Calc!$AQ$259*(1+'财富模型'!$E$20/12)+'Calc'!$B$6,IF(Calc!$AO$260&lt;='财富模型'!$E$11*12,'Calc'!$W$17,'Calc'!$Y$17))))))),0))</x:f>
      </x:c>
      <x:c r="AQ260" t="str">
        <x:f>IF(Calc!$AO$260&gt;'Calc'!$B$8,"",MAX(Calc!$AQ$259*(1+'财富模型'!$E$20/12)+'Calc'!$B$6-(IF('Calc'!$E$17=1,0,MIN(Calc!$AQ$259*(1+'财富模型'!$E$20/12)+'Calc'!$B$6,IF(Calc!$AO$260&lt;='财富模型'!$E$11*12,'Calc'!$W$17,'Calc'!$Y$17)))),0))</x:f>
      </x:c>
      <x:c r="AR260" t="str">
        <x:f>IF(Calc!$AO$260&gt;'Calc'!$B$8,"",IF('Calc'!$E$17=1,'财富模型'!$E$9,'财富模型'!$M$9+IF(Calc!$AO$260&lt;='财富模型'!$E$11*12,'Calc'!$W$17,'Calc'!$Y$17)-(IF('Calc'!$E$17=1,0,MIN(Calc!$AQ$259*(1+'财富模型'!$E$20/12)+'Calc'!$B$6,IF(Calc!$AO$260&lt;='财富模型'!$E$11*12,'Calc'!$W$17,'Calc'!$Y$17))))))</x:f>
      </x:c>
      <x:c r="AS260" t="str">
        <x:f>IF(Calc!$AO$260&gt;'Calc'!$B$8,"",IF('Calc'!$E$17=1,0,MIN(Calc!$AQ$259*(1+'财富模型'!$E$20/12)+'Calc'!$B$6,IF(Calc!$AO$260&lt;='财富模型'!$E$11*12,'Calc'!$W$17,'Calc'!$Y$17))))</x:f>
      </x:c>
      <x:c r="AT260" t="str">
        <x:f>IF(Calc!$AO$260&gt;'Calc'!$B$8,"",'Calc'!$B$5-'财富模型'!$E$5-(IF('Calc'!$E$17=1,'财富模型'!$E$9,'财富模型'!$M$9+IF(Calc!$AO$260&lt;='财富模型'!$E$11*12,'Calc'!$W$17,'Calc'!$Y$17)-(IF('Calc'!$E$17=1,0,MIN(Calc!$AQ$259*(1+'财富模型'!$E$20/12)+'Calc'!$B$6,IF(Calc!$AO$260&lt;='财富模型'!$E$11*12,'Calc'!$W$17,'Calc'!$Y$17)))))))</x:f>
      </x:c>
      <x:c r="AU260" t="str">
        <x:f>IF(Calc!$AO$260&gt;'Calc'!$B$8,"",IF('Calc'!$E$17=1,0,MAX(Calc!$AU$259*(1+IF(Calc!$AO$260&lt;='财富模型'!$E$11*12,'财富模型'!$E$10,'财富模型'!$E$12)/12)-IF('Calc'!$E$17=1,0,IF(Calc!$AO$260&lt;='财富模型'!$E$11*12,'Calc'!$W$17,'Calc'!$Y$17)),0)))</x:f>
      </x:c>
    </x:row>
    <x:row r="261">
      <x:c r="A261" t="n">
        <x:v>240</x:v>
      </x:c>
      <x:c r="B261" t="str">
        <x:f>IF(Calc!$A$261&gt;'Calc'!$B$8,"",MAX(Calc!$B$260*(1+'财富模型'!$E$6/12)+('Calc'!$B$5-'财富模型'!$E$5-(IF('Calc'!$E$12=1,'财富模型'!$E$9,'财富模型'!$M$4+IF(Calc!$A$261&lt;='财富模型'!$E$11*12,'Calc'!$W$12,'Calc'!$Y$12)-(IF('Calc'!$E$12=1,0,MIN(Calc!$C$260*(1+'财富模型'!$E$20/12)+'Calc'!$B$6,IF(Calc!$A$261&lt;='财富模型'!$E$11*12,'Calc'!$W$12,'Calc'!$Y$12))))))),0))</x:f>
      </x:c>
      <x:c r="C261" t="str">
        <x:f>IF(Calc!$A$261&gt;'Calc'!$B$8,"",MAX(Calc!$C$260*(1+'财富模型'!$E$20/12)+'Calc'!$B$6-(IF('Calc'!$E$12=1,0,MIN(Calc!$C$260*(1+'财富模型'!$E$20/12)+'Calc'!$B$6,IF(Calc!$A$261&lt;='财富模型'!$E$11*12,'Calc'!$W$12,'Calc'!$Y$12)))),0))</x:f>
      </x:c>
      <x:c r="D261" t="str">
        <x:f>IF(Calc!$A$261&gt;'Calc'!$B$8,"",IF('Calc'!$E$12=1,'财富模型'!$E$9,'财富模型'!$M$4+IF(Calc!$A$261&lt;='财富模型'!$E$11*12,'Calc'!$W$12,'Calc'!$Y$12)-(IF('Calc'!$E$12=1,0,MIN(Calc!$C$260*(1+'财富模型'!$E$20/12)+'Calc'!$B$6,IF(Calc!$A$261&lt;='财富模型'!$E$11*12,'Calc'!$W$12,'Calc'!$Y$12))))))</x:f>
      </x:c>
      <x:c r="E261" t="str">
        <x:f>IF(Calc!$A$261&gt;'Calc'!$B$8,"",IF('Calc'!$E$12=1,0,MIN(Calc!$C$260*(1+'财富模型'!$E$20/12)+'Calc'!$B$6,IF(Calc!$A$261&lt;='财富模型'!$E$11*12,'Calc'!$W$12,'Calc'!$Y$12))))</x:f>
      </x:c>
      <x:c r="F261" t="str">
        <x:f>IF(Calc!$A$261&gt;'Calc'!$B$8,"",'Calc'!$B$5-'财富模型'!$E$5-(IF('Calc'!$E$12=1,'财富模型'!$E$9,'财富模型'!$M$4+IF(Calc!$A$261&lt;='财富模型'!$E$11*12,'Calc'!$W$12,'Calc'!$Y$12)-(IF('Calc'!$E$12=1,0,MIN(Calc!$C$260*(1+'财富模型'!$E$20/12)+'Calc'!$B$6,IF(Calc!$A$261&lt;='财富模型'!$E$11*12,'Calc'!$W$12,'Calc'!$Y$12)))))))</x:f>
      </x:c>
      <x:c r="G261" t="str">
        <x:f>IF(Calc!$A$261&gt;'Calc'!$B$8,"",IF('Calc'!$E$12=1,0,MAX(Calc!$G$260*(1+IF(Calc!$A$261&lt;='财富模型'!$E$11*12,'财富模型'!$E$10,'财富模型'!$E$12)/12)-IF('Calc'!$E$12=1,0,IF(Calc!$A$261&lt;='财富模型'!$E$11*12,'Calc'!$W$12,'Calc'!$Y$12)),0)))</x:f>
      </x:c>
      <x:c r="I261" t="n">
        <x:v>240</x:v>
      </x:c>
      <x:c r="J261" t="str">
        <x:f>IF(Calc!$I$261&gt;'Calc'!$B$8,"",MAX(Calc!$J$260*(1+'财富模型'!$E$6/12)+('Calc'!$B$5-'财富模型'!$E$5-(IF('Calc'!$E$13=1,'财富模型'!$E$9,'财富模型'!$M$5+IF(Calc!$I$261&lt;='财富模型'!$E$11*12,'Calc'!$W$13,'Calc'!$Y$13)-(IF('Calc'!$E$13=1,0,MIN(Calc!$K$260*(1+'财富模型'!$E$20/12)+'Calc'!$B$6,IF(Calc!$I$261&lt;='财富模型'!$E$11*12,'Calc'!$W$13,'Calc'!$Y$13))))))),0))</x:f>
      </x:c>
      <x:c r="K261" t="str">
        <x:f>IF(Calc!$I$261&gt;'Calc'!$B$8,"",MAX(Calc!$K$260*(1+'财富模型'!$E$20/12)+'Calc'!$B$6-(IF('Calc'!$E$13=1,0,MIN(Calc!$K$260*(1+'财富模型'!$E$20/12)+'Calc'!$B$6,IF(Calc!$I$261&lt;='财富模型'!$E$11*12,'Calc'!$W$13,'Calc'!$Y$13)))),0))</x:f>
      </x:c>
      <x:c r="L261" t="str">
        <x:f>IF(Calc!$I$261&gt;'Calc'!$B$8,"",IF('Calc'!$E$13=1,'财富模型'!$E$9,'财富模型'!$M$5+IF(Calc!$I$261&lt;='财富模型'!$E$11*12,'Calc'!$W$13,'Calc'!$Y$13)-(IF('Calc'!$E$13=1,0,MIN(Calc!$K$260*(1+'财富模型'!$E$20/12)+'Calc'!$B$6,IF(Calc!$I$261&lt;='财富模型'!$E$11*12,'Calc'!$W$13,'Calc'!$Y$13))))))</x:f>
      </x:c>
      <x:c r="M261" t="str">
        <x:f>IF(Calc!$I$261&gt;'Calc'!$B$8,"",IF('Calc'!$E$13=1,0,MIN(Calc!$K$260*(1+'财富模型'!$E$20/12)+'Calc'!$B$6,IF(Calc!$I$261&lt;='财富模型'!$E$11*12,'Calc'!$W$13,'Calc'!$Y$13))))</x:f>
      </x:c>
      <x:c r="N261" t="str">
        <x:f>IF(Calc!$I$261&gt;'Calc'!$B$8,"",'Calc'!$B$5-'财富模型'!$E$5-(IF('Calc'!$E$13=1,'财富模型'!$E$9,'财富模型'!$M$5+IF(Calc!$I$261&lt;='财富模型'!$E$11*12,'Calc'!$W$13,'Calc'!$Y$13)-(IF('Calc'!$E$13=1,0,MIN(Calc!$K$260*(1+'财富模型'!$E$20/12)+'Calc'!$B$6,IF(Calc!$I$261&lt;='财富模型'!$E$11*12,'Calc'!$W$13,'Calc'!$Y$13)))))))</x:f>
      </x:c>
      <x:c r="O261" t="str">
        <x:f>IF(Calc!$I$261&gt;'Calc'!$B$8,"",IF('Calc'!$E$13=1,0,MAX(Calc!$O$260*(1+IF(Calc!$I$261&lt;='财富模型'!$E$11*12,'财富模型'!$E$10,'财富模型'!$E$12)/12)-IF('Calc'!$E$13=1,0,IF(Calc!$I$261&lt;='财富模型'!$E$11*12,'Calc'!$W$13,'Calc'!$Y$13)),0)))</x:f>
      </x:c>
      <x:c r="Q261" t="n">
        <x:v>240</x:v>
      </x:c>
      <x:c r="R261" t="str">
        <x:f>IF(Calc!$Q$261&gt;'Calc'!$B$8,"",MAX(Calc!$R$260*(1+'财富模型'!$E$6/12)+('Calc'!$B$5-'财富模型'!$E$5-(IF('Calc'!$E$14=1,'财富模型'!$E$9,'财富模型'!$M$6+IF(Calc!$Q$261&lt;='财富模型'!$E$11*12,'Calc'!$W$14,'Calc'!$Y$14)-(IF('Calc'!$E$14=1,0,MIN(Calc!$S$260*(1+'财富模型'!$E$20/12)+'Calc'!$B$6,IF(Calc!$Q$261&lt;='财富模型'!$E$11*12,'Calc'!$W$14,'Calc'!$Y$14))))))),0))</x:f>
      </x:c>
      <x:c r="S261" t="str">
        <x:f>IF(Calc!$Q$261&gt;'Calc'!$B$8,"",MAX(Calc!$S$260*(1+'财富模型'!$E$20/12)+'Calc'!$B$6-(IF('Calc'!$E$14=1,0,MIN(Calc!$S$260*(1+'财富模型'!$E$20/12)+'Calc'!$B$6,IF(Calc!$Q$261&lt;='财富模型'!$E$11*12,'Calc'!$W$14,'Calc'!$Y$14)))),0))</x:f>
      </x:c>
      <x:c r="T261" t="str">
        <x:f>IF(Calc!$Q$261&gt;'Calc'!$B$8,"",IF('Calc'!$E$14=1,'财富模型'!$E$9,'财富模型'!$M$6+IF(Calc!$Q$261&lt;='财富模型'!$E$11*12,'Calc'!$W$14,'Calc'!$Y$14)-(IF('Calc'!$E$14=1,0,MIN(Calc!$S$260*(1+'财富模型'!$E$20/12)+'Calc'!$B$6,IF(Calc!$Q$261&lt;='财富模型'!$E$11*12,'Calc'!$W$14,'Calc'!$Y$14))))))</x:f>
      </x:c>
      <x:c r="U261" t="str">
        <x:f>IF(Calc!$Q$261&gt;'Calc'!$B$8,"",IF('Calc'!$E$14=1,0,MIN(Calc!$S$260*(1+'财富模型'!$E$20/12)+'Calc'!$B$6,IF(Calc!$Q$261&lt;='财富模型'!$E$11*12,'Calc'!$W$14,'Calc'!$Y$14))))</x:f>
      </x:c>
      <x:c r="V261" t="str">
        <x:f>IF(Calc!$Q$261&gt;'Calc'!$B$8,"",'Calc'!$B$5-'财富模型'!$E$5-(IF('Calc'!$E$14=1,'财富模型'!$E$9,'财富模型'!$M$6+IF(Calc!$Q$261&lt;='财富模型'!$E$11*12,'Calc'!$W$14,'Calc'!$Y$14)-(IF('Calc'!$E$14=1,0,MIN(Calc!$S$260*(1+'财富模型'!$E$20/12)+'Calc'!$B$6,IF(Calc!$Q$261&lt;='财富模型'!$E$11*12,'Calc'!$W$14,'Calc'!$Y$14)))))))</x:f>
      </x:c>
      <x:c r="W261" t="str">
        <x:f>IF(Calc!$Q$261&gt;'Calc'!$B$8,"",IF('Calc'!$E$14=1,0,MAX(Calc!$W$260*(1+IF(Calc!$Q$261&lt;='财富模型'!$E$11*12,'财富模型'!$E$10,'财富模型'!$E$12)/12)-IF('Calc'!$E$14=1,0,IF(Calc!$Q$261&lt;='财富模型'!$E$11*12,'Calc'!$W$14,'Calc'!$Y$14)),0)))</x:f>
      </x:c>
      <x:c r="Y261" t="n">
        <x:v>240</x:v>
      </x:c>
      <x:c r="Z261" t="str">
        <x:f>IF(Calc!$Y$261&gt;'Calc'!$B$8,"",MAX(Calc!$Z$260*(1+'财富模型'!$E$6/12)+('Calc'!$B$5-'财富模型'!$E$5-(IF('Calc'!$E$15=1,'财富模型'!$E$9,'财富模型'!$M$7+IF(Calc!$Y$261&lt;='财富模型'!$E$11*12,'Calc'!$W$15,'Calc'!$Y$15)-(IF('Calc'!$E$15=1,0,MIN(Calc!$AA$260*(1+'财富模型'!$E$20/12)+'Calc'!$B$6,IF(Calc!$Y$261&lt;='财富模型'!$E$11*12,'Calc'!$W$15,'Calc'!$Y$15))))))),0))</x:f>
      </x:c>
      <x:c r="AA261" t="str">
        <x:f>IF(Calc!$Y$261&gt;'Calc'!$B$8,"",MAX(Calc!$AA$260*(1+'财富模型'!$E$20/12)+'Calc'!$B$6-(IF('Calc'!$E$15=1,0,MIN(Calc!$AA$260*(1+'财富模型'!$E$20/12)+'Calc'!$B$6,IF(Calc!$Y$261&lt;='财富模型'!$E$11*12,'Calc'!$W$15,'Calc'!$Y$15)))),0))</x:f>
      </x:c>
      <x:c r="AB261" t="str">
        <x:f>IF(Calc!$Y$261&gt;'Calc'!$B$8,"",IF('Calc'!$E$15=1,'财富模型'!$E$9,'财富模型'!$M$7+IF(Calc!$Y$261&lt;='财富模型'!$E$11*12,'Calc'!$W$15,'Calc'!$Y$15)-(IF('Calc'!$E$15=1,0,MIN(Calc!$AA$260*(1+'财富模型'!$E$20/12)+'Calc'!$B$6,IF(Calc!$Y$261&lt;='财富模型'!$E$11*12,'Calc'!$W$15,'Calc'!$Y$15))))))</x:f>
      </x:c>
      <x:c r="AC261" t="str">
        <x:f>IF(Calc!$Y$261&gt;'Calc'!$B$8,"",IF('Calc'!$E$15=1,0,MIN(Calc!$AA$260*(1+'财富模型'!$E$20/12)+'Calc'!$B$6,IF(Calc!$Y$261&lt;='财富模型'!$E$11*12,'Calc'!$W$15,'Calc'!$Y$15))))</x:f>
      </x:c>
      <x:c r="AD261" t="str">
        <x:f>IF(Calc!$Y$261&gt;'Calc'!$B$8,"",'Calc'!$B$5-'财富模型'!$E$5-(IF('Calc'!$E$15=1,'财富模型'!$E$9,'财富模型'!$M$7+IF(Calc!$Y$261&lt;='财富模型'!$E$11*12,'Calc'!$W$15,'Calc'!$Y$15)-(IF('Calc'!$E$15=1,0,MIN(Calc!$AA$260*(1+'财富模型'!$E$20/12)+'Calc'!$B$6,IF(Calc!$Y$261&lt;='财富模型'!$E$11*12,'Calc'!$W$15,'Calc'!$Y$15)))))))</x:f>
      </x:c>
      <x:c r="AE261" t="str">
        <x:f>IF(Calc!$Y$261&gt;'Calc'!$B$8,"",IF('Calc'!$E$15=1,0,MAX(Calc!$AE$260*(1+IF(Calc!$Y$261&lt;='财富模型'!$E$11*12,'财富模型'!$E$10,'财富模型'!$E$12)/12)-IF('Calc'!$E$15=1,0,IF(Calc!$Y$261&lt;='财富模型'!$E$11*12,'Calc'!$W$15,'Calc'!$Y$15)),0)))</x:f>
      </x:c>
      <x:c r="AG261" t="n">
        <x:v>240</x:v>
      </x:c>
      <x:c r="AH261" t="str">
        <x:f>IF(Calc!$AG$261&gt;'Calc'!$B$8,"",MAX(Calc!$AH$260*(1+'财富模型'!$E$6/12)+('Calc'!$B$5-'财富模型'!$E$5-(IF('Calc'!$E$16=1,'财富模型'!$E$9,'财富模型'!$M$8+IF(Calc!$AG$261&lt;='财富模型'!$E$11*12,'Calc'!$W$16,'Calc'!$Y$16)-(IF('Calc'!$E$16=1,0,MIN(Calc!$AI$260*(1+'财富模型'!$E$20/12)+'Calc'!$B$6,IF(Calc!$AG$261&lt;='财富模型'!$E$11*12,'Calc'!$W$16,'Calc'!$Y$16))))))),0))</x:f>
      </x:c>
      <x:c r="AI261" t="str">
        <x:f>IF(Calc!$AG$261&gt;'Calc'!$B$8,"",MAX(Calc!$AI$260*(1+'财富模型'!$E$20/12)+'Calc'!$B$6-(IF('Calc'!$E$16=1,0,MIN(Calc!$AI$260*(1+'财富模型'!$E$20/12)+'Calc'!$B$6,IF(Calc!$AG$261&lt;='财富模型'!$E$11*12,'Calc'!$W$16,'Calc'!$Y$16)))),0))</x:f>
      </x:c>
      <x:c r="AJ261" t="str">
        <x:f>IF(Calc!$AG$261&gt;'Calc'!$B$8,"",IF('Calc'!$E$16=1,'财富模型'!$E$9,'财富模型'!$M$8+IF(Calc!$AG$261&lt;='财富模型'!$E$11*12,'Calc'!$W$16,'Calc'!$Y$16)-(IF('Calc'!$E$16=1,0,MIN(Calc!$AI$260*(1+'财富模型'!$E$20/12)+'Calc'!$B$6,IF(Calc!$AG$261&lt;='财富模型'!$E$11*12,'Calc'!$W$16,'Calc'!$Y$16))))))</x:f>
      </x:c>
      <x:c r="AK261" t="str">
        <x:f>IF(Calc!$AG$261&gt;'Calc'!$B$8,"",IF('Calc'!$E$16=1,0,MIN(Calc!$AI$260*(1+'财富模型'!$E$20/12)+'Calc'!$B$6,IF(Calc!$AG$261&lt;='财富模型'!$E$11*12,'Calc'!$W$16,'Calc'!$Y$16))))</x:f>
      </x:c>
      <x:c r="AL261" t="str">
        <x:f>IF(Calc!$AG$261&gt;'Calc'!$B$8,"",'Calc'!$B$5-'财富模型'!$E$5-(IF('Calc'!$E$16=1,'财富模型'!$E$9,'财富模型'!$M$8+IF(Calc!$AG$261&lt;='财富模型'!$E$11*12,'Calc'!$W$16,'Calc'!$Y$16)-(IF('Calc'!$E$16=1,0,MIN(Calc!$AI$260*(1+'财富模型'!$E$20/12)+'Calc'!$B$6,IF(Calc!$AG$261&lt;='财富模型'!$E$11*12,'Calc'!$W$16,'Calc'!$Y$16)))))))</x:f>
      </x:c>
      <x:c r="AM261" t="str">
        <x:f>IF(Calc!$AG$261&gt;'Calc'!$B$8,"",IF('Calc'!$E$16=1,0,MAX(Calc!$AM$260*(1+IF(Calc!$AG$261&lt;='财富模型'!$E$11*12,'财富模型'!$E$10,'财富模型'!$E$12)/12)-IF('Calc'!$E$16=1,0,IF(Calc!$AG$261&lt;='财富模型'!$E$11*12,'Calc'!$W$16,'Calc'!$Y$16)),0)))</x:f>
      </x:c>
      <x:c r="AO261" t="n">
        <x:v>240</x:v>
      </x:c>
      <x:c r="AP261" t="str">
        <x:f>IF(Calc!$AO$261&gt;'Calc'!$B$8,"",MAX(Calc!$AP$260*(1+'财富模型'!$E$6/12)+('Calc'!$B$5-'财富模型'!$E$5-(IF('Calc'!$E$17=1,'财富模型'!$E$9,'财富模型'!$M$9+IF(Calc!$AO$261&lt;='财富模型'!$E$11*12,'Calc'!$W$17,'Calc'!$Y$17)-(IF('Calc'!$E$17=1,0,MIN(Calc!$AQ$260*(1+'财富模型'!$E$20/12)+'Calc'!$B$6,IF(Calc!$AO$261&lt;='财富模型'!$E$11*12,'Calc'!$W$17,'Calc'!$Y$17))))))),0))</x:f>
      </x:c>
      <x:c r="AQ261" t="str">
        <x:f>IF(Calc!$AO$261&gt;'Calc'!$B$8,"",MAX(Calc!$AQ$260*(1+'财富模型'!$E$20/12)+'Calc'!$B$6-(IF('Calc'!$E$17=1,0,MIN(Calc!$AQ$260*(1+'财富模型'!$E$20/12)+'Calc'!$B$6,IF(Calc!$AO$261&lt;='财富模型'!$E$11*12,'Calc'!$W$17,'Calc'!$Y$17)))),0))</x:f>
      </x:c>
      <x:c r="AR261" t="str">
        <x:f>IF(Calc!$AO$261&gt;'Calc'!$B$8,"",IF('Calc'!$E$17=1,'财富模型'!$E$9,'财富模型'!$M$9+IF(Calc!$AO$261&lt;='财富模型'!$E$11*12,'Calc'!$W$17,'Calc'!$Y$17)-(IF('Calc'!$E$17=1,0,MIN(Calc!$AQ$260*(1+'财富模型'!$E$20/12)+'Calc'!$B$6,IF(Calc!$AO$261&lt;='财富模型'!$E$11*12,'Calc'!$W$17,'Calc'!$Y$17))))))</x:f>
      </x:c>
      <x:c r="AS261" t="str">
        <x:f>IF(Calc!$AO$261&gt;'Calc'!$B$8,"",IF('Calc'!$E$17=1,0,MIN(Calc!$AQ$260*(1+'财富模型'!$E$20/12)+'Calc'!$B$6,IF(Calc!$AO$261&lt;='财富模型'!$E$11*12,'Calc'!$W$17,'Calc'!$Y$17))))</x:f>
      </x:c>
      <x:c r="AT261" t="str">
        <x:f>IF(Calc!$AO$261&gt;'Calc'!$B$8,"",'Calc'!$B$5-'财富模型'!$E$5-(IF('Calc'!$E$17=1,'财富模型'!$E$9,'财富模型'!$M$9+IF(Calc!$AO$261&lt;='财富模型'!$E$11*12,'Calc'!$W$17,'Calc'!$Y$17)-(IF('Calc'!$E$17=1,0,MIN(Calc!$AQ$260*(1+'财富模型'!$E$20/12)+'Calc'!$B$6,IF(Calc!$AO$261&lt;='财富模型'!$E$11*12,'Calc'!$W$17,'Calc'!$Y$17)))))))</x:f>
      </x:c>
      <x:c r="AU261" t="str">
        <x:f>IF(Calc!$AO$261&gt;'Calc'!$B$8,"",IF('Calc'!$E$17=1,0,MAX(Calc!$AU$260*(1+IF(Calc!$AO$261&lt;='财富模型'!$E$11*12,'财富模型'!$E$10,'财富模型'!$E$12)/12)-IF('Calc'!$E$17=1,0,IF(Calc!$AO$261&lt;='财富模型'!$E$11*12,'Calc'!$W$17,'Calc'!$Y$17)),0)))</x:f>
      </x:c>
    </x:row>
    <x:row r="262">
      <x:c r="A262" t="n">
        <x:v>241</x:v>
      </x:c>
      <x:c r="B262" t="str">
        <x:f>IF(Calc!$A$262&gt;'Calc'!$B$8,"",MAX(Calc!$B$261*(1+'财富模型'!$E$6/12)+('Calc'!$B$5-'财富模型'!$E$5-(IF('Calc'!$E$12=1,'财富模型'!$E$9,'财富模型'!$M$4+IF(Calc!$A$262&lt;='财富模型'!$E$11*12,'Calc'!$W$12,'Calc'!$Y$12)-(IF('Calc'!$E$12=1,0,MIN(Calc!$C$261*(1+'财富模型'!$E$20/12)+'Calc'!$B$6,IF(Calc!$A$262&lt;='财富模型'!$E$11*12,'Calc'!$W$12,'Calc'!$Y$12))))))),0))</x:f>
      </x:c>
      <x:c r="C262" t="str">
        <x:f>IF(Calc!$A$262&gt;'Calc'!$B$8,"",MAX(Calc!$C$261*(1+'财富模型'!$E$20/12)+'Calc'!$B$6-(IF('Calc'!$E$12=1,0,MIN(Calc!$C$261*(1+'财富模型'!$E$20/12)+'Calc'!$B$6,IF(Calc!$A$262&lt;='财富模型'!$E$11*12,'Calc'!$W$12,'Calc'!$Y$12)))),0))</x:f>
      </x:c>
      <x:c r="D262" t="str">
        <x:f>IF(Calc!$A$262&gt;'Calc'!$B$8,"",IF('Calc'!$E$12=1,'财富模型'!$E$9,'财富模型'!$M$4+IF(Calc!$A$262&lt;='财富模型'!$E$11*12,'Calc'!$W$12,'Calc'!$Y$12)-(IF('Calc'!$E$12=1,0,MIN(Calc!$C$261*(1+'财富模型'!$E$20/12)+'Calc'!$B$6,IF(Calc!$A$262&lt;='财富模型'!$E$11*12,'Calc'!$W$12,'Calc'!$Y$12))))))</x:f>
      </x:c>
      <x:c r="E262" t="str">
        <x:f>IF(Calc!$A$262&gt;'Calc'!$B$8,"",IF('Calc'!$E$12=1,0,MIN(Calc!$C$261*(1+'财富模型'!$E$20/12)+'Calc'!$B$6,IF(Calc!$A$262&lt;='财富模型'!$E$11*12,'Calc'!$W$12,'Calc'!$Y$12))))</x:f>
      </x:c>
      <x:c r="F262" t="str">
        <x:f>IF(Calc!$A$262&gt;'Calc'!$B$8,"",'Calc'!$B$5-'财富模型'!$E$5-(IF('Calc'!$E$12=1,'财富模型'!$E$9,'财富模型'!$M$4+IF(Calc!$A$262&lt;='财富模型'!$E$11*12,'Calc'!$W$12,'Calc'!$Y$12)-(IF('Calc'!$E$12=1,0,MIN(Calc!$C$261*(1+'财富模型'!$E$20/12)+'Calc'!$B$6,IF(Calc!$A$262&lt;='财富模型'!$E$11*12,'Calc'!$W$12,'Calc'!$Y$12)))))))</x:f>
      </x:c>
      <x:c r="G262" t="str">
        <x:f>IF(Calc!$A$262&gt;'Calc'!$B$8,"",IF('Calc'!$E$12=1,0,MAX(Calc!$G$261*(1+IF(Calc!$A$262&lt;='财富模型'!$E$11*12,'财富模型'!$E$10,'财富模型'!$E$12)/12)-IF('Calc'!$E$12=1,0,IF(Calc!$A$262&lt;='财富模型'!$E$11*12,'Calc'!$W$12,'Calc'!$Y$12)),0)))</x:f>
      </x:c>
      <x:c r="I262" t="n">
        <x:v>241</x:v>
      </x:c>
      <x:c r="J262" t="str">
        <x:f>IF(Calc!$I$262&gt;'Calc'!$B$8,"",MAX(Calc!$J$261*(1+'财富模型'!$E$6/12)+('Calc'!$B$5-'财富模型'!$E$5-(IF('Calc'!$E$13=1,'财富模型'!$E$9,'财富模型'!$M$5+IF(Calc!$I$262&lt;='财富模型'!$E$11*12,'Calc'!$W$13,'Calc'!$Y$13)-(IF('Calc'!$E$13=1,0,MIN(Calc!$K$261*(1+'财富模型'!$E$20/12)+'Calc'!$B$6,IF(Calc!$I$262&lt;='财富模型'!$E$11*12,'Calc'!$W$13,'Calc'!$Y$13))))))),0))</x:f>
      </x:c>
      <x:c r="K262" t="str">
        <x:f>IF(Calc!$I$262&gt;'Calc'!$B$8,"",MAX(Calc!$K$261*(1+'财富模型'!$E$20/12)+'Calc'!$B$6-(IF('Calc'!$E$13=1,0,MIN(Calc!$K$261*(1+'财富模型'!$E$20/12)+'Calc'!$B$6,IF(Calc!$I$262&lt;='财富模型'!$E$11*12,'Calc'!$W$13,'Calc'!$Y$13)))),0))</x:f>
      </x:c>
      <x:c r="L262" t="str">
        <x:f>IF(Calc!$I$262&gt;'Calc'!$B$8,"",IF('Calc'!$E$13=1,'财富模型'!$E$9,'财富模型'!$M$5+IF(Calc!$I$262&lt;='财富模型'!$E$11*12,'Calc'!$W$13,'Calc'!$Y$13)-(IF('Calc'!$E$13=1,0,MIN(Calc!$K$261*(1+'财富模型'!$E$20/12)+'Calc'!$B$6,IF(Calc!$I$262&lt;='财富模型'!$E$11*12,'Calc'!$W$13,'Calc'!$Y$13))))))</x:f>
      </x:c>
      <x:c r="M262" t="str">
        <x:f>IF(Calc!$I$262&gt;'Calc'!$B$8,"",IF('Calc'!$E$13=1,0,MIN(Calc!$K$261*(1+'财富模型'!$E$20/12)+'Calc'!$B$6,IF(Calc!$I$262&lt;='财富模型'!$E$11*12,'Calc'!$W$13,'Calc'!$Y$13))))</x:f>
      </x:c>
      <x:c r="N262" t="str">
        <x:f>IF(Calc!$I$262&gt;'Calc'!$B$8,"",'Calc'!$B$5-'财富模型'!$E$5-(IF('Calc'!$E$13=1,'财富模型'!$E$9,'财富模型'!$M$5+IF(Calc!$I$262&lt;='财富模型'!$E$11*12,'Calc'!$W$13,'Calc'!$Y$13)-(IF('Calc'!$E$13=1,0,MIN(Calc!$K$261*(1+'财富模型'!$E$20/12)+'Calc'!$B$6,IF(Calc!$I$262&lt;='财富模型'!$E$11*12,'Calc'!$W$13,'Calc'!$Y$13)))))))</x:f>
      </x:c>
      <x:c r="O262" t="str">
        <x:f>IF(Calc!$I$262&gt;'Calc'!$B$8,"",IF('Calc'!$E$13=1,0,MAX(Calc!$O$261*(1+IF(Calc!$I$262&lt;='财富模型'!$E$11*12,'财富模型'!$E$10,'财富模型'!$E$12)/12)-IF('Calc'!$E$13=1,0,IF(Calc!$I$262&lt;='财富模型'!$E$11*12,'Calc'!$W$13,'Calc'!$Y$13)),0)))</x:f>
      </x:c>
      <x:c r="Q262" t="n">
        <x:v>241</x:v>
      </x:c>
      <x:c r="R262" t="str">
        <x:f>IF(Calc!$Q$262&gt;'Calc'!$B$8,"",MAX(Calc!$R$261*(1+'财富模型'!$E$6/12)+('Calc'!$B$5-'财富模型'!$E$5-(IF('Calc'!$E$14=1,'财富模型'!$E$9,'财富模型'!$M$6+IF(Calc!$Q$262&lt;='财富模型'!$E$11*12,'Calc'!$W$14,'Calc'!$Y$14)-(IF('Calc'!$E$14=1,0,MIN(Calc!$S$261*(1+'财富模型'!$E$20/12)+'Calc'!$B$6,IF(Calc!$Q$262&lt;='财富模型'!$E$11*12,'Calc'!$W$14,'Calc'!$Y$14))))))),0))</x:f>
      </x:c>
      <x:c r="S262" t="str">
        <x:f>IF(Calc!$Q$262&gt;'Calc'!$B$8,"",MAX(Calc!$S$261*(1+'财富模型'!$E$20/12)+'Calc'!$B$6-(IF('Calc'!$E$14=1,0,MIN(Calc!$S$261*(1+'财富模型'!$E$20/12)+'Calc'!$B$6,IF(Calc!$Q$262&lt;='财富模型'!$E$11*12,'Calc'!$W$14,'Calc'!$Y$14)))),0))</x:f>
      </x:c>
      <x:c r="T262" t="str">
        <x:f>IF(Calc!$Q$262&gt;'Calc'!$B$8,"",IF('Calc'!$E$14=1,'财富模型'!$E$9,'财富模型'!$M$6+IF(Calc!$Q$262&lt;='财富模型'!$E$11*12,'Calc'!$W$14,'Calc'!$Y$14)-(IF('Calc'!$E$14=1,0,MIN(Calc!$S$261*(1+'财富模型'!$E$20/12)+'Calc'!$B$6,IF(Calc!$Q$262&lt;='财富模型'!$E$11*12,'Calc'!$W$14,'Calc'!$Y$14))))))</x:f>
      </x:c>
      <x:c r="U262" t="str">
        <x:f>IF(Calc!$Q$262&gt;'Calc'!$B$8,"",IF('Calc'!$E$14=1,0,MIN(Calc!$S$261*(1+'财富模型'!$E$20/12)+'Calc'!$B$6,IF(Calc!$Q$262&lt;='财富模型'!$E$11*12,'Calc'!$W$14,'Calc'!$Y$14))))</x:f>
      </x:c>
      <x:c r="V262" t="str">
        <x:f>IF(Calc!$Q$262&gt;'Calc'!$B$8,"",'Calc'!$B$5-'财富模型'!$E$5-(IF('Calc'!$E$14=1,'财富模型'!$E$9,'财富模型'!$M$6+IF(Calc!$Q$262&lt;='财富模型'!$E$11*12,'Calc'!$W$14,'Calc'!$Y$14)-(IF('Calc'!$E$14=1,0,MIN(Calc!$S$261*(1+'财富模型'!$E$20/12)+'Calc'!$B$6,IF(Calc!$Q$262&lt;='财富模型'!$E$11*12,'Calc'!$W$14,'Calc'!$Y$14)))))))</x:f>
      </x:c>
      <x:c r="W262" t="str">
        <x:f>IF(Calc!$Q$262&gt;'Calc'!$B$8,"",IF('Calc'!$E$14=1,0,MAX(Calc!$W$261*(1+IF(Calc!$Q$262&lt;='财富模型'!$E$11*12,'财富模型'!$E$10,'财富模型'!$E$12)/12)-IF('Calc'!$E$14=1,0,IF(Calc!$Q$262&lt;='财富模型'!$E$11*12,'Calc'!$W$14,'Calc'!$Y$14)),0)))</x:f>
      </x:c>
      <x:c r="Y262" t="n">
        <x:v>241</x:v>
      </x:c>
      <x:c r="Z262" t="str">
        <x:f>IF(Calc!$Y$262&gt;'Calc'!$B$8,"",MAX(Calc!$Z$261*(1+'财富模型'!$E$6/12)+('Calc'!$B$5-'财富模型'!$E$5-(IF('Calc'!$E$15=1,'财富模型'!$E$9,'财富模型'!$M$7+IF(Calc!$Y$262&lt;='财富模型'!$E$11*12,'Calc'!$W$15,'Calc'!$Y$15)-(IF('Calc'!$E$15=1,0,MIN(Calc!$AA$261*(1+'财富模型'!$E$20/12)+'Calc'!$B$6,IF(Calc!$Y$262&lt;='财富模型'!$E$11*12,'Calc'!$W$15,'Calc'!$Y$15))))))),0))</x:f>
      </x:c>
      <x:c r="AA262" t="str">
        <x:f>IF(Calc!$Y$262&gt;'Calc'!$B$8,"",MAX(Calc!$AA$261*(1+'财富模型'!$E$20/12)+'Calc'!$B$6-(IF('Calc'!$E$15=1,0,MIN(Calc!$AA$261*(1+'财富模型'!$E$20/12)+'Calc'!$B$6,IF(Calc!$Y$262&lt;='财富模型'!$E$11*12,'Calc'!$W$15,'Calc'!$Y$15)))),0))</x:f>
      </x:c>
      <x:c r="AB262" t="str">
        <x:f>IF(Calc!$Y$262&gt;'Calc'!$B$8,"",IF('Calc'!$E$15=1,'财富模型'!$E$9,'财富模型'!$M$7+IF(Calc!$Y$262&lt;='财富模型'!$E$11*12,'Calc'!$W$15,'Calc'!$Y$15)-(IF('Calc'!$E$15=1,0,MIN(Calc!$AA$261*(1+'财富模型'!$E$20/12)+'Calc'!$B$6,IF(Calc!$Y$262&lt;='财富模型'!$E$11*12,'Calc'!$W$15,'Calc'!$Y$15))))))</x:f>
      </x:c>
      <x:c r="AC262" t="str">
        <x:f>IF(Calc!$Y$262&gt;'Calc'!$B$8,"",IF('Calc'!$E$15=1,0,MIN(Calc!$AA$261*(1+'财富模型'!$E$20/12)+'Calc'!$B$6,IF(Calc!$Y$262&lt;='财富模型'!$E$11*12,'Calc'!$W$15,'Calc'!$Y$15))))</x:f>
      </x:c>
      <x:c r="AD262" t="str">
        <x:f>IF(Calc!$Y$262&gt;'Calc'!$B$8,"",'Calc'!$B$5-'财富模型'!$E$5-(IF('Calc'!$E$15=1,'财富模型'!$E$9,'财富模型'!$M$7+IF(Calc!$Y$262&lt;='财富模型'!$E$11*12,'Calc'!$W$15,'Calc'!$Y$15)-(IF('Calc'!$E$15=1,0,MIN(Calc!$AA$261*(1+'财富模型'!$E$20/12)+'Calc'!$B$6,IF(Calc!$Y$262&lt;='财富模型'!$E$11*12,'Calc'!$W$15,'Calc'!$Y$15)))))))</x:f>
      </x:c>
      <x:c r="AE262" t="str">
        <x:f>IF(Calc!$Y$262&gt;'Calc'!$B$8,"",IF('Calc'!$E$15=1,0,MAX(Calc!$AE$261*(1+IF(Calc!$Y$262&lt;='财富模型'!$E$11*12,'财富模型'!$E$10,'财富模型'!$E$12)/12)-IF('Calc'!$E$15=1,0,IF(Calc!$Y$262&lt;='财富模型'!$E$11*12,'Calc'!$W$15,'Calc'!$Y$15)),0)))</x:f>
      </x:c>
      <x:c r="AG262" t="n">
        <x:v>241</x:v>
      </x:c>
      <x:c r="AH262" t="str">
        <x:f>IF(Calc!$AG$262&gt;'Calc'!$B$8,"",MAX(Calc!$AH$261*(1+'财富模型'!$E$6/12)+('Calc'!$B$5-'财富模型'!$E$5-(IF('Calc'!$E$16=1,'财富模型'!$E$9,'财富模型'!$M$8+IF(Calc!$AG$262&lt;='财富模型'!$E$11*12,'Calc'!$W$16,'Calc'!$Y$16)-(IF('Calc'!$E$16=1,0,MIN(Calc!$AI$261*(1+'财富模型'!$E$20/12)+'Calc'!$B$6,IF(Calc!$AG$262&lt;='财富模型'!$E$11*12,'Calc'!$W$16,'Calc'!$Y$16))))))),0))</x:f>
      </x:c>
      <x:c r="AI262" t="str">
        <x:f>IF(Calc!$AG$262&gt;'Calc'!$B$8,"",MAX(Calc!$AI$261*(1+'财富模型'!$E$20/12)+'Calc'!$B$6-(IF('Calc'!$E$16=1,0,MIN(Calc!$AI$261*(1+'财富模型'!$E$20/12)+'Calc'!$B$6,IF(Calc!$AG$262&lt;='财富模型'!$E$11*12,'Calc'!$W$16,'Calc'!$Y$16)))),0))</x:f>
      </x:c>
      <x:c r="AJ262" t="str">
        <x:f>IF(Calc!$AG$262&gt;'Calc'!$B$8,"",IF('Calc'!$E$16=1,'财富模型'!$E$9,'财富模型'!$M$8+IF(Calc!$AG$262&lt;='财富模型'!$E$11*12,'Calc'!$W$16,'Calc'!$Y$16)-(IF('Calc'!$E$16=1,0,MIN(Calc!$AI$261*(1+'财富模型'!$E$20/12)+'Calc'!$B$6,IF(Calc!$AG$262&lt;='财富模型'!$E$11*12,'Calc'!$W$16,'Calc'!$Y$16))))))</x:f>
      </x:c>
      <x:c r="AK262" t="str">
        <x:f>IF(Calc!$AG$262&gt;'Calc'!$B$8,"",IF('Calc'!$E$16=1,0,MIN(Calc!$AI$261*(1+'财富模型'!$E$20/12)+'Calc'!$B$6,IF(Calc!$AG$262&lt;='财富模型'!$E$11*12,'Calc'!$W$16,'Calc'!$Y$16))))</x:f>
      </x:c>
      <x:c r="AL262" t="str">
        <x:f>IF(Calc!$AG$262&gt;'Calc'!$B$8,"",'Calc'!$B$5-'财富模型'!$E$5-(IF('Calc'!$E$16=1,'财富模型'!$E$9,'财富模型'!$M$8+IF(Calc!$AG$262&lt;='财富模型'!$E$11*12,'Calc'!$W$16,'Calc'!$Y$16)-(IF('Calc'!$E$16=1,0,MIN(Calc!$AI$261*(1+'财富模型'!$E$20/12)+'Calc'!$B$6,IF(Calc!$AG$262&lt;='财富模型'!$E$11*12,'Calc'!$W$16,'Calc'!$Y$16)))))))</x:f>
      </x:c>
      <x:c r="AM262" t="str">
        <x:f>IF(Calc!$AG$262&gt;'Calc'!$B$8,"",IF('Calc'!$E$16=1,0,MAX(Calc!$AM$261*(1+IF(Calc!$AG$262&lt;='财富模型'!$E$11*12,'财富模型'!$E$10,'财富模型'!$E$12)/12)-IF('Calc'!$E$16=1,0,IF(Calc!$AG$262&lt;='财富模型'!$E$11*12,'Calc'!$W$16,'Calc'!$Y$16)),0)))</x:f>
      </x:c>
      <x:c r="AO262" t="n">
        <x:v>241</x:v>
      </x:c>
      <x:c r="AP262" t="str">
        <x:f>IF(Calc!$AO$262&gt;'Calc'!$B$8,"",MAX(Calc!$AP$261*(1+'财富模型'!$E$6/12)+('Calc'!$B$5-'财富模型'!$E$5-(IF('Calc'!$E$17=1,'财富模型'!$E$9,'财富模型'!$M$9+IF(Calc!$AO$262&lt;='财富模型'!$E$11*12,'Calc'!$W$17,'Calc'!$Y$17)-(IF('Calc'!$E$17=1,0,MIN(Calc!$AQ$261*(1+'财富模型'!$E$20/12)+'Calc'!$B$6,IF(Calc!$AO$262&lt;='财富模型'!$E$11*12,'Calc'!$W$17,'Calc'!$Y$17))))))),0))</x:f>
      </x:c>
      <x:c r="AQ262" t="str">
        <x:f>IF(Calc!$AO$262&gt;'Calc'!$B$8,"",MAX(Calc!$AQ$261*(1+'财富模型'!$E$20/12)+'Calc'!$B$6-(IF('Calc'!$E$17=1,0,MIN(Calc!$AQ$261*(1+'财富模型'!$E$20/12)+'Calc'!$B$6,IF(Calc!$AO$262&lt;='财富模型'!$E$11*12,'Calc'!$W$17,'Calc'!$Y$17)))),0))</x:f>
      </x:c>
      <x:c r="AR262" t="str">
        <x:f>IF(Calc!$AO$262&gt;'Calc'!$B$8,"",IF('Calc'!$E$17=1,'财富模型'!$E$9,'财富模型'!$M$9+IF(Calc!$AO$262&lt;='财富模型'!$E$11*12,'Calc'!$W$17,'Calc'!$Y$17)-(IF('Calc'!$E$17=1,0,MIN(Calc!$AQ$261*(1+'财富模型'!$E$20/12)+'Calc'!$B$6,IF(Calc!$AO$262&lt;='财富模型'!$E$11*12,'Calc'!$W$17,'Calc'!$Y$17))))))</x:f>
      </x:c>
      <x:c r="AS262" t="str">
        <x:f>IF(Calc!$AO$262&gt;'Calc'!$B$8,"",IF('Calc'!$E$17=1,0,MIN(Calc!$AQ$261*(1+'财富模型'!$E$20/12)+'Calc'!$B$6,IF(Calc!$AO$262&lt;='财富模型'!$E$11*12,'Calc'!$W$17,'Calc'!$Y$17))))</x:f>
      </x:c>
      <x:c r="AT262" t="str">
        <x:f>IF(Calc!$AO$262&gt;'Calc'!$B$8,"",'Calc'!$B$5-'财富模型'!$E$5-(IF('Calc'!$E$17=1,'财富模型'!$E$9,'财富模型'!$M$9+IF(Calc!$AO$262&lt;='财富模型'!$E$11*12,'Calc'!$W$17,'Calc'!$Y$17)-(IF('Calc'!$E$17=1,0,MIN(Calc!$AQ$261*(1+'财富模型'!$E$20/12)+'Calc'!$B$6,IF(Calc!$AO$262&lt;='财富模型'!$E$11*12,'Calc'!$W$17,'Calc'!$Y$17)))))))</x:f>
      </x:c>
      <x:c r="AU262" t="str">
        <x:f>IF(Calc!$AO$262&gt;'Calc'!$B$8,"",IF('Calc'!$E$17=1,0,MAX(Calc!$AU$261*(1+IF(Calc!$AO$262&lt;='财富模型'!$E$11*12,'财富模型'!$E$10,'财富模型'!$E$12)/12)-IF('Calc'!$E$17=1,0,IF(Calc!$AO$262&lt;='财富模型'!$E$11*12,'Calc'!$W$17,'Calc'!$Y$17)),0)))</x:f>
      </x:c>
    </x:row>
    <x:row r="263">
      <x:c r="A263" t="n">
        <x:v>242</x:v>
      </x:c>
      <x:c r="B263" t="str">
        <x:f>IF(Calc!$A$263&gt;'Calc'!$B$8,"",MAX(Calc!$B$262*(1+'财富模型'!$E$6/12)+('Calc'!$B$5-'财富模型'!$E$5-(IF('Calc'!$E$12=1,'财富模型'!$E$9,'财富模型'!$M$4+IF(Calc!$A$263&lt;='财富模型'!$E$11*12,'Calc'!$W$12,'Calc'!$Y$12)-(IF('Calc'!$E$12=1,0,MIN(Calc!$C$262*(1+'财富模型'!$E$20/12)+'Calc'!$B$6,IF(Calc!$A$263&lt;='财富模型'!$E$11*12,'Calc'!$W$12,'Calc'!$Y$12))))))),0))</x:f>
      </x:c>
      <x:c r="C263" t="str">
        <x:f>IF(Calc!$A$263&gt;'Calc'!$B$8,"",MAX(Calc!$C$262*(1+'财富模型'!$E$20/12)+'Calc'!$B$6-(IF('Calc'!$E$12=1,0,MIN(Calc!$C$262*(1+'财富模型'!$E$20/12)+'Calc'!$B$6,IF(Calc!$A$263&lt;='财富模型'!$E$11*12,'Calc'!$W$12,'Calc'!$Y$12)))),0))</x:f>
      </x:c>
      <x:c r="D263" t="str">
        <x:f>IF(Calc!$A$263&gt;'Calc'!$B$8,"",IF('Calc'!$E$12=1,'财富模型'!$E$9,'财富模型'!$M$4+IF(Calc!$A$263&lt;='财富模型'!$E$11*12,'Calc'!$W$12,'Calc'!$Y$12)-(IF('Calc'!$E$12=1,0,MIN(Calc!$C$262*(1+'财富模型'!$E$20/12)+'Calc'!$B$6,IF(Calc!$A$263&lt;='财富模型'!$E$11*12,'Calc'!$W$12,'Calc'!$Y$12))))))</x:f>
      </x:c>
      <x:c r="E263" t="str">
        <x:f>IF(Calc!$A$263&gt;'Calc'!$B$8,"",IF('Calc'!$E$12=1,0,MIN(Calc!$C$262*(1+'财富模型'!$E$20/12)+'Calc'!$B$6,IF(Calc!$A$263&lt;='财富模型'!$E$11*12,'Calc'!$W$12,'Calc'!$Y$12))))</x:f>
      </x:c>
      <x:c r="F263" t="str">
        <x:f>IF(Calc!$A$263&gt;'Calc'!$B$8,"",'Calc'!$B$5-'财富模型'!$E$5-(IF('Calc'!$E$12=1,'财富模型'!$E$9,'财富模型'!$M$4+IF(Calc!$A$263&lt;='财富模型'!$E$11*12,'Calc'!$W$12,'Calc'!$Y$12)-(IF('Calc'!$E$12=1,0,MIN(Calc!$C$262*(1+'财富模型'!$E$20/12)+'Calc'!$B$6,IF(Calc!$A$263&lt;='财富模型'!$E$11*12,'Calc'!$W$12,'Calc'!$Y$12)))))))</x:f>
      </x:c>
      <x:c r="G263" t="str">
        <x:f>IF(Calc!$A$263&gt;'Calc'!$B$8,"",IF('Calc'!$E$12=1,0,MAX(Calc!$G$262*(1+IF(Calc!$A$263&lt;='财富模型'!$E$11*12,'财富模型'!$E$10,'财富模型'!$E$12)/12)-IF('Calc'!$E$12=1,0,IF(Calc!$A$263&lt;='财富模型'!$E$11*12,'Calc'!$W$12,'Calc'!$Y$12)),0)))</x:f>
      </x:c>
      <x:c r="I263" t="n">
        <x:v>242</x:v>
      </x:c>
      <x:c r="J263" t="str">
        <x:f>IF(Calc!$I$263&gt;'Calc'!$B$8,"",MAX(Calc!$J$262*(1+'财富模型'!$E$6/12)+('Calc'!$B$5-'财富模型'!$E$5-(IF('Calc'!$E$13=1,'财富模型'!$E$9,'财富模型'!$M$5+IF(Calc!$I$263&lt;='财富模型'!$E$11*12,'Calc'!$W$13,'Calc'!$Y$13)-(IF('Calc'!$E$13=1,0,MIN(Calc!$K$262*(1+'财富模型'!$E$20/12)+'Calc'!$B$6,IF(Calc!$I$263&lt;='财富模型'!$E$11*12,'Calc'!$W$13,'Calc'!$Y$13))))))),0))</x:f>
      </x:c>
      <x:c r="K263" t="str">
        <x:f>IF(Calc!$I$263&gt;'Calc'!$B$8,"",MAX(Calc!$K$262*(1+'财富模型'!$E$20/12)+'Calc'!$B$6-(IF('Calc'!$E$13=1,0,MIN(Calc!$K$262*(1+'财富模型'!$E$20/12)+'Calc'!$B$6,IF(Calc!$I$263&lt;='财富模型'!$E$11*12,'Calc'!$W$13,'Calc'!$Y$13)))),0))</x:f>
      </x:c>
      <x:c r="L263" t="str">
        <x:f>IF(Calc!$I$263&gt;'Calc'!$B$8,"",IF('Calc'!$E$13=1,'财富模型'!$E$9,'财富模型'!$M$5+IF(Calc!$I$263&lt;='财富模型'!$E$11*12,'Calc'!$W$13,'Calc'!$Y$13)-(IF('Calc'!$E$13=1,0,MIN(Calc!$K$262*(1+'财富模型'!$E$20/12)+'Calc'!$B$6,IF(Calc!$I$263&lt;='财富模型'!$E$11*12,'Calc'!$W$13,'Calc'!$Y$13))))))</x:f>
      </x:c>
      <x:c r="M263" t="str">
        <x:f>IF(Calc!$I$263&gt;'Calc'!$B$8,"",IF('Calc'!$E$13=1,0,MIN(Calc!$K$262*(1+'财富模型'!$E$20/12)+'Calc'!$B$6,IF(Calc!$I$263&lt;='财富模型'!$E$11*12,'Calc'!$W$13,'Calc'!$Y$13))))</x:f>
      </x:c>
      <x:c r="N263" t="str">
        <x:f>IF(Calc!$I$263&gt;'Calc'!$B$8,"",'Calc'!$B$5-'财富模型'!$E$5-(IF('Calc'!$E$13=1,'财富模型'!$E$9,'财富模型'!$M$5+IF(Calc!$I$263&lt;='财富模型'!$E$11*12,'Calc'!$W$13,'Calc'!$Y$13)-(IF('Calc'!$E$13=1,0,MIN(Calc!$K$262*(1+'财富模型'!$E$20/12)+'Calc'!$B$6,IF(Calc!$I$263&lt;='财富模型'!$E$11*12,'Calc'!$W$13,'Calc'!$Y$13)))))))</x:f>
      </x:c>
      <x:c r="O263" t="str">
        <x:f>IF(Calc!$I$263&gt;'Calc'!$B$8,"",IF('Calc'!$E$13=1,0,MAX(Calc!$O$262*(1+IF(Calc!$I$263&lt;='财富模型'!$E$11*12,'财富模型'!$E$10,'财富模型'!$E$12)/12)-IF('Calc'!$E$13=1,0,IF(Calc!$I$263&lt;='财富模型'!$E$11*12,'Calc'!$W$13,'Calc'!$Y$13)),0)))</x:f>
      </x:c>
      <x:c r="Q263" t="n">
        <x:v>242</x:v>
      </x:c>
      <x:c r="R263" t="str">
        <x:f>IF(Calc!$Q$263&gt;'Calc'!$B$8,"",MAX(Calc!$R$262*(1+'财富模型'!$E$6/12)+('Calc'!$B$5-'财富模型'!$E$5-(IF('Calc'!$E$14=1,'财富模型'!$E$9,'财富模型'!$M$6+IF(Calc!$Q$263&lt;='财富模型'!$E$11*12,'Calc'!$W$14,'Calc'!$Y$14)-(IF('Calc'!$E$14=1,0,MIN(Calc!$S$262*(1+'财富模型'!$E$20/12)+'Calc'!$B$6,IF(Calc!$Q$263&lt;='财富模型'!$E$11*12,'Calc'!$W$14,'Calc'!$Y$14))))))),0))</x:f>
      </x:c>
      <x:c r="S263" t="str">
        <x:f>IF(Calc!$Q$263&gt;'Calc'!$B$8,"",MAX(Calc!$S$262*(1+'财富模型'!$E$20/12)+'Calc'!$B$6-(IF('Calc'!$E$14=1,0,MIN(Calc!$S$262*(1+'财富模型'!$E$20/12)+'Calc'!$B$6,IF(Calc!$Q$263&lt;='财富模型'!$E$11*12,'Calc'!$W$14,'Calc'!$Y$14)))),0))</x:f>
      </x:c>
      <x:c r="T263" t="str">
        <x:f>IF(Calc!$Q$263&gt;'Calc'!$B$8,"",IF('Calc'!$E$14=1,'财富模型'!$E$9,'财富模型'!$M$6+IF(Calc!$Q$263&lt;='财富模型'!$E$11*12,'Calc'!$W$14,'Calc'!$Y$14)-(IF('Calc'!$E$14=1,0,MIN(Calc!$S$262*(1+'财富模型'!$E$20/12)+'Calc'!$B$6,IF(Calc!$Q$263&lt;='财富模型'!$E$11*12,'Calc'!$W$14,'Calc'!$Y$14))))))</x:f>
      </x:c>
      <x:c r="U263" t="str">
        <x:f>IF(Calc!$Q$263&gt;'Calc'!$B$8,"",IF('Calc'!$E$14=1,0,MIN(Calc!$S$262*(1+'财富模型'!$E$20/12)+'Calc'!$B$6,IF(Calc!$Q$263&lt;='财富模型'!$E$11*12,'Calc'!$W$14,'Calc'!$Y$14))))</x:f>
      </x:c>
      <x:c r="V263" t="str">
        <x:f>IF(Calc!$Q$263&gt;'Calc'!$B$8,"",'Calc'!$B$5-'财富模型'!$E$5-(IF('Calc'!$E$14=1,'财富模型'!$E$9,'财富模型'!$M$6+IF(Calc!$Q$263&lt;='财富模型'!$E$11*12,'Calc'!$W$14,'Calc'!$Y$14)-(IF('Calc'!$E$14=1,0,MIN(Calc!$S$262*(1+'财富模型'!$E$20/12)+'Calc'!$B$6,IF(Calc!$Q$263&lt;='财富模型'!$E$11*12,'Calc'!$W$14,'Calc'!$Y$14)))))))</x:f>
      </x:c>
      <x:c r="W263" t="str">
        <x:f>IF(Calc!$Q$263&gt;'Calc'!$B$8,"",IF('Calc'!$E$14=1,0,MAX(Calc!$W$262*(1+IF(Calc!$Q$263&lt;='财富模型'!$E$11*12,'财富模型'!$E$10,'财富模型'!$E$12)/12)-IF('Calc'!$E$14=1,0,IF(Calc!$Q$263&lt;='财富模型'!$E$11*12,'Calc'!$W$14,'Calc'!$Y$14)),0)))</x:f>
      </x:c>
      <x:c r="Y263" t="n">
        <x:v>242</x:v>
      </x:c>
      <x:c r="Z263" t="str">
        <x:f>IF(Calc!$Y$263&gt;'Calc'!$B$8,"",MAX(Calc!$Z$262*(1+'财富模型'!$E$6/12)+('Calc'!$B$5-'财富模型'!$E$5-(IF('Calc'!$E$15=1,'财富模型'!$E$9,'财富模型'!$M$7+IF(Calc!$Y$263&lt;='财富模型'!$E$11*12,'Calc'!$W$15,'Calc'!$Y$15)-(IF('Calc'!$E$15=1,0,MIN(Calc!$AA$262*(1+'财富模型'!$E$20/12)+'Calc'!$B$6,IF(Calc!$Y$263&lt;='财富模型'!$E$11*12,'Calc'!$W$15,'Calc'!$Y$15))))))),0))</x:f>
      </x:c>
      <x:c r="AA263" t="str">
        <x:f>IF(Calc!$Y$263&gt;'Calc'!$B$8,"",MAX(Calc!$AA$262*(1+'财富模型'!$E$20/12)+'Calc'!$B$6-(IF('Calc'!$E$15=1,0,MIN(Calc!$AA$262*(1+'财富模型'!$E$20/12)+'Calc'!$B$6,IF(Calc!$Y$263&lt;='财富模型'!$E$11*12,'Calc'!$W$15,'Calc'!$Y$15)))),0))</x:f>
      </x:c>
      <x:c r="AB263" t="str">
        <x:f>IF(Calc!$Y$263&gt;'Calc'!$B$8,"",IF('Calc'!$E$15=1,'财富模型'!$E$9,'财富模型'!$M$7+IF(Calc!$Y$263&lt;='财富模型'!$E$11*12,'Calc'!$W$15,'Calc'!$Y$15)-(IF('Calc'!$E$15=1,0,MIN(Calc!$AA$262*(1+'财富模型'!$E$20/12)+'Calc'!$B$6,IF(Calc!$Y$263&lt;='财富模型'!$E$11*12,'Calc'!$W$15,'Calc'!$Y$15))))))</x:f>
      </x:c>
      <x:c r="AC263" t="str">
        <x:f>IF(Calc!$Y$263&gt;'Calc'!$B$8,"",IF('Calc'!$E$15=1,0,MIN(Calc!$AA$262*(1+'财富模型'!$E$20/12)+'Calc'!$B$6,IF(Calc!$Y$263&lt;='财富模型'!$E$11*12,'Calc'!$W$15,'Calc'!$Y$15))))</x:f>
      </x:c>
      <x:c r="AD263" t="str">
        <x:f>IF(Calc!$Y$263&gt;'Calc'!$B$8,"",'Calc'!$B$5-'财富模型'!$E$5-(IF('Calc'!$E$15=1,'财富模型'!$E$9,'财富模型'!$M$7+IF(Calc!$Y$263&lt;='财富模型'!$E$11*12,'Calc'!$W$15,'Calc'!$Y$15)-(IF('Calc'!$E$15=1,0,MIN(Calc!$AA$262*(1+'财富模型'!$E$20/12)+'Calc'!$B$6,IF(Calc!$Y$263&lt;='财富模型'!$E$11*12,'Calc'!$W$15,'Calc'!$Y$15)))))))</x:f>
      </x:c>
      <x:c r="AE263" t="str">
        <x:f>IF(Calc!$Y$263&gt;'Calc'!$B$8,"",IF('Calc'!$E$15=1,0,MAX(Calc!$AE$262*(1+IF(Calc!$Y$263&lt;='财富模型'!$E$11*12,'财富模型'!$E$10,'财富模型'!$E$12)/12)-IF('Calc'!$E$15=1,0,IF(Calc!$Y$263&lt;='财富模型'!$E$11*12,'Calc'!$W$15,'Calc'!$Y$15)),0)))</x:f>
      </x:c>
      <x:c r="AG263" t="n">
        <x:v>242</x:v>
      </x:c>
      <x:c r="AH263" t="str">
        <x:f>IF(Calc!$AG$263&gt;'Calc'!$B$8,"",MAX(Calc!$AH$262*(1+'财富模型'!$E$6/12)+('Calc'!$B$5-'财富模型'!$E$5-(IF('Calc'!$E$16=1,'财富模型'!$E$9,'财富模型'!$M$8+IF(Calc!$AG$263&lt;='财富模型'!$E$11*12,'Calc'!$W$16,'Calc'!$Y$16)-(IF('Calc'!$E$16=1,0,MIN(Calc!$AI$262*(1+'财富模型'!$E$20/12)+'Calc'!$B$6,IF(Calc!$AG$263&lt;='财富模型'!$E$11*12,'Calc'!$W$16,'Calc'!$Y$16))))))),0))</x:f>
      </x:c>
      <x:c r="AI263" t="str">
        <x:f>IF(Calc!$AG$263&gt;'Calc'!$B$8,"",MAX(Calc!$AI$262*(1+'财富模型'!$E$20/12)+'Calc'!$B$6-(IF('Calc'!$E$16=1,0,MIN(Calc!$AI$262*(1+'财富模型'!$E$20/12)+'Calc'!$B$6,IF(Calc!$AG$263&lt;='财富模型'!$E$11*12,'Calc'!$W$16,'Calc'!$Y$16)))),0))</x:f>
      </x:c>
      <x:c r="AJ263" t="str">
        <x:f>IF(Calc!$AG$263&gt;'Calc'!$B$8,"",IF('Calc'!$E$16=1,'财富模型'!$E$9,'财富模型'!$M$8+IF(Calc!$AG$263&lt;='财富模型'!$E$11*12,'Calc'!$W$16,'Calc'!$Y$16)-(IF('Calc'!$E$16=1,0,MIN(Calc!$AI$262*(1+'财富模型'!$E$20/12)+'Calc'!$B$6,IF(Calc!$AG$263&lt;='财富模型'!$E$11*12,'Calc'!$W$16,'Calc'!$Y$16))))))</x:f>
      </x:c>
      <x:c r="AK263" t="str">
        <x:f>IF(Calc!$AG$263&gt;'Calc'!$B$8,"",IF('Calc'!$E$16=1,0,MIN(Calc!$AI$262*(1+'财富模型'!$E$20/12)+'Calc'!$B$6,IF(Calc!$AG$263&lt;='财富模型'!$E$11*12,'Calc'!$W$16,'Calc'!$Y$16))))</x:f>
      </x:c>
      <x:c r="AL263" t="str">
        <x:f>IF(Calc!$AG$263&gt;'Calc'!$B$8,"",'Calc'!$B$5-'财富模型'!$E$5-(IF('Calc'!$E$16=1,'财富模型'!$E$9,'财富模型'!$M$8+IF(Calc!$AG$263&lt;='财富模型'!$E$11*12,'Calc'!$W$16,'Calc'!$Y$16)-(IF('Calc'!$E$16=1,0,MIN(Calc!$AI$262*(1+'财富模型'!$E$20/12)+'Calc'!$B$6,IF(Calc!$AG$263&lt;='财富模型'!$E$11*12,'Calc'!$W$16,'Calc'!$Y$16)))))))</x:f>
      </x:c>
      <x:c r="AM263" t="str">
        <x:f>IF(Calc!$AG$263&gt;'Calc'!$B$8,"",IF('Calc'!$E$16=1,0,MAX(Calc!$AM$262*(1+IF(Calc!$AG$263&lt;='财富模型'!$E$11*12,'财富模型'!$E$10,'财富模型'!$E$12)/12)-IF('Calc'!$E$16=1,0,IF(Calc!$AG$263&lt;='财富模型'!$E$11*12,'Calc'!$W$16,'Calc'!$Y$16)),0)))</x:f>
      </x:c>
      <x:c r="AO263" t="n">
        <x:v>242</x:v>
      </x:c>
      <x:c r="AP263" t="str">
        <x:f>IF(Calc!$AO$263&gt;'Calc'!$B$8,"",MAX(Calc!$AP$262*(1+'财富模型'!$E$6/12)+('Calc'!$B$5-'财富模型'!$E$5-(IF('Calc'!$E$17=1,'财富模型'!$E$9,'财富模型'!$M$9+IF(Calc!$AO$263&lt;='财富模型'!$E$11*12,'Calc'!$W$17,'Calc'!$Y$17)-(IF('Calc'!$E$17=1,0,MIN(Calc!$AQ$262*(1+'财富模型'!$E$20/12)+'Calc'!$B$6,IF(Calc!$AO$263&lt;='财富模型'!$E$11*12,'Calc'!$W$17,'Calc'!$Y$17))))))),0))</x:f>
      </x:c>
      <x:c r="AQ263" t="str">
        <x:f>IF(Calc!$AO$263&gt;'Calc'!$B$8,"",MAX(Calc!$AQ$262*(1+'财富模型'!$E$20/12)+'Calc'!$B$6-(IF('Calc'!$E$17=1,0,MIN(Calc!$AQ$262*(1+'财富模型'!$E$20/12)+'Calc'!$B$6,IF(Calc!$AO$263&lt;='财富模型'!$E$11*12,'Calc'!$W$17,'Calc'!$Y$17)))),0))</x:f>
      </x:c>
      <x:c r="AR263" t="str">
        <x:f>IF(Calc!$AO$263&gt;'Calc'!$B$8,"",IF('Calc'!$E$17=1,'财富模型'!$E$9,'财富模型'!$M$9+IF(Calc!$AO$263&lt;='财富模型'!$E$11*12,'Calc'!$W$17,'Calc'!$Y$17)-(IF('Calc'!$E$17=1,0,MIN(Calc!$AQ$262*(1+'财富模型'!$E$20/12)+'Calc'!$B$6,IF(Calc!$AO$263&lt;='财富模型'!$E$11*12,'Calc'!$W$17,'Calc'!$Y$17))))))</x:f>
      </x:c>
      <x:c r="AS263" t="str">
        <x:f>IF(Calc!$AO$263&gt;'Calc'!$B$8,"",IF('Calc'!$E$17=1,0,MIN(Calc!$AQ$262*(1+'财富模型'!$E$20/12)+'Calc'!$B$6,IF(Calc!$AO$263&lt;='财富模型'!$E$11*12,'Calc'!$W$17,'Calc'!$Y$17))))</x:f>
      </x:c>
      <x:c r="AT263" t="str">
        <x:f>IF(Calc!$AO$263&gt;'Calc'!$B$8,"",'Calc'!$B$5-'财富模型'!$E$5-(IF('Calc'!$E$17=1,'财富模型'!$E$9,'财富模型'!$M$9+IF(Calc!$AO$263&lt;='财富模型'!$E$11*12,'Calc'!$W$17,'Calc'!$Y$17)-(IF('Calc'!$E$17=1,0,MIN(Calc!$AQ$262*(1+'财富模型'!$E$20/12)+'Calc'!$B$6,IF(Calc!$AO$263&lt;='财富模型'!$E$11*12,'Calc'!$W$17,'Calc'!$Y$17)))))))</x:f>
      </x:c>
      <x:c r="AU263" t="str">
        <x:f>IF(Calc!$AO$263&gt;'Calc'!$B$8,"",IF('Calc'!$E$17=1,0,MAX(Calc!$AU$262*(1+IF(Calc!$AO$263&lt;='财富模型'!$E$11*12,'财富模型'!$E$10,'财富模型'!$E$12)/12)-IF('Calc'!$E$17=1,0,IF(Calc!$AO$263&lt;='财富模型'!$E$11*12,'Calc'!$W$17,'Calc'!$Y$17)),0)))</x:f>
      </x:c>
    </x:row>
    <x:row r="264">
      <x:c r="A264" t="n">
        <x:v>243</x:v>
      </x:c>
      <x:c r="B264" t="str">
        <x:f>IF(Calc!$A$264&gt;'Calc'!$B$8,"",MAX(Calc!$B$263*(1+'财富模型'!$E$6/12)+('Calc'!$B$5-'财富模型'!$E$5-(IF('Calc'!$E$12=1,'财富模型'!$E$9,'财富模型'!$M$4+IF(Calc!$A$264&lt;='财富模型'!$E$11*12,'Calc'!$W$12,'Calc'!$Y$12)-(IF('Calc'!$E$12=1,0,MIN(Calc!$C$263*(1+'财富模型'!$E$20/12)+'Calc'!$B$6,IF(Calc!$A$264&lt;='财富模型'!$E$11*12,'Calc'!$W$12,'Calc'!$Y$12))))))),0))</x:f>
      </x:c>
      <x:c r="C264" t="str">
        <x:f>IF(Calc!$A$264&gt;'Calc'!$B$8,"",MAX(Calc!$C$263*(1+'财富模型'!$E$20/12)+'Calc'!$B$6-(IF('Calc'!$E$12=1,0,MIN(Calc!$C$263*(1+'财富模型'!$E$20/12)+'Calc'!$B$6,IF(Calc!$A$264&lt;='财富模型'!$E$11*12,'Calc'!$W$12,'Calc'!$Y$12)))),0))</x:f>
      </x:c>
      <x:c r="D264" t="str">
        <x:f>IF(Calc!$A$264&gt;'Calc'!$B$8,"",IF('Calc'!$E$12=1,'财富模型'!$E$9,'财富模型'!$M$4+IF(Calc!$A$264&lt;='财富模型'!$E$11*12,'Calc'!$W$12,'Calc'!$Y$12)-(IF('Calc'!$E$12=1,0,MIN(Calc!$C$263*(1+'财富模型'!$E$20/12)+'Calc'!$B$6,IF(Calc!$A$264&lt;='财富模型'!$E$11*12,'Calc'!$W$12,'Calc'!$Y$12))))))</x:f>
      </x:c>
      <x:c r="E264" t="str">
        <x:f>IF(Calc!$A$264&gt;'Calc'!$B$8,"",IF('Calc'!$E$12=1,0,MIN(Calc!$C$263*(1+'财富模型'!$E$20/12)+'Calc'!$B$6,IF(Calc!$A$264&lt;='财富模型'!$E$11*12,'Calc'!$W$12,'Calc'!$Y$12))))</x:f>
      </x:c>
      <x:c r="F264" t="str">
        <x:f>IF(Calc!$A$264&gt;'Calc'!$B$8,"",'Calc'!$B$5-'财富模型'!$E$5-(IF('Calc'!$E$12=1,'财富模型'!$E$9,'财富模型'!$M$4+IF(Calc!$A$264&lt;='财富模型'!$E$11*12,'Calc'!$W$12,'Calc'!$Y$12)-(IF('Calc'!$E$12=1,0,MIN(Calc!$C$263*(1+'财富模型'!$E$20/12)+'Calc'!$B$6,IF(Calc!$A$264&lt;='财富模型'!$E$11*12,'Calc'!$W$12,'Calc'!$Y$12)))))))</x:f>
      </x:c>
      <x:c r="G264" t="str">
        <x:f>IF(Calc!$A$264&gt;'Calc'!$B$8,"",IF('Calc'!$E$12=1,0,MAX(Calc!$G$263*(1+IF(Calc!$A$264&lt;='财富模型'!$E$11*12,'财富模型'!$E$10,'财富模型'!$E$12)/12)-IF('Calc'!$E$12=1,0,IF(Calc!$A$264&lt;='财富模型'!$E$11*12,'Calc'!$W$12,'Calc'!$Y$12)),0)))</x:f>
      </x:c>
      <x:c r="I264" t="n">
        <x:v>243</x:v>
      </x:c>
      <x:c r="J264" t="str">
        <x:f>IF(Calc!$I$264&gt;'Calc'!$B$8,"",MAX(Calc!$J$263*(1+'财富模型'!$E$6/12)+('Calc'!$B$5-'财富模型'!$E$5-(IF('Calc'!$E$13=1,'财富模型'!$E$9,'财富模型'!$M$5+IF(Calc!$I$264&lt;='财富模型'!$E$11*12,'Calc'!$W$13,'Calc'!$Y$13)-(IF('Calc'!$E$13=1,0,MIN(Calc!$K$263*(1+'财富模型'!$E$20/12)+'Calc'!$B$6,IF(Calc!$I$264&lt;='财富模型'!$E$11*12,'Calc'!$W$13,'Calc'!$Y$13))))))),0))</x:f>
      </x:c>
      <x:c r="K264" t="str">
        <x:f>IF(Calc!$I$264&gt;'Calc'!$B$8,"",MAX(Calc!$K$263*(1+'财富模型'!$E$20/12)+'Calc'!$B$6-(IF('Calc'!$E$13=1,0,MIN(Calc!$K$263*(1+'财富模型'!$E$20/12)+'Calc'!$B$6,IF(Calc!$I$264&lt;='财富模型'!$E$11*12,'Calc'!$W$13,'Calc'!$Y$13)))),0))</x:f>
      </x:c>
      <x:c r="L264" t="str">
        <x:f>IF(Calc!$I$264&gt;'Calc'!$B$8,"",IF('Calc'!$E$13=1,'财富模型'!$E$9,'财富模型'!$M$5+IF(Calc!$I$264&lt;='财富模型'!$E$11*12,'Calc'!$W$13,'Calc'!$Y$13)-(IF('Calc'!$E$13=1,0,MIN(Calc!$K$263*(1+'财富模型'!$E$20/12)+'Calc'!$B$6,IF(Calc!$I$264&lt;='财富模型'!$E$11*12,'Calc'!$W$13,'Calc'!$Y$13))))))</x:f>
      </x:c>
      <x:c r="M264" t="str">
        <x:f>IF(Calc!$I$264&gt;'Calc'!$B$8,"",IF('Calc'!$E$13=1,0,MIN(Calc!$K$263*(1+'财富模型'!$E$20/12)+'Calc'!$B$6,IF(Calc!$I$264&lt;='财富模型'!$E$11*12,'Calc'!$W$13,'Calc'!$Y$13))))</x:f>
      </x:c>
      <x:c r="N264" t="str">
        <x:f>IF(Calc!$I$264&gt;'Calc'!$B$8,"",'Calc'!$B$5-'财富模型'!$E$5-(IF('Calc'!$E$13=1,'财富模型'!$E$9,'财富模型'!$M$5+IF(Calc!$I$264&lt;='财富模型'!$E$11*12,'Calc'!$W$13,'Calc'!$Y$13)-(IF('Calc'!$E$13=1,0,MIN(Calc!$K$263*(1+'财富模型'!$E$20/12)+'Calc'!$B$6,IF(Calc!$I$264&lt;='财富模型'!$E$11*12,'Calc'!$W$13,'Calc'!$Y$13)))))))</x:f>
      </x:c>
      <x:c r="O264" t="str">
        <x:f>IF(Calc!$I$264&gt;'Calc'!$B$8,"",IF('Calc'!$E$13=1,0,MAX(Calc!$O$263*(1+IF(Calc!$I$264&lt;='财富模型'!$E$11*12,'财富模型'!$E$10,'财富模型'!$E$12)/12)-IF('Calc'!$E$13=1,0,IF(Calc!$I$264&lt;='财富模型'!$E$11*12,'Calc'!$W$13,'Calc'!$Y$13)),0)))</x:f>
      </x:c>
      <x:c r="Q264" t="n">
        <x:v>243</x:v>
      </x:c>
      <x:c r="R264" t="str">
        <x:f>IF(Calc!$Q$264&gt;'Calc'!$B$8,"",MAX(Calc!$R$263*(1+'财富模型'!$E$6/12)+('Calc'!$B$5-'财富模型'!$E$5-(IF('Calc'!$E$14=1,'财富模型'!$E$9,'财富模型'!$M$6+IF(Calc!$Q$264&lt;='财富模型'!$E$11*12,'Calc'!$W$14,'Calc'!$Y$14)-(IF('Calc'!$E$14=1,0,MIN(Calc!$S$263*(1+'财富模型'!$E$20/12)+'Calc'!$B$6,IF(Calc!$Q$264&lt;='财富模型'!$E$11*12,'Calc'!$W$14,'Calc'!$Y$14))))))),0))</x:f>
      </x:c>
      <x:c r="S264" t="str">
        <x:f>IF(Calc!$Q$264&gt;'Calc'!$B$8,"",MAX(Calc!$S$263*(1+'财富模型'!$E$20/12)+'Calc'!$B$6-(IF('Calc'!$E$14=1,0,MIN(Calc!$S$263*(1+'财富模型'!$E$20/12)+'Calc'!$B$6,IF(Calc!$Q$264&lt;='财富模型'!$E$11*12,'Calc'!$W$14,'Calc'!$Y$14)))),0))</x:f>
      </x:c>
      <x:c r="T264" t="str">
        <x:f>IF(Calc!$Q$264&gt;'Calc'!$B$8,"",IF('Calc'!$E$14=1,'财富模型'!$E$9,'财富模型'!$M$6+IF(Calc!$Q$264&lt;='财富模型'!$E$11*12,'Calc'!$W$14,'Calc'!$Y$14)-(IF('Calc'!$E$14=1,0,MIN(Calc!$S$263*(1+'财富模型'!$E$20/12)+'Calc'!$B$6,IF(Calc!$Q$264&lt;='财富模型'!$E$11*12,'Calc'!$W$14,'Calc'!$Y$14))))))</x:f>
      </x:c>
      <x:c r="U264" t="str">
        <x:f>IF(Calc!$Q$264&gt;'Calc'!$B$8,"",IF('Calc'!$E$14=1,0,MIN(Calc!$S$263*(1+'财富模型'!$E$20/12)+'Calc'!$B$6,IF(Calc!$Q$264&lt;='财富模型'!$E$11*12,'Calc'!$W$14,'Calc'!$Y$14))))</x:f>
      </x:c>
      <x:c r="V264" t="str">
        <x:f>IF(Calc!$Q$264&gt;'Calc'!$B$8,"",'Calc'!$B$5-'财富模型'!$E$5-(IF('Calc'!$E$14=1,'财富模型'!$E$9,'财富模型'!$M$6+IF(Calc!$Q$264&lt;='财富模型'!$E$11*12,'Calc'!$W$14,'Calc'!$Y$14)-(IF('Calc'!$E$14=1,0,MIN(Calc!$S$263*(1+'财富模型'!$E$20/12)+'Calc'!$B$6,IF(Calc!$Q$264&lt;='财富模型'!$E$11*12,'Calc'!$W$14,'Calc'!$Y$14)))))))</x:f>
      </x:c>
      <x:c r="W264" t="str">
        <x:f>IF(Calc!$Q$264&gt;'Calc'!$B$8,"",IF('Calc'!$E$14=1,0,MAX(Calc!$W$263*(1+IF(Calc!$Q$264&lt;='财富模型'!$E$11*12,'财富模型'!$E$10,'财富模型'!$E$12)/12)-IF('Calc'!$E$14=1,0,IF(Calc!$Q$264&lt;='财富模型'!$E$11*12,'Calc'!$W$14,'Calc'!$Y$14)),0)))</x:f>
      </x:c>
      <x:c r="Y264" t="n">
        <x:v>243</x:v>
      </x:c>
      <x:c r="Z264" t="str">
        <x:f>IF(Calc!$Y$264&gt;'Calc'!$B$8,"",MAX(Calc!$Z$263*(1+'财富模型'!$E$6/12)+('Calc'!$B$5-'财富模型'!$E$5-(IF('Calc'!$E$15=1,'财富模型'!$E$9,'财富模型'!$M$7+IF(Calc!$Y$264&lt;='财富模型'!$E$11*12,'Calc'!$W$15,'Calc'!$Y$15)-(IF('Calc'!$E$15=1,0,MIN(Calc!$AA$263*(1+'财富模型'!$E$20/12)+'Calc'!$B$6,IF(Calc!$Y$264&lt;='财富模型'!$E$11*12,'Calc'!$W$15,'Calc'!$Y$15))))))),0))</x:f>
      </x:c>
      <x:c r="AA264" t="str">
        <x:f>IF(Calc!$Y$264&gt;'Calc'!$B$8,"",MAX(Calc!$AA$263*(1+'财富模型'!$E$20/12)+'Calc'!$B$6-(IF('Calc'!$E$15=1,0,MIN(Calc!$AA$263*(1+'财富模型'!$E$20/12)+'Calc'!$B$6,IF(Calc!$Y$264&lt;='财富模型'!$E$11*12,'Calc'!$W$15,'Calc'!$Y$15)))),0))</x:f>
      </x:c>
      <x:c r="AB264" t="str">
        <x:f>IF(Calc!$Y$264&gt;'Calc'!$B$8,"",IF('Calc'!$E$15=1,'财富模型'!$E$9,'财富模型'!$M$7+IF(Calc!$Y$264&lt;='财富模型'!$E$11*12,'Calc'!$W$15,'Calc'!$Y$15)-(IF('Calc'!$E$15=1,0,MIN(Calc!$AA$263*(1+'财富模型'!$E$20/12)+'Calc'!$B$6,IF(Calc!$Y$264&lt;='财富模型'!$E$11*12,'Calc'!$W$15,'Calc'!$Y$15))))))</x:f>
      </x:c>
      <x:c r="AC264" t="str">
        <x:f>IF(Calc!$Y$264&gt;'Calc'!$B$8,"",IF('Calc'!$E$15=1,0,MIN(Calc!$AA$263*(1+'财富模型'!$E$20/12)+'Calc'!$B$6,IF(Calc!$Y$264&lt;='财富模型'!$E$11*12,'Calc'!$W$15,'Calc'!$Y$15))))</x:f>
      </x:c>
      <x:c r="AD264" t="str">
        <x:f>IF(Calc!$Y$264&gt;'Calc'!$B$8,"",'Calc'!$B$5-'财富模型'!$E$5-(IF('Calc'!$E$15=1,'财富模型'!$E$9,'财富模型'!$M$7+IF(Calc!$Y$264&lt;='财富模型'!$E$11*12,'Calc'!$W$15,'Calc'!$Y$15)-(IF('Calc'!$E$15=1,0,MIN(Calc!$AA$263*(1+'财富模型'!$E$20/12)+'Calc'!$B$6,IF(Calc!$Y$264&lt;='财富模型'!$E$11*12,'Calc'!$W$15,'Calc'!$Y$15)))))))</x:f>
      </x:c>
      <x:c r="AE264" t="str">
        <x:f>IF(Calc!$Y$264&gt;'Calc'!$B$8,"",IF('Calc'!$E$15=1,0,MAX(Calc!$AE$263*(1+IF(Calc!$Y$264&lt;='财富模型'!$E$11*12,'财富模型'!$E$10,'财富模型'!$E$12)/12)-IF('Calc'!$E$15=1,0,IF(Calc!$Y$264&lt;='财富模型'!$E$11*12,'Calc'!$W$15,'Calc'!$Y$15)),0)))</x:f>
      </x:c>
      <x:c r="AG264" t="n">
        <x:v>243</x:v>
      </x:c>
      <x:c r="AH264" t="str">
        <x:f>IF(Calc!$AG$264&gt;'Calc'!$B$8,"",MAX(Calc!$AH$263*(1+'财富模型'!$E$6/12)+('Calc'!$B$5-'财富模型'!$E$5-(IF('Calc'!$E$16=1,'财富模型'!$E$9,'财富模型'!$M$8+IF(Calc!$AG$264&lt;='财富模型'!$E$11*12,'Calc'!$W$16,'Calc'!$Y$16)-(IF('Calc'!$E$16=1,0,MIN(Calc!$AI$263*(1+'财富模型'!$E$20/12)+'Calc'!$B$6,IF(Calc!$AG$264&lt;='财富模型'!$E$11*12,'Calc'!$W$16,'Calc'!$Y$16))))))),0))</x:f>
      </x:c>
      <x:c r="AI264" t="str">
        <x:f>IF(Calc!$AG$264&gt;'Calc'!$B$8,"",MAX(Calc!$AI$263*(1+'财富模型'!$E$20/12)+'Calc'!$B$6-(IF('Calc'!$E$16=1,0,MIN(Calc!$AI$263*(1+'财富模型'!$E$20/12)+'Calc'!$B$6,IF(Calc!$AG$264&lt;='财富模型'!$E$11*12,'Calc'!$W$16,'Calc'!$Y$16)))),0))</x:f>
      </x:c>
      <x:c r="AJ264" t="str">
        <x:f>IF(Calc!$AG$264&gt;'Calc'!$B$8,"",IF('Calc'!$E$16=1,'财富模型'!$E$9,'财富模型'!$M$8+IF(Calc!$AG$264&lt;='财富模型'!$E$11*12,'Calc'!$W$16,'Calc'!$Y$16)-(IF('Calc'!$E$16=1,0,MIN(Calc!$AI$263*(1+'财富模型'!$E$20/12)+'Calc'!$B$6,IF(Calc!$AG$264&lt;='财富模型'!$E$11*12,'Calc'!$W$16,'Calc'!$Y$16))))))</x:f>
      </x:c>
      <x:c r="AK264" t="str">
        <x:f>IF(Calc!$AG$264&gt;'Calc'!$B$8,"",IF('Calc'!$E$16=1,0,MIN(Calc!$AI$263*(1+'财富模型'!$E$20/12)+'Calc'!$B$6,IF(Calc!$AG$264&lt;='财富模型'!$E$11*12,'Calc'!$W$16,'Calc'!$Y$16))))</x:f>
      </x:c>
      <x:c r="AL264" t="str">
        <x:f>IF(Calc!$AG$264&gt;'Calc'!$B$8,"",'Calc'!$B$5-'财富模型'!$E$5-(IF('Calc'!$E$16=1,'财富模型'!$E$9,'财富模型'!$M$8+IF(Calc!$AG$264&lt;='财富模型'!$E$11*12,'Calc'!$W$16,'Calc'!$Y$16)-(IF('Calc'!$E$16=1,0,MIN(Calc!$AI$263*(1+'财富模型'!$E$20/12)+'Calc'!$B$6,IF(Calc!$AG$264&lt;='财富模型'!$E$11*12,'Calc'!$W$16,'Calc'!$Y$16)))))))</x:f>
      </x:c>
      <x:c r="AM264" t="str">
        <x:f>IF(Calc!$AG$264&gt;'Calc'!$B$8,"",IF('Calc'!$E$16=1,0,MAX(Calc!$AM$263*(1+IF(Calc!$AG$264&lt;='财富模型'!$E$11*12,'财富模型'!$E$10,'财富模型'!$E$12)/12)-IF('Calc'!$E$16=1,0,IF(Calc!$AG$264&lt;='财富模型'!$E$11*12,'Calc'!$W$16,'Calc'!$Y$16)),0)))</x:f>
      </x:c>
      <x:c r="AO264" t="n">
        <x:v>243</x:v>
      </x:c>
      <x:c r="AP264" t="str">
        <x:f>IF(Calc!$AO$264&gt;'Calc'!$B$8,"",MAX(Calc!$AP$263*(1+'财富模型'!$E$6/12)+('Calc'!$B$5-'财富模型'!$E$5-(IF('Calc'!$E$17=1,'财富模型'!$E$9,'财富模型'!$M$9+IF(Calc!$AO$264&lt;='财富模型'!$E$11*12,'Calc'!$W$17,'Calc'!$Y$17)-(IF('Calc'!$E$17=1,0,MIN(Calc!$AQ$263*(1+'财富模型'!$E$20/12)+'Calc'!$B$6,IF(Calc!$AO$264&lt;='财富模型'!$E$11*12,'Calc'!$W$17,'Calc'!$Y$17))))))),0))</x:f>
      </x:c>
      <x:c r="AQ264" t="str">
        <x:f>IF(Calc!$AO$264&gt;'Calc'!$B$8,"",MAX(Calc!$AQ$263*(1+'财富模型'!$E$20/12)+'Calc'!$B$6-(IF('Calc'!$E$17=1,0,MIN(Calc!$AQ$263*(1+'财富模型'!$E$20/12)+'Calc'!$B$6,IF(Calc!$AO$264&lt;='财富模型'!$E$11*12,'Calc'!$W$17,'Calc'!$Y$17)))),0))</x:f>
      </x:c>
      <x:c r="AR264" t="str">
        <x:f>IF(Calc!$AO$264&gt;'Calc'!$B$8,"",IF('Calc'!$E$17=1,'财富模型'!$E$9,'财富模型'!$M$9+IF(Calc!$AO$264&lt;='财富模型'!$E$11*12,'Calc'!$W$17,'Calc'!$Y$17)-(IF('Calc'!$E$17=1,0,MIN(Calc!$AQ$263*(1+'财富模型'!$E$20/12)+'Calc'!$B$6,IF(Calc!$AO$264&lt;='财富模型'!$E$11*12,'Calc'!$W$17,'Calc'!$Y$17))))))</x:f>
      </x:c>
      <x:c r="AS264" t="str">
        <x:f>IF(Calc!$AO$264&gt;'Calc'!$B$8,"",IF('Calc'!$E$17=1,0,MIN(Calc!$AQ$263*(1+'财富模型'!$E$20/12)+'Calc'!$B$6,IF(Calc!$AO$264&lt;='财富模型'!$E$11*12,'Calc'!$W$17,'Calc'!$Y$17))))</x:f>
      </x:c>
      <x:c r="AT264" t="str">
        <x:f>IF(Calc!$AO$264&gt;'Calc'!$B$8,"",'Calc'!$B$5-'财富模型'!$E$5-(IF('Calc'!$E$17=1,'财富模型'!$E$9,'财富模型'!$M$9+IF(Calc!$AO$264&lt;='财富模型'!$E$11*12,'Calc'!$W$17,'Calc'!$Y$17)-(IF('Calc'!$E$17=1,0,MIN(Calc!$AQ$263*(1+'财富模型'!$E$20/12)+'Calc'!$B$6,IF(Calc!$AO$264&lt;='财富模型'!$E$11*12,'Calc'!$W$17,'Calc'!$Y$17)))))))</x:f>
      </x:c>
      <x:c r="AU264" t="str">
        <x:f>IF(Calc!$AO$264&gt;'Calc'!$B$8,"",IF('Calc'!$E$17=1,0,MAX(Calc!$AU$263*(1+IF(Calc!$AO$264&lt;='财富模型'!$E$11*12,'财富模型'!$E$10,'财富模型'!$E$12)/12)-IF('Calc'!$E$17=1,0,IF(Calc!$AO$264&lt;='财富模型'!$E$11*12,'Calc'!$W$17,'Calc'!$Y$17)),0)))</x:f>
      </x:c>
    </x:row>
    <x:row r="265">
      <x:c r="A265" t="n">
        <x:v>244</x:v>
      </x:c>
      <x:c r="B265" t="str">
        <x:f>IF(Calc!$A$265&gt;'Calc'!$B$8,"",MAX(Calc!$B$264*(1+'财富模型'!$E$6/12)+('Calc'!$B$5-'财富模型'!$E$5-(IF('Calc'!$E$12=1,'财富模型'!$E$9,'财富模型'!$M$4+IF(Calc!$A$265&lt;='财富模型'!$E$11*12,'Calc'!$W$12,'Calc'!$Y$12)-(IF('Calc'!$E$12=1,0,MIN(Calc!$C$264*(1+'财富模型'!$E$20/12)+'Calc'!$B$6,IF(Calc!$A$265&lt;='财富模型'!$E$11*12,'Calc'!$W$12,'Calc'!$Y$12))))))),0))</x:f>
      </x:c>
      <x:c r="C265" t="str">
        <x:f>IF(Calc!$A$265&gt;'Calc'!$B$8,"",MAX(Calc!$C$264*(1+'财富模型'!$E$20/12)+'Calc'!$B$6-(IF('Calc'!$E$12=1,0,MIN(Calc!$C$264*(1+'财富模型'!$E$20/12)+'Calc'!$B$6,IF(Calc!$A$265&lt;='财富模型'!$E$11*12,'Calc'!$W$12,'Calc'!$Y$12)))),0))</x:f>
      </x:c>
      <x:c r="D265" t="str">
        <x:f>IF(Calc!$A$265&gt;'Calc'!$B$8,"",IF('Calc'!$E$12=1,'财富模型'!$E$9,'财富模型'!$M$4+IF(Calc!$A$265&lt;='财富模型'!$E$11*12,'Calc'!$W$12,'Calc'!$Y$12)-(IF('Calc'!$E$12=1,0,MIN(Calc!$C$264*(1+'财富模型'!$E$20/12)+'Calc'!$B$6,IF(Calc!$A$265&lt;='财富模型'!$E$11*12,'Calc'!$W$12,'Calc'!$Y$12))))))</x:f>
      </x:c>
      <x:c r="E265" t="str">
        <x:f>IF(Calc!$A$265&gt;'Calc'!$B$8,"",IF('Calc'!$E$12=1,0,MIN(Calc!$C$264*(1+'财富模型'!$E$20/12)+'Calc'!$B$6,IF(Calc!$A$265&lt;='财富模型'!$E$11*12,'Calc'!$W$12,'Calc'!$Y$12))))</x:f>
      </x:c>
      <x:c r="F265" t="str">
        <x:f>IF(Calc!$A$265&gt;'Calc'!$B$8,"",'Calc'!$B$5-'财富模型'!$E$5-(IF('Calc'!$E$12=1,'财富模型'!$E$9,'财富模型'!$M$4+IF(Calc!$A$265&lt;='财富模型'!$E$11*12,'Calc'!$W$12,'Calc'!$Y$12)-(IF('Calc'!$E$12=1,0,MIN(Calc!$C$264*(1+'财富模型'!$E$20/12)+'Calc'!$B$6,IF(Calc!$A$265&lt;='财富模型'!$E$11*12,'Calc'!$W$12,'Calc'!$Y$12)))))))</x:f>
      </x:c>
      <x:c r="G265" t="str">
        <x:f>IF(Calc!$A$265&gt;'Calc'!$B$8,"",IF('Calc'!$E$12=1,0,MAX(Calc!$G$264*(1+IF(Calc!$A$265&lt;='财富模型'!$E$11*12,'财富模型'!$E$10,'财富模型'!$E$12)/12)-IF('Calc'!$E$12=1,0,IF(Calc!$A$265&lt;='财富模型'!$E$11*12,'Calc'!$W$12,'Calc'!$Y$12)),0)))</x:f>
      </x:c>
      <x:c r="I265" t="n">
        <x:v>244</x:v>
      </x:c>
      <x:c r="J265" t="str">
        <x:f>IF(Calc!$I$265&gt;'Calc'!$B$8,"",MAX(Calc!$J$264*(1+'财富模型'!$E$6/12)+('Calc'!$B$5-'财富模型'!$E$5-(IF('Calc'!$E$13=1,'财富模型'!$E$9,'财富模型'!$M$5+IF(Calc!$I$265&lt;='财富模型'!$E$11*12,'Calc'!$W$13,'Calc'!$Y$13)-(IF('Calc'!$E$13=1,0,MIN(Calc!$K$264*(1+'财富模型'!$E$20/12)+'Calc'!$B$6,IF(Calc!$I$265&lt;='财富模型'!$E$11*12,'Calc'!$W$13,'Calc'!$Y$13))))))),0))</x:f>
      </x:c>
      <x:c r="K265" t="str">
        <x:f>IF(Calc!$I$265&gt;'Calc'!$B$8,"",MAX(Calc!$K$264*(1+'财富模型'!$E$20/12)+'Calc'!$B$6-(IF('Calc'!$E$13=1,0,MIN(Calc!$K$264*(1+'财富模型'!$E$20/12)+'Calc'!$B$6,IF(Calc!$I$265&lt;='财富模型'!$E$11*12,'Calc'!$W$13,'Calc'!$Y$13)))),0))</x:f>
      </x:c>
      <x:c r="L265" t="str">
        <x:f>IF(Calc!$I$265&gt;'Calc'!$B$8,"",IF('Calc'!$E$13=1,'财富模型'!$E$9,'财富模型'!$M$5+IF(Calc!$I$265&lt;='财富模型'!$E$11*12,'Calc'!$W$13,'Calc'!$Y$13)-(IF('Calc'!$E$13=1,0,MIN(Calc!$K$264*(1+'财富模型'!$E$20/12)+'Calc'!$B$6,IF(Calc!$I$265&lt;='财富模型'!$E$11*12,'Calc'!$W$13,'Calc'!$Y$13))))))</x:f>
      </x:c>
      <x:c r="M265" t="str">
        <x:f>IF(Calc!$I$265&gt;'Calc'!$B$8,"",IF('Calc'!$E$13=1,0,MIN(Calc!$K$264*(1+'财富模型'!$E$20/12)+'Calc'!$B$6,IF(Calc!$I$265&lt;='财富模型'!$E$11*12,'Calc'!$W$13,'Calc'!$Y$13))))</x:f>
      </x:c>
      <x:c r="N265" t="str">
        <x:f>IF(Calc!$I$265&gt;'Calc'!$B$8,"",'Calc'!$B$5-'财富模型'!$E$5-(IF('Calc'!$E$13=1,'财富模型'!$E$9,'财富模型'!$M$5+IF(Calc!$I$265&lt;='财富模型'!$E$11*12,'Calc'!$W$13,'Calc'!$Y$13)-(IF('Calc'!$E$13=1,0,MIN(Calc!$K$264*(1+'财富模型'!$E$20/12)+'Calc'!$B$6,IF(Calc!$I$265&lt;='财富模型'!$E$11*12,'Calc'!$W$13,'Calc'!$Y$13)))))))</x:f>
      </x:c>
      <x:c r="O265" t="str">
        <x:f>IF(Calc!$I$265&gt;'Calc'!$B$8,"",IF('Calc'!$E$13=1,0,MAX(Calc!$O$264*(1+IF(Calc!$I$265&lt;='财富模型'!$E$11*12,'财富模型'!$E$10,'财富模型'!$E$12)/12)-IF('Calc'!$E$13=1,0,IF(Calc!$I$265&lt;='财富模型'!$E$11*12,'Calc'!$W$13,'Calc'!$Y$13)),0)))</x:f>
      </x:c>
      <x:c r="Q265" t="n">
        <x:v>244</x:v>
      </x:c>
      <x:c r="R265" t="str">
        <x:f>IF(Calc!$Q$265&gt;'Calc'!$B$8,"",MAX(Calc!$R$264*(1+'财富模型'!$E$6/12)+('Calc'!$B$5-'财富模型'!$E$5-(IF('Calc'!$E$14=1,'财富模型'!$E$9,'财富模型'!$M$6+IF(Calc!$Q$265&lt;='财富模型'!$E$11*12,'Calc'!$W$14,'Calc'!$Y$14)-(IF('Calc'!$E$14=1,0,MIN(Calc!$S$264*(1+'财富模型'!$E$20/12)+'Calc'!$B$6,IF(Calc!$Q$265&lt;='财富模型'!$E$11*12,'Calc'!$W$14,'Calc'!$Y$14))))))),0))</x:f>
      </x:c>
      <x:c r="S265" t="str">
        <x:f>IF(Calc!$Q$265&gt;'Calc'!$B$8,"",MAX(Calc!$S$264*(1+'财富模型'!$E$20/12)+'Calc'!$B$6-(IF('Calc'!$E$14=1,0,MIN(Calc!$S$264*(1+'财富模型'!$E$20/12)+'Calc'!$B$6,IF(Calc!$Q$265&lt;='财富模型'!$E$11*12,'Calc'!$W$14,'Calc'!$Y$14)))),0))</x:f>
      </x:c>
      <x:c r="T265" t="str">
        <x:f>IF(Calc!$Q$265&gt;'Calc'!$B$8,"",IF('Calc'!$E$14=1,'财富模型'!$E$9,'财富模型'!$M$6+IF(Calc!$Q$265&lt;='财富模型'!$E$11*12,'Calc'!$W$14,'Calc'!$Y$14)-(IF('Calc'!$E$14=1,0,MIN(Calc!$S$264*(1+'财富模型'!$E$20/12)+'Calc'!$B$6,IF(Calc!$Q$265&lt;='财富模型'!$E$11*12,'Calc'!$W$14,'Calc'!$Y$14))))))</x:f>
      </x:c>
      <x:c r="U265" t="str">
        <x:f>IF(Calc!$Q$265&gt;'Calc'!$B$8,"",IF('Calc'!$E$14=1,0,MIN(Calc!$S$264*(1+'财富模型'!$E$20/12)+'Calc'!$B$6,IF(Calc!$Q$265&lt;='财富模型'!$E$11*12,'Calc'!$W$14,'Calc'!$Y$14))))</x:f>
      </x:c>
      <x:c r="V265" t="str">
        <x:f>IF(Calc!$Q$265&gt;'Calc'!$B$8,"",'Calc'!$B$5-'财富模型'!$E$5-(IF('Calc'!$E$14=1,'财富模型'!$E$9,'财富模型'!$M$6+IF(Calc!$Q$265&lt;='财富模型'!$E$11*12,'Calc'!$W$14,'Calc'!$Y$14)-(IF('Calc'!$E$14=1,0,MIN(Calc!$S$264*(1+'财富模型'!$E$20/12)+'Calc'!$B$6,IF(Calc!$Q$265&lt;='财富模型'!$E$11*12,'Calc'!$W$14,'Calc'!$Y$14)))))))</x:f>
      </x:c>
      <x:c r="W265" t="str">
        <x:f>IF(Calc!$Q$265&gt;'Calc'!$B$8,"",IF('Calc'!$E$14=1,0,MAX(Calc!$W$264*(1+IF(Calc!$Q$265&lt;='财富模型'!$E$11*12,'财富模型'!$E$10,'财富模型'!$E$12)/12)-IF('Calc'!$E$14=1,0,IF(Calc!$Q$265&lt;='财富模型'!$E$11*12,'Calc'!$W$14,'Calc'!$Y$14)),0)))</x:f>
      </x:c>
      <x:c r="Y265" t="n">
        <x:v>244</x:v>
      </x:c>
      <x:c r="Z265" t="str">
        <x:f>IF(Calc!$Y$265&gt;'Calc'!$B$8,"",MAX(Calc!$Z$264*(1+'财富模型'!$E$6/12)+('Calc'!$B$5-'财富模型'!$E$5-(IF('Calc'!$E$15=1,'财富模型'!$E$9,'财富模型'!$M$7+IF(Calc!$Y$265&lt;='财富模型'!$E$11*12,'Calc'!$W$15,'Calc'!$Y$15)-(IF('Calc'!$E$15=1,0,MIN(Calc!$AA$264*(1+'财富模型'!$E$20/12)+'Calc'!$B$6,IF(Calc!$Y$265&lt;='财富模型'!$E$11*12,'Calc'!$W$15,'Calc'!$Y$15))))))),0))</x:f>
      </x:c>
      <x:c r="AA265" t="str">
        <x:f>IF(Calc!$Y$265&gt;'Calc'!$B$8,"",MAX(Calc!$AA$264*(1+'财富模型'!$E$20/12)+'Calc'!$B$6-(IF('Calc'!$E$15=1,0,MIN(Calc!$AA$264*(1+'财富模型'!$E$20/12)+'Calc'!$B$6,IF(Calc!$Y$265&lt;='财富模型'!$E$11*12,'Calc'!$W$15,'Calc'!$Y$15)))),0))</x:f>
      </x:c>
      <x:c r="AB265" t="str">
        <x:f>IF(Calc!$Y$265&gt;'Calc'!$B$8,"",IF('Calc'!$E$15=1,'财富模型'!$E$9,'财富模型'!$M$7+IF(Calc!$Y$265&lt;='财富模型'!$E$11*12,'Calc'!$W$15,'Calc'!$Y$15)-(IF('Calc'!$E$15=1,0,MIN(Calc!$AA$264*(1+'财富模型'!$E$20/12)+'Calc'!$B$6,IF(Calc!$Y$265&lt;='财富模型'!$E$11*12,'Calc'!$W$15,'Calc'!$Y$15))))))</x:f>
      </x:c>
      <x:c r="AC265" t="str">
        <x:f>IF(Calc!$Y$265&gt;'Calc'!$B$8,"",IF('Calc'!$E$15=1,0,MIN(Calc!$AA$264*(1+'财富模型'!$E$20/12)+'Calc'!$B$6,IF(Calc!$Y$265&lt;='财富模型'!$E$11*12,'Calc'!$W$15,'Calc'!$Y$15))))</x:f>
      </x:c>
      <x:c r="AD265" t="str">
        <x:f>IF(Calc!$Y$265&gt;'Calc'!$B$8,"",'Calc'!$B$5-'财富模型'!$E$5-(IF('Calc'!$E$15=1,'财富模型'!$E$9,'财富模型'!$M$7+IF(Calc!$Y$265&lt;='财富模型'!$E$11*12,'Calc'!$W$15,'Calc'!$Y$15)-(IF('Calc'!$E$15=1,0,MIN(Calc!$AA$264*(1+'财富模型'!$E$20/12)+'Calc'!$B$6,IF(Calc!$Y$265&lt;='财富模型'!$E$11*12,'Calc'!$W$15,'Calc'!$Y$15)))))))</x:f>
      </x:c>
      <x:c r="AE265" t="str">
        <x:f>IF(Calc!$Y$265&gt;'Calc'!$B$8,"",IF('Calc'!$E$15=1,0,MAX(Calc!$AE$264*(1+IF(Calc!$Y$265&lt;='财富模型'!$E$11*12,'财富模型'!$E$10,'财富模型'!$E$12)/12)-IF('Calc'!$E$15=1,0,IF(Calc!$Y$265&lt;='财富模型'!$E$11*12,'Calc'!$W$15,'Calc'!$Y$15)),0)))</x:f>
      </x:c>
      <x:c r="AG265" t="n">
        <x:v>244</x:v>
      </x:c>
      <x:c r="AH265" t="str">
        <x:f>IF(Calc!$AG$265&gt;'Calc'!$B$8,"",MAX(Calc!$AH$264*(1+'财富模型'!$E$6/12)+('Calc'!$B$5-'财富模型'!$E$5-(IF('Calc'!$E$16=1,'财富模型'!$E$9,'财富模型'!$M$8+IF(Calc!$AG$265&lt;='财富模型'!$E$11*12,'Calc'!$W$16,'Calc'!$Y$16)-(IF('Calc'!$E$16=1,0,MIN(Calc!$AI$264*(1+'财富模型'!$E$20/12)+'Calc'!$B$6,IF(Calc!$AG$265&lt;='财富模型'!$E$11*12,'Calc'!$W$16,'Calc'!$Y$16))))))),0))</x:f>
      </x:c>
      <x:c r="AI265" t="str">
        <x:f>IF(Calc!$AG$265&gt;'Calc'!$B$8,"",MAX(Calc!$AI$264*(1+'财富模型'!$E$20/12)+'Calc'!$B$6-(IF('Calc'!$E$16=1,0,MIN(Calc!$AI$264*(1+'财富模型'!$E$20/12)+'Calc'!$B$6,IF(Calc!$AG$265&lt;='财富模型'!$E$11*12,'Calc'!$W$16,'Calc'!$Y$16)))),0))</x:f>
      </x:c>
      <x:c r="AJ265" t="str">
        <x:f>IF(Calc!$AG$265&gt;'Calc'!$B$8,"",IF('Calc'!$E$16=1,'财富模型'!$E$9,'财富模型'!$M$8+IF(Calc!$AG$265&lt;='财富模型'!$E$11*12,'Calc'!$W$16,'Calc'!$Y$16)-(IF('Calc'!$E$16=1,0,MIN(Calc!$AI$264*(1+'财富模型'!$E$20/12)+'Calc'!$B$6,IF(Calc!$AG$265&lt;='财富模型'!$E$11*12,'Calc'!$W$16,'Calc'!$Y$16))))))</x:f>
      </x:c>
      <x:c r="AK265" t="str">
        <x:f>IF(Calc!$AG$265&gt;'Calc'!$B$8,"",IF('Calc'!$E$16=1,0,MIN(Calc!$AI$264*(1+'财富模型'!$E$20/12)+'Calc'!$B$6,IF(Calc!$AG$265&lt;='财富模型'!$E$11*12,'Calc'!$W$16,'Calc'!$Y$16))))</x:f>
      </x:c>
      <x:c r="AL265" t="str">
        <x:f>IF(Calc!$AG$265&gt;'Calc'!$B$8,"",'Calc'!$B$5-'财富模型'!$E$5-(IF('Calc'!$E$16=1,'财富模型'!$E$9,'财富模型'!$M$8+IF(Calc!$AG$265&lt;='财富模型'!$E$11*12,'Calc'!$W$16,'Calc'!$Y$16)-(IF('Calc'!$E$16=1,0,MIN(Calc!$AI$264*(1+'财富模型'!$E$20/12)+'Calc'!$B$6,IF(Calc!$AG$265&lt;='财富模型'!$E$11*12,'Calc'!$W$16,'Calc'!$Y$16)))))))</x:f>
      </x:c>
      <x:c r="AM265" t="str">
        <x:f>IF(Calc!$AG$265&gt;'Calc'!$B$8,"",IF('Calc'!$E$16=1,0,MAX(Calc!$AM$264*(1+IF(Calc!$AG$265&lt;='财富模型'!$E$11*12,'财富模型'!$E$10,'财富模型'!$E$12)/12)-IF('Calc'!$E$16=1,0,IF(Calc!$AG$265&lt;='财富模型'!$E$11*12,'Calc'!$W$16,'Calc'!$Y$16)),0)))</x:f>
      </x:c>
      <x:c r="AO265" t="n">
        <x:v>244</x:v>
      </x:c>
      <x:c r="AP265" t="str">
        <x:f>IF(Calc!$AO$265&gt;'Calc'!$B$8,"",MAX(Calc!$AP$264*(1+'财富模型'!$E$6/12)+('Calc'!$B$5-'财富模型'!$E$5-(IF('Calc'!$E$17=1,'财富模型'!$E$9,'财富模型'!$M$9+IF(Calc!$AO$265&lt;='财富模型'!$E$11*12,'Calc'!$W$17,'Calc'!$Y$17)-(IF('Calc'!$E$17=1,0,MIN(Calc!$AQ$264*(1+'财富模型'!$E$20/12)+'Calc'!$B$6,IF(Calc!$AO$265&lt;='财富模型'!$E$11*12,'Calc'!$W$17,'Calc'!$Y$17))))))),0))</x:f>
      </x:c>
      <x:c r="AQ265" t="str">
        <x:f>IF(Calc!$AO$265&gt;'Calc'!$B$8,"",MAX(Calc!$AQ$264*(1+'财富模型'!$E$20/12)+'Calc'!$B$6-(IF('Calc'!$E$17=1,0,MIN(Calc!$AQ$264*(1+'财富模型'!$E$20/12)+'Calc'!$B$6,IF(Calc!$AO$265&lt;='财富模型'!$E$11*12,'Calc'!$W$17,'Calc'!$Y$17)))),0))</x:f>
      </x:c>
      <x:c r="AR265" t="str">
        <x:f>IF(Calc!$AO$265&gt;'Calc'!$B$8,"",IF('Calc'!$E$17=1,'财富模型'!$E$9,'财富模型'!$M$9+IF(Calc!$AO$265&lt;='财富模型'!$E$11*12,'Calc'!$W$17,'Calc'!$Y$17)-(IF('Calc'!$E$17=1,0,MIN(Calc!$AQ$264*(1+'财富模型'!$E$20/12)+'Calc'!$B$6,IF(Calc!$AO$265&lt;='财富模型'!$E$11*12,'Calc'!$W$17,'Calc'!$Y$17))))))</x:f>
      </x:c>
      <x:c r="AS265" t="str">
        <x:f>IF(Calc!$AO$265&gt;'Calc'!$B$8,"",IF('Calc'!$E$17=1,0,MIN(Calc!$AQ$264*(1+'财富模型'!$E$20/12)+'Calc'!$B$6,IF(Calc!$AO$265&lt;='财富模型'!$E$11*12,'Calc'!$W$17,'Calc'!$Y$17))))</x:f>
      </x:c>
      <x:c r="AT265" t="str">
        <x:f>IF(Calc!$AO$265&gt;'Calc'!$B$8,"",'Calc'!$B$5-'财富模型'!$E$5-(IF('Calc'!$E$17=1,'财富模型'!$E$9,'财富模型'!$M$9+IF(Calc!$AO$265&lt;='财富模型'!$E$11*12,'Calc'!$W$17,'Calc'!$Y$17)-(IF('Calc'!$E$17=1,0,MIN(Calc!$AQ$264*(1+'财富模型'!$E$20/12)+'Calc'!$B$6,IF(Calc!$AO$265&lt;='财富模型'!$E$11*12,'Calc'!$W$17,'Calc'!$Y$17)))))))</x:f>
      </x:c>
      <x:c r="AU265" t="str">
        <x:f>IF(Calc!$AO$265&gt;'Calc'!$B$8,"",IF('Calc'!$E$17=1,0,MAX(Calc!$AU$264*(1+IF(Calc!$AO$265&lt;='财富模型'!$E$11*12,'财富模型'!$E$10,'财富模型'!$E$12)/12)-IF('Calc'!$E$17=1,0,IF(Calc!$AO$265&lt;='财富模型'!$E$11*12,'Calc'!$W$17,'Calc'!$Y$17)),0)))</x:f>
      </x:c>
    </x:row>
    <x:row r="266">
      <x:c r="A266" t="n">
        <x:v>245</x:v>
      </x:c>
      <x:c r="B266" t="str">
        <x:f>IF(Calc!$A$266&gt;'Calc'!$B$8,"",MAX(Calc!$B$265*(1+'财富模型'!$E$6/12)+('Calc'!$B$5-'财富模型'!$E$5-(IF('Calc'!$E$12=1,'财富模型'!$E$9,'财富模型'!$M$4+IF(Calc!$A$266&lt;='财富模型'!$E$11*12,'Calc'!$W$12,'Calc'!$Y$12)-(IF('Calc'!$E$12=1,0,MIN(Calc!$C$265*(1+'财富模型'!$E$20/12)+'Calc'!$B$6,IF(Calc!$A$266&lt;='财富模型'!$E$11*12,'Calc'!$W$12,'Calc'!$Y$12))))))),0))</x:f>
      </x:c>
      <x:c r="C266" t="str">
        <x:f>IF(Calc!$A$266&gt;'Calc'!$B$8,"",MAX(Calc!$C$265*(1+'财富模型'!$E$20/12)+'Calc'!$B$6-(IF('Calc'!$E$12=1,0,MIN(Calc!$C$265*(1+'财富模型'!$E$20/12)+'Calc'!$B$6,IF(Calc!$A$266&lt;='财富模型'!$E$11*12,'Calc'!$W$12,'Calc'!$Y$12)))),0))</x:f>
      </x:c>
      <x:c r="D266" t="str">
        <x:f>IF(Calc!$A$266&gt;'Calc'!$B$8,"",IF('Calc'!$E$12=1,'财富模型'!$E$9,'财富模型'!$M$4+IF(Calc!$A$266&lt;='财富模型'!$E$11*12,'Calc'!$W$12,'Calc'!$Y$12)-(IF('Calc'!$E$12=1,0,MIN(Calc!$C$265*(1+'财富模型'!$E$20/12)+'Calc'!$B$6,IF(Calc!$A$266&lt;='财富模型'!$E$11*12,'Calc'!$W$12,'Calc'!$Y$12))))))</x:f>
      </x:c>
      <x:c r="E266" t="str">
        <x:f>IF(Calc!$A$266&gt;'Calc'!$B$8,"",IF('Calc'!$E$12=1,0,MIN(Calc!$C$265*(1+'财富模型'!$E$20/12)+'Calc'!$B$6,IF(Calc!$A$266&lt;='财富模型'!$E$11*12,'Calc'!$W$12,'Calc'!$Y$12))))</x:f>
      </x:c>
      <x:c r="F266" t="str">
        <x:f>IF(Calc!$A$266&gt;'Calc'!$B$8,"",'Calc'!$B$5-'财富模型'!$E$5-(IF('Calc'!$E$12=1,'财富模型'!$E$9,'财富模型'!$M$4+IF(Calc!$A$266&lt;='财富模型'!$E$11*12,'Calc'!$W$12,'Calc'!$Y$12)-(IF('Calc'!$E$12=1,0,MIN(Calc!$C$265*(1+'财富模型'!$E$20/12)+'Calc'!$B$6,IF(Calc!$A$266&lt;='财富模型'!$E$11*12,'Calc'!$W$12,'Calc'!$Y$12)))))))</x:f>
      </x:c>
      <x:c r="G266" t="str">
        <x:f>IF(Calc!$A$266&gt;'Calc'!$B$8,"",IF('Calc'!$E$12=1,0,MAX(Calc!$G$265*(1+IF(Calc!$A$266&lt;='财富模型'!$E$11*12,'财富模型'!$E$10,'财富模型'!$E$12)/12)-IF('Calc'!$E$12=1,0,IF(Calc!$A$266&lt;='财富模型'!$E$11*12,'Calc'!$W$12,'Calc'!$Y$12)),0)))</x:f>
      </x:c>
      <x:c r="I266" t="n">
        <x:v>245</x:v>
      </x:c>
      <x:c r="J266" t="str">
        <x:f>IF(Calc!$I$266&gt;'Calc'!$B$8,"",MAX(Calc!$J$265*(1+'财富模型'!$E$6/12)+('Calc'!$B$5-'财富模型'!$E$5-(IF('Calc'!$E$13=1,'财富模型'!$E$9,'财富模型'!$M$5+IF(Calc!$I$266&lt;='财富模型'!$E$11*12,'Calc'!$W$13,'Calc'!$Y$13)-(IF('Calc'!$E$13=1,0,MIN(Calc!$K$265*(1+'财富模型'!$E$20/12)+'Calc'!$B$6,IF(Calc!$I$266&lt;='财富模型'!$E$11*12,'Calc'!$W$13,'Calc'!$Y$13))))))),0))</x:f>
      </x:c>
      <x:c r="K266" t="str">
        <x:f>IF(Calc!$I$266&gt;'Calc'!$B$8,"",MAX(Calc!$K$265*(1+'财富模型'!$E$20/12)+'Calc'!$B$6-(IF('Calc'!$E$13=1,0,MIN(Calc!$K$265*(1+'财富模型'!$E$20/12)+'Calc'!$B$6,IF(Calc!$I$266&lt;='财富模型'!$E$11*12,'Calc'!$W$13,'Calc'!$Y$13)))),0))</x:f>
      </x:c>
      <x:c r="L266" t="str">
        <x:f>IF(Calc!$I$266&gt;'Calc'!$B$8,"",IF('Calc'!$E$13=1,'财富模型'!$E$9,'财富模型'!$M$5+IF(Calc!$I$266&lt;='财富模型'!$E$11*12,'Calc'!$W$13,'Calc'!$Y$13)-(IF('Calc'!$E$13=1,0,MIN(Calc!$K$265*(1+'财富模型'!$E$20/12)+'Calc'!$B$6,IF(Calc!$I$266&lt;='财富模型'!$E$11*12,'Calc'!$W$13,'Calc'!$Y$13))))))</x:f>
      </x:c>
      <x:c r="M266" t="str">
        <x:f>IF(Calc!$I$266&gt;'Calc'!$B$8,"",IF('Calc'!$E$13=1,0,MIN(Calc!$K$265*(1+'财富模型'!$E$20/12)+'Calc'!$B$6,IF(Calc!$I$266&lt;='财富模型'!$E$11*12,'Calc'!$W$13,'Calc'!$Y$13))))</x:f>
      </x:c>
      <x:c r="N266" t="str">
        <x:f>IF(Calc!$I$266&gt;'Calc'!$B$8,"",'Calc'!$B$5-'财富模型'!$E$5-(IF('Calc'!$E$13=1,'财富模型'!$E$9,'财富模型'!$M$5+IF(Calc!$I$266&lt;='财富模型'!$E$11*12,'Calc'!$W$13,'Calc'!$Y$13)-(IF('Calc'!$E$13=1,0,MIN(Calc!$K$265*(1+'财富模型'!$E$20/12)+'Calc'!$B$6,IF(Calc!$I$266&lt;='财富模型'!$E$11*12,'Calc'!$W$13,'Calc'!$Y$13)))))))</x:f>
      </x:c>
      <x:c r="O266" t="str">
        <x:f>IF(Calc!$I$266&gt;'Calc'!$B$8,"",IF('Calc'!$E$13=1,0,MAX(Calc!$O$265*(1+IF(Calc!$I$266&lt;='财富模型'!$E$11*12,'财富模型'!$E$10,'财富模型'!$E$12)/12)-IF('Calc'!$E$13=1,0,IF(Calc!$I$266&lt;='财富模型'!$E$11*12,'Calc'!$W$13,'Calc'!$Y$13)),0)))</x:f>
      </x:c>
      <x:c r="Q266" t="n">
        <x:v>245</x:v>
      </x:c>
      <x:c r="R266" t="str">
        <x:f>IF(Calc!$Q$266&gt;'Calc'!$B$8,"",MAX(Calc!$R$265*(1+'财富模型'!$E$6/12)+('Calc'!$B$5-'财富模型'!$E$5-(IF('Calc'!$E$14=1,'财富模型'!$E$9,'财富模型'!$M$6+IF(Calc!$Q$266&lt;='财富模型'!$E$11*12,'Calc'!$W$14,'Calc'!$Y$14)-(IF('Calc'!$E$14=1,0,MIN(Calc!$S$265*(1+'财富模型'!$E$20/12)+'Calc'!$B$6,IF(Calc!$Q$266&lt;='财富模型'!$E$11*12,'Calc'!$W$14,'Calc'!$Y$14))))))),0))</x:f>
      </x:c>
      <x:c r="S266" t="str">
        <x:f>IF(Calc!$Q$266&gt;'Calc'!$B$8,"",MAX(Calc!$S$265*(1+'财富模型'!$E$20/12)+'Calc'!$B$6-(IF('Calc'!$E$14=1,0,MIN(Calc!$S$265*(1+'财富模型'!$E$20/12)+'Calc'!$B$6,IF(Calc!$Q$266&lt;='财富模型'!$E$11*12,'Calc'!$W$14,'Calc'!$Y$14)))),0))</x:f>
      </x:c>
      <x:c r="T266" t="str">
        <x:f>IF(Calc!$Q$266&gt;'Calc'!$B$8,"",IF('Calc'!$E$14=1,'财富模型'!$E$9,'财富模型'!$M$6+IF(Calc!$Q$266&lt;='财富模型'!$E$11*12,'Calc'!$W$14,'Calc'!$Y$14)-(IF('Calc'!$E$14=1,0,MIN(Calc!$S$265*(1+'财富模型'!$E$20/12)+'Calc'!$B$6,IF(Calc!$Q$266&lt;='财富模型'!$E$11*12,'Calc'!$W$14,'Calc'!$Y$14))))))</x:f>
      </x:c>
      <x:c r="U266" t="str">
        <x:f>IF(Calc!$Q$266&gt;'Calc'!$B$8,"",IF('Calc'!$E$14=1,0,MIN(Calc!$S$265*(1+'财富模型'!$E$20/12)+'Calc'!$B$6,IF(Calc!$Q$266&lt;='财富模型'!$E$11*12,'Calc'!$W$14,'Calc'!$Y$14))))</x:f>
      </x:c>
      <x:c r="V266" t="str">
        <x:f>IF(Calc!$Q$266&gt;'Calc'!$B$8,"",'Calc'!$B$5-'财富模型'!$E$5-(IF('Calc'!$E$14=1,'财富模型'!$E$9,'财富模型'!$M$6+IF(Calc!$Q$266&lt;='财富模型'!$E$11*12,'Calc'!$W$14,'Calc'!$Y$14)-(IF('Calc'!$E$14=1,0,MIN(Calc!$S$265*(1+'财富模型'!$E$20/12)+'Calc'!$B$6,IF(Calc!$Q$266&lt;='财富模型'!$E$11*12,'Calc'!$W$14,'Calc'!$Y$14)))))))</x:f>
      </x:c>
      <x:c r="W266" t="str">
        <x:f>IF(Calc!$Q$266&gt;'Calc'!$B$8,"",IF('Calc'!$E$14=1,0,MAX(Calc!$W$265*(1+IF(Calc!$Q$266&lt;='财富模型'!$E$11*12,'财富模型'!$E$10,'财富模型'!$E$12)/12)-IF('Calc'!$E$14=1,0,IF(Calc!$Q$266&lt;='财富模型'!$E$11*12,'Calc'!$W$14,'Calc'!$Y$14)),0)))</x:f>
      </x:c>
      <x:c r="Y266" t="n">
        <x:v>245</x:v>
      </x:c>
      <x:c r="Z266" t="str">
        <x:f>IF(Calc!$Y$266&gt;'Calc'!$B$8,"",MAX(Calc!$Z$265*(1+'财富模型'!$E$6/12)+('Calc'!$B$5-'财富模型'!$E$5-(IF('Calc'!$E$15=1,'财富模型'!$E$9,'财富模型'!$M$7+IF(Calc!$Y$266&lt;='财富模型'!$E$11*12,'Calc'!$W$15,'Calc'!$Y$15)-(IF('Calc'!$E$15=1,0,MIN(Calc!$AA$265*(1+'财富模型'!$E$20/12)+'Calc'!$B$6,IF(Calc!$Y$266&lt;='财富模型'!$E$11*12,'Calc'!$W$15,'Calc'!$Y$15))))))),0))</x:f>
      </x:c>
      <x:c r="AA266" t="str">
        <x:f>IF(Calc!$Y$266&gt;'Calc'!$B$8,"",MAX(Calc!$AA$265*(1+'财富模型'!$E$20/12)+'Calc'!$B$6-(IF('Calc'!$E$15=1,0,MIN(Calc!$AA$265*(1+'财富模型'!$E$20/12)+'Calc'!$B$6,IF(Calc!$Y$266&lt;='财富模型'!$E$11*12,'Calc'!$W$15,'Calc'!$Y$15)))),0))</x:f>
      </x:c>
      <x:c r="AB266" t="str">
        <x:f>IF(Calc!$Y$266&gt;'Calc'!$B$8,"",IF('Calc'!$E$15=1,'财富模型'!$E$9,'财富模型'!$M$7+IF(Calc!$Y$266&lt;='财富模型'!$E$11*12,'Calc'!$W$15,'Calc'!$Y$15)-(IF('Calc'!$E$15=1,0,MIN(Calc!$AA$265*(1+'财富模型'!$E$20/12)+'Calc'!$B$6,IF(Calc!$Y$266&lt;='财富模型'!$E$11*12,'Calc'!$W$15,'Calc'!$Y$15))))))</x:f>
      </x:c>
      <x:c r="AC266" t="str">
        <x:f>IF(Calc!$Y$266&gt;'Calc'!$B$8,"",IF('Calc'!$E$15=1,0,MIN(Calc!$AA$265*(1+'财富模型'!$E$20/12)+'Calc'!$B$6,IF(Calc!$Y$266&lt;='财富模型'!$E$11*12,'Calc'!$W$15,'Calc'!$Y$15))))</x:f>
      </x:c>
      <x:c r="AD266" t="str">
        <x:f>IF(Calc!$Y$266&gt;'Calc'!$B$8,"",'Calc'!$B$5-'财富模型'!$E$5-(IF('Calc'!$E$15=1,'财富模型'!$E$9,'财富模型'!$M$7+IF(Calc!$Y$266&lt;='财富模型'!$E$11*12,'Calc'!$W$15,'Calc'!$Y$15)-(IF('Calc'!$E$15=1,0,MIN(Calc!$AA$265*(1+'财富模型'!$E$20/12)+'Calc'!$B$6,IF(Calc!$Y$266&lt;='财富模型'!$E$11*12,'Calc'!$W$15,'Calc'!$Y$15)))))))</x:f>
      </x:c>
      <x:c r="AE266" t="str">
        <x:f>IF(Calc!$Y$266&gt;'Calc'!$B$8,"",IF('Calc'!$E$15=1,0,MAX(Calc!$AE$265*(1+IF(Calc!$Y$266&lt;='财富模型'!$E$11*12,'财富模型'!$E$10,'财富模型'!$E$12)/12)-IF('Calc'!$E$15=1,0,IF(Calc!$Y$266&lt;='财富模型'!$E$11*12,'Calc'!$W$15,'Calc'!$Y$15)),0)))</x:f>
      </x:c>
      <x:c r="AG266" t="n">
        <x:v>245</x:v>
      </x:c>
      <x:c r="AH266" t="str">
        <x:f>IF(Calc!$AG$266&gt;'Calc'!$B$8,"",MAX(Calc!$AH$265*(1+'财富模型'!$E$6/12)+('Calc'!$B$5-'财富模型'!$E$5-(IF('Calc'!$E$16=1,'财富模型'!$E$9,'财富模型'!$M$8+IF(Calc!$AG$266&lt;='财富模型'!$E$11*12,'Calc'!$W$16,'Calc'!$Y$16)-(IF('Calc'!$E$16=1,0,MIN(Calc!$AI$265*(1+'财富模型'!$E$20/12)+'Calc'!$B$6,IF(Calc!$AG$266&lt;='财富模型'!$E$11*12,'Calc'!$W$16,'Calc'!$Y$16))))))),0))</x:f>
      </x:c>
      <x:c r="AI266" t="str">
        <x:f>IF(Calc!$AG$266&gt;'Calc'!$B$8,"",MAX(Calc!$AI$265*(1+'财富模型'!$E$20/12)+'Calc'!$B$6-(IF('Calc'!$E$16=1,0,MIN(Calc!$AI$265*(1+'财富模型'!$E$20/12)+'Calc'!$B$6,IF(Calc!$AG$266&lt;='财富模型'!$E$11*12,'Calc'!$W$16,'Calc'!$Y$16)))),0))</x:f>
      </x:c>
      <x:c r="AJ266" t="str">
        <x:f>IF(Calc!$AG$266&gt;'Calc'!$B$8,"",IF('Calc'!$E$16=1,'财富模型'!$E$9,'财富模型'!$M$8+IF(Calc!$AG$266&lt;='财富模型'!$E$11*12,'Calc'!$W$16,'Calc'!$Y$16)-(IF('Calc'!$E$16=1,0,MIN(Calc!$AI$265*(1+'财富模型'!$E$20/12)+'Calc'!$B$6,IF(Calc!$AG$266&lt;='财富模型'!$E$11*12,'Calc'!$W$16,'Calc'!$Y$16))))))</x:f>
      </x:c>
      <x:c r="AK266" t="str">
        <x:f>IF(Calc!$AG$266&gt;'Calc'!$B$8,"",IF('Calc'!$E$16=1,0,MIN(Calc!$AI$265*(1+'财富模型'!$E$20/12)+'Calc'!$B$6,IF(Calc!$AG$266&lt;='财富模型'!$E$11*12,'Calc'!$W$16,'Calc'!$Y$16))))</x:f>
      </x:c>
      <x:c r="AL266" t="str">
        <x:f>IF(Calc!$AG$266&gt;'Calc'!$B$8,"",'Calc'!$B$5-'财富模型'!$E$5-(IF('Calc'!$E$16=1,'财富模型'!$E$9,'财富模型'!$M$8+IF(Calc!$AG$266&lt;='财富模型'!$E$11*12,'Calc'!$W$16,'Calc'!$Y$16)-(IF('Calc'!$E$16=1,0,MIN(Calc!$AI$265*(1+'财富模型'!$E$20/12)+'Calc'!$B$6,IF(Calc!$AG$266&lt;='财富模型'!$E$11*12,'Calc'!$W$16,'Calc'!$Y$16)))))))</x:f>
      </x:c>
      <x:c r="AM266" t="str">
        <x:f>IF(Calc!$AG$266&gt;'Calc'!$B$8,"",IF('Calc'!$E$16=1,0,MAX(Calc!$AM$265*(1+IF(Calc!$AG$266&lt;='财富模型'!$E$11*12,'财富模型'!$E$10,'财富模型'!$E$12)/12)-IF('Calc'!$E$16=1,0,IF(Calc!$AG$266&lt;='财富模型'!$E$11*12,'Calc'!$W$16,'Calc'!$Y$16)),0)))</x:f>
      </x:c>
      <x:c r="AO266" t="n">
        <x:v>245</x:v>
      </x:c>
      <x:c r="AP266" t="str">
        <x:f>IF(Calc!$AO$266&gt;'Calc'!$B$8,"",MAX(Calc!$AP$265*(1+'财富模型'!$E$6/12)+('Calc'!$B$5-'财富模型'!$E$5-(IF('Calc'!$E$17=1,'财富模型'!$E$9,'财富模型'!$M$9+IF(Calc!$AO$266&lt;='财富模型'!$E$11*12,'Calc'!$W$17,'Calc'!$Y$17)-(IF('Calc'!$E$17=1,0,MIN(Calc!$AQ$265*(1+'财富模型'!$E$20/12)+'Calc'!$B$6,IF(Calc!$AO$266&lt;='财富模型'!$E$11*12,'Calc'!$W$17,'Calc'!$Y$17))))))),0))</x:f>
      </x:c>
      <x:c r="AQ266" t="str">
        <x:f>IF(Calc!$AO$266&gt;'Calc'!$B$8,"",MAX(Calc!$AQ$265*(1+'财富模型'!$E$20/12)+'Calc'!$B$6-(IF('Calc'!$E$17=1,0,MIN(Calc!$AQ$265*(1+'财富模型'!$E$20/12)+'Calc'!$B$6,IF(Calc!$AO$266&lt;='财富模型'!$E$11*12,'Calc'!$W$17,'Calc'!$Y$17)))),0))</x:f>
      </x:c>
      <x:c r="AR266" t="str">
        <x:f>IF(Calc!$AO$266&gt;'Calc'!$B$8,"",IF('Calc'!$E$17=1,'财富模型'!$E$9,'财富模型'!$M$9+IF(Calc!$AO$266&lt;='财富模型'!$E$11*12,'Calc'!$W$17,'Calc'!$Y$17)-(IF('Calc'!$E$17=1,0,MIN(Calc!$AQ$265*(1+'财富模型'!$E$20/12)+'Calc'!$B$6,IF(Calc!$AO$266&lt;='财富模型'!$E$11*12,'Calc'!$W$17,'Calc'!$Y$17))))))</x:f>
      </x:c>
      <x:c r="AS266" t="str">
        <x:f>IF(Calc!$AO$266&gt;'Calc'!$B$8,"",IF('Calc'!$E$17=1,0,MIN(Calc!$AQ$265*(1+'财富模型'!$E$20/12)+'Calc'!$B$6,IF(Calc!$AO$266&lt;='财富模型'!$E$11*12,'Calc'!$W$17,'Calc'!$Y$17))))</x:f>
      </x:c>
      <x:c r="AT266" t="str">
        <x:f>IF(Calc!$AO$266&gt;'Calc'!$B$8,"",'Calc'!$B$5-'财富模型'!$E$5-(IF('Calc'!$E$17=1,'财富模型'!$E$9,'财富模型'!$M$9+IF(Calc!$AO$266&lt;='财富模型'!$E$11*12,'Calc'!$W$17,'Calc'!$Y$17)-(IF('Calc'!$E$17=1,0,MIN(Calc!$AQ$265*(1+'财富模型'!$E$20/12)+'Calc'!$B$6,IF(Calc!$AO$266&lt;='财富模型'!$E$11*12,'Calc'!$W$17,'Calc'!$Y$17)))))))</x:f>
      </x:c>
      <x:c r="AU266" t="str">
        <x:f>IF(Calc!$AO$266&gt;'Calc'!$B$8,"",IF('Calc'!$E$17=1,0,MAX(Calc!$AU$265*(1+IF(Calc!$AO$266&lt;='财富模型'!$E$11*12,'财富模型'!$E$10,'财富模型'!$E$12)/12)-IF('Calc'!$E$17=1,0,IF(Calc!$AO$266&lt;='财富模型'!$E$11*12,'Calc'!$W$17,'Calc'!$Y$17)),0)))</x:f>
      </x:c>
    </x:row>
    <x:row r="267">
      <x:c r="A267" t="n">
        <x:v>246</x:v>
      </x:c>
      <x:c r="B267" t="str">
        <x:f>IF(Calc!$A$267&gt;'Calc'!$B$8,"",MAX(Calc!$B$266*(1+'财富模型'!$E$6/12)+('Calc'!$B$5-'财富模型'!$E$5-(IF('Calc'!$E$12=1,'财富模型'!$E$9,'财富模型'!$M$4+IF(Calc!$A$267&lt;='财富模型'!$E$11*12,'Calc'!$W$12,'Calc'!$Y$12)-(IF('Calc'!$E$12=1,0,MIN(Calc!$C$266*(1+'财富模型'!$E$20/12)+'Calc'!$B$6,IF(Calc!$A$267&lt;='财富模型'!$E$11*12,'Calc'!$W$12,'Calc'!$Y$12))))))),0))</x:f>
      </x:c>
      <x:c r="C267" t="str">
        <x:f>IF(Calc!$A$267&gt;'Calc'!$B$8,"",MAX(Calc!$C$266*(1+'财富模型'!$E$20/12)+'Calc'!$B$6-(IF('Calc'!$E$12=1,0,MIN(Calc!$C$266*(1+'财富模型'!$E$20/12)+'Calc'!$B$6,IF(Calc!$A$267&lt;='财富模型'!$E$11*12,'Calc'!$W$12,'Calc'!$Y$12)))),0))</x:f>
      </x:c>
      <x:c r="D267" t="str">
        <x:f>IF(Calc!$A$267&gt;'Calc'!$B$8,"",IF('Calc'!$E$12=1,'财富模型'!$E$9,'财富模型'!$M$4+IF(Calc!$A$267&lt;='财富模型'!$E$11*12,'Calc'!$W$12,'Calc'!$Y$12)-(IF('Calc'!$E$12=1,0,MIN(Calc!$C$266*(1+'财富模型'!$E$20/12)+'Calc'!$B$6,IF(Calc!$A$267&lt;='财富模型'!$E$11*12,'Calc'!$W$12,'Calc'!$Y$12))))))</x:f>
      </x:c>
      <x:c r="E267" t="str">
        <x:f>IF(Calc!$A$267&gt;'Calc'!$B$8,"",IF('Calc'!$E$12=1,0,MIN(Calc!$C$266*(1+'财富模型'!$E$20/12)+'Calc'!$B$6,IF(Calc!$A$267&lt;='财富模型'!$E$11*12,'Calc'!$W$12,'Calc'!$Y$12))))</x:f>
      </x:c>
      <x:c r="F267" t="str">
        <x:f>IF(Calc!$A$267&gt;'Calc'!$B$8,"",'Calc'!$B$5-'财富模型'!$E$5-(IF('Calc'!$E$12=1,'财富模型'!$E$9,'财富模型'!$M$4+IF(Calc!$A$267&lt;='财富模型'!$E$11*12,'Calc'!$W$12,'Calc'!$Y$12)-(IF('Calc'!$E$12=1,0,MIN(Calc!$C$266*(1+'财富模型'!$E$20/12)+'Calc'!$B$6,IF(Calc!$A$267&lt;='财富模型'!$E$11*12,'Calc'!$W$12,'Calc'!$Y$12)))))))</x:f>
      </x:c>
      <x:c r="G267" t="str">
        <x:f>IF(Calc!$A$267&gt;'Calc'!$B$8,"",IF('Calc'!$E$12=1,0,MAX(Calc!$G$266*(1+IF(Calc!$A$267&lt;='财富模型'!$E$11*12,'财富模型'!$E$10,'财富模型'!$E$12)/12)-IF('Calc'!$E$12=1,0,IF(Calc!$A$267&lt;='财富模型'!$E$11*12,'Calc'!$W$12,'Calc'!$Y$12)),0)))</x:f>
      </x:c>
      <x:c r="I267" t="n">
        <x:v>246</x:v>
      </x:c>
      <x:c r="J267" t="str">
        <x:f>IF(Calc!$I$267&gt;'Calc'!$B$8,"",MAX(Calc!$J$266*(1+'财富模型'!$E$6/12)+('Calc'!$B$5-'财富模型'!$E$5-(IF('Calc'!$E$13=1,'财富模型'!$E$9,'财富模型'!$M$5+IF(Calc!$I$267&lt;='财富模型'!$E$11*12,'Calc'!$W$13,'Calc'!$Y$13)-(IF('Calc'!$E$13=1,0,MIN(Calc!$K$266*(1+'财富模型'!$E$20/12)+'Calc'!$B$6,IF(Calc!$I$267&lt;='财富模型'!$E$11*12,'Calc'!$W$13,'Calc'!$Y$13))))))),0))</x:f>
      </x:c>
      <x:c r="K267" t="str">
        <x:f>IF(Calc!$I$267&gt;'Calc'!$B$8,"",MAX(Calc!$K$266*(1+'财富模型'!$E$20/12)+'Calc'!$B$6-(IF('Calc'!$E$13=1,0,MIN(Calc!$K$266*(1+'财富模型'!$E$20/12)+'Calc'!$B$6,IF(Calc!$I$267&lt;='财富模型'!$E$11*12,'Calc'!$W$13,'Calc'!$Y$13)))),0))</x:f>
      </x:c>
      <x:c r="L267" t="str">
        <x:f>IF(Calc!$I$267&gt;'Calc'!$B$8,"",IF('Calc'!$E$13=1,'财富模型'!$E$9,'财富模型'!$M$5+IF(Calc!$I$267&lt;='财富模型'!$E$11*12,'Calc'!$W$13,'Calc'!$Y$13)-(IF('Calc'!$E$13=1,0,MIN(Calc!$K$266*(1+'财富模型'!$E$20/12)+'Calc'!$B$6,IF(Calc!$I$267&lt;='财富模型'!$E$11*12,'Calc'!$W$13,'Calc'!$Y$13))))))</x:f>
      </x:c>
      <x:c r="M267" t="str">
        <x:f>IF(Calc!$I$267&gt;'Calc'!$B$8,"",IF('Calc'!$E$13=1,0,MIN(Calc!$K$266*(1+'财富模型'!$E$20/12)+'Calc'!$B$6,IF(Calc!$I$267&lt;='财富模型'!$E$11*12,'Calc'!$W$13,'Calc'!$Y$13))))</x:f>
      </x:c>
      <x:c r="N267" t="str">
        <x:f>IF(Calc!$I$267&gt;'Calc'!$B$8,"",'Calc'!$B$5-'财富模型'!$E$5-(IF('Calc'!$E$13=1,'财富模型'!$E$9,'财富模型'!$M$5+IF(Calc!$I$267&lt;='财富模型'!$E$11*12,'Calc'!$W$13,'Calc'!$Y$13)-(IF('Calc'!$E$13=1,0,MIN(Calc!$K$266*(1+'财富模型'!$E$20/12)+'Calc'!$B$6,IF(Calc!$I$267&lt;='财富模型'!$E$11*12,'Calc'!$W$13,'Calc'!$Y$13)))))))</x:f>
      </x:c>
      <x:c r="O267" t="str">
        <x:f>IF(Calc!$I$267&gt;'Calc'!$B$8,"",IF('Calc'!$E$13=1,0,MAX(Calc!$O$266*(1+IF(Calc!$I$267&lt;='财富模型'!$E$11*12,'财富模型'!$E$10,'财富模型'!$E$12)/12)-IF('Calc'!$E$13=1,0,IF(Calc!$I$267&lt;='财富模型'!$E$11*12,'Calc'!$W$13,'Calc'!$Y$13)),0)))</x:f>
      </x:c>
      <x:c r="Q267" t="n">
        <x:v>246</x:v>
      </x:c>
      <x:c r="R267" t="str">
        <x:f>IF(Calc!$Q$267&gt;'Calc'!$B$8,"",MAX(Calc!$R$266*(1+'财富模型'!$E$6/12)+('Calc'!$B$5-'财富模型'!$E$5-(IF('Calc'!$E$14=1,'财富模型'!$E$9,'财富模型'!$M$6+IF(Calc!$Q$267&lt;='财富模型'!$E$11*12,'Calc'!$W$14,'Calc'!$Y$14)-(IF('Calc'!$E$14=1,0,MIN(Calc!$S$266*(1+'财富模型'!$E$20/12)+'Calc'!$B$6,IF(Calc!$Q$267&lt;='财富模型'!$E$11*12,'Calc'!$W$14,'Calc'!$Y$14))))))),0))</x:f>
      </x:c>
      <x:c r="S267" t="str">
        <x:f>IF(Calc!$Q$267&gt;'Calc'!$B$8,"",MAX(Calc!$S$266*(1+'财富模型'!$E$20/12)+'Calc'!$B$6-(IF('Calc'!$E$14=1,0,MIN(Calc!$S$266*(1+'财富模型'!$E$20/12)+'Calc'!$B$6,IF(Calc!$Q$267&lt;='财富模型'!$E$11*12,'Calc'!$W$14,'Calc'!$Y$14)))),0))</x:f>
      </x:c>
      <x:c r="T267" t="str">
        <x:f>IF(Calc!$Q$267&gt;'Calc'!$B$8,"",IF('Calc'!$E$14=1,'财富模型'!$E$9,'财富模型'!$M$6+IF(Calc!$Q$267&lt;='财富模型'!$E$11*12,'Calc'!$W$14,'Calc'!$Y$14)-(IF('Calc'!$E$14=1,0,MIN(Calc!$S$266*(1+'财富模型'!$E$20/12)+'Calc'!$B$6,IF(Calc!$Q$267&lt;='财富模型'!$E$11*12,'Calc'!$W$14,'Calc'!$Y$14))))))</x:f>
      </x:c>
      <x:c r="U267" t="str">
        <x:f>IF(Calc!$Q$267&gt;'Calc'!$B$8,"",IF('Calc'!$E$14=1,0,MIN(Calc!$S$266*(1+'财富模型'!$E$20/12)+'Calc'!$B$6,IF(Calc!$Q$267&lt;='财富模型'!$E$11*12,'Calc'!$W$14,'Calc'!$Y$14))))</x:f>
      </x:c>
      <x:c r="V267" t="str">
        <x:f>IF(Calc!$Q$267&gt;'Calc'!$B$8,"",'Calc'!$B$5-'财富模型'!$E$5-(IF('Calc'!$E$14=1,'财富模型'!$E$9,'财富模型'!$M$6+IF(Calc!$Q$267&lt;='财富模型'!$E$11*12,'Calc'!$W$14,'Calc'!$Y$14)-(IF('Calc'!$E$14=1,0,MIN(Calc!$S$266*(1+'财富模型'!$E$20/12)+'Calc'!$B$6,IF(Calc!$Q$267&lt;='财富模型'!$E$11*12,'Calc'!$W$14,'Calc'!$Y$14)))))))</x:f>
      </x:c>
      <x:c r="W267" t="str">
        <x:f>IF(Calc!$Q$267&gt;'Calc'!$B$8,"",IF('Calc'!$E$14=1,0,MAX(Calc!$W$266*(1+IF(Calc!$Q$267&lt;='财富模型'!$E$11*12,'财富模型'!$E$10,'财富模型'!$E$12)/12)-IF('Calc'!$E$14=1,0,IF(Calc!$Q$267&lt;='财富模型'!$E$11*12,'Calc'!$W$14,'Calc'!$Y$14)),0)))</x:f>
      </x:c>
      <x:c r="Y267" t="n">
        <x:v>246</x:v>
      </x:c>
      <x:c r="Z267" t="str">
        <x:f>IF(Calc!$Y$267&gt;'Calc'!$B$8,"",MAX(Calc!$Z$266*(1+'财富模型'!$E$6/12)+('Calc'!$B$5-'财富模型'!$E$5-(IF('Calc'!$E$15=1,'财富模型'!$E$9,'财富模型'!$M$7+IF(Calc!$Y$267&lt;='财富模型'!$E$11*12,'Calc'!$W$15,'Calc'!$Y$15)-(IF('Calc'!$E$15=1,0,MIN(Calc!$AA$266*(1+'财富模型'!$E$20/12)+'Calc'!$B$6,IF(Calc!$Y$267&lt;='财富模型'!$E$11*12,'Calc'!$W$15,'Calc'!$Y$15))))))),0))</x:f>
      </x:c>
      <x:c r="AA267" t="str">
        <x:f>IF(Calc!$Y$267&gt;'Calc'!$B$8,"",MAX(Calc!$AA$266*(1+'财富模型'!$E$20/12)+'Calc'!$B$6-(IF('Calc'!$E$15=1,0,MIN(Calc!$AA$266*(1+'财富模型'!$E$20/12)+'Calc'!$B$6,IF(Calc!$Y$267&lt;='财富模型'!$E$11*12,'Calc'!$W$15,'Calc'!$Y$15)))),0))</x:f>
      </x:c>
      <x:c r="AB267" t="str">
        <x:f>IF(Calc!$Y$267&gt;'Calc'!$B$8,"",IF('Calc'!$E$15=1,'财富模型'!$E$9,'财富模型'!$M$7+IF(Calc!$Y$267&lt;='财富模型'!$E$11*12,'Calc'!$W$15,'Calc'!$Y$15)-(IF('Calc'!$E$15=1,0,MIN(Calc!$AA$266*(1+'财富模型'!$E$20/12)+'Calc'!$B$6,IF(Calc!$Y$267&lt;='财富模型'!$E$11*12,'Calc'!$W$15,'Calc'!$Y$15))))))</x:f>
      </x:c>
      <x:c r="AC267" t="str">
        <x:f>IF(Calc!$Y$267&gt;'Calc'!$B$8,"",IF('Calc'!$E$15=1,0,MIN(Calc!$AA$266*(1+'财富模型'!$E$20/12)+'Calc'!$B$6,IF(Calc!$Y$267&lt;='财富模型'!$E$11*12,'Calc'!$W$15,'Calc'!$Y$15))))</x:f>
      </x:c>
      <x:c r="AD267" t="str">
        <x:f>IF(Calc!$Y$267&gt;'Calc'!$B$8,"",'Calc'!$B$5-'财富模型'!$E$5-(IF('Calc'!$E$15=1,'财富模型'!$E$9,'财富模型'!$M$7+IF(Calc!$Y$267&lt;='财富模型'!$E$11*12,'Calc'!$W$15,'Calc'!$Y$15)-(IF('Calc'!$E$15=1,0,MIN(Calc!$AA$266*(1+'财富模型'!$E$20/12)+'Calc'!$B$6,IF(Calc!$Y$267&lt;='财富模型'!$E$11*12,'Calc'!$W$15,'Calc'!$Y$15)))))))</x:f>
      </x:c>
      <x:c r="AE267" t="str">
        <x:f>IF(Calc!$Y$267&gt;'Calc'!$B$8,"",IF('Calc'!$E$15=1,0,MAX(Calc!$AE$266*(1+IF(Calc!$Y$267&lt;='财富模型'!$E$11*12,'财富模型'!$E$10,'财富模型'!$E$12)/12)-IF('Calc'!$E$15=1,0,IF(Calc!$Y$267&lt;='财富模型'!$E$11*12,'Calc'!$W$15,'Calc'!$Y$15)),0)))</x:f>
      </x:c>
      <x:c r="AG267" t="n">
        <x:v>246</x:v>
      </x:c>
      <x:c r="AH267" t="str">
        <x:f>IF(Calc!$AG$267&gt;'Calc'!$B$8,"",MAX(Calc!$AH$266*(1+'财富模型'!$E$6/12)+('Calc'!$B$5-'财富模型'!$E$5-(IF('Calc'!$E$16=1,'财富模型'!$E$9,'财富模型'!$M$8+IF(Calc!$AG$267&lt;='财富模型'!$E$11*12,'Calc'!$W$16,'Calc'!$Y$16)-(IF('Calc'!$E$16=1,0,MIN(Calc!$AI$266*(1+'财富模型'!$E$20/12)+'Calc'!$B$6,IF(Calc!$AG$267&lt;='财富模型'!$E$11*12,'Calc'!$W$16,'Calc'!$Y$16))))))),0))</x:f>
      </x:c>
      <x:c r="AI267" t="str">
        <x:f>IF(Calc!$AG$267&gt;'Calc'!$B$8,"",MAX(Calc!$AI$266*(1+'财富模型'!$E$20/12)+'Calc'!$B$6-(IF('Calc'!$E$16=1,0,MIN(Calc!$AI$266*(1+'财富模型'!$E$20/12)+'Calc'!$B$6,IF(Calc!$AG$267&lt;='财富模型'!$E$11*12,'Calc'!$W$16,'Calc'!$Y$16)))),0))</x:f>
      </x:c>
      <x:c r="AJ267" t="str">
        <x:f>IF(Calc!$AG$267&gt;'Calc'!$B$8,"",IF('Calc'!$E$16=1,'财富模型'!$E$9,'财富模型'!$M$8+IF(Calc!$AG$267&lt;='财富模型'!$E$11*12,'Calc'!$W$16,'Calc'!$Y$16)-(IF('Calc'!$E$16=1,0,MIN(Calc!$AI$266*(1+'财富模型'!$E$20/12)+'Calc'!$B$6,IF(Calc!$AG$267&lt;='财富模型'!$E$11*12,'Calc'!$W$16,'Calc'!$Y$16))))))</x:f>
      </x:c>
      <x:c r="AK267" t="str">
        <x:f>IF(Calc!$AG$267&gt;'Calc'!$B$8,"",IF('Calc'!$E$16=1,0,MIN(Calc!$AI$266*(1+'财富模型'!$E$20/12)+'Calc'!$B$6,IF(Calc!$AG$267&lt;='财富模型'!$E$11*12,'Calc'!$W$16,'Calc'!$Y$16))))</x:f>
      </x:c>
      <x:c r="AL267" t="str">
        <x:f>IF(Calc!$AG$267&gt;'Calc'!$B$8,"",'Calc'!$B$5-'财富模型'!$E$5-(IF('Calc'!$E$16=1,'财富模型'!$E$9,'财富模型'!$M$8+IF(Calc!$AG$267&lt;='财富模型'!$E$11*12,'Calc'!$W$16,'Calc'!$Y$16)-(IF('Calc'!$E$16=1,0,MIN(Calc!$AI$266*(1+'财富模型'!$E$20/12)+'Calc'!$B$6,IF(Calc!$AG$267&lt;='财富模型'!$E$11*12,'Calc'!$W$16,'Calc'!$Y$16)))))))</x:f>
      </x:c>
      <x:c r="AM267" t="str">
        <x:f>IF(Calc!$AG$267&gt;'Calc'!$B$8,"",IF('Calc'!$E$16=1,0,MAX(Calc!$AM$266*(1+IF(Calc!$AG$267&lt;='财富模型'!$E$11*12,'财富模型'!$E$10,'财富模型'!$E$12)/12)-IF('Calc'!$E$16=1,0,IF(Calc!$AG$267&lt;='财富模型'!$E$11*12,'Calc'!$W$16,'Calc'!$Y$16)),0)))</x:f>
      </x:c>
      <x:c r="AO267" t="n">
        <x:v>246</x:v>
      </x:c>
      <x:c r="AP267" t="str">
        <x:f>IF(Calc!$AO$267&gt;'Calc'!$B$8,"",MAX(Calc!$AP$266*(1+'财富模型'!$E$6/12)+('Calc'!$B$5-'财富模型'!$E$5-(IF('Calc'!$E$17=1,'财富模型'!$E$9,'财富模型'!$M$9+IF(Calc!$AO$267&lt;='财富模型'!$E$11*12,'Calc'!$W$17,'Calc'!$Y$17)-(IF('Calc'!$E$17=1,0,MIN(Calc!$AQ$266*(1+'财富模型'!$E$20/12)+'Calc'!$B$6,IF(Calc!$AO$267&lt;='财富模型'!$E$11*12,'Calc'!$W$17,'Calc'!$Y$17))))))),0))</x:f>
      </x:c>
      <x:c r="AQ267" t="str">
        <x:f>IF(Calc!$AO$267&gt;'Calc'!$B$8,"",MAX(Calc!$AQ$266*(1+'财富模型'!$E$20/12)+'Calc'!$B$6-(IF('Calc'!$E$17=1,0,MIN(Calc!$AQ$266*(1+'财富模型'!$E$20/12)+'Calc'!$B$6,IF(Calc!$AO$267&lt;='财富模型'!$E$11*12,'Calc'!$W$17,'Calc'!$Y$17)))),0))</x:f>
      </x:c>
      <x:c r="AR267" t="str">
        <x:f>IF(Calc!$AO$267&gt;'Calc'!$B$8,"",IF('Calc'!$E$17=1,'财富模型'!$E$9,'财富模型'!$M$9+IF(Calc!$AO$267&lt;='财富模型'!$E$11*12,'Calc'!$W$17,'Calc'!$Y$17)-(IF('Calc'!$E$17=1,0,MIN(Calc!$AQ$266*(1+'财富模型'!$E$20/12)+'Calc'!$B$6,IF(Calc!$AO$267&lt;='财富模型'!$E$11*12,'Calc'!$W$17,'Calc'!$Y$17))))))</x:f>
      </x:c>
      <x:c r="AS267" t="str">
        <x:f>IF(Calc!$AO$267&gt;'Calc'!$B$8,"",IF('Calc'!$E$17=1,0,MIN(Calc!$AQ$266*(1+'财富模型'!$E$20/12)+'Calc'!$B$6,IF(Calc!$AO$267&lt;='财富模型'!$E$11*12,'Calc'!$W$17,'Calc'!$Y$17))))</x:f>
      </x:c>
      <x:c r="AT267" t="str">
        <x:f>IF(Calc!$AO$267&gt;'Calc'!$B$8,"",'Calc'!$B$5-'财富模型'!$E$5-(IF('Calc'!$E$17=1,'财富模型'!$E$9,'财富模型'!$M$9+IF(Calc!$AO$267&lt;='财富模型'!$E$11*12,'Calc'!$W$17,'Calc'!$Y$17)-(IF('Calc'!$E$17=1,0,MIN(Calc!$AQ$266*(1+'财富模型'!$E$20/12)+'Calc'!$B$6,IF(Calc!$AO$267&lt;='财富模型'!$E$11*12,'Calc'!$W$17,'Calc'!$Y$17)))))))</x:f>
      </x:c>
      <x:c r="AU267" t="str">
        <x:f>IF(Calc!$AO$267&gt;'Calc'!$B$8,"",IF('Calc'!$E$17=1,0,MAX(Calc!$AU$266*(1+IF(Calc!$AO$267&lt;='财富模型'!$E$11*12,'财富模型'!$E$10,'财富模型'!$E$12)/12)-IF('Calc'!$E$17=1,0,IF(Calc!$AO$267&lt;='财富模型'!$E$11*12,'Calc'!$W$17,'Calc'!$Y$17)),0)))</x:f>
      </x:c>
    </x:row>
    <x:row r="268">
      <x:c r="A268" t="n">
        <x:v>247</x:v>
      </x:c>
      <x:c r="B268" t="str">
        <x:f>IF(Calc!$A$268&gt;'Calc'!$B$8,"",MAX(Calc!$B$267*(1+'财富模型'!$E$6/12)+('Calc'!$B$5-'财富模型'!$E$5-(IF('Calc'!$E$12=1,'财富模型'!$E$9,'财富模型'!$M$4+IF(Calc!$A$268&lt;='财富模型'!$E$11*12,'Calc'!$W$12,'Calc'!$Y$12)-(IF('Calc'!$E$12=1,0,MIN(Calc!$C$267*(1+'财富模型'!$E$20/12)+'Calc'!$B$6,IF(Calc!$A$268&lt;='财富模型'!$E$11*12,'Calc'!$W$12,'Calc'!$Y$12))))))),0))</x:f>
      </x:c>
      <x:c r="C268" t="str">
        <x:f>IF(Calc!$A$268&gt;'Calc'!$B$8,"",MAX(Calc!$C$267*(1+'财富模型'!$E$20/12)+'Calc'!$B$6-(IF('Calc'!$E$12=1,0,MIN(Calc!$C$267*(1+'财富模型'!$E$20/12)+'Calc'!$B$6,IF(Calc!$A$268&lt;='财富模型'!$E$11*12,'Calc'!$W$12,'Calc'!$Y$12)))),0))</x:f>
      </x:c>
      <x:c r="D268" t="str">
        <x:f>IF(Calc!$A$268&gt;'Calc'!$B$8,"",IF('Calc'!$E$12=1,'财富模型'!$E$9,'财富模型'!$M$4+IF(Calc!$A$268&lt;='财富模型'!$E$11*12,'Calc'!$W$12,'Calc'!$Y$12)-(IF('Calc'!$E$12=1,0,MIN(Calc!$C$267*(1+'财富模型'!$E$20/12)+'Calc'!$B$6,IF(Calc!$A$268&lt;='财富模型'!$E$11*12,'Calc'!$W$12,'Calc'!$Y$12))))))</x:f>
      </x:c>
      <x:c r="E268" t="str">
        <x:f>IF(Calc!$A$268&gt;'Calc'!$B$8,"",IF('Calc'!$E$12=1,0,MIN(Calc!$C$267*(1+'财富模型'!$E$20/12)+'Calc'!$B$6,IF(Calc!$A$268&lt;='财富模型'!$E$11*12,'Calc'!$W$12,'Calc'!$Y$12))))</x:f>
      </x:c>
      <x:c r="F268" t="str">
        <x:f>IF(Calc!$A$268&gt;'Calc'!$B$8,"",'Calc'!$B$5-'财富模型'!$E$5-(IF('Calc'!$E$12=1,'财富模型'!$E$9,'财富模型'!$M$4+IF(Calc!$A$268&lt;='财富模型'!$E$11*12,'Calc'!$W$12,'Calc'!$Y$12)-(IF('Calc'!$E$12=1,0,MIN(Calc!$C$267*(1+'财富模型'!$E$20/12)+'Calc'!$B$6,IF(Calc!$A$268&lt;='财富模型'!$E$11*12,'Calc'!$W$12,'Calc'!$Y$12)))))))</x:f>
      </x:c>
      <x:c r="G268" t="str">
        <x:f>IF(Calc!$A$268&gt;'Calc'!$B$8,"",IF('Calc'!$E$12=1,0,MAX(Calc!$G$267*(1+IF(Calc!$A$268&lt;='财富模型'!$E$11*12,'财富模型'!$E$10,'财富模型'!$E$12)/12)-IF('Calc'!$E$12=1,0,IF(Calc!$A$268&lt;='财富模型'!$E$11*12,'Calc'!$W$12,'Calc'!$Y$12)),0)))</x:f>
      </x:c>
      <x:c r="I268" t="n">
        <x:v>247</x:v>
      </x:c>
      <x:c r="J268" t="str">
        <x:f>IF(Calc!$I$268&gt;'Calc'!$B$8,"",MAX(Calc!$J$267*(1+'财富模型'!$E$6/12)+('Calc'!$B$5-'财富模型'!$E$5-(IF('Calc'!$E$13=1,'财富模型'!$E$9,'财富模型'!$M$5+IF(Calc!$I$268&lt;='财富模型'!$E$11*12,'Calc'!$W$13,'Calc'!$Y$13)-(IF('Calc'!$E$13=1,0,MIN(Calc!$K$267*(1+'财富模型'!$E$20/12)+'Calc'!$B$6,IF(Calc!$I$268&lt;='财富模型'!$E$11*12,'Calc'!$W$13,'Calc'!$Y$13))))))),0))</x:f>
      </x:c>
      <x:c r="K268" t="str">
        <x:f>IF(Calc!$I$268&gt;'Calc'!$B$8,"",MAX(Calc!$K$267*(1+'财富模型'!$E$20/12)+'Calc'!$B$6-(IF('Calc'!$E$13=1,0,MIN(Calc!$K$267*(1+'财富模型'!$E$20/12)+'Calc'!$B$6,IF(Calc!$I$268&lt;='财富模型'!$E$11*12,'Calc'!$W$13,'Calc'!$Y$13)))),0))</x:f>
      </x:c>
      <x:c r="L268" t="str">
        <x:f>IF(Calc!$I$268&gt;'Calc'!$B$8,"",IF('Calc'!$E$13=1,'财富模型'!$E$9,'财富模型'!$M$5+IF(Calc!$I$268&lt;='财富模型'!$E$11*12,'Calc'!$W$13,'Calc'!$Y$13)-(IF('Calc'!$E$13=1,0,MIN(Calc!$K$267*(1+'财富模型'!$E$20/12)+'Calc'!$B$6,IF(Calc!$I$268&lt;='财富模型'!$E$11*12,'Calc'!$W$13,'Calc'!$Y$13))))))</x:f>
      </x:c>
      <x:c r="M268" t="str">
        <x:f>IF(Calc!$I$268&gt;'Calc'!$B$8,"",IF('Calc'!$E$13=1,0,MIN(Calc!$K$267*(1+'财富模型'!$E$20/12)+'Calc'!$B$6,IF(Calc!$I$268&lt;='财富模型'!$E$11*12,'Calc'!$W$13,'Calc'!$Y$13))))</x:f>
      </x:c>
      <x:c r="N268" t="str">
        <x:f>IF(Calc!$I$268&gt;'Calc'!$B$8,"",'Calc'!$B$5-'财富模型'!$E$5-(IF('Calc'!$E$13=1,'财富模型'!$E$9,'财富模型'!$M$5+IF(Calc!$I$268&lt;='财富模型'!$E$11*12,'Calc'!$W$13,'Calc'!$Y$13)-(IF('Calc'!$E$13=1,0,MIN(Calc!$K$267*(1+'财富模型'!$E$20/12)+'Calc'!$B$6,IF(Calc!$I$268&lt;='财富模型'!$E$11*12,'Calc'!$W$13,'Calc'!$Y$13)))))))</x:f>
      </x:c>
      <x:c r="O268" t="str">
        <x:f>IF(Calc!$I$268&gt;'Calc'!$B$8,"",IF('Calc'!$E$13=1,0,MAX(Calc!$O$267*(1+IF(Calc!$I$268&lt;='财富模型'!$E$11*12,'财富模型'!$E$10,'财富模型'!$E$12)/12)-IF('Calc'!$E$13=1,0,IF(Calc!$I$268&lt;='财富模型'!$E$11*12,'Calc'!$W$13,'Calc'!$Y$13)),0)))</x:f>
      </x:c>
      <x:c r="Q268" t="n">
        <x:v>247</x:v>
      </x:c>
      <x:c r="R268" t="str">
        <x:f>IF(Calc!$Q$268&gt;'Calc'!$B$8,"",MAX(Calc!$R$267*(1+'财富模型'!$E$6/12)+('Calc'!$B$5-'财富模型'!$E$5-(IF('Calc'!$E$14=1,'财富模型'!$E$9,'财富模型'!$M$6+IF(Calc!$Q$268&lt;='财富模型'!$E$11*12,'Calc'!$W$14,'Calc'!$Y$14)-(IF('Calc'!$E$14=1,0,MIN(Calc!$S$267*(1+'财富模型'!$E$20/12)+'Calc'!$B$6,IF(Calc!$Q$268&lt;='财富模型'!$E$11*12,'Calc'!$W$14,'Calc'!$Y$14))))))),0))</x:f>
      </x:c>
      <x:c r="S268" t="str">
        <x:f>IF(Calc!$Q$268&gt;'Calc'!$B$8,"",MAX(Calc!$S$267*(1+'财富模型'!$E$20/12)+'Calc'!$B$6-(IF('Calc'!$E$14=1,0,MIN(Calc!$S$267*(1+'财富模型'!$E$20/12)+'Calc'!$B$6,IF(Calc!$Q$268&lt;='财富模型'!$E$11*12,'Calc'!$W$14,'Calc'!$Y$14)))),0))</x:f>
      </x:c>
      <x:c r="T268" t="str">
        <x:f>IF(Calc!$Q$268&gt;'Calc'!$B$8,"",IF('Calc'!$E$14=1,'财富模型'!$E$9,'财富模型'!$M$6+IF(Calc!$Q$268&lt;='财富模型'!$E$11*12,'Calc'!$W$14,'Calc'!$Y$14)-(IF('Calc'!$E$14=1,0,MIN(Calc!$S$267*(1+'财富模型'!$E$20/12)+'Calc'!$B$6,IF(Calc!$Q$268&lt;='财富模型'!$E$11*12,'Calc'!$W$14,'Calc'!$Y$14))))))</x:f>
      </x:c>
      <x:c r="U268" t="str">
        <x:f>IF(Calc!$Q$268&gt;'Calc'!$B$8,"",IF('Calc'!$E$14=1,0,MIN(Calc!$S$267*(1+'财富模型'!$E$20/12)+'Calc'!$B$6,IF(Calc!$Q$268&lt;='财富模型'!$E$11*12,'Calc'!$W$14,'Calc'!$Y$14))))</x:f>
      </x:c>
      <x:c r="V268" t="str">
        <x:f>IF(Calc!$Q$268&gt;'Calc'!$B$8,"",'Calc'!$B$5-'财富模型'!$E$5-(IF('Calc'!$E$14=1,'财富模型'!$E$9,'财富模型'!$M$6+IF(Calc!$Q$268&lt;='财富模型'!$E$11*12,'Calc'!$W$14,'Calc'!$Y$14)-(IF('Calc'!$E$14=1,0,MIN(Calc!$S$267*(1+'财富模型'!$E$20/12)+'Calc'!$B$6,IF(Calc!$Q$268&lt;='财富模型'!$E$11*12,'Calc'!$W$14,'Calc'!$Y$14)))))))</x:f>
      </x:c>
      <x:c r="W268" t="str">
        <x:f>IF(Calc!$Q$268&gt;'Calc'!$B$8,"",IF('Calc'!$E$14=1,0,MAX(Calc!$W$267*(1+IF(Calc!$Q$268&lt;='财富模型'!$E$11*12,'财富模型'!$E$10,'财富模型'!$E$12)/12)-IF('Calc'!$E$14=1,0,IF(Calc!$Q$268&lt;='财富模型'!$E$11*12,'Calc'!$W$14,'Calc'!$Y$14)),0)))</x:f>
      </x:c>
      <x:c r="Y268" t="n">
        <x:v>247</x:v>
      </x:c>
      <x:c r="Z268" t="str">
        <x:f>IF(Calc!$Y$268&gt;'Calc'!$B$8,"",MAX(Calc!$Z$267*(1+'财富模型'!$E$6/12)+('Calc'!$B$5-'财富模型'!$E$5-(IF('Calc'!$E$15=1,'财富模型'!$E$9,'财富模型'!$M$7+IF(Calc!$Y$268&lt;='财富模型'!$E$11*12,'Calc'!$W$15,'Calc'!$Y$15)-(IF('Calc'!$E$15=1,0,MIN(Calc!$AA$267*(1+'财富模型'!$E$20/12)+'Calc'!$B$6,IF(Calc!$Y$268&lt;='财富模型'!$E$11*12,'Calc'!$W$15,'Calc'!$Y$15))))))),0))</x:f>
      </x:c>
      <x:c r="AA268" t="str">
        <x:f>IF(Calc!$Y$268&gt;'Calc'!$B$8,"",MAX(Calc!$AA$267*(1+'财富模型'!$E$20/12)+'Calc'!$B$6-(IF('Calc'!$E$15=1,0,MIN(Calc!$AA$267*(1+'财富模型'!$E$20/12)+'Calc'!$B$6,IF(Calc!$Y$268&lt;='财富模型'!$E$11*12,'Calc'!$W$15,'Calc'!$Y$15)))),0))</x:f>
      </x:c>
      <x:c r="AB268" t="str">
        <x:f>IF(Calc!$Y$268&gt;'Calc'!$B$8,"",IF('Calc'!$E$15=1,'财富模型'!$E$9,'财富模型'!$M$7+IF(Calc!$Y$268&lt;='财富模型'!$E$11*12,'Calc'!$W$15,'Calc'!$Y$15)-(IF('Calc'!$E$15=1,0,MIN(Calc!$AA$267*(1+'财富模型'!$E$20/12)+'Calc'!$B$6,IF(Calc!$Y$268&lt;='财富模型'!$E$11*12,'Calc'!$W$15,'Calc'!$Y$15))))))</x:f>
      </x:c>
      <x:c r="AC268" t="str">
        <x:f>IF(Calc!$Y$268&gt;'Calc'!$B$8,"",IF('Calc'!$E$15=1,0,MIN(Calc!$AA$267*(1+'财富模型'!$E$20/12)+'Calc'!$B$6,IF(Calc!$Y$268&lt;='财富模型'!$E$11*12,'Calc'!$W$15,'Calc'!$Y$15))))</x:f>
      </x:c>
      <x:c r="AD268" t="str">
        <x:f>IF(Calc!$Y$268&gt;'Calc'!$B$8,"",'Calc'!$B$5-'财富模型'!$E$5-(IF('Calc'!$E$15=1,'财富模型'!$E$9,'财富模型'!$M$7+IF(Calc!$Y$268&lt;='财富模型'!$E$11*12,'Calc'!$W$15,'Calc'!$Y$15)-(IF('Calc'!$E$15=1,0,MIN(Calc!$AA$267*(1+'财富模型'!$E$20/12)+'Calc'!$B$6,IF(Calc!$Y$268&lt;='财富模型'!$E$11*12,'Calc'!$W$15,'Calc'!$Y$15)))))))</x:f>
      </x:c>
      <x:c r="AE268" t="str">
        <x:f>IF(Calc!$Y$268&gt;'Calc'!$B$8,"",IF('Calc'!$E$15=1,0,MAX(Calc!$AE$267*(1+IF(Calc!$Y$268&lt;='财富模型'!$E$11*12,'财富模型'!$E$10,'财富模型'!$E$12)/12)-IF('Calc'!$E$15=1,0,IF(Calc!$Y$268&lt;='财富模型'!$E$11*12,'Calc'!$W$15,'Calc'!$Y$15)),0)))</x:f>
      </x:c>
      <x:c r="AG268" t="n">
        <x:v>247</x:v>
      </x:c>
      <x:c r="AH268" t="str">
        <x:f>IF(Calc!$AG$268&gt;'Calc'!$B$8,"",MAX(Calc!$AH$267*(1+'财富模型'!$E$6/12)+('Calc'!$B$5-'财富模型'!$E$5-(IF('Calc'!$E$16=1,'财富模型'!$E$9,'财富模型'!$M$8+IF(Calc!$AG$268&lt;='财富模型'!$E$11*12,'Calc'!$W$16,'Calc'!$Y$16)-(IF('Calc'!$E$16=1,0,MIN(Calc!$AI$267*(1+'财富模型'!$E$20/12)+'Calc'!$B$6,IF(Calc!$AG$268&lt;='财富模型'!$E$11*12,'Calc'!$W$16,'Calc'!$Y$16))))))),0))</x:f>
      </x:c>
      <x:c r="AI268" t="str">
        <x:f>IF(Calc!$AG$268&gt;'Calc'!$B$8,"",MAX(Calc!$AI$267*(1+'财富模型'!$E$20/12)+'Calc'!$B$6-(IF('Calc'!$E$16=1,0,MIN(Calc!$AI$267*(1+'财富模型'!$E$20/12)+'Calc'!$B$6,IF(Calc!$AG$268&lt;='财富模型'!$E$11*12,'Calc'!$W$16,'Calc'!$Y$16)))),0))</x:f>
      </x:c>
      <x:c r="AJ268" t="str">
        <x:f>IF(Calc!$AG$268&gt;'Calc'!$B$8,"",IF('Calc'!$E$16=1,'财富模型'!$E$9,'财富模型'!$M$8+IF(Calc!$AG$268&lt;='财富模型'!$E$11*12,'Calc'!$W$16,'Calc'!$Y$16)-(IF('Calc'!$E$16=1,0,MIN(Calc!$AI$267*(1+'财富模型'!$E$20/12)+'Calc'!$B$6,IF(Calc!$AG$268&lt;='财富模型'!$E$11*12,'Calc'!$W$16,'Calc'!$Y$16))))))</x:f>
      </x:c>
      <x:c r="AK268" t="str">
        <x:f>IF(Calc!$AG$268&gt;'Calc'!$B$8,"",IF('Calc'!$E$16=1,0,MIN(Calc!$AI$267*(1+'财富模型'!$E$20/12)+'Calc'!$B$6,IF(Calc!$AG$268&lt;='财富模型'!$E$11*12,'Calc'!$W$16,'Calc'!$Y$16))))</x:f>
      </x:c>
      <x:c r="AL268" t="str">
        <x:f>IF(Calc!$AG$268&gt;'Calc'!$B$8,"",'Calc'!$B$5-'财富模型'!$E$5-(IF('Calc'!$E$16=1,'财富模型'!$E$9,'财富模型'!$M$8+IF(Calc!$AG$268&lt;='财富模型'!$E$11*12,'Calc'!$W$16,'Calc'!$Y$16)-(IF('Calc'!$E$16=1,0,MIN(Calc!$AI$267*(1+'财富模型'!$E$20/12)+'Calc'!$B$6,IF(Calc!$AG$268&lt;='财富模型'!$E$11*12,'Calc'!$W$16,'Calc'!$Y$16)))))))</x:f>
      </x:c>
      <x:c r="AM268" t="str">
        <x:f>IF(Calc!$AG$268&gt;'Calc'!$B$8,"",IF('Calc'!$E$16=1,0,MAX(Calc!$AM$267*(1+IF(Calc!$AG$268&lt;='财富模型'!$E$11*12,'财富模型'!$E$10,'财富模型'!$E$12)/12)-IF('Calc'!$E$16=1,0,IF(Calc!$AG$268&lt;='财富模型'!$E$11*12,'Calc'!$W$16,'Calc'!$Y$16)),0)))</x:f>
      </x:c>
      <x:c r="AO268" t="n">
        <x:v>247</x:v>
      </x:c>
      <x:c r="AP268" t="str">
        <x:f>IF(Calc!$AO$268&gt;'Calc'!$B$8,"",MAX(Calc!$AP$267*(1+'财富模型'!$E$6/12)+('Calc'!$B$5-'财富模型'!$E$5-(IF('Calc'!$E$17=1,'财富模型'!$E$9,'财富模型'!$M$9+IF(Calc!$AO$268&lt;='财富模型'!$E$11*12,'Calc'!$W$17,'Calc'!$Y$17)-(IF('Calc'!$E$17=1,0,MIN(Calc!$AQ$267*(1+'财富模型'!$E$20/12)+'Calc'!$B$6,IF(Calc!$AO$268&lt;='财富模型'!$E$11*12,'Calc'!$W$17,'Calc'!$Y$17))))))),0))</x:f>
      </x:c>
      <x:c r="AQ268" t="str">
        <x:f>IF(Calc!$AO$268&gt;'Calc'!$B$8,"",MAX(Calc!$AQ$267*(1+'财富模型'!$E$20/12)+'Calc'!$B$6-(IF('Calc'!$E$17=1,0,MIN(Calc!$AQ$267*(1+'财富模型'!$E$20/12)+'Calc'!$B$6,IF(Calc!$AO$268&lt;='财富模型'!$E$11*12,'Calc'!$W$17,'Calc'!$Y$17)))),0))</x:f>
      </x:c>
      <x:c r="AR268" t="str">
        <x:f>IF(Calc!$AO$268&gt;'Calc'!$B$8,"",IF('Calc'!$E$17=1,'财富模型'!$E$9,'财富模型'!$M$9+IF(Calc!$AO$268&lt;='财富模型'!$E$11*12,'Calc'!$W$17,'Calc'!$Y$17)-(IF('Calc'!$E$17=1,0,MIN(Calc!$AQ$267*(1+'财富模型'!$E$20/12)+'Calc'!$B$6,IF(Calc!$AO$268&lt;='财富模型'!$E$11*12,'Calc'!$W$17,'Calc'!$Y$17))))))</x:f>
      </x:c>
      <x:c r="AS268" t="str">
        <x:f>IF(Calc!$AO$268&gt;'Calc'!$B$8,"",IF('Calc'!$E$17=1,0,MIN(Calc!$AQ$267*(1+'财富模型'!$E$20/12)+'Calc'!$B$6,IF(Calc!$AO$268&lt;='财富模型'!$E$11*12,'Calc'!$W$17,'Calc'!$Y$17))))</x:f>
      </x:c>
      <x:c r="AT268" t="str">
        <x:f>IF(Calc!$AO$268&gt;'Calc'!$B$8,"",'Calc'!$B$5-'财富模型'!$E$5-(IF('Calc'!$E$17=1,'财富模型'!$E$9,'财富模型'!$M$9+IF(Calc!$AO$268&lt;='财富模型'!$E$11*12,'Calc'!$W$17,'Calc'!$Y$17)-(IF('Calc'!$E$17=1,0,MIN(Calc!$AQ$267*(1+'财富模型'!$E$20/12)+'Calc'!$B$6,IF(Calc!$AO$268&lt;='财富模型'!$E$11*12,'Calc'!$W$17,'Calc'!$Y$17)))))))</x:f>
      </x:c>
      <x:c r="AU268" t="str">
        <x:f>IF(Calc!$AO$268&gt;'Calc'!$B$8,"",IF('Calc'!$E$17=1,0,MAX(Calc!$AU$267*(1+IF(Calc!$AO$268&lt;='财富模型'!$E$11*12,'财富模型'!$E$10,'财富模型'!$E$12)/12)-IF('Calc'!$E$17=1,0,IF(Calc!$AO$268&lt;='财富模型'!$E$11*12,'Calc'!$W$17,'Calc'!$Y$17)),0)))</x:f>
      </x:c>
    </x:row>
    <x:row r="269">
      <x:c r="A269" t="n">
        <x:v>248</x:v>
      </x:c>
      <x:c r="B269" t="str">
        <x:f>IF(Calc!$A$269&gt;'Calc'!$B$8,"",MAX(Calc!$B$268*(1+'财富模型'!$E$6/12)+('Calc'!$B$5-'财富模型'!$E$5-(IF('Calc'!$E$12=1,'财富模型'!$E$9,'财富模型'!$M$4+IF(Calc!$A$269&lt;='财富模型'!$E$11*12,'Calc'!$W$12,'Calc'!$Y$12)-(IF('Calc'!$E$12=1,0,MIN(Calc!$C$268*(1+'财富模型'!$E$20/12)+'Calc'!$B$6,IF(Calc!$A$269&lt;='财富模型'!$E$11*12,'Calc'!$W$12,'Calc'!$Y$12))))))),0))</x:f>
      </x:c>
      <x:c r="C269" t="str">
        <x:f>IF(Calc!$A$269&gt;'Calc'!$B$8,"",MAX(Calc!$C$268*(1+'财富模型'!$E$20/12)+'Calc'!$B$6-(IF('Calc'!$E$12=1,0,MIN(Calc!$C$268*(1+'财富模型'!$E$20/12)+'Calc'!$B$6,IF(Calc!$A$269&lt;='财富模型'!$E$11*12,'Calc'!$W$12,'Calc'!$Y$12)))),0))</x:f>
      </x:c>
      <x:c r="D269" t="str">
        <x:f>IF(Calc!$A$269&gt;'Calc'!$B$8,"",IF('Calc'!$E$12=1,'财富模型'!$E$9,'财富模型'!$M$4+IF(Calc!$A$269&lt;='财富模型'!$E$11*12,'Calc'!$W$12,'Calc'!$Y$12)-(IF('Calc'!$E$12=1,0,MIN(Calc!$C$268*(1+'财富模型'!$E$20/12)+'Calc'!$B$6,IF(Calc!$A$269&lt;='财富模型'!$E$11*12,'Calc'!$W$12,'Calc'!$Y$12))))))</x:f>
      </x:c>
      <x:c r="E269" t="str">
        <x:f>IF(Calc!$A$269&gt;'Calc'!$B$8,"",IF('Calc'!$E$12=1,0,MIN(Calc!$C$268*(1+'财富模型'!$E$20/12)+'Calc'!$B$6,IF(Calc!$A$269&lt;='财富模型'!$E$11*12,'Calc'!$W$12,'Calc'!$Y$12))))</x:f>
      </x:c>
      <x:c r="F269" t="str">
        <x:f>IF(Calc!$A$269&gt;'Calc'!$B$8,"",'Calc'!$B$5-'财富模型'!$E$5-(IF('Calc'!$E$12=1,'财富模型'!$E$9,'财富模型'!$M$4+IF(Calc!$A$269&lt;='财富模型'!$E$11*12,'Calc'!$W$12,'Calc'!$Y$12)-(IF('Calc'!$E$12=1,0,MIN(Calc!$C$268*(1+'财富模型'!$E$20/12)+'Calc'!$B$6,IF(Calc!$A$269&lt;='财富模型'!$E$11*12,'Calc'!$W$12,'Calc'!$Y$12)))))))</x:f>
      </x:c>
      <x:c r="G269" t="str">
        <x:f>IF(Calc!$A$269&gt;'Calc'!$B$8,"",IF('Calc'!$E$12=1,0,MAX(Calc!$G$268*(1+IF(Calc!$A$269&lt;='财富模型'!$E$11*12,'财富模型'!$E$10,'财富模型'!$E$12)/12)-IF('Calc'!$E$12=1,0,IF(Calc!$A$269&lt;='财富模型'!$E$11*12,'Calc'!$W$12,'Calc'!$Y$12)),0)))</x:f>
      </x:c>
      <x:c r="I269" t="n">
        <x:v>248</x:v>
      </x:c>
      <x:c r="J269" t="str">
        <x:f>IF(Calc!$I$269&gt;'Calc'!$B$8,"",MAX(Calc!$J$268*(1+'财富模型'!$E$6/12)+('Calc'!$B$5-'财富模型'!$E$5-(IF('Calc'!$E$13=1,'财富模型'!$E$9,'财富模型'!$M$5+IF(Calc!$I$269&lt;='财富模型'!$E$11*12,'Calc'!$W$13,'Calc'!$Y$13)-(IF('Calc'!$E$13=1,0,MIN(Calc!$K$268*(1+'财富模型'!$E$20/12)+'Calc'!$B$6,IF(Calc!$I$269&lt;='财富模型'!$E$11*12,'Calc'!$W$13,'Calc'!$Y$13))))))),0))</x:f>
      </x:c>
      <x:c r="K269" t="str">
        <x:f>IF(Calc!$I$269&gt;'Calc'!$B$8,"",MAX(Calc!$K$268*(1+'财富模型'!$E$20/12)+'Calc'!$B$6-(IF('Calc'!$E$13=1,0,MIN(Calc!$K$268*(1+'财富模型'!$E$20/12)+'Calc'!$B$6,IF(Calc!$I$269&lt;='财富模型'!$E$11*12,'Calc'!$W$13,'Calc'!$Y$13)))),0))</x:f>
      </x:c>
      <x:c r="L269" t="str">
        <x:f>IF(Calc!$I$269&gt;'Calc'!$B$8,"",IF('Calc'!$E$13=1,'财富模型'!$E$9,'财富模型'!$M$5+IF(Calc!$I$269&lt;='财富模型'!$E$11*12,'Calc'!$W$13,'Calc'!$Y$13)-(IF('Calc'!$E$13=1,0,MIN(Calc!$K$268*(1+'财富模型'!$E$20/12)+'Calc'!$B$6,IF(Calc!$I$269&lt;='财富模型'!$E$11*12,'Calc'!$W$13,'Calc'!$Y$13))))))</x:f>
      </x:c>
      <x:c r="M269" t="str">
        <x:f>IF(Calc!$I$269&gt;'Calc'!$B$8,"",IF('Calc'!$E$13=1,0,MIN(Calc!$K$268*(1+'财富模型'!$E$20/12)+'Calc'!$B$6,IF(Calc!$I$269&lt;='财富模型'!$E$11*12,'Calc'!$W$13,'Calc'!$Y$13))))</x:f>
      </x:c>
      <x:c r="N269" t="str">
        <x:f>IF(Calc!$I$269&gt;'Calc'!$B$8,"",'Calc'!$B$5-'财富模型'!$E$5-(IF('Calc'!$E$13=1,'财富模型'!$E$9,'财富模型'!$M$5+IF(Calc!$I$269&lt;='财富模型'!$E$11*12,'Calc'!$W$13,'Calc'!$Y$13)-(IF('Calc'!$E$13=1,0,MIN(Calc!$K$268*(1+'财富模型'!$E$20/12)+'Calc'!$B$6,IF(Calc!$I$269&lt;='财富模型'!$E$11*12,'Calc'!$W$13,'Calc'!$Y$13)))))))</x:f>
      </x:c>
      <x:c r="O269" t="str">
        <x:f>IF(Calc!$I$269&gt;'Calc'!$B$8,"",IF('Calc'!$E$13=1,0,MAX(Calc!$O$268*(1+IF(Calc!$I$269&lt;='财富模型'!$E$11*12,'财富模型'!$E$10,'财富模型'!$E$12)/12)-IF('Calc'!$E$13=1,0,IF(Calc!$I$269&lt;='财富模型'!$E$11*12,'Calc'!$W$13,'Calc'!$Y$13)),0)))</x:f>
      </x:c>
      <x:c r="Q269" t="n">
        <x:v>248</x:v>
      </x:c>
      <x:c r="R269" t="str">
        <x:f>IF(Calc!$Q$269&gt;'Calc'!$B$8,"",MAX(Calc!$R$268*(1+'财富模型'!$E$6/12)+('Calc'!$B$5-'财富模型'!$E$5-(IF('Calc'!$E$14=1,'财富模型'!$E$9,'财富模型'!$M$6+IF(Calc!$Q$269&lt;='财富模型'!$E$11*12,'Calc'!$W$14,'Calc'!$Y$14)-(IF('Calc'!$E$14=1,0,MIN(Calc!$S$268*(1+'财富模型'!$E$20/12)+'Calc'!$B$6,IF(Calc!$Q$269&lt;='财富模型'!$E$11*12,'Calc'!$W$14,'Calc'!$Y$14))))))),0))</x:f>
      </x:c>
      <x:c r="S269" t="str">
        <x:f>IF(Calc!$Q$269&gt;'Calc'!$B$8,"",MAX(Calc!$S$268*(1+'财富模型'!$E$20/12)+'Calc'!$B$6-(IF('Calc'!$E$14=1,0,MIN(Calc!$S$268*(1+'财富模型'!$E$20/12)+'Calc'!$B$6,IF(Calc!$Q$269&lt;='财富模型'!$E$11*12,'Calc'!$W$14,'Calc'!$Y$14)))),0))</x:f>
      </x:c>
      <x:c r="T269" t="str">
        <x:f>IF(Calc!$Q$269&gt;'Calc'!$B$8,"",IF('Calc'!$E$14=1,'财富模型'!$E$9,'财富模型'!$M$6+IF(Calc!$Q$269&lt;='财富模型'!$E$11*12,'Calc'!$W$14,'Calc'!$Y$14)-(IF('Calc'!$E$14=1,0,MIN(Calc!$S$268*(1+'财富模型'!$E$20/12)+'Calc'!$B$6,IF(Calc!$Q$269&lt;='财富模型'!$E$11*12,'Calc'!$W$14,'Calc'!$Y$14))))))</x:f>
      </x:c>
      <x:c r="U269" t="str">
        <x:f>IF(Calc!$Q$269&gt;'Calc'!$B$8,"",IF('Calc'!$E$14=1,0,MIN(Calc!$S$268*(1+'财富模型'!$E$20/12)+'Calc'!$B$6,IF(Calc!$Q$269&lt;='财富模型'!$E$11*12,'Calc'!$W$14,'Calc'!$Y$14))))</x:f>
      </x:c>
      <x:c r="V269" t="str">
        <x:f>IF(Calc!$Q$269&gt;'Calc'!$B$8,"",'Calc'!$B$5-'财富模型'!$E$5-(IF('Calc'!$E$14=1,'财富模型'!$E$9,'财富模型'!$M$6+IF(Calc!$Q$269&lt;='财富模型'!$E$11*12,'Calc'!$W$14,'Calc'!$Y$14)-(IF('Calc'!$E$14=1,0,MIN(Calc!$S$268*(1+'财富模型'!$E$20/12)+'Calc'!$B$6,IF(Calc!$Q$269&lt;='财富模型'!$E$11*12,'Calc'!$W$14,'Calc'!$Y$14)))))))</x:f>
      </x:c>
      <x:c r="W269" t="str">
        <x:f>IF(Calc!$Q$269&gt;'Calc'!$B$8,"",IF('Calc'!$E$14=1,0,MAX(Calc!$W$268*(1+IF(Calc!$Q$269&lt;='财富模型'!$E$11*12,'财富模型'!$E$10,'财富模型'!$E$12)/12)-IF('Calc'!$E$14=1,0,IF(Calc!$Q$269&lt;='财富模型'!$E$11*12,'Calc'!$W$14,'Calc'!$Y$14)),0)))</x:f>
      </x:c>
      <x:c r="Y269" t="n">
        <x:v>248</x:v>
      </x:c>
      <x:c r="Z269" t="str">
        <x:f>IF(Calc!$Y$269&gt;'Calc'!$B$8,"",MAX(Calc!$Z$268*(1+'财富模型'!$E$6/12)+('Calc'!$B$5-'财富模型'!$E$5-(IF('Calc'!$E$15=1,'财富模型'!$E$9,'财富模型'!$M$7+IF(Calc!$Y$269&lt;='财富模型'!$E$11*12,'Calc'!$W$15,'Calc'!$Y$15)-(IF('Calc'!$E$15=1,0,MIN(Calc!$AA$268*(1+'财富模型'!$E$20/12)+'Calc'!$B$6,IF(Calc!$Y$269&lt;='财富模型'!$E$11*12,'Calc'!$W$15,'Calc'!$Y$15))))))),0))</x:f>
      </x:c>
      <x:c r="AA269" t="str">
        <x:f>IF(Calc!$Y$269&gt;'Calc'!$B$8,"",MAX(Calc!$AA$268*(1+'财富模型'!$E$20/12)+'Calc'!$B$6-(IF('Calc'!$E$15=1,0,MIN(Calc!$AA$268*(1+'财富模型'!$E$20/12)+'Calc'!$B$6,IF(Calc!$Y$269&lt;='财富模型'!$E$11*12,'Calc'!$W$15,'Calc'!$Y$15)))),0))</x:f>
      </x:c>
      <x:c r="AB269" t="str">
        <x:f>IF(Calc!$Y$269&gt;'Calc'!$B$8,"",IF('Calc'!$E$15=1,'财富模型'!$E$9,'财富模型'!$M$7+IF(Calc!$Y$269&lt;='财富模型'!$E$11*12,'Calc'!$W$15,'Calc'!$Y$15)-(IF('Calc'!$E$15=1,0,MIN(Calc!$AA$268*(1+'财富模型'!$E$20/12)+'Calc'!$B$6,IF(Calc!$Y$269&lt;='财富模型'!$E$11*12,'Calc'!$W$15,'Calc'!$Y$15))))))</x:f>
      </x:c>
      <x:c r="AC269" t="str">
        <x:f>IF(Calc!$Y$269&gt;'Calc'!$B$8,"",IF('Calc'!$E$15=1,0,MIN(Calc!$AA$268*(1+'财富模型'!$E$20/12)+'Calc'!$B$6,IF(Calc!$Y$269&lt;='财富模型'!$E$11*12,'Calc'!$W$15,'Calc'!$Y$15))))</x:f>
      </x:c>
      <x:c r="AD269" t="str">
        <x:f>IF(Calc!$Y$269&gt;'Calc'!$B$8,"",'Calc'!$B$5-'财富模型'!$E$5-(IF('Calc'!$E$15=1,'财富模型'!$E$9,'财富模型'!$M$7+IF(Calc!$Y$269&lt;='财富模型'!$E$11*12,'Calc'!$W$15,'Calc'!$Y$15)-(IF('Calc'!$E$15=1,0,MIN(Calc!$AA$268*(1+'财富模型'!$E$20/12)+'Calc'!$B$6,IF(Calc!$Y$269&lt;='财富模型'!$E$11*12,'Calc'!$W$15,'Calc'!$Y$15)))))))</x:f>
      </x:c>
      <x:c r="AE269" t="str">
        <x:f>IF(Calc!$Y$269&gt;'Calc'!$B$8,"",IF('Calc'!$E$15=1,0,MAX(Calc!$AE$268*(1+IF(Calc!$Y$269&lt;='财富模型'!$E$11*12,'财富模型'!$E$10,'财富模型'!$E$12)/12)-IF('Calc'!$E$15=1,0,IF(Calc!$Y$269&lt;='财富模型'!$E$11*12,'Calc'!$W$15,'Calc'!$Y$15)),0)))</x:f>
      </x:c>
      <x:c r="AG269" t="n">
        <x:v>248</x:v>
      </x:c>
      <x:c r="AH269" t="str">
        <x:f>IF(Calc!$AG$269&gt;'Calc'!$B$8,"",MAX(Calc!$AH$268*(1+'财富模型'!$E$6/12)+('Calc'!$B$5-'财富模型'!$E$5-(IF('Calc'!$E$16=1,'财富模型'!$E$9,'财富模型'!$M$8+IF(Calc!$AG$269&lt;='财富模型'!$E$11*12,'Calc'!$W$16,'Calc'!$Y$16)-(IF('Calc'!$E$16=1,0,MIN(Calc!$AI$268*(1+'财富模型'!$E$20/12)+'Calc'!$B$6,IF(Calc!$AG$269&lt;='财富模型'!$E$11*12,'Calc'!$W$16,'Calc'!$Y$16))))))),0))</x:f>
      </x:c>
      <x:c r="AI269" t="str">
        <x:f>IF(Calc!$AG$269&gt;'Calc'!$B$8,"",MAX(Calc!$AI$268*(1+'财富模型'!$E$20/12)+'Calc'!$B$6-(IF('Calc'!$E$16=1,0,MIN(Calc!$AI$268*(1+'财富模型'!$E$20/12)+'Calc'!$B$6,IF(Calc!$AG$269&lt;='财富模型'!$E$11*12,'Calc'!$W$16,'Calc'!$Y$16)))),0))</x:f>
      </x:c>
      <x:c r="AJ269" t="str">
        <x:f>IF(Calc!$AG$269&gt;'Calc'!$B$8,"",IF('Calc'!$E$16=1,'财富模型'!$E$9,'财富模型'!$M$8+IF(Calc!$AG$269&lt;='财富模型'!$E$11*12,'Calc'!$W$16,'Calc'!$Y$16)-(IF('Calc'!$E$16=1,0,MIN(Calc!$AI$268*(1+'财富模型'!$E$20/12)+'Calc'!$B$6,IF(Calc!$AG$269&lt;='财富模型'!$E$11*12,'Calc'!$W$16,'Calc'!$Y$16))))))</x:f>
      </x:c>
      <x:c r="AK269" t="str">
        <x:f>IF(Calc!$AG$269&gt;'Calc'!$B$8,"",IF('Calc'!$E$16=1,0,MIN(Calc!$AI$268*(1+'财富模型'!$E$20/12)+'Calc'!$B$6,IF(Calc!$AG$269&lt;='财富模型'!$E$11*12,'Calc'!$W$16,'Calc'!$Y$16))))</x:f>
      </x:c>
      <x:c r="AL269" t="str">
        <x:f>IF(Calc!$AG$269&gt;'Calc'!$B$8,"",'Calc'!$B$5-'财富模型'!$E$5-(IF('Calc'!$E$16=1,'财富模型'!$E$9,'财富模型'!$M$8+IF(Calc!$AG$269&lt;='财富模型'!$E$11*12,'Calc'!$W$16,'Calc'!$Y$16)-(IF('Calc'!$E$16=1,0,MIN(Calc!$AI$268*(1+'财富模型'!$E$20/12)+'Calc'!$B$6,IF(Calc!$AG$269&lt;='财富模型'!$E$11*12,'Calc'!$W$16,'Calc'!$Y$16)))))))</x:f>
      </x:c>
      <x:c r="AM269" t="str">
        <x:f>IF(Calc!$AG$269&gt;'Calc'!$B$8,"",IF('Calc'!$E$16=1,0,MAX(Calc!$AM$268*(1+IF(Calc!$AG$269&lt;='财富模型'!$E$11*12,'财富模型'!$E$10,'财富模型'!$E$12)/12)-IF('Calc'!$E$16=1,0,IF(Calc!$AG$269&lt;='财富模型'!$E$11*12,'Calc'!$W$16,'Calc'!$Y$16)),0)))</x:f>
      </x:c>
      <x:c r="AO269" t="n">
        <x:v>248</x:v>
      </x:c>
      <x:c r="AP269" t="str">
        <x:f>IF(Calc!$AO$269&gt;'Calc'!$B$8,"",MAX(Calc!$AP$268*(1+'财富模型'!$E$6/12)+('Calc'!$B$5-'财富模型'!$E$5-(IF('Calc'!$E$17=1,'财富模型'!$E$9,'财富模型'!$M$9+IF(Calc!$AO$269&lt;='财富模型'!$E$11*12,'Calc'!$W$17,'Calc'!$Y$17)-(IF('Calc'!$E$17=1,0,MIN(Calc!$AQ$268*(1+'财富模型'!$E$20/12)+'Calc'!$B$6,IF(Calc!$AO$269&lt;='财富模型'!$E$11*12,'Calc'!$W$17,'Calc'!$Y$17))))))),0))</x:f>
      </x:c>
      <x:c r="AQ269" t="str">
        <x:f>IF(Calc!$AO$269&gt;'Calc'!$B$8,"",MAX(Calc!$AQ$268*(1+'财富模型'!$E$20/12)+'Calc'!$B$6-(IF('Calc'!$E$17=1,0,MIN(Calc!$AQ$268*(1+'财富模型'!$E$20/12)+'Calc'!$B$6,IF(Calc!$AO$269&lt;='财富模型'!$E$11*12,'Calc'!$W$17,'Calc'!$Y$17)))),0))</x:f>
      </x:c>
      <x:c r="AR269" t="str">
        <x:f>IF(Calc!$AO$269&gt;'Calc'!$B$8,"",IF('Calc'!$E$17=1,'财富模型'!$E$9,'财富模型'!$M$9+IF(Calc!$AO$269&lt;='财富模型'!$E$11*12,'Calc'!$W$17,'Calc'!$Y$17)-(IF('Calc'!$E$17=1,0,MIN(Calc!$AQ$268*(1+'财富模型'!$E$20/12)+'Calc'!$B$6,IF(Calc!$AO$269&lt;='财富模型'!$E$11*12,'Calc'!$W$17,'Calc'!$Y$17))))))</x:f>
      </x:c>
      <x:c r="AS269" t="str">
        <x:f>IF(Calc!$AO$269&gt;'Calc'!$B$8,"",IF('Calc'!$E$17=1,0,MIN(Calc!$AQ$268*(1+'财富模型'!$E$20/12)+'Calc'!$B$6,IF(Calc!$AO$269&lt;='财富模型'!$E$11*12,'Calc'!$W$17,'Calc'!$Y$17))))</x:f>
      </x:c>
      <x:c r="AT269" t="str">
        <x:f>IF(Calc!$AO$269&gt;'Calc'!$B$8,"",'Calc'!$B$5-'财富模型'!$E$5-(IF('Calc'!$E$17=1,'财富模型'!$E$9,'财富模型'!$M$9+IF(Calc!$AO$269&lt;='财富模型'!$E$11*12,'Calc'!$W$17,'Calc'!$Y$17)-(IF('Calc'!$E$17=1,0,MIN(Calc!$AQ$268*(1+'财富模型'!$E$20/12)+'Calc'!$B$6,IF(Calc!$AO$269&lt;='财富模型'!$E$11*12,'Calc'!$W$17,'Calc'!$Y$17)))))))</x:f>
      </x:c>
      <x:c r="AU269" t="str">
        <x:f>IF(Calc!$AO$269&gt;'Calc'!$B$8,"",IF('Calc'!$E$17=1,0,MAX(Calc!$AU$268*(1+IF(Calc!$AO$269&lt;='财富模型'!$E$11*12,'财富模型'!$E$10,'财富模型'!$E$12)/12)-IF('Calc'!$E$17=1,0,IF(Calc!$AO$269&lt;='财富模型'!$E$11*12,'Calc'!$W$17,'Calc'!$Y$17)),0)))</x:f>
      </x:c>
    </x:row>
    <x:row r="270">
      <x:c r="A270" t="n">
        <x:v>249</x:v>
      </x:c>
      <x:c r="B270" t="str">
        <x:f>IF(Calc!$A$270&gt;'Calc'!$B$8,"",MAX(Calc!$B$269*(1+'财富模型'!$E$6/12)+('Calc'!$B$5-'财富模型'!$E$5-(IF('Calc'!$E$12=1,'财富模型'!$E$9,'财富模型'!$M$4+IF(Calc!$A$270&lt;='财富模型'!$E$11*12,'Calc'!$W$12,'Calc'!$Y$12)-(IF('Calc'!$E$12=1,0,MIN(Calc!$C$269*(1+'财富模型'!$E$20/12)+'Calc'!$B$6,IF(Calc!$A$270&lt;='财富模型'!$E$11*12,'Calc'!$W$12,'Calc'!$Y$12))))))),0))</x:f>
      </x:c>
      <x:c r="C270" t="str">
        <x:f>IF(Calc!$A$270&gt;'Calc'!$B$8,"",MAX(Calc!$C$269*(1+'财富模型'!$E$20/12)+'Calc'!$B$6-(IF('Calc'!$E$12=1,0,MIN(Calc!$C$269*(1+'财富模型'!$E$20/12)+'Calc'!$B$6,IF(Calc!$A$270&lt;='财富模型'!$E$11*12,'Calc'!$W$12,'Calc'!$Y$12)))),0))</x:f>
      </x:c>
      <x:c r="D270" t="str">
        <x:f>IF(Calc!$A$270&gt;'Calc'!$B$8,"",IF('Calc'!$E$12=1,'财富模型'!$E$9,'财富模型'!$M$4+IF(Calc!$A$270&lt;='财富模型'!$E$11*12,'Calc'!$W$12,'Calc'!$Y$12)-(IF('Calc'!$E$12=1,0,MIN(Calc!$C$269*(1+'财富模型'!$E$20/12)+'Calc'!$B$6,IF(Calc!$A$270&lt;='财富模型'!$E$11*12,'Calc'!$W$12,'Calc'!$Y$12))))))</x:f>
      </x:c>
      <x:c r="E270" t="str">
        <x:f>IF(Calc!$A$270&gt;'Calc'!$B$8,"",IF('Calc'!$E$12=1,0,MIN(Calc!$C$269*(1+'财富模型'!$E$20/12)+'Calc'!$B$6,IF(Calc!$A$270&lt;='财富模型'!$E$11*12,'Calc'!$W$12,'Calc'!$Y$12))))</x:f>
      </x:c>
      <x:c r="F270" t="str">
        <x:f>IF(Calc!$A$270&gt;'Calc'!$B$8,"",'Calc'!$B$5-'财富模型'!$E$5-(IF('Calc'!$E$12=1,'财富模型'!$E$9,'财富模型'!$M$4+IF(Calc!$A$270&lt;='财富模型'!$E$11*12,'Calc'!$W$12,'Calc'!$Y$12)-(IF('Calc'!$E$12=1,0,MIN(Calc!$C$269*(1+'财富模型'!$E$20/12)+'Calc'!$B$6,IF(Calc!$A$270&lt;='财富模型'!$E$11*12,'Calc'!$W$12,'Calc'!$Y$12)))))))</x:f>
      </x:c>
      <x:c r="G270" t="str">
        <x:f>IF(Calc!$A$270&gt;'Calc'!$B$8,"",IF('Calc'!$E$12=1,0,MAX(Calc!$G$269*(1+IF(Calc!$A$270&lt;='财富模型'!$E$11*12,'财富模型'!$E$10,'财富模型'!$E$12)/12)-IF('Calc'!$E$12=1,0,IF(Calc!$A$270&lt;='财富模型'!$E$11*12,'Calc'!$W$12,'Calc'!$Y$12)),0)))</x:f>
      </x:c>
      <x:c r="I270" t="n">
        <x:v>249</x:v>
      </x:c>
      <x:c r="J270" t="str">
        <x:f>IF(Calc!$I$270&gt;'Calc'!$B$8,"",MAX(Calc!$J$269*(1+'财富模型'!$E$6/12)+('Calc'!$B$5-'财富模型'!$E$5-(IF('Calc'!$E$13=1,'财富模型'!$E$9,'财富模型'!$M$5+IF(Calc!$I$270&lt;='财富模型'!$E$11*12,'Calc'!$W$13,'Calc'!$Y$13)-(IF('Calc'!$E$13=1,0,MIN(Calc!$K$269*(1+'财富模型'!$E$20/12)+'Calc'!$B$6,IF(Calc!$I$270&lt;='财富模型'!$E$11*12,'Calc'!$W$13,'Calc'!$Y$13))))))),0))</x:f>
      </x:c>
      <x:c r="K270" t="str">
        <x:f>IF(Calc!$I$270&gt;'Calc'!$B$8,"",MAX(Calc!$K$269*(1+'财富模型'!$E$20/12)+'Calc'!$B$6-(IF('Calc'!$E$13=1,0,MIN(Calc!$K$269*(1+'财富模型'!$E$20/12)+'Calc'!$B$6,IF(Calc!$I$270&lt;='财富模型'!$E$11*12,'Calc'!$W$13,'Calc'!$Y$13)))),0))</x:f>
      </x:c>
      <x:c r="L270" t="str">
        <x:f>IF(Calc!$I$270&gt;'Calc'!$B$8,"",IF('Calc'!$E$13=1,'财富模型'!$E$9,'财富模型'!$M$5+IF(Calc!$I$270&lt;='财富模型'!$E$11*12,'Calc'!$W$13,'Calc'!$Y$13)-(IF('Calc'!$E$13=1,0,MIN(Calc!$K$269*(1+'财富模型'!$E$20/12)+'Calc'!$B$6,IF(Calc!$I$270&lt;='财富模型'!$E$11*12,'Calc'!$W$13,'Calc'!$Y$13))))))</x:f>
      </x:c>
      <x:c r="M270" t="str">
        <x:f>IF(Calc!$I$270&gt;'Calc'!$B$8,"",IF('Calc'!$E$13=1,0,MIN(Calc!$K$269*(1+'财富模型'!$E$20/12)+'Calc'!$B$6,IF(Calc!$I$270&lt;='财富模型'!$E$11*12,'Calc'!$W$13,'Calc'!$Y$13))))</x:f>
      </x:c>
      <x:c r="N270" t="str">
        <x:f>IF(Calc!$I$270&gt;'Calc'!$B$8,"",'Calc'!$B$5-'财富模型'!$E$5-(IF('Calc'!$E$13=1,'财富模型'!$E$9,'财富模型'!$M$5+IF(Calc!$I$270&lt;='财富模型'!$E$11*12,'Calc'!$W$13,'Calc'!$Y$13)-(IF('Calc'!$E$13=1,0,MIN(Calc!$K$269*(1+'财富模型'!$E$20/12)+'Calc'!$B$6,IF(Calc!$I$270&lt;='财富模型'!$E$11*12,'Calc'!$W$13,'Calc'!$Y$13)))))))</x:f>
      </x:c>
      <x:c r="O270" t="str">
        <x:f>IF(Calc!$I$270&gt;'Calc'!$B$8,"",IF('Calc'!$E$13=1,0,MAX(Calc!$O$269*(1+IF(Calc!$I$270&lt;='财富模型'!$E$11*12,'财富模型'!$E$10,'财富模型'!$E$12)/12)-IF('Calc'!$E$13=1,0,IF(Calc!$I$270&lt;='财富模型'!$E$11*12,'Calc'!$W$13,'Calc'!$Y$13)),0)))</x:f>
      </x:c>
      <x:c r="Q270" t="n">
        <x:v>249</x:v>
      </x:c>
      <x:c r="R270" t="str">
        <x:f>IF(Calc!$Q$270&gt;'Calc'!$B$8,"",MAX(Calc!$R$269*(1+'财富模型'!$E$6/12)+('Calc'!$B$5-'财富模型'!$E$5-(IF('Calc'!$E$14=1,'财富模型'!$E$9,'财富模型'!$M$6+IF(Calc!$Q$270&lt;='财富模型'!$E$11*12,'Calc'!$W$14,'Calc'!$Y$14)-(IF('Calc'!$E$14=1,0,MIN(Calc!$S$269*(1+'财富模型'!$E$20/12)+'Calc'!$B$6,IF(Calc!$Q$270&lt;='财富模型'!$E$11*12,'Calc'!$W$14,'Calc'!$Y$14))))))),0))</x:f>
      </x:c>
      <x:c r="S270" t="str">
        <x:f>IF(Calc!$Q$270&gt;'Calc'!$B$8,"",MAX(Calc!$S$269*(1+'财富模型'!$E$20/12)+'Calc'!$B$6-(IF('Calc'!$E$14=1,0,MIN(Calc!$S$269*(1+'财富模型'!$E$20/12)+'Calc'!$B$6,IF(Calc!$Q$270&lt;='财富模型'!$E$11*12,'Calc'!$W$14,'Calc'!$Y$14)))),0))</x:f>
      </x:c>
      <x:c r="T270" t="str">
        <x:f>IF(Calc!$Q$270&gt;'Calc'!$B$8,"",IF('Calc'!$E$14=1,'财富模型'!$E$9,'财富模型'!$M$6+IF(Calc!$Q$270&lt;='财富模型'!$E$11*12,'Calc'!$W$14,'Calc'!$Y$14)-(IF('Calc'!$E$14=1,0,MIN(Calc!$S$269*(1+'财富模型'!$E$20/12)+'Calc'!$B$6,IF(Calc!$Q$270&lt;='财富模型'!$E$11*12,'Calc'!$W$14,'Calc'!$Y$14))))))</x:f>
      </x:c>
      <x:c r="U270" t="str">
        <x:f>IF(Calc!$Q$270&gt;'Calc'!$B$8,"",IF('Calc'!$E$14=1,0,MIN(Calc!$S$269*(1+'财富模型'!$E$20/12)+'Calc'!$B$6,IF(Calc!$Q$270&lt;='财富模型'!$E$11*12,'Calc'!$W$14,'Calc'!$Y$14))))</x:f>
      </x:c>
      <x:c r="V270" t="str">
        <x:f>IF(Calc!$Q$270&gt;'Calc'!$B$8,"",'Calc'!$B$5-'财富模型'!$E$5-(IF('Calc'!$E$14=1,'财富模型'!$E$9,'财富模型'!$M$6+IF(Calc!$Q$270&lt;='财富模型'!$E$11*12,'Calc'!$W$14,'Calc'!$Y$14)-(IF('Calc'!$E$14=1,0,MIN(Calc!$S$269*(1+'财富模型'!$E$20/12)+'Calc'!$B$6,IF(Calc!$Q$270&lt;='财富模型'!$E$11*12,'Calc'!$W$14,'Calc'!$Y$14)))))))</x:f>
      </x:c>
      <x:c r="W270" t="str">
        <x:f>IF(Calc!$Q$270&gt;'Calc'!$B$8,"",IF('Calc'!$E$14=1,0,MAX(Calc!$W$269*(1+IF(Calc!$Q$270&lt;='财富模型'!$E$11*12,'财富模型'!$E$10,'财富模型'!$E$12)/12)-IF('Calc'!$E$14=1,0,IF(Calc!$Q$270&lt;='财富模型'!$E$11*12,'Calc'!$W$14,'Calc'!$Y$14)),0)))</x:f>
      </x:c>
      <x:c r="Y270" t="n">
        <x:v>249</x:v>
      </x:c>
      <x:c r="Z270" t="str">
        <x:f>IF(Calc!$Y$270&gt;'Calc'!$B$8,"",MAX(Calc!$Z$269*(1+'财富模型'!$E$6/12)+('Calc'!$B$5-'财富模型'!$E$5-(IF('Calc'!$E$15=1,'财富模型'!$E$9,'财富模型'!$M$7+IF(Calc!$Y$270&lt;='财富模型'!$E$11*12,'Calc'!$W$15,'Calc'!$Y$15)-(IF('Calc'!$E$15=1,0,MIN(Calc!$AA$269*(1+'财富模型'!$E$20/12)+'Calc'!$B$6,IF(Calc!$Y$270&lt;='财富模型'!$E$11*12,'Calc'!$W$15,'Calc'!$Y$15))))))),0))</x:f>
      </x:c>
      <x:c r="AA270" t="str">
        <x:f>IF(Calc!$Y$270&gt;'Calc'!$B$8,"",MAX(Calc!$AA$269*(1+'财富模型'!$E$20/12)+'Calc'!$B$6-(IF('Calc'!$E$15=1,0,MIN(Calc!$AA$269*(1+'财富模型'!$E$20/12)+'Calc'!$B$6,IF(Calc!$Y$270&lt;='财富模型'!$E$11*12,'Calc'!$W$15,'Calc'!$Y$15)))),0))</x:f>
      </x:c>
      <x:c r="AB270" t="str">
        <x:f>IF(Calc!$Y$270&gt;'Calc'!$B$8,"",IF('Calc'!$E$15=1,'财富模型'!$E$9,'财富模型'!$M$7+IF(Calc!$Y$270&lt;='财富模型'!$E$11*12,'Calc'!$W$15,'Calc'!$Y$15)-(IF('Calc'!$E$15=1,0,MIN(Calc!$AA$269*(1+'财富模型'!$E$20/12)+'Calc'!$B$6,IF(Calc!$Y$270&lt;='财富模型'!$E$11*12,'Calc'!$W$15,'Calc'!$Y$15))))))</x:f>
      </x:c>
      <x:c r="AC270" t="str">
        <x:f>IF(Calc!$Y$270&gt;'Calc'!$B$8,"",IF('Calc'!$E$15=1,0,MIN(Calc!$AA$269*(1+'财富模型'!$E$20/12)+'Calc'!$B$6,IF(Calc!$Y$270&lt;='财富模型'!$E$11*12,'Calc'!$W$15,'Calc'!$Y$15))))</x:f>
      </x:c>
      <x:c r="AD270" t="str">
        <x:f>IF(Calc!$Y$270&gt;'Calc'!$B$8,"",'Calc'!$B$5-'财富模型'!$E$5-(IF('Calc'!$E$15=1,'财富模型'!$E$9,'财富模型'!$M$7+IF(Calc!$Y$270&lt;='财富模型'!$E$11*12,'Calc'!$W$15,'Calc'!$Y$15)-(IF('Calc'!$E$15=1,0,MIN(Calc!$AA$269*(1+'财富模型'!$E$20/12)+'Calc'!$B$6,IF(Calc!$Y$270&lt;='财富模型'!$E$11*12,'Calc'!$W$15,'Calc'!$Y$15)))))))</x:f>
      </x:c>
      <x:c r="AE270" t="str">
        <x:f>IF(Calc!$Y$270&gt;'Calc'!$B$8,"",IF('Calc'!$E$15=1,0,MAX(Calc!$AE$269*(1+IF(Calc!$Y$270&lt;='财富模型'!$E$11*12,'财富模型'!$E$10,'财富模型'!$E$12)/12)-IF('Calc'!$E$15=1,0,IF(Calc!$Y$270&lt;='财富模型'!$E$11*12,'Calc'!$W$15,'Calc'!$Y$15)),0)))</x:f>
      </x:c>
      <x:c r="AG270" t="n">
        <x:v>249</x:v>
      </x:c>
      <x:c r="AH270" t="str">
        <x:f>IF(Calc!$AG$270&gt;'Calc'!$B$8,"",MAX(Calc!$AH$269*(1+'财富模型'!$E$6/12)+('Calc'!$B$5-'财富模型'!$E$5-(IF('Calc'!$E$16=1,'财富模型'!$E$9,'财富模型'!$M$8+IF(Calc!$AG$270&lt;='财富模型'!$E$11*12,'Calc'!$W$16,'Calc'!$Y$16)-(IF('Calc'!$E$16=1,0,MIN(Calc!$AI$269*(1+'财富模型'!$E$20/12)+'Calc'!$B$6,IF(Calc!$AG$270&lt;='财富模型'!$E$11*12,'Calc'!$W$16,'Calc'!$Y$16))))))),0))</x:f>
      </x:c>
      <x:c r="AI270" t="str">
        <x:f>IF(Calc!$AG$270&gt;'Calc'!$B$8,"",MAX(Calc!$AI$269*(1+'财富模型'!$E$20/12)+'Calc'!$B$6-(IF('Calc'!$E$16=1,0,MIN(Calc!$AI$269*(1+'财富模型'!$E$20/12)+'Calc'!$B$6,IF(Calc!$AG$270&lt;='财富模型'!$E$11*12,'Calc'!$W$16,'Calc'!$Y$16)))),0))</x:f>
      </x:c>
      <x:c r="AJ270" t="str">
        <x:f>IF(Calc!$AG$270&gt;'Calc'!$B$8,"",IF('Calc'!$E$16=1,'财富模型'!$E$9,'财富模型'!$M$8+IF(Calc!$AG$270&lt;='财富模型'!$E$11*12,'Calc'!$W$16,'Calc'!$Y$16)-(IF('Calc'!$E$16=1,0,MIN(Calc!$AI$269*(1+'财富模型'!$E$20/12)+'Calc'!$B$6,IF(Calc!$AG$270&lt;='财富模型'!$E$11*12,'Calc'!$W$16,'Calc'!$Y$16))))))</x:f>
      </x:c>
      <x:c r="AK270" t="str">
        <x:f>IF(Calc!$AG$270&gt;'Calc'!$B$8,"",IF('Calc'!$E$16=1,0,MIN(Calc!$AI$269*(1+'财富模型'!$E$20/12)+'Calc'!$B$6,IF(Calc!$AG$270&lt;='财富模型'!$E$11*12,'Calc'!$W$16,'Calc'!$Y$16))))</x:f>
      </x:c>
      <x:c r="AL270" t="str">
        <x:f>IF(Calc!$AG$270&gt;'Calc'!$B$8,"",'Calc'!$B$5-'财富模型'!$E$5-(IF('Calc'!$E$16=1,'财富模型'!$E$9,'财富模型'!$M$8+IF(Calc!$AG$270&lt;='财富模型'!$E$11*12,'Calc'!$W$16,'Calc'!$Y$16)-(IF('Calc'!$E$16=1,0,MIN(Calc!$AI$269*(1+'财富模型'!$E$20/12)+'Calc'!$B$6,IF(Calc!$AG$270&lt;='财富模型'!$E$11*12,'Calc'!$W$16,'Calc'!$Y$16)))))))</x:f>
      </x:c>
      <x:c r="AM270" t="str">
        <x:f>IF(Calc!$AG$270&gt;'Calc'!$B$8,"",IF('Calc'!$E$16=1,0,MAX(Calc!$AM$269*(1+IF(Calc!$AG$270&lt;='财富模型'!$E$11*12,'财富模型'!$E$10,'财富模型'!$E$12)/12)-IF('Calc'!$E$16=1,0,IF(Calc!$AG$270&lt;='财富模型'!$E$11*12,'Calc'!$W$16,'Calc'!$Y$16)),0)))</x:f>
      </x:c>
      <x:c r="AO270" t="n">
        <x:v>249</x:v>
      </x:c>
      <x:c r="AP270" t="str">
        <x:f>IF(Calc!$AO$270&gt;'Calc'!$B$8,"",MAX(Calc!$AP$269*(1+'财富模型'!$E$6/12)+('Calc'!$B$5-'财富模型'!$E$5-(IF('Calc'!$E$17=1,'财富模型'!$E$9,'财富模型'!$M$9+IF(Calc!$AO$270&lt;='财富模型'!$E$11*12,'Calc'!$W$17,'Calc'!$Y$17)-(IF('Calc'!$E$17=1,0,MIN(Calc!$AQ$269*(1+'财富模型'!$E$20/12)+'Calc'!$B$6,IF(Calc!$AO$270&lt;='财富模型'!$E$11*12,'Calc'!$W$17,'Calc'!$Y$17))))))),0))</x:f>
      </x:c>
      <x:c r="AQ270" t="str">
        <x:f>IF(Calc!$AO$270&gt;'Calc'!$B$8,"",MAX(Calc!$AQ$269*(1+'财富模型'!$E$20/12)+'Calc'!$B$6-(IF('Calc'!$E$17=1,0,MIN(Calc!$AQ$269*(1+'财富模型'!$E$20/12)+'Calc'!$B$6,IF(Calc!$AO$270&lt;='财富模型'!$E$11*12,'Calc'!$W$17,'Calc'!$Y$17)))),0))</x:f>
      </x:c>
      <x:c r="AR270" t="str">
        <x:f>IF(Calc!$AO$270&gt;'Calc'!$B$8,"",IF('Calc'!$E$17=1,'财富模型'!$E$9,'财富模型'!$M$9+IF(Calc!$AO$270&lt;='财富模型'!$E$11*12,'Calc'!$W$17,'Calc'!$Y$17)-(IF('Calc'!$E$17=1,0,MIN(Calc!$AQ$269*(1+'财富模型'!$E$20/12)+'Calc'!$B$6,IF(Calc!$AO$270&lt;='财富模型'!$E$11*12,'Calc'!$W$17,'Calc'!$Y$17))))))</x:f>
      </x:c>
      <x:c r="AS270" t="str">
        <x:f>IF(Calc!$AO$270&gt;'Calc'!$B$8,"",IF('Calc'!$E$17=1,0,MIN(Calc!$AQ$269*(1+'财富模型'!$E$20/12)+'Calc'!$B$6,IF(Calc!$AO$270&lt;='财富模型'!$E$11*12,'Calc'!$W$17,'Calc'!$Y$17))))</x:f>
      </x:c>
      <x:c r="AT270" t="str">
        <x:f>IF(Calc!$AO$270&gt;'Calc'!$B$8,"",'Calc'!$B$5-'财富模型'!$E$5-(IF('Calc'!$E$17=1,'财富模型'!$E$9,'财富模型'!$M$9+IF(Calc!$AO$270&lt;='财富模型'!$E$11*12,'Calc'!$W$17,'Calc'!$Y$17)-(IF('Calc'!$E$17=1,0,MIN(Calc!$AQ$269*(1+'财富模型'!$E$20/12)+'Calc'!$B$6,IF(Calc!$AO$270&lt;='财富模型'!$E$11*12,'Calc'!$W$17,'Calc'!$Y$17)))))))</x:f>
      </x:c>
      <x:c r="AU270" t="str">
        <x:f>IF(Calc!$AO$270&gt;'Calc'!$B$8,"",IF('Calc'!$E$17=1,0,MAX(Calc!$AU$269*(1+IF(Calc!$AO$270&lt;='财富模型'!$E$11*12,'财富模型'!$E$10,'财富模型'!$E$12)/12)-IF('Calc'!$E$17=1,0,IF(Calc!$AO$270&lt;='财富模型'!$E$11*12,'Calc'!$W$17,'Calc'!$Y$17)),0)))</x:f>
      </x:c>
    </x:row>
    <x:row r="271">
      <x:c r="A271" t="n">
        <x:v>250</x:v>
      </x:c>
      <x:c r="B271" t="str">
        <x:f>IF(Calc!$A$271&gt;'Calc'!$B$8,"",MAX(Calc!$B$270*(1+'财富模型'!$E$6/12)+('Calc'!$B$5-'财富模型'!$E$5-(IF('Calc'!$E$12=1,'财富模型'!$E$9,'财富模型'!$M$4+IF(Calc!$A$271&lt;='财富模型'!$E$11*12,'Calc'!$W$12,'Calc'!$Y$12)-(IF('Calc'!$E$12=1,0,MIN(Calc!$C$270*(1+'财富模型'!$E$20/12)+'Calc'!$B$6,IF(Calc!$A$271&lt;='财富模型'!$E$11*12,'Calc'!$W$12,'Calc'!$Y$12))))))),0))</x:f>
      </x:c>
      <x:c r="C271" t="str">
        <x:f>IF(Calc!$A$271&gt;'Calc'!$B$8,"",MAX(Calc!$C$270*(1+'财富模型'!$E$20/12)+'Calc'!$B$6-(IF('Calc'!$E$12=1,0,MIN(Calc!$C$270*(1+'财富模型'!$E$20/12)+'Calc'!$B$6,IF(Calc!$A$271&lt;='财富模型'!$E$11*12,'Calc'!$W$12,'Calc'!$Y$12)))),0))</x:f>
      </x:c>
      <x:c r="D271" t="str">
        <x:f>IF(Calc!$A$271&gt;'Calc'!$B$8,"",IF('Calc'!$E$12=1,'财富模型'!$E$9,'财富模型'!$M$4+IF(Calc!$A$271&lt;='财富模型'!$E$11*12,'Calc'!$W$12,'Calc'!$Y$12)-(IF('Calc'!$E$12=1,0,MIN(Calc!$C$270*(1+'财富模型'!$E$20/12)+'Calc'!$B$6,IF(Calc!$A$271&lt;='财富模型'!$E$11*12,'Calc'!$W$12,'Calc'!$Y$12))))))</x:f>
      </x:c>
      <x:c r="E271" t="str">
        <x:f>IF(Calc!$A$271&gt;'Calc'!$B$8,"",IF('Calc'!$E$12=1,0,MIN(Calc!$C$270*(1+'财富模型'!$E$20/12)+'Calc'!$B$6,IF(Calc!$A$271&lt;='财富模型'!$E$11*12,'Calc'!$W$12,'Calc'!$Y$12))))</x:f>
      </x:c>
      <x:c r="F271" t="str">
        <x:f>IF(Calc!$A$271&gt;'Calc'!$B$8,"",'Calc'!$B$5-'财富模型'!$E$5-(IF('Calc'!$E$12=1,'财富模型'!$E$9,'财富模型'!$M$4+IF(Calc!$A$271&lt;='财富模型'!$E$11*12,'Calc'!$W$12,'Calc'!$Y$12)-(IF('Calc'!$E$12=1,0,MIN(Calc!$C$270*(1+'财富模型'!$E$20/12)+'Calc'!$B$6,IF(Calc!$A$271&lt;='财富模型'!$E$11*12,'Calc'!$W$12,'Calc'!$Y$12)))))))</x:f>
      </x:c>
      <x:c r="G271" t="str">
        <x:f>IF(Calc!$A$271&gt;'Calc'!$B$8,"",IF('Calc'!$E$12=1,0,MAX(Calc!$G$270*(1+IF(Calc!$A$271&lt;='财富模型'!$E$11*12,'财富模型'!$E$10,'财富模型'!$E$12)/12)-IF('Calc'!$E$12=1,0,IF(Calc!$A$271&lt;='财富模型'!$E$11*12,'Calc'!$W$12,'Calc'!$Y$12)),0)))</x:f>
      </x:c>
      <x:c r="I271" t="n">
        <x:v>250</x:v>
      </x:c>
      <x:c r="J271" t="str">
        <x:f>IF(Calc!$I$271&gt;'Calc'!$B$8,"",MAX(Calc!$J$270*(1+'财富模型'!$E$6/12)+('Calc'!$B$5-'财富模型'!$E$5-(IF('Calc'!$E$13=1,'财富模型'!$E$9,'财富模型'!$M$5+IF(Calc!$I$271&lt;='财富模型'!$E$11*12,'Calc'!$W$13,'Calc'!$Y$13)-(IF('Calc'!$E$13=1,0,MIN(Calc!$K$270*(1+'财富模型'!$E$20/12)+'Calc'!$B$6,IF(Calc!$I$271&lt;='财富模型'!$E$11*12,'Calc'!$W$13,'Calc'!$Y$13))))))),0))</x:f>
      </x:c>
      <x:c r="K271" t="str">
        <x:f>IF(Calc!$I$271&gt;'Calc'!$B$8,"",MAX(Calc!$K$270*(1+'财富模型'!$E$20/12)+'Calc'!$B$6-(IF('Calc'!$E$13=1,0,MIN(Calc!$K$270*(1+'财富模型'!$E$20/12)+'Calc'!$B$6,IF(Calc!$I$271&lt;='财富模型'!$E$11*12,'Calc'!$W$13,'Calc'!$Y$13)))),0))</x:f>
      </x:c>
      <x:c r="L271" t="str">
        <x:f>IF(Calc!$I$271&gt;'Calc'!$B$8,"",IF('Calc'!$E$13=1,'财富模型'!$E$9,'财富模型'!$M$5+IF(Calc!$I$271&lt;='财富模型'!$E$11*12,'Calc'!$W$13,'Calc'!$Y$13)-(IF('Calc'!$E$13=1,0,MIN(Calc!$K$270*(1+'财富模型'!$E$20/12)+'Calc'!$B$6,IF(Calc!$I$271&lt;='财富模型'!$E$11*12,'Calc'!$W$13,'Calc'!$Y$13))))))</x:f>
      </x:c>
      <x:c r="M271" t="str">
        <x:f>IF(Calc!$I$271&gt;'Calc'!$B$8,"",IF('Calc'!$E$13=1,0,MIN(Calc!$K$270*(1+'财富模型'!$E$20/12)+'Calc'!$B$6,IF(Calc!$I$271&lt;='财富模型'!$E$11*12,'Calc'!$W$13,'Calc'!$Y$13))))</x:f>
      </x:c>
      <x:c r="N271" t="str">
        <x:f>IF(Calc!$I$271&gt;'Calc'!$B$8,"",'Calc'!$B$5-'财富模型'!$E$5-(IF('Calc'!$E$13=1,'财富模型'!$E$9,'财富模型'!$M$5+IF(Calc!$I$271&lt;='财富模型'!$E$11*12,'Calc'!$W$13,'Calc'!$Y$13)-(IF('Calc'!$E$13=1,0,MIN(Calc!$K$270*(1+'财富模型'!$E$20/12)+'Calc'!$B$6,IF(Calc!$I$271&lt;='财富模型'!$E$11*12,'Calc'!$W$13,'Calc'!$Y$13)))))))</x:f>
      </x:c>
      <x:c r="O271" t="str">
        <x:f>IF(Calc!$I$271&gt;'Calc'!$B$8,"",IF('Calc'!$E$13=1,0,MAX(Calc!$O$270*(1+IF(Calc!$I$271&lt;='财富模型'!$E$11*12,'财富模型'!$E$10,'财富模型'!$E$12)/12)-IF('Calc'!$E$13=1,0,IF(Calc!$I$271&lt;='财富模型'!$E$11*12,'Calc'!$W$13,'Calc'!$Y$13)),0)))</x:f>
      </x:c>
      <x:c r="Q271" t="n">
        <x:v>250</x:v>
      </x:c>
      <x:c r="R271" t="str">
        <x:f>IF(Calc!$Q$271&gt;'Calc'!$B$8,"",MAX(Calc!$R$270*(1+'财富模型'!$E$6/12)+('Calc'!$B$5-'财富模型'!$E$5-(IF('Calc'!$E$14=1,'财富模型'!$E$9,'财富模型'!$M$6+IF(Calc!$Q$271&lt;='财富模型'!$E$11*12,'Calc'!$W$14,'Calc'!$Y$14)-(IF('Calc'!$E$14=1,0,MIN(Calc!$S$270*(1+'财富模型'!$E$20/12)+'Calc'!$B$6,IF(Calc!$Q$271&lt;='财富模型'!$E$11*12,'Calc'!$W$14,'Calc'!$Y$14))))))),0))</x:f>
      </x:c>
      <x:c r="S271" t="str">
        <x:f>IF(Calc!$Q$271&gt;'Calc'!$B$8,"",MAX(Calc!$S$270*(1+'财富模型'!$E$20/12)+'Calc'!$B$6-(IF('Calc'!$E$14=1,0,MIN(Calc!$S$270*(1+'财富模型'!$E$20/12)+'Calc'!$B$6,IF(Calc!$Q$271&lt;='财富模型'!$E$11*12,'Calc'!$W$14,'Calc'!$Y$14)))),0))</x:f>
      </x:c>
      <x:c r="T271" t="str">
        <x:f>IF(Calc!$Q$271&gt;'Calc'!$B$8,"",IF('Calc'!$E$14=1,'财富模型'!$E$9,'财富模型'!$M$6+IF(Calc!$Q$271&lt;='财富模型'!$E$11*12,'Calc'!$W$14,'Calc'!$Y$14)-(IF('Calc'!$E$14=1,0,MIN(Calc!$S$270*(1+'财富模型'!$E$20/12)+'Calc'!$B$6,IF(Calc!$Q$271&lt;='财富模型'!$E$11*12,'Calc'!$W$14,'Calc'!$Y$14))))))</x:f>
      </x:c>
      <x:c r="U271" t="str">
        <x:f>IF(Calc!$Q$271&gt;'Calc'!$B$8,"",IF('Calc'!$E$14=1,0,MIN(Calc!$S$270*(1+'财富模型'!$E$20/12)+'Calc'!$B$6,IF(Calc!$Q$271&lt;='财富模型'!$E$11*12,'Calc'!$W$14,'Calc'!$Y$14))))</x:f>
      </x:c>
      <x:c r="V271" t="str">
        <x:f>IF(Calc!$Q$271&gt;'Calc'!$B$8,"",'Calc'!$B$5-'财富模型'!$E$5-(IF('Calc'!$E$14=1,'财富模型'!$E$9,'财富模型'!$M$6+IF(Calc!$Q$271&lt;='财富模型'!$E$11*12,'Calc'!$W$14,'Calc'!$Y$14)-(IF('Calc'!$E$14=1,0,MIN(Calc!$S$270*(1+'财富模型'!$E$20/12)+'Calc'!$B$6,IF(Calc!$Q$271&lt;='财富模型'!$E$11*12,'Calc'!$W$14,'Calc'!$Y$14)))))))</x:f>
      </x:c>
      <x:c r="W271" t="str">
        <x:f>IF(Calc!$Q$271&gt;'Calc'!$B$8,"",IF('Calc'!$E$14=1,0,MAX(Calc!$W$270*(1+IF(Calc!$Q$271&lt;='财富模型'!$E$11*12,'财富模型'!$E$10,'财富模型'!$E$12)/12)-IF('Calc'!$E$14=1,0,IF(Calc!$Q$271&lt;='财富模型'!$E$11*12,'Calc'!$W$14,'Calc'!$Y$14)),0)))</x:f>
      </x:c>
      <x:c r="Y271" t="n">
        <x:v>250</x:v>
      </x:c>
      <x:c r="Z271" t="str">
        <x:f>IF(Calc!$Y$271&gt;'Calc'!$B$8,"",MAX(Calc!$Z$270*(1+'财富模型'!$E$6/12)+('Calc'!$B$5-'财富模型'!$E$5-(IF('Calc'!$E$15=1,'财富模型'!$E$9,'财富模型'!$M$7+IF(Calc!$Y$271&lt;='财富模型'!$E$11*12,'Calc'!$W$15,'Calc'!$Y$15)-(IF('Calc'!$E$15=1,0,MIN(Calc!$AA$270*(1+'财富模型'!$E$20/12)+'Calc'!$B$6,IF(Calc!$Y$271&lt;='财富模型'!$E$11*12,'Calc'!$W$15,'Calc'!$Y$15))))))),0))</x:f>
      </x:c>
      <x:c r="AA271" t="str">
        <x:f>IF(Calc!$Y$271&gt;'Calc'!$B$8,"",MAX(Calc!$AA$270*(1+'财富模型'!$E$20/12)+'Calc'!$B$6-(IF('Calc'!$E$15=1,0,MIN(Calc!$AA$270*(1+'财富模型'!$E$20/12)+'Calc'!$B$6,IF(Calc!$Y$271&lt;='财富模型'!$E$11*12,'Calc'!$W$15,'Calc'!$Y$15)))),0))</x:f>
      </x:c>
      <x:c r="AB271" t="str">
        <x:f>IF(Calc!$Y$271&gt;'Calc'!$B$8,"",IF('Calc'!$E$15=1,'财富模型'!$E$9,'财富模型'!$M$7+IF(Calc!$Y$271&lt;='财富模型'!$E$11*12,'Calc'!$W$15,'Calc'!$Y$15)-(IF('Calc'!$E$15=1,0,MIN(Calc!$AA$270*(1+'财富模型'!$E$20/12)+'Calc'!$B$6,IF(Calc!$Y$271&lt;='财富模型'!$E$11*12,'Calc'!$W$15,'Calc'!$Y$15))))))</x:f>
      </x:c>
      <x:c r="AC271" t="str">
        <x:f>IF(Calc!$Y$271&gt;'Calc'!$B$8,"",IF('Calc'!$E$15=1,0,MIN(Calc!$AA$270*(1+'财富模型'!$E$20/12)+'Calc'!$B$6,IF(Calc!$Y$271&lt;='财富模型'!$E$11*12,'Calc'!$W$15,'Calc'!$Y$15))))</x:f>
      </x:c>
      <x:c r="AD271" t="str">
        <x:f>IF(Calc!$Y$271&gt;'Calc'!$B$8,"",'Calc'!$B$5-'财富模型'!$E$5-(IF('Calc'!$E$15=1,'财富模型'!$E$9,'财富模型'!$M$7+IF(Calc!$Y$271&lt;='财富模型'!$E$11*12,'Calc'!$W$15,'Calc'!$Y$15)-(IF('Calc'!$E$15=1,0,MIN(Calc!$AA$270*(1+'财富模型'!$E$20/12)+'Calc'!$B$6,IF(Calc!$Y$271&lt;='财富模型'!$E$11*12,'Calc'!$W$15,'Calc'!$Y$15)))))))</x:f>
      </x:c>
      <x:c r="AE271" t="str">
        <x:f>IF(Calc!$Y$271&gt;'Calc'!$B$8,"",IF('Calc'!$E$15=1,0,MAX(Calc!$AE$270*(1+IF(Calc!$Y$271&lt;='财富模型'!$E$11*12,'财富模型'!$E$10,'财富模型'!$E$12)/12)-IF('Calc'!$E$15=1,0,IF(Calc!$Y$271&lt;='财富模型'!$E$11*12,'Calc'!$W$15,'Calc'!$Y$15)),0)))</x:f>
      </x:c>
      <x:c r="AG271" t="n">
        <x:v>250</x:v>
      </x:c>
      <x:c r="AH271" t="str">
        <x:f>IF(Calc!$AG$271&gt;'Calc'!$B$8,"",MAX(Calc!$AH$270*(1+'财富模型'!$E$6/12)+('Calc'!$B$5-'财富模型'!$E$5-(IF('Calc'!$E$16=1,'财富模型'!$E$9,'财富模型'!$M$8+IF(Calc!$AG$271&lt;='财富模型'!$E$11*12,'Calc'!$W$16,'Calc'!$Y$16)-(IF('Calc'!$E$16=1,0,MIN(Calc!$AI$270*(1+'财富模型'!$E$20/12)+'Calc'!$B$6,IF(Calc!$AG$271&lt;='财富模型'!$E$11*12,'Calc'!$W$16,'Calc'!$Y$16))))))),0))</x:f>
      </x:c>
      <x:c r="AI271" t="str">
        <x:f>IF(Calc!$AG$271&gt;'Calc'!$B$8,"",MAX(Calc!$AI$270*(1+'财富模型'!$E$20/12)+'Calc'!$B$6-(IF('Calc'!$E$16=1,0,MIN(Calc!$AI$270*(1+'财富模型'!$E$20/12)+'Calc'!$B$6,IF(Calc!$AG$271&lt;='财富模型'!$E$11*12,'Calc'!$W$16,'Calc'!$Y$16)))),0))</x:f>
      </x:c>
      <x:c r="AJ271" t="str">
        <x:f>IF(Calc!$AG$271&gt;'Calc'!$B$8,"",IF('Calc'!$E$16=1,'财富模型'!$E$9,'财富模型'!$M$8+IF(Calc!$AG$271&lt;='财富模型'!$E$11*12,'Calc'!$W$16,'Calc'!$Y$16)-(IF('Calc'!$E$16=1,0,MIN(Calc!$AI$270*(1+'财富模型'!$E$20/12)+'Calc'!$B$6,IF(Calc!$AG$271&lt;='财富模型'!$E$11*12,'Calc'!$W$16,'Calc'!$Y$16))))))</x:f>
      </x:c>
      <x:c r="AK271" t="str">
        <x:f>IF(Calc!$AG$271&gt;'Calc'!$B$8,"",IF('Calc'!$E$16=1,0,MIN(Calc!$AI$270*(1+'财富模型'!$E$20/12)+'Calc'!$B$6,IF(Calc!$AG$271&lt;='财富模型'!$E$11*12,'Calc'!$W$16,'Calc'!$Y$16))))</x:f>
      </x:c>
      <x:c r="AL271" t="str">
        <x:f>IF(Calc!$AG$271&gt;'Calc'!$B$8,"",'Calc'!$B$5-'财富模型'!$E$5-(IF('Calc'!$E$16=1,'财富模型'!$E$9,'财富模型'!$M$8+IF(Calc!$AG$271&lt;='财富模型'!$E$11*12,'Calc'!$W$16,'Calc'!$Y$16)-(IF('Calc'!$E$16=1,0,MIN(Calc!$AI$270*(1+'财富模型'!$E$20/12)+'Calc'!$B$6,IF(Calc!$AG$271&lt;='财富模型'!$E$11*12,'Calc'!$W$16,'Calc'!$Y$16)))))))</x:f>
      </x:c>
      <x:c r="AM271" t="str">
        <x:f>IF(Calc!$AG$271&gt;'Calc'!$B$8,"",IF('Calc'!$E$16=1,0,MAX(Calc!$AM$270*(1+IF(Calc!$AG$271&lt;='财富模型'!$E$11*12,'财富模型'!$E$10,'财富模型'!$E$12)/12)-IF('Calc'!$E$16=1,0,IF(Calc!$AG$271&lt;='财富模型'!$E$11*12,'Calc'!$W$16,'Calc'!$Y$16)),0)))</x:f>
      </x:c>
      <x:c r="AO271" t="n">
        <x:v>250</x:v>
      </x:c>
      <x:c r="AP271" t="str">
        <x:f>IF(Calc!$AO$271&gt;'Calc'!$B$8,"",MAX(Calc!$AP$270*(1+'财富模型'!$E$6/12)+('Calc'!$B$5-'财富模型'!$E$5-(IF('Calc'!$E$17=1,'财富模型'!$E$9,'财富模型'!$M$9+IF(Calc!$AO$271&lt;='财富模型'!$E$11*12,'Calc'!$W$17,'Calc'!$Y$17)-(IF('Calc'!$E$17=1,0,MIN(Calc!$AQ$270*(1+'财富模型'!$E$20/12)+'Calc'!$B$6,IF(Calc!$AO$271&lt;='财富模型'!$E$11*12,'Calc'!$W$17,'Calc'!$Y$17))))))),0))</x:f>
      </x:c>
      <x:c r="AQ271" t="str">
        <x:f>IF(Calc!$AO$271&gt;'Calc'!$B$8,"",MAX(Calc!$AQ$270*(1+'财富模型'!$E$20/12)+'Calc'!$B$6-(IF('Calc'!$E$17=1,0,MIN(Calc!$AQ$270*(1+'财富模型'!$E$20/12)+'Calc'!$B$6,IF(Calc!$AO$271&lt;='财富模型'!$E$11*12,'Calc'!$W$17,'Calc'!$Y$17)))),0))</x:f>
      </x:c>
      <x:c r="AR271" t="str">
        <x:f>IF(Calc!$AO$271&gt;'Calc'!$B$8,"",IF('Calc'!$E$17=1,'财富模型'!$E$9,'财富模型'!$M$9+IF(Calc!$AO$271&lt;='财富模型'!$E$11*12,'Calc'!$W$17,'Calc'!$Y$17)-(IF('Calc'!$E$17=1,0,MIN(Calc!$AQ$270*(1+'财富模型'!$E$20/12)+'Calc'!$B$6,IF(Calc!$AO$271&lt;='财富模型'!$E$11*12,'Calc'!$W$17,'Calc'!$Y$17))))))</x:f>
      </x:c>
      <x:c r="AS271" t="str">
        <x:f>IF(Calc!$AO$271&gt;'Calc'!$B$8,"",IF('Calc'!$E$17=1,0,MIN(Calc!$AQ$270*(1+'财富模型'!$E$20/12)+'Calc'!$B$6,IF(Calc!$AO$271&lt;='财富模型'!$E$11*12,'Calc'!$W$17,'Calc'!$Y$17))))</x:f>
      </x:c>
      <x:c r="AT271" t="str">
        <x:f>IF(Calc!$AO$271&gt;'Calc'!$B$8,"",'Calc'!$B$5-'财富模型'!$E$5-(IF('Calc'!$E$17=1,'财富模型'!$E$9,'财富模型'!$M$9+IF(Calc!$AO$271&lt;='财富模型'!$E$11*12,'Calc'!$W$17,'Calc'!$Y$17)-(IF('Calc'!$E$17=1,0,MIN(Calc!$AQ$270*(1+'财富模型'!$E$20/12)+'Calc'!$B$6,IF(Calc!$AO$271&lt;='财富模型'!$E$11*12,'Calc'!$W$17,'Calc'!$Y$17)))))))</x:f>
      </x:c>
      <x:c r="AU271" t="str">
        <x:f>IF(Calc!$AO$271&gt;'Calc'!$B$8,"",IF('Calc'!$E$17=1,0,MAX(Calc!$AU$270*(1+IF(Calc!$AO$271&lt;='财富模型'!$E$11*12,'财富模型'!$E$10,'财富模型'!$E$12)/12)-IF('Calc'!$E$17=1,0,IF(Calc!$AO$271&lt;='财富模型'!$E$11*12,'Calc'!$W$17,'Calc'!$Y$17)),0)))</x:f>
      </x:c>
    </x:row>
    <x:row r="272">
      <x:c r="A272" t="n">
        <x:v>251</x:v>
      </x:c>
      <x:c r="B272" t="str">
        <x:f>IF(Calc!$A$272&gt;'Calc'!$B$8,"",MAX(Calc!$B$271*(1+'财富模型'!$E$6/12)+('Calc'!$B$5-'财富模型'!$E$5-(IF('Calc'!$E$12=1,'财富模型'!$E$9,'财富模型'!$M$4+IF(Calc!$A$272&lt;='财富模型'!$E$11*12,'Calc'!$W$12,'Calc'!$Y$12)-(IF('Calc'!$E$12=1,0,MIN(Calc!$C$271*(1+'财富模型'!$E$20/12)+'Calc'!$B$6,IF(Calc!$A$272&lt;='财富模型'!$E$11*12,'Calc'!$W$12,'Calc'!$Y$12))))))),0))</x:f>
      </x:c>
      <x:c r="C272" t="str">
        <x:f>IF(Calc!$A$272&gt;'Calc'!$B$8,"",MAX(Calc!$C$271*(1+'财富模型'!$E$20/12)+'Calc'!$B$6-(IF('Calc'!$E$12=1,0,MIN(Calc!$C$271*(1+'财富模型'!$E$20/12)+'Calc'!$B$6,IF(Calc!$A$272&lt;='财富模型'!$E$11*12,'Calc'!$W$12,'Calc'!$Y$12)))),0))</x:f>
      </x:c>
      <x:c r="D272" t="str">
        <x:f>IF(Calc!$A$272&gt;'Calc'!$B$8,"",IF('Calc'!$E$12=1,'财富模型'!$E$9,'财富模型'!$M$4+IF(Calc!$A$272&lt;='财富模型'!$E$11*12,'Calc'!$W$12,'Calc'!$Y$12)-(IF('Calc'!$E$12=1,0,MIN(Calc!$C$271*(1+'财富模型'!$E$20/12)+'Calc'!$B$6,IF(Calc!$A$272&lt;='财富模型'!$E$11*12,'Calc'!$W$12,'Calc'!$Y$12))))))</x:f>
      </x:c>
      <x:c r="E272" t="str">
        <x:f>IF(Calc!$A$272&gt;'Calc'!$B$8,"",IF('Calc'!$E$12=1,0,MIN(Calc!$C$271*(1+'财富模型'!$E$20/12)+'Calc'!$B$6,IF(Calc!$A$272&lt;='财富模型'!$E$11*12,'Calc'!$W$12,'Calc'!$Y$12))))</x:f>
      </x:c>
      <x:c r="F272" t="str">
        <x:f>IF(Calc!$A$272&gt;'Calc'!$B$8,"",'Calc'!$B$5-'财富模型'!$E$5-(IF('Calc'!$E$12=1,'财富模型'!$E$9,'财富模型'!$M$4+IF(Calc!$A$272&lt;='财富模型'!$E$11*12,'Calc'!$W$12,'Calc'!$Y$12)-(IF('Calc'!$E$12=1,0,MIN(Calc!$C$271*(1+'财富模型'!$E$20/12)+'Calc'!$B$6,IF(Calc!$A$272&lt;='财富模型'!$E$11*12,'Calc'!$W$12,'Calc'!$Y$12)))))))</x:f>
      </x:c>
      <x:c r="G272" t="str">
        <x:f>IF(Calc!$A$272&gt;'Calc'!$B$8,"",IF('Calc'!$E$12=1,0,MAX(Calc!$G$271*(1+IF(Calc!$A$272&lt;='财富模型'!$E$11*12,'财富模型'!$E$10,'财富模型'!$E$12)/12)-IF('Calc'!$E$12=1,0,IF(Calc!$A$272&lt;='财富模型'!$E$11*12,'Calc'!$W$12,'Calc'!$Y$12)),0)))</x:f>
      </x:c>
      <x:c r="I272" t="n">
        <x:v>251</x:v>
      </x:c>
      <x:c r="J272" t="str">
        <x:f>IF(Calc!$I$272&gt;'Calc'!$B$8,"",MAX(Calc!$J$271*(1+'财富模型'!$E$6/12)+('Calc'!$B$5-'财富模型'!$E$5-(IF('Calc'!$E$13=1,'财富模型'!$E$9,'财富模型'!$M$5+IF(Calc!$I$272&lt;='财富模型'!$E$11*12,'Calc'!$W$13,'Calc'!$Y$13)-(IF('Calc'!$E$13=1,0,MIN(Calc!$K$271*(1+'财富模型'!$E$20/12)+'Calc'!$B$6,IF(Calc!$I$272&lt;='财富模型'!$E$11*12,'Calc'!$W$13,'Calc'!$Y$13))))))),0))</x:f>
      </x:c>
      <x:c r="K272" t="str">
        <x:f>IF(Calc!$I$272&gt;'Calc'!$B$8,"",MAX(Calc!$K$271*(1+'财富模型'!$E$20/12)+'Calc'!$B$6-(IF('Calc'!$E$13=1,0,MIN(Calc!$K$271*(1+'财富模型'!$E$20/12)+'Calc'!$B$6,IF(Calc!$I$272&lt;='财富模型'!$E$11*12,'Calc'!$W$13,'Calc'!$Y$13)))),0))</x:f>
      </x:c>
      <x:c r="L272" t="str">
        <x:f>IF(Calc!$I$272&gt;'Calc'!$B$8,"",IF('Calc'!$E$13=1,'财富模型'!$E$9,'财富模型'!$M$5+IF(Calc!$I$272&lt;='财富模型'!$E$11*12,'Calc'!$W$13,'Calc'!$Y$13)-(IF('Calc'!$E$13=1,0,MIN(Calc!$K$271*(1+'财富模型'!$E$20/12)+'Calc'!$B$6,IF(Calc!$I$272&lt;='财富模型'!$E$11*12,'Calc'!$W$13,'Calc'!$Y$13))))))</x:f>
      </x:c>
      <x:c r="M272" t="str">
        <x:f>IF(Calc!$I$272&gt;'Calc'!$B$8,"",IF('Calc'!$E$13=1,0,MIN(Calc!$K$271*(1+'财富模型'!$E$20/12)+'Calc'!$B$6,IF(Calc!$I$272&lt;='财富模型'!$E$11*12,'Calc'!$W$13,'Calc'!$Y$13))))</x:f>
      </x:c>
      <x:c r="N272" t="str">
        <x:f>IF(Calc!$I$272&gt;'Calc'!$B$8,"",'Calc'!$B$5-'财富模型'!$E$5-(IF('Calc'!$E$13=1,'财富模型'!$E$9,'财富模型'!$M$5+IF(Calc!$I$272&lt;='财富模型'!$E$11*12,'Calc'!$W$13,'Calc'!$Y$13)-(IF('Calc'!$E$13=1,0,MIN(Calc!$K$271*(1+'财富模型'!$E$20/12)+'Calc'!$B$6,IF(Calc!$I$272&lt;='财富模型'!$E$11*12,'Calc'!$W$13,'Calc'!$Y$13)))))))</x:f>
      </x:c>
      <x:c r="O272" t="str">
        <x:f>IF(Calc!$I$272&gt;'Calc'!$B$8,"",IF('Calc'!$E$13=1,0,MAX(Calc!$O$271*(1+IF(Calc!$I$272&lt;='财富模型'!$E$11*12,'财富模型'!$E$10,'财富模型'!$E$12)/12)-IF('Calc'!$E$13=1,0,IF(Calc!$I$272&lt;='财富模型'!$E$11*12,'Calc'!$W$13,'Calc'!$Y$13)),0)))</x:f>
      </x:c>
      <x:c r="Q272" t="n">
        <x:v>251</x:v>
      </x:c>
      <x:c r="R272" t="str">
        <x:f>IF(Calc!$Q$272&gt;'Calc'!$B$8,"",MAX(Calc!$R$271*(1+'财富模型'!$E$6/12)+('Calc'!$B$5-'财富模型'!$E$5-(IF('Calc'!$E$14=1,'财富模型'!$E$9,'财富模型'!$M$6+IF(Calc!$Q$272&lt;='财富模型'!$E$11*12,'Calc'!$W$14,'Calc'!$Y$14)-(IF('Calc'!$E$14=1,0,MIN(Calc!$S$271*(1+'财富模型'!$E$20/12)+'Calc'!$B$6,IF(Calc!$Q$272&lt;='财富模型'!$E$11*12,'Calc'!$W$14,'Calc'!$Y$14))))))),0))</x:f>
      </x:c>
      <x:c r="S272" t="str">
        <x:f>IF(Calc!$Q$272&gt;'Calc'!$B$8,"",MAX(Calc!$S$271*(1+'财富模型'!$E$20/12)+'Calc'!$B$6-(IF('Calc'!$E$14=1,0,MIN(Calc!$S$271*(1+'财富模型'!$E$20/12)+'Calc'!$B$6,IF(Calc!$Q$272&lt;='财富模型'!$E$11*12,'Calc'!$W$14,'Calc'!$Y$14)))),0))</x:f>
      </x:c>
      <x:c r="T272" t="str">
        <x:f>IF(Calc!$Q$272&gt;'Calc'!$B$8,"",IF('Calc'!$E$14=1,'财富模型'!$E$9,'财富模型'!$M$6+IF(Calc!$Q$272&lt;='财富模型'!$E$11*12,'Calc'!$W$14,'Calc'!$Y$14)-(IF('Calc'!$E$14=1,0,MIN(Calc!$S$271*(1+'财富模型'!$E$20/12)+'Calc'!$B$6,IF(Calc!$Q$272&lt;='财富模型'!$E$11*12,'Calc'!$W$14,'Calc'!$Y$14))))))</x:f>
      </x:c>
      <x:c r="U272" t="str">
        <x:f>IF(Calc!$Q$272&gt;'Calc'!$B$8,"",IF('Calc'!$E$14=1,0,MIN(Calc!$S$271*(1+'财富模型'!$E$20/12)+'Calc'!$B$6,IF(Calc!$Q$272&lt;='财富模型'!$E$11*12,'Calc'!$W$14,'Calc'!$Y$14))))</x:f>
      </x:c>
      <x:c r="V272" t="str">
        <x:f>IF(Calc!$Q$272&gt;'Calc'!$B$8,"",'Calc'!$B$5-'财富模型'!$E$5-(IF('Calc'!$E$14=1,'财富模型'!$E$9,'财富模型'!$M$6+IF(Calc!$Q$272&lt;='财富模型'!$E$11*12,'Calc'!$W$14,'Calc'!$Y$14)-(IF('Calc'!$E$14=1,0,MIN(Calc!$S$271*(1+'财富模型'!$E$20/12)+'Calc'!$B$6,IF(Calc!$Q$272&lt;='财富模型'!$E$11*12,'Calc'!$W$14,'Calc'!$Y$14)))))))</x:f>
      </x:c>
      <x:c r="W272" t="str">
        <x:f>IF(Calc!$Q$272&gt;'Calc'!$B$8,"",IF('Calc'!$E$14=1,0,MAX(Calc!$W$271*(1+IF(Calc!$Q$272&lt;='财富模型'!$E$11*12,'财富模型'!$E$10,'财富模型'!$E$12)/12)-IF('Calc'!$E$14=1,0,IF(Calc!$Q$272&lt;='财富模型'!$E$11*12,'Calc'!$W$14,'Calc'!$Y$14)),0)))</x:f>
      </x:c>
      <x:c r="Y272" t="n">
        <x:v>251</x:v>
      </x:c>
      <x:c r="Z272" t="str">
        <x:f>IF(Calc!$Y$272&gt;'Calc'!$B$8,"",MAX(Calc!$Z$271*(1+'财富模型'!$E$6/12)+('Calc'!$B$5-'财富模型'!$E$5-(IF('Calc'!$E$15=1,'财富模型'!$E$9,'财富模型'!$M$7+IF(Calc!$Y$272&lt;='财富模型'!$E$11*12,'Calc'!$W$15,'Calc'!$Y$15)-(IF('Calc'!$E$15=1,0,MIN(Calc!$AA$271*(1+'财富模型'!$E$20/12)+'Calc'!$B$6,IF(Calc!$Y$272&lt;='财富模型'!$E$11*12,'Calc'!$W$15,'Calc'!$Y$15))))))),0))</x:f>
      </x:c>
      <x:c r="AA272" t="str">
        <x:f>IF(Calc!$Y$272&gt;'Calc'!$B$8,"",MAX(Calc!$AA$271*(1+'财富模型'!$E$20/12)+'Calc'!$B$6-(IF('Calc'!$E$15=1,0,MIN(Calc!$AA$271*(1+'财富模型'!$E$20/12)+'Calc'!$B$6,IF(Calc!$Y$272&lt;='财富模型'!$E$11*12,'Calc'!$W$15,'Calc'!$Y$15)))),0))</x:f>
      </x:c>
      <x:c r="AB272" t="str">
        <x:f>IF(Calc!$Y$272&gt;'Calc'!$B$8,"",IF('Calc'!$E$15=1,'财富模型'!$E$9,'财富模型'!$M$7+IF(Calc!$Y$272&lt;='财富模型'!$E$11*12,'Calc'!$W$15,'Calc'!$Y$15)-(IF('Calc'!$E$15=1,0,MIN(Calc!$AA$271*(1+'财富模型'!$E$20/12)+'Calc'!$B$6,IF(Calc!$Y$272&lt;='财富模型'!$E$11*12,'Calc'!$W$15,'Calc'!$Y$15))))))</x:f>
      </x:c>
      <x:c r="AC272" t="str">
        <x:f>IF(Calc!$Y$272&gt;'Calc'!$B$8,"",IF('Calc'!$E$15=1,0,MIN(Calc!$AA$271*(1+'财富模型'!$E$20/12)+'Calc'!$B$6,IF(Calc!$Y$272&lt;='财富模型'!$E$11*12,'Calc'!$W$15,'Calc'!$Y$15))))</x:f>
      </x:c>
      <x:c r="AD272" t="str">
        <x:f>IF(Calc!$Y$272&gt;'Calc'!$B$8,"",'Calc'!$B$5-'财富模型'!$E$5-(IF('Calc'!$E$15=1,'财富模型'!$E$9,'财富模型'!$M$7+IF(Calc!$Y$272&lt;='财富模型'!$E$11*12,'Calc'!$W$15,'Calc'!$Y$15)-(IF('Calc'!$E$15=1,0,MIN(Calc!$AA$271*(1+'财富模型'!$E$20/12)+'Calc'!$B$6,IF(Calc!$Y$272&lt;='财富模型'!$E$11*12,'Calc'!$W$15,'Calc'!$Y$15)))))))</x:f>
      </x:c>
      <x:c r="AE272" t="str">
        <x:f>IF(Calc!$Y$272&gt;'Calc'!$B$8,"",IF('Calc'!$E$15=1,0,MAX(Calc!$AE$271*(1+IF(Calc!$Y$272&lt;='财富模型'!$E$11*12,'财富模型'!$E$10,'财富模型'!$E$12)/12)-IF('Calc'!$E$15=1,0,IF(Calc!$Y$272&lt;='财富模型'!$E$11*12,'Calc'!$W$15,'Calc'!$Y$15)),0)))</x:f>
      </x:c>
      <x:c r="AG272" t="n">
        <x:v>251</x:v>
      </x:c>
      <x:c r="AH272" t="str">
        <x:f>IF(Calc!$AG$272&gt;'Calc'!$B$8,"",MAX(Calc!$AH$271*(1+'财富模型'!$E$6/12)+('Calc'!$B$5-'财富模型'!$E$5-(IF('Calc'!$E$16=1,'财富模型'!$E$9,'财富模型'!$M$8+IF(Calc!$AG$272&lt;='财富模型'!$E$11*12,'Calc'!$W$16,'Calc'!$Y$16)-(IF('Calc'!$E$16=1,0,MIN(Calc!$AI$271*(1+'财富模型'!$E$20/12)+'Calc'!$B$6,IF(Calc!$AG$272&lt;='财富模型'!$E$11*12,'Calc'!$W$16,'Calc'!$Y$16))))))),0))</x:f>
      </x:c>
      <x:c r="AI272" t="str">
        <x:f>IF(Calc!$AG$272&gt;'Calc'!$B$8,"",MAX(Calc!$AI$271*(1+'财富模型'!$E$20/12)+'Calc'!$B$6-(IF('Calc'!$E$16=1,0,MIN(Calc!$AI$271*(1+'财富模型'!$E$20/12)+'Calc'!$B$6,IF(Calc!$AG$272&lt;='财富模型'!$E$11*12,'Calc'!$W$16,'Calc'!$Y$16)))),0))</x:f>
      </x:c>
      <x:c r="AJ272" t="str">
        <x:f>IF(Calc!$AG$272&gt;'Calc'!$B$8,"",IF('Calc'!$E$16=1,'财富模型'!$E$9,'财富模型'!$M$8+IF(Calc!$AG$272&lt;='财富模型'!$E$11*12,'Calc'!$W$16,'Calc'!$Y$16)-(IF('Calc'!$E$16=1,0,MIN(Calc!$AI$271*(1+'财富模型'!$E$20/12)+'Calc'!$B$6,IF(Calc!$AG$272&lt;='财富模型'!$E$11*12,'Calc'!$W$16,'Calc'!$Y$16))))))</x:f>
      </x:c>
      <x:c r="AK272" t="str">
        <x:f>IF(Calc!$AG$272&gt;'Calc'!$B$8,"",IF('Calc'!$E$16=1,0,MIN(Calc!$AI$271*(1+'财富模型'!$E$20/12)+'Calc'!$B$6,IF(Calc!$AG$272&lt;='财富模型'!$E$11*12,'Calc'!$W$16,'Calc'!$Y$16))))</x:f>
      </x:c>
      <x:c r="AL272" t="str">
        <x:f>IF(Calc!$AG$272&gt;'Calc'!$B$8,"",'Calc'!$B$5-'财富模型'!$E$5-(IF('Calc'!$E$16=1,'财富模型'!$E$9,'财富模型'!$M$8+IF(Calc!$AG$272&lt;='财富模型'!$E$11*12,'Calc'!$W$16,'Calc'!$Y$16)-(IF('Calc'!$E$16=1,0,MIN(Calc!$AI$271*(1+'财富模型'!$E$20/12)+'Calc'!$B$6,IF(Calc!$AG$272&lt;='财富模型'!$E$11*12,'Calc'!$W$16,'Calc'!$Y$16)))))))</x:f>
      </x:c>
      <x:c r="AM272" t="str">
        <x:f>IF(Calc!$AG$272&gt;'Calc'!$B$8,"",IF('Calc'!$E$16=1,0,MAX(Calc!$AM$271*(1+IF(Calc!$AG$272&lt;='财富模型'!$E$11*12,'财富模型'!$E$10,'财富模型'!$E$12)/12)-IF('Calc'!$E$16=1,0,IF(Calc!$AG$272&lt;='财富模型'!$E$11*12,'Calc'!$W$16,'Calc'!$Y$16)),0)))</x:f>
      </x:c>
      <x:c r="AO272" t="n">
        <x:v>251</x:v>
      </x:c>
      <x:c r="AP272" t="str">
        <x:f>IF(Calc!$AO$272&gt;'Calc'!$B$8,"",MAX(Calc!$AP$271*(1+'财富模型'!$E$6/12)+('Calc'!$B$5-'财富模型'!$E$5-(IF('Calc'!$E$17=1,'财富模型'!$E$9,'财富模型'!$M$9+IF(Calc!$AO$272&lt;='财富模型'!$E$11*12,'Calc'!$W$17,'Calc'!$Y$17)-(IF('Calc'!$E$17=1,0,MIN(Calc!$AQ$271*(1+'财富模型'!$E$20/12)+'Calc'!$B$6,IF(Calc!$AO$272&lt;='财富模型'!$E$11*12,'Calc'!$W$17,'Calc'!$Y$17))))))),0))</x:f>
      </x:c>
      <x:c r="AQ272" t="str">
        <x:f>IF(Calc!$AO$272&gt;'Calc'!$B$8,"",MAX(Calc!$AQ$271*(1+'财富模型'!$E$20/12)+'Calc'!$B$6-(IF('Calc'!$E$17=1,0,MIN(Calc!$AQ$271*(1+'财富模型'!$E$20/12)+'Calc'!$B$6,IF(Calc!$AO$272&lt;='财富模型'!$E$11*12,'Calc'!$W$17,'Calc'!$Y$17)))),0))</x:f>
      </x:c>
      <x:c r="AR272" t="str">
        <x:f>IF(Calc!$AO$272&gt;'Calc'!$B$8,"",IF('Calc'!$E$17=1,'财富模型'!$E$9,'财富模型'!$M$9+IF(Calc!$AO$272&lt;='财富模型'!$E$11*12,'Calc'!$W$17,'Calc'!$Y$17)-(IF('Calc'!$E$17=1,0,MIN(Calc!$AQ$271*(1+'财富模型'!$E$20/12)+'Calc'!$B$6,IF(Calc!$AO$272&lt;='财富模型'!$E$11*12,'Calc'!$W$17,'Calc'!$Y$17))))))</x:f>
      </x:c>
      <x:c r="AS272" t="str">
        <x:f>IF(Calc!$AO$272&gt;'Calc'!$B$8,"",IF('Calc'!$E$17=1,0,MIN(Calc!$AQ$271*(1+'财富模型'!$E$20/12)+'Calc'!$B$6,IF(Calc!$AO$272&lt;='财富模型'!$E$11*12,'Calc'!$W$17,'Calc'!$Y$17))))</x:f>
      </x:c>
      <x:c r="AT272" t="str">
        <x:f>IF(Calc!$AO$272&gt;'Calc'!$B$8,"",'Calc'!$B$5-'财富模型'!$E$5-(IF('Calc'!$E$17=1,'财富模型'!$E$9,'财富模型'!$M$9+IF(Calc!$AO$272&lt;='财富模型'!$E$11*12,'Calc'!$W$17,'Calc'!$Y$17)-(IF('Calc'!$E$17=1,0,MIN(Calc!$AQ$271*(1+'财富模型'!$E$20/12)+'Calc'!$B$6,IF(Calc!$AO$272&lt;='财富模型'!$E$11*12,'Calc'!$W$17,'Calc'!$Y$17)))))))</x:f>
      </x:c>
      <x:c r="AU272" t="str">
        <x:f>IF(Calc!$AO$272&gt;'Calc'!$B$8,"",IF('Calc'!$E$17=1,0,MAX(Calc!$AU$271*(1+IF(Calc!$AO$272&lt;='财富模型'!$E$11*12,'财富模型'!$E$10,'财富模型'!$E$12)/12)-IF('Calc'!$E$17=1,0,IF(Calc!$AO$272&lt;='财富模型'!$E$11*12,'Calc'!$W$17,'Calc'!$Y$17)),0)))</x:f>
      </x:c>
    </x:row>
    <x:row r="273">
      <x:c r="A273" t="n">
        <x:v>252</x:v>
      </x:c>
      <x:c r="B273" t="str">
        <x:f>IF(Calc!$A$273&gt;'Calc'!$B$8,"",MAX(Calc!$B$272*(1+'财富模型'!$E$6/12)+('Calc'!$B$5-'财富模型'!$E$5-(IF('Calc'!$E$12=1,'财富模型'!$E$9,'财富模型'!$M$4+IF(Calc!$A$273&lt;='财富模型'!$E$11*12,'Calc'!$W$12,'Calc'!$Y$12)-(IF('Calc'!$E$12=1,0,MIN(Calc!$C$272*(1+'财富模型'!$E$20/12)+'Calc'!$B$6,IF(Calc!$A$273&lt;='财富模型'!$E$11*12,'Calc'!$W$12,'Calc'!$Y$12))))))),0))</x:f>
      </x:c>
      <x:c r="C273" t="str">
        <x:f>IF(Calc!$A$273&gt;'Calc'!$B$8,"",MAX(Calc!$C$272*(1+'财富模型'!$E$20/12)+'Calc'!$B$6-(IF('Calc'!$E$12=1,0,MIN(Calc!$C$272*(1+'财富模型'!$E$20/12)+'Calc'!$B$6,IF(Calc!$A$273&lt;='财富模型'!$E$11*12,'Calc'!$W$12,'Calc'!$Y$12)))),0))</x:f>
      </x:c>
      <x:c r="D273" t="str">
        <x:f>IF(Calc!$A$273&gt;'Calc'!$B$8,"",IF('Calc'!$E$12=1,'财富模型'!$E$9,'财富模型'!$M$4+IF(Calc!$A$273&lt;='财富模型'!$E$11*12,'Calc'!$W$12,'Calc'!$Y$12)-(IF('Calc'!$E$12=1,0,MIN(Calc!$C$272*(1+'财富模型'!$E$20/12)+'Calc'!$B$6,IF(Calc!$A$273&lt;='财富模型'!$E$11*12,'Calc'!$W$12,'Calc'!$Y$12))))))</x:f>
      </x:c>
      <x:c r="E273" t="str">
        <x:f>IF(Calc!$A$273&gt;'Calc'!$B$8,"",IF('Calc'!$E$12=1,0,MIN(Calc!$C$272*(1+'财富模型'!$E$20/12)+'Calc'!$B$6,IF(Calc!$A$273&lt;='财富模型'!$E$11*12,'Calc'!$W$12,'Calc'!$Y$12))))</x:f>
      </x:c>
      <x:c r="F273" t="str">
        <x:f>IF(Calc!$A$273&gt;'Calc'!$B$8,"",'Calc'!$B$5-'财富模型'!$E$5-(IF('Calc'!$E$12=1,'财富模型'!$E$9,'财富模型'!$M$4+IF(Calc!$A$273&lt;='财富模型'!$E$11*12,'Calc'!$W$12,'Calc'!$Y$12)-(IF('Calc'!$E$12=1,0,MIN(Calc!$C$272*(1+'财富模型'!$E$20/12)+'Calc'!$B$6,IF(Calc!$A$273&lt;='财富模型'!$E$11*12,'Calc'!$W$12,'Calc'!$Y$12)))))))</x:f>
      </x:c>
      <x:c r="G273" t="str">
        <x:f>IF(Calc!$A$273&gt;'Calc'!$B$8,"",IF('Calc'!$E$12=1,0,MAX(Calc!$G$272*(1+IF(Calc!$A$273&lt;='财富模型'!$E$11*12,'财富模型'!$E$10,'财富模型'!$E$12)/12)-IF('Calc'!$E$12=1,0,IF(Calc!$A$273&lt;='财富模型'!$E$11*12,'Calc'!$W$12,'Calc'!$Y$12)),0)))</x:f>
      </x:c>
      <x:c r="I273" t="n">
        <x:v>252</x:v>
      </x:c>
      <x:c r="J273" t="str">
        <x:f>IF(Calc!$I$273&gt;'Calc'!$B$8,"",MAX(Calc!$J$272*(1+'财富模型'!$E$6/12)+('Calc'!$B$5-'财富模型'!$E$5-(IF('Calc'!$E$13=1,'财富模型'!$E$9,'财富模型'!$M$5+IF(Calc!$I$273&lt;='财富模型'!$E$11*12,'Calc'!$W$13,'Calc'!$Y$13)-(IF('Calc'!$E$13=1,0,MIN(Calc!$K$272*(1+'财富模型'!$E$20/12)+'Calc'!$B$6,IF(Calc!$I$273&lt;='财富模型'!$E$11*12,'Calc'!$W$13,'Calc'!$Y$13))))))),0))</x:f>
      </x:c>
      <x:c r="K273" t="str">
        <x:f>IF(Calc!$I$273&gt;'Calc'!$B$8,"",MAX(Calc!$K$272*(1+'财富模型'!$E$20/12)+'Calc'!$B$6-(IF('Calc'!$E$13=1,0,MIN(Calc!$K$272*(1+'财富模型'!$E$20/12)+'Calc'!$B$6,IF(Calc!$I$273&lt;='财富模型'!$E$11*12,'Calc'!$W$13,'Calc'!$Y$13)))),0))</x:f>
      </x:c>
      <x:c r="L273" t="str">
        <x:f>IF(Calc!$I$273&gt;'Calc'!$B$8,"",IF('Calc'!$E$13=1,'财富模型'!$E$9,'财富模型'!$M$5+IF(Calc!$I$273&lt;='财富模型'!$E$11*12,'Calc'!$W$13,'Calc'!$Y$13)-(IF('Calc'!$E$13=1,0,MIN(Calc!$K$272*(1+'财富模型'!$E$20/12)+'Calc'!$B$6,IF(Calc!$I$273&lt;='财富模型'!$E$11*12,'Calc'!$W$13,'Calc'!$Y$13))))))</x:f>
      </x:c>
      <x:c r="M273" t="str">
        <x:f>IF(Calc!$I$273&gt;'Calc'!$B$8,"",IF('Calc'!$E$13=1,0,MIN(Calc!$K$272*(1+'财富模型'!$E$20/12)+'Calc'!$B$6,IF(Calc!$I$273&lt;='财富模型'!$E$11*12,'Calc'!$W$13,'Calc'!$Y$13))))</x:f>
      </x:c>
      <x:c r="N273" t="str">
        <x:f>IF(Calc!$I$273&gt;'Calc'!$B$8,"",'Calc'!$B$5-'财富模型'!$E$5-(IF('Calc'!$E$13=1,'财富模型'!$E$9,'财富模型'!$M$5+IF(Calc!$I$273&lt;='财富模型'!$E$11*12,'Calc'!$W$13,'Calc'!$Y$13)-(IF('Calc'!$E$13=1,0,MIN(Calc!$K$272*(1+'财富模型'!$E$20/12)+'Calc'!$B$6,IF(Calc!$I$273&lt;='财富模型'!$E$11*12,'Calc'!$W$13,'Calc'!$Y$13)))))))</x:f>
      </x:c>
      <x:c r="O273" t="str">
        <x:f>IF(Calc!$I$273&gt;'Calc'!$B$8,"",IF('Calc'!$E$13=1,0,MAX(Calc!$O$272*(1+IF(Calc!$I$273&lt;='财富模型'!$E$11*12,'财富模型'!$E$10,'财富模型'!$E$12)/12)-IF('Calc'!$E$13=1,0,IF(Calc!$I$273&lt;='财富模型'!$E$11*12,'Calc'!$W$13,'Calc'!$Y$13)),0)))</x:f>
      </x:c>
      <x:c r="Q273" t="n">
        <x:v>252</x:v>
      </x:c>
      <x:c r="R273" t="str">
        <x:f>IF(Calc!$Q$273&gt;'Calc'!$B$8,"",MAX(Calc!$R$272*(1+'财富模型'!$E$6/12)+('Calc'!$B$5-'财富模型'!$E$5-(IF('Calc'!$E$14=1,'财富模型'!$E$9,'财富模型'!$M$6+IF(Calc!$Q$273&lt;='财富模型'!$E$11*12,'Calc'!$W$14,'Calc'!$Y$14)-(IF('Calc'!$E$14=1,0,MIN(Calc!$S$272*(1+'财富模型'!$E$20/12)+'Calc'!$B$6,IF(Calc!$Q$273&lt;='财富模型'!$E$11*12,'Calc'!$W$14,'Calc'!$Y$14))))))),0))</x:f>
      </x:c>
      <x:c r="S273" t="str">
        <x:f>IF(Calc!$Q$273&gt;'Calc'!$B$8,"",MAX(Calc!$S$272*(1+'财富模型'!$E$20/12)+'Calc'!$B$6-(IF('Calc'!$E$14=1,0,MIN(Calc!$S$272*(1+'财富模型'!$E$20/12)+'Calc'!$B$6,IF(Calc!$Q$273&lt;='财富模型'!$E$11*12,'Calc'!$W$14,'Calc'!$Y$14)))),0))</x:f>
      </x:c>
      <x:c r="T273" t="str">
        <x:f>IF(Calc!$Q$273&gt;'Calc'!$B$8,"",IF('Calc'!$E$14=1,'财富模型'!$E$9,'财富模型'!$M$6+IF(Calc!$Q$273&lt;='财富模型'!$E$11*12,'Calc'!$W$14,'Calc'!$Y$14)-(IF('Calc'!$E$14=1,0,MIN(Calc!$S$272*(1+'财富模型'!$E$20/12)+'Calc'!$B$6,IF(Calc!$Q$273&lt;='财富模型'!$E$11*12,'Calc'!$W$14,'Calc'!$Y$14))))))</x:f>
      </x:c>
      <x:c r="U273" t="str">
        <x:f>IF(Calc!$Q$273&gt;'Calc'!$B$8,"",IF('Calc'!$E$14=1,0,MIN(Calc!$S$272*(1+'财富模型'!$E$20/12)+'Calc'!$B$6,IF(Calc!$Q$273&lt;='财富模型'!$E$11*12,'Calc'!$W$14,'Calc'!$Y$14))))</x:f>
      </x:c>
      <x:c r="V273" t="str">
        <x:f>IF(Calc!$Q$273&gt;'Calc'!$B$8,"",'Calc'!$B$5-'财富模型'!$E$5-(IF('Calc'!$E$14=1,'财富模型'!$E$9,'财富模型'!$M$6+IF(Calc!$Q$273&lt;='财富模型'!$E$11*12,'Calc'!$W$14,'Calc'!$Y$14)-(IF('Calc'!$E$14=1,0,MIN(Calc!$S$272*(1+'财富模型'!$E$20/12)+'Calc'!$B$6,IF(Calc!$Q$273&lt;='财富模型'!$E$11*12,'Calc'!$W$14,'Calc'!$Y$14)))))))</x:f>
      </x:c>
      <x:c r="W273" t="str">
        <x:f>IF(Calc!$Q$273&gt;'Calc'!$B$8,"",IF('Calc'!$E$14=1,0,MAX(Calc!$W$272*(1+IF(Calc!$Q$273&lt;='财富模型'!$E$11*12,'财富模型'!$E$10,'财富模型'!$E$12)/12)-IF('Calc'!$E$14=1,0,IF(Calc!$Q$273&lt;='财富模型'!$E$11*12,'Calc'!$W$14,'Calc'!$Y$14)),0)))</x:f>
      </x:c>
      <x:c r="Y273" t="n">
        <x:v>252</x:v>
      </x:c>
      <x:c r="Z273" t="str">
        <x:f>IF(Calc!$Y$273&gt;'Calc'!$B$8,"",MAX(Calc!$Z$272*(1+'财富模型'!$E$6/12)+('Calc'!$B$5-'财富模型'!$E$5-(IF('Calc'!$E$15=1,'财富模型'!$E$9,'财富模型'!$M$7+IF(Calc!$Y$273&lt;='财富模型'!$E$11*12,'Calc'!$W$15,'Calc'!$Y$15)-(IF('Calc'!$E$15=1,0,MIN(Calc!$AA$272*(1+'财富模型'!$E$20/12)+'Calc'!$B$6,IF(Calc!$Y$273&lt;='财富模型'!$E$11*12,'Calc'!$W$15,'Calc'!$Y$15))))))),0))</x:f>
      </x:c>
      <x:c r="AA273" t="str">
        <x:f>IF(Calc!$Y$273&gt;'Calc'!$B$8,"",MAX(Calc!$AA$272*(1+'财富模型'!$E$20/12)+'Calc'!$B$6-(IF('Calc'!$E$15=1,0,MIN(Calc!$AA$272*(1+'财富模型'!$E$20/12)+'Calc'!$B$6,IF(Calc!$Y$273&lt;='财富模型'!$E$11*12,'Calc'!$W$15,'Calc'!$Y$15)))),0))</x:f>
      </x:c>
      <x:c r="AB273" t="str">
        <x:f>IF(Calc!$Y$273&gt;'Calc'!$B$8,"",IF('Calc'!$E$15=1,'财富模型'!$E$9,'财富模型'!$M$7+IF(Calc!$Y$273&lt;='财富模型'!$E$11*12,'Calc'!$W$15,'Calc'!$Y$15)-(IF('Calc'!$E$15=1,0,MIN(Calc!$AA$272*(1+'财富模型'!$E$20/12)+'Calc'!$B$6,IF(Calc!$Y$273&lt;='财富模型'!$E$11*12,'Calc'!$W$15,'Calc'!$Y$15))))))</x:f>
      </x:c>
      <x:c r="AC273" t="str">
        <x:f>IF(Calc!$Y$273&gt;'Calc'!$B$8,"",IF('Calc'!$E$15=1,0,MIN(Calc!$AA$272*(1+'财富模型'!$E$20/12)+'Calc'!$B$6,IF(Calc!$Y$273&lt;='财富模型'!$E$11*12,'Calc'!$W$15,'Calc'!$Y$15))))</x:f>
      </x:c>
      <x:c r="AD273" t="str">
        <x:f>IF(Calc!$Y$273&gt;'Calc'!$B$8,"",'Calc'!$B$5-'财富模型'!$E$5-(IF('Calc'!$E$15=1,'财富模型'!$E$9,'财富模型'!$M$7+IF(Calc!$Y$273&lt;='财富模型'!$E$11*12,'Calc'!$W$15,'Calc'!$Y$15)-(IF('Calc'!$E$15=1,0,MIN(Calc!$AA$272*(1+'财富模型'!$E$20/12)+'Calc'!$B$6,IF(Calc!$Y$273&lt;='财富模型'!$E$11*12,'Calc'!$W$15,'Calc'!$Y$15)))))))</x:f>
      </x:c>
      <x:c r="AE273" t="str">
        <x:f>IF(Calc!$Y$273&gt;'Calc'!$B$8,"",IF('Calc'!$E$15=1,0,MAX(Calc!$AE$272*(1+IF(Calc!$Y$273&lt;='财富模型'!$E$11*12,'财富模型'!$E$10,'财富模型'!$E$12)/12)-IF('Calc'!$E$15=1,0,IF(Calc!$Y$273&lt;='财富模型'!$E$11*12,'Calc'!$W$15,'Calc'!$Y$15)),0)))</x:f>
      </x:c>
      <x:c r="AG273" t="n">
        <x:v>252</x:v>
      </x:c>
      <x:c r="AH273" t="str">
        <x:f>IF(Calc!$AG$273&gt;'Calc'!$B$8,"",MAX(Calc!$AH$272*(1+'财富模型'!$E$6/12)+('Calc'!$B$5-'财富模型'!$E$5-(IF('Calc'!$E$16=1,'财富模型'!$E$9,'财富模型'!$M$8+IF(Calc!$AG$273&lt;='财富模型'!$E$11*12,'Calc'!$W$16,'Calc'!$Y$16)-(IF('Calc'!$E$16=1,0,MIN(Calc!$AI$272*(1+'财富模型'!$E$20/12)+'Calc'!$B$6,IF(Calc!$AG$273&lt;='财富模型'!$E$11*12,'Calc'!$W$16,'Calc'!$Y$16))))))),0))</x:f>
      </x:c>
      <x:c r="AI273" t="str">
        <x:f>IF(Calc!$AG$273&gt;'Calc'!$B$8,"",MAX(Calc!$AI$272*(1+'财富模型'!$E$20/12)+'Calc'!$B$6-(IF('Calc'!$E$16=1,0,MIN(Calc!$AI$272*(1+'财富模型'!$E$20/12)+'Calc'!$B$6,IF(Calc!$AG$273&lt;='财富模型'!$E$11*12,'Calc'!$W$16,'Calc'!$Y$16)))),0))</x:f>
      </x:c>
      <x:c r="AJ273" t="str">
        <x:f>IF(Calc!$AG$273&gt;'Calc'!$B$8,"",IF('Calc'!$E$16=1,'财富模型'!$E$9,'财富模型'!$M$8+IF(Calc!$AG$273&lt;='财富模型'!$E$11*12,'Calc'!$W$16,'Calc'!$Y$16)-(IF('Calc'!$E$16=1,0,MIN(Calc!$AI$272*(1+'财富模型'!$E$20/12)+'Calc'!$B$6,IF(Calc!$AG$273&lt;='财富模型'!$E$11*12,'Calc'!$W$16,'Calc'!$Y$16))))))</x:f>
      </x:c>
      <x:c r="AK273" t="str">
        <x:f>IF(Calc!$AG$273&gt;'Calc'!$B$8,"",IF('Calc'!$E$16=1,0,MIN(Calc!$AI$272*(1+'财富模型'!$E$20/12)+'Calc'!$B$6,IF(Calc!$AG$273&lt;='财富模型'!$E$11*12,'Calc'!$W$16,'Calc'!$Y$16))))</x:f>
      </x:c>
      <x:c r="AL273" t="str">
        <x:f>IF(Calc!$AG$273&gt;'Calc'!$B$8,"",'Calc'!$B$5-'财富模型'!$E$5-(IF('Calc'!$E$16=1,'财富模型'!$E$9,'财富模型'!$M$8+IF(Calc!$AG$273&lt;='财富模型'!$E$11*12,'Calc'!$W$16,'Calc'!$Y$16)-(IF('Calc'!$E$16=1,0,MIN(Calc!$AI$272*(1+'财富模型'!$E$20/12)+'Calc'!$B$6,IF(Calc!$AG$273&lt;='财富模型'!$E$11*12,'Calc'!$W$16,'Calc'!$Y$16)))))))</x:f>
      </x:c>
      <x:c r="AM273" t="str">
        <x:f>IF(Calc!$AG$273&gt;'Calc'!$B$8,"",IF('Calc'!$E$16=1,0,MAX(Calc!$AM$272*(1+IF(Calc!$AG$273&lt;='财富模型'!$E$11*12,'财富模型'!$E$10,'财富模型'!$E$12)/12)-IF('Calc'!$E$16=1,0,IF(Calc!$AG$273&lt;='财富模型'!$E$11*12,'Calc'!$W$16,'Calc'!$Y$16)),0)))</x:f>
      </x:c>
      <x:c r="AO273" t="n">
        <x:v>252</x:v>
      </x:c>
      <x:c r="AP273" t="str">
        <x:f>IF(Calc!$AO$273&gt;'Calc'!$B$8,"",MAX(Calc!$AP$272*(1+'财富模型'!$E$6/12)+('Calc'!$B$5-'财富模型'!$E$5-(IF('Calc'!$E$17=1,'财富模型'!$E$9,'财富模型'!$M$9+IF(Calc!$AO$273&lt;='财富模型'!$E$11*12,'Calc'!$W$17,'Calc'!$Y$17)-(IF('Calc'!$E$17=1,0,MIN(Calc!$AQ$272*(1+'财富模型'!$E$20/12)+'Calc'!$B$6,IF(Calc!$AO$273&lt;='财富模型'!$E$11*12,'Calc'!$W$17,'Calc'!$Y$17))))))),0))</x:f>
      </x:c>
      <x:c r="AQ273" t="str">
        <x:f>IF(Calc!$AO$273&gt;'Calc'!$B$8,"",MAX(Calc!$AQ$272*(1+'财富模型'!$E$20/12)+'Calc'!$B$6-(IF('Calc'!$E$17=1,0,MIN(Calc!$AQ$272*(1+'财富模型'!$E$20/12)+'Calc'!$B$6,IF(Calc!$AO$273&lt;='财富模型'!$E$11*12,'Calc'!$W$17,'Calc'!$Y$17)))),0))</x:f>
      </x:c>
      <x:c r="AR273" t="str">
        <x:f>IF(Calc!$AO$273&gt;'Calc'!$B$8,"",IF('Calc'!$E$17=1,'财富模型'!$E$9,'财富模型'!$M$9+IF(Calc!$AO$273&lt;='财富模型'!$E$11*12,'Calc'!$W$17,'Calc'!$Y$17)-(IF('Calc'!$E$17=1,0,MIN(Calc!$AQ$272*(1+'财富模型'!$E$20/12)+'Calc'!$B$6,IF(Calc!$AO$273&lt;='财富模型'!$E$11*12,'Calc'!$W$17,'Calc'!$Y$17))))))</x:f>
      </x:c>
      <x:c r="AS273" t="str">
        <x:f>IF(Calc!$AO$273&gt;'Calc'!$B$8,"",IF('Calc'!$E$17=1,0,MIN(Calc!$AQ$272*(1+'财富模型'!$E$20/12)+'Calc'!$B$6,IF(Calc!$AO$273&lt;='财富模型'!$E$11*12,'Calc'!$W$17,'Calc'!$Y$17))))</x:f>
      </x:c>
      <x:c r="AT273" t="str">
        <x:f>IF(Calc!$AO$273&gt;'Calc'!$B$8,"",'Calc'!$B$5-'财富模型'!$E$5-(IF('Calc'!$E$17=1,'财富模型'!$E$9,'财富模型'!$M$9+IF(Calc!$AO$273&lt;='财富模型'!$E$11*12,'Calc'!$W$17,'Calc'!$Y$17)-(IF('Calc'!$E$17=1,0,MIN(Calc!$AQ$272*(1+'财富模型'!$E$20/12)+'Calc'!$B$6,IF(Calc!$AO$273&lt;='财富模型'!$E$11*12,'Calc'!$W$17,'Calc'!$Y$17)))))))</x:f>
      </x:c>
      <x:c r="AU273" t="str">
        <x:f>IF(Calc!$AO$273&gt;'Calc'!$B$8,"",IF('Calc'!$E$17=1,0,MAX(Calc!$AU$272*(1+IF(Calc!$AO$273&lt;='财富模型'!$E$11*12,'财富模型'!$E$10,'财富模型'!$E$12)/12)-IF('Calc'!$E$17=1,0,IF(Calc!$AO$273&lt;='财富模型'!$E$11*12,'Calc'!$W$17,'Calc'!$Y$17)),0)))</x:f>
      </x:c>
    </x:row>
    <x:row r="274">
      <x:c r="A274" t="n">
        <x:v>253</x:v>
      </x:c>
      <x:c r="B274" t="str">
        <x:f>IF(Calc!$A$274&gt;'Calc'!$B$8,"",MAX(Calc!$B$273*(1+'财富模型'!$E$6/12)+('Calc'!$B$5-'财富模型'!$E$5-(IF('Calc'!$E$12=1,'财富模型'!$E$9,'财富模型'!$M$4+IF(Calc!$A$274&lt;='财富模型'!$E$11*12,'Calc'!$W$12,'Calc'!$Y$12)-(IF('Calc'!$E$12=1,0,MIN(Calc!$C$273*(1+'财富模型'!$E$20/12)+'Calc'!$B$6,IF(Calc!$A$274&lt;='财富模型'!$E$11*12,'Calc'!$W$12,'Calc'!$Y$12))))))),0))</x:f>
      </x:c>
      <x:c r="C274" t="str">
        <x:f>IF(Calc!$A$274&gt;'Calc'!$B$8,"",MAX(Calc!$C$273*(1+'财富模型'!$E$20/12)+'Calc'!$B$6-(IF('Calc'!$E$12=1,0,MIN(Calc!$C$273*(1+'财富模型'!$E$20/12)+'Calc'!$B$6,IF(Calc!$A$274&lt;='财富模型'!$E$11*12,'Calc'!$W$12,'Calc'!$Y$12)))),0))</x:f>
      </x:c>
      <x:c r="D274" t="str">
        <x:f>IF(Calc!$A$274&gt;'Calc'!$B$8,"",IF('Calc'!$E$12=1,'财富模型'!$E$9,'财富模型'!$M$4+IF(Calc!$A$274&lt;='财富模型'!$E$11*12,'Calc'!$W$12,'Calc'!$Y$12)-(IF('Calc'!$E$12=1,0,MIN(Calc!$C$273*(1+'财富模型'!$E$20/12)+'Calc'!$B$6,IF(Calc!$A$274&lt;='财富模型'!$E$11*12,'Calc'!$W$12,'Calc'!$Y$12))))))</x:f>
      </x:c>
      <x:c r="E274" t="str">
        <x:f>IF(Calc!$A$274&gt;'Calc'!$B$8,"",IF('Calc'!$E$12=1,0,MIN(Calc!$C$273*(1+'财富模型'!$E$20/12)+'Calc'!$B$6,IF(Calc!$A$274&lt;='财富模型'!$E$11*12,'Calc'!$W$12,'Calc'!$Y$12))))</x:f>
      </x:c>
      <x:c r="F274" t="str">
        <x:f>IF(Calc!$A$274&gt;'Calc'!$B$8,"",'Calc'!$B$5-'财富模型'!$E$5-(IF('Calc'!$E$12=1,'财富模型'!$E$9,'财富模型'!$M$4+IF(Calc!$A$274&lt;='财富模型'!$E$11*12,'Calc'!$W$12,'Calc'!$Y$12)-(IF('Calc'!$E$12=1,0,MIN(Calc!$C$273*(1+'财富模型'!$E$20/12)+'Calc'!$B$6,IF(Calc!$A$274&lt;='财富模型'!$E$11*12,'Calc'!$W$12,'Calc'!$Y$12)))))))</x:f>
      </x:c>
      <x:c r="G274" t="str">
        <x:f>IF(Calc!$A$274&gt;'Calc'!$B$8,"",IF('Calc'!$E$12=1,0,MAX(Calc!$G$273*(1+IF(Calc!$A$274&lt;='财富模型'!$E$11*12,'财富模型'!$E$10,'财富模型'!$E$12)/12)-IF('Calc'!$E$12=1,0,IF(Calc!$A$274&lt;='财富模型'!$E$11*12,'Calc'!$W$12,'Calc'!$Y$12)),0)))</x:f>
      </x:c>
      <x:c r="I274" t="n">
        <x:v>253</x:v>
      </x:c>
      <x:c r="J274" t="str">
        <x:f>IF(Calc!$I$274&gt;'Calc'!$B$8,"",MAX(Calc!$J$273*(1+'财富模型'!$E$6/12)+('Calc'!$B$5-'财富模型'!$E$5-(IF('Calc'!$E$13=1,'财富模型'!$E$9,'财富模型'!$M$5+IF(Calc!$I$274&lt;='财富模型'!$E$11*12,'Calc'!$W$13,'Calc'!$Y$13)-(IF('Calc'!$E$13=1,0,MIN(Calc!$K$273*(1+'财富模型'!$E$20/12)+'Calc'!$B$6,IF(Calc!$I$274&lt;='财富模型'!$E$11*12,'Calc'!$W$13,'Calc'!$Y$13))))))),0))</x:f>
      </x:c>
      <x:c r="K274" t="str">
        <x:f>IF(Calc!$I$274&gt;'Calc'!$B$8,"",MAX(Calc!$K$273*(1+'财富模型'!$E$20/12)+'Calc'!$B$6-(IF('Calc'!$E$13=1,0,MIN(Calc!$K$273*(1+'财富模型'!$E$20/12)+'Calc'!$B$6,IF(Calc!$I$274&lt;='财富模型'!$E$11*12,'Calc'!$W$13,'Calc'!$Y$13)))),0))</x:f>
      </x:c>
      <x:c r="L274" t="str">
        <x:f>IF(Calc!$I$274&gt;'Calc'!$B$8,"",IF('Calc'!$E$13=1,'财富模型'!$E$9,'财富模型'!$M$5+IF(Calc!$I$274&lt;='财富模型'!$E$11*12,'Calc'!$W$13,'Calc'!$Y$13)-(IF('Calc'!$E$13=1,0,MIN(Calc!$K$273*(1+'财富模型'!$E$20/12)+'Calc'!$B$6,IF(Calc!$I$274&lt;='财富模型'!$E$11*12,'Calc'!$W$13,'Calc'!$Y$13))))))</x:f>
      </x:c>
      <x:c r="M274" t="str">
        <x:f>IF(Calc!$I$274&gt;'Calc'!$B$8,"",IF('Calc'!$E$13=1,0,MIN(Calc!$K$273*(1+'财富模型'!$E$20/12)+'Calc'!$B$6,IF(Calc!$I$274&lt;='财富模型'!$E$11*12,'Calc'!$W$13,'Calc'!$Y$13))))</x:f>
      </x:c>
      <x:c r="N274" t="str">
        <x:f>IF(Calc!$I$274&gt;'Calc'!$B$8,"",'Calc'!$B$5-'财富模型'!$E$5-(IF('Calc'!$E$13=1,'财富模型'!$E$9,'财富模型'!$M$5+IF(Calc!$I$274&lt;='财富模型'!$E$11*12,'Calc'!$W$13,'Calc'!$Y$13)-(IF('Calc'!$E$13=1,0,MIN(Calc!$K$273*(1+'财富模型'!$E$20/12)+'Calc'!$B$6,IF(Calc!$I$274&lt;='财富模型'!$E$11*12,'Calc'!$W$13,'Calc'!$Y$13)))))))</x:f>
      </x:c>
      <x:c r="O274" t="str">
        <x:f>IF(Calc!$I$274&gt;'Calc'!$B$8,"",IF('Calc'!$E$13=1,0,MAX(Calc!$O$273*(1+IF(Calc!$I$274&lt;='财富模型'!$E$11*12,'财富模型'!$E$10,'财富模型'!$E$12)/12)-IF('Calc'!$E$13=1,0,IF(Calc!$I$274&lt;='财富模型'!$E$11*12,'Calc'!$W$13,'Calc'!$Y$13)),0)))</x:f>
      </x:c>
      <x:c r="Q274" t="n">
        <x:v>253</x:v>
      </x:c>
      <x:c r="R274" t="str">
        <x:f>IF(Calc!$Q$274&gt;'Calc'!$B$8,"",MAX(Calc!$R$273*(1+'财富模型'!$E$6/12)+('Calc'!$B$5-'财富模型'!$E$5-(IF('Calc'!$E$14=1,'财富模型'!$E$9,'财富模型'!$M$6+IF(Calc!$Q$274&lt;='财富模型'!$E$11*12,'Calc'!$W$14,'Calc'!$Y$14)-(IF('Calc'!$E$14=1,0,MIN(Calc!$S$273*(1+'财富模型'!$E$20/12)+'Calc'!$B$6,IF(Calc!$Q$274&lt;='财富模型'!$E$11*12,'Calc'!$W$14,'Calc'!$Y$14))))))),0))</x:f>
      </x:c>
      <x:c r="S274" t="str">
        <x:f>IF(Calc!$Q$274&gt;'Calc'!$B$8,"",MAX(Calc!$S$273*(1+'财富模型'!$E$20/12)+'Calc'!$B$6-(IF('Calc'!$E$14=1,0,MIN(Calc!$S$273*(1+'财富模型'!$E$20/12)+'Calc'!$B$6,IF(Calc!$Q$274&lt;='财富模型'!$E$11*12,'Calc'!$W$14,'Calc'!$Y$14)))),0))</x:f>
      </x:c>
      <x:c r="T274" t="str">
        <x:f>IF(Calc!$Q$274&gt;'Calc'!$B$8,"",IF('Calc'!$E$14=1,'财富模型'!$E$9,'财富模型'!$M$6+IF(Calc!$Q$274&lt;='财富模型'!$E$11*12,'Calc'!$W$14,'Calc'!$Y$14)-(IF('Calc'!$E$14=1,0,MIN(Calc!$S$273*(1+'财富模型'!$E$20/12)+'Calc'!$B$6,IF(Calc!$Q$274&lt;='财富模型'!$E$11*12,'Calc'!$W$14,'Calc'!$Y$14))))))</x:f>
      </x:c>
      <x:c r="U274" t="str">
        <x:f>IF(Calc!$Q$274&gt;'Calc'!$B$8,"",IF('Calc'!$E$14=1,0,MIN(Calc!$S$273*(1+'财富模型'!$E$20/12)+'Calc'!$B$6,IF(Calc!$Q$274&lt;='财富模型'!$E$11*12,'Calc'!$W$14,'Calc'!$Y$14))))</x:f>
      </x:c>
      <x:c r="V274" t="str">
        <x:f>IF(Calc!$Q$274&gt;'Calc'!$B$8,"",'Calc'!$B$5-'财富模型'!$E$5-(IF('Calc'!$E$14=1,'财富模型'!$E$9,'财富模型'!$M$6+IF(Calc!$Q$274&lt;='财富模型'!$E$11*12,'Calc'!$W$14,'Calc'!$Y$14)-(IF('Calc'!$E$14=1,0,MIN(Calc!$S$273*(1+'财富模型'!$E$20/12)+'Calc'!$B$6,IF(Calc!$Q$274&lt;='财富模型'!$E$11*12,'Calc'!$W$14,'Calc'!$Y$14)))))))</x:f>
      </x:c>
      <x:c r="W274" t="str">
        <x:f>IF(Calc!$Q$274&gt;'Calc'!$B$8,"",IF('Calc'!$E$14=1,0,MAX(Calc!$W$273*(1+IF(Calc!$Q$274&lt;='财富模型'!$E$11*12,'财富模型'!$E$10,'财富模型'!$E$12)/12)-IF('Calc'!$E$14=1,0,IF(Calc!$Q$274&lt;='财富模型'!$E$11*12,'Calc'!$W$14,'Calc'!$Y$14)),0)))</x:f>
      </x:c>
      <x:c r="Y274" t="n">
        <x:v>253</x:v>
      </x:c>
      <x:c r="Z274" t="str">
        <x:f>IF(Calc!$Y$274&gt;'Calc'!$B$8,"",MAX(Calc!$Z$273*(1+'财富模型'!$E$6/12)+('Calc'!$B$5-'财富模型'!$E$5-(IF('Calc'!$E$15=1,'财富模型'!$E$9,'财富模型'!$M$7+IF(Calc!$Y$274&lt;='财富模型'!$E$11*12,'Calc'!$W$15,'Calc'!$Y$15)-(IF('Calc'!$E$15=1,0,MIN(Calc!$AA$273*(1+'财富模型'!$E$20/12)+'Calc'!$B$6,IF(Calc!$Y$274&lt;='财富模型'!$E$11*12,'Calc'!$W$15,'Calc'!$Y$15))))))),0))</x:f>
      </x:c>
      <x:c r="AA274" t="str">
        <x:f>IF(Calc!$Y$274&gt;'Calc'!$B$8,"",MAX(Calc!$AA$273*(1+'财富模型'!$E$20/12)+'Calc'!$B$6-(IF('Calc'!$E$15=1,0,MIN(Calc!$AA$273*(1+'财富模型'!$E$20/12)+'Calc'!$B$6,IF(Calc!$Y$274&lt;='财富模型'!$E$11*12,'Calc'!$W$15,'Calc'!$Y$15)))),0))</x:f>
      </x:c>
      <x:c r="AB274" t="str">
        <x:f>IF(Calc!$Y$274&gt;'Calc'!$B$8,"",IF('Calc'!$E$15=1,'财富模型'!$E$9,'财富模型'!$M$7+IF(Calc!$Y$274&lt;='财富模型'!$E$11*12,'Calc'!$W$15,'Calc'!$Y$15)-(IF('Calc'!$E$15=1,0,MIN(Calc!$AA$273*(1+'财富模型'!$E$20/12)+'Calc'!$B$6,IF(Calc!$Y$274&lt;='财富模型'!$E$11*12,'Calc'!$W$15,'Calc'!$Y$15))))))</x:f>
      </x:c>
      <x:c r="AC274" t="str">
        <x:f>IF(Calc!$Y$274&gt;'Calc'!$B$8,"",IF('Calc'!$E$15=1,0,MIN(Calc!$AA$273*(1+'财富模型'!$E$20/12)+'Calc'!$B$6,IF(Calc!$Y$274&lt;='财富模型'!$E$11*12,'Calc'!$W$15,'Calc'!$Y$15))))</x:f>
      </x:c>
      <x:c r="AD274" t="str">
        <x:f>IF(Calc!$Y$274&gt;'Calc'!$B$8,"",'Calc'!$B$5-'财富模型'!$E$5-(IF('Calc'!$E$15=1,'财富模型'!$E$9,'财富模型'!$M$7+IF(Calc!$Y$274&lt;='财富模型'!$E$11*12,'Calc'!$W$15,'Calc'!$Y$15)-(IF('Calc'!$E$15=1,0,MIN(Calc!$AA$273*(1+'财富模型'!$E$20/12)+'Calc'!$B$6,IF(Calc!$Y$274&lt;='财富模型'!$E$11*12,'Calc'!$W$15,'Calc'!$Y$15)))))))</x:f>
      </x:c>
      <x:c r="AE274" t="str">
        <x:f>IF(Calc!$Y$274&gt;'Calc'!$B$8,"",IF('Calc'!$E$15=1,0,MAX(Calc!$AE$273*(1+IF(Calc!$Y$274&lt;='财富模型'!$E$11*12,'财富模型'!$E$10,'财富模型'!$E$12)/12)-IF('Calc'!$E$15=1,0,IF(Calc!$Y$274&lt;='财富模型'!$E$11*12,'Calc'!$W$15,'Calc'!$Y$15)),0)))</x:f>
      </x:c>
      <x:c r="AG274" t="n">
        <x:v>253</x:v>
      </x:c>
      <x:c r="AH274" t="str">
        <x:f>IF(Calc!$AG$274&gt;'Calc'!$B$8,"",MAX(Calc!$AH$273*(1+'财富模型'!$E$6/12)+('Calc'!$B$5-'财富模型'!$E$5-(IF('Calc'!$E$16=1,'财富模型'!$E$9,'财富模型'!$M$8+IF(Calc!$AG$274&lt;='财富模型'!$E$11*12,'Calc'!$W$16,'Calc'!$Y$16)-(IF('Calc'!$E$16=1,0,MIN(Calc!$AI$273*(1+'财富模型'!$E$20/12)+'Calc'!$B$6,IF(Calc!$AG$274&lt;='财富模型'!$E$11*12,'Calc'!$W$16,'Calc'!$Y$16))))))),0))</x:f>
      </x:c>
      <x:c r="AI274" t="str">
        <x:f>IF(Calc!$AG$274&gt;'Calc'!$B$8,"",MAX(Calc!$AI$273*(1+'财富模型'!$E$20/12)+'Calc'!$B$6-(IF('Calc'!$E$16=1,0,MIN(Calc!$AI$273*(1+'财富模型'!$E$20/12)+'Calc'!$B$6,IF(Calc!$AG$274&lt;='财富模型'!$E$11*12,'Calc'!$W$16,'Calc'!$Y$16)))),0))</x:f>
      </x:c>
      <x:c r="AJ274" t="str">
        <x:f>IF(Calc!$AG$274&gt;'Calc'!$B$8,"",IF('Calc'!$E$16=1,'财富模型'!$E$9,'财富模型'!$M$8+IF(Calc!$AG$274&lt;='财富模型'!$E$11*12,'Calc'!$W$16,'Calc'!$Y$16)-(IF('Calc'!$E$16=1,0,MIN(Calc!$AI$273*(1+'财富模型'!$E$20/12)+'Calc'!$B$6,IF(Calc!$AG$274&lt;='财富模型'!$E$11*12,'Calc'!$W$16,'Calc'!$Y$16))))))</x:f>
      </x:c>
      <x:c r="AK274" t="str">
        <x:f>IF(Calc!$AG$274&gt;'Calc'!$B$8,"",IF('Calc'!$E$16=1,0,MIN(Calc!$AI$273*(1+'财富模型'!$E$20/12)+'Calc'!$B$6,IF(Calc!$AG$274&lt;='财富模型'!$E$11*12,'Calc'!$W$16,'Calc'!$Y$16))))</x:f>
      </x:c>
      <x:c r="AL274" t="str">
        <x:f>IF(Calc!$AG$274&gt;'Calc'!$B$8,"",'Calc'!$B$5-'财富模型'!$E$5-(IF('Calc'!$E$16=1,'财富模型'!$E$9,'财富模型'!$M$8+IF(Calc!$AG$274&lt;='财富模型'!$E$11*12,'Calc'!$W$16,'Calc'!$Y$16)-(IF('Calc'!$E$16=1,0,MIN(Calc!$AI$273*(1+'财富模型'!$E$20/12)+'Calc'!$B$6,IF(Calc!$AG$274&lt;='财富模型'!$E$11*12,'Calc'!$W$16,'Calc'!$Y$16)))))))</x:f>
      </x:c>
      <x:c r="AM274" t="str">
        <x:f>IF(Calc!$AG$274&gt;'Calc'!$B$8,"",IF('Calc'!$E$16=1,0,MAX(Calc!$AM$273*(1+IF(Calc!$AG$274&lt;='财富模型'!$E$11*12,'财富模型'!$E$10,'财富模型'!$E$12)/12)-IF('Calc'!$E$16=1,0,IF(Calc!$AG$274&lt;='财富模型'!$E$11*12,'Calc'!$W$16,'Calc'!$Y$16)),0)))</x:f>
      </x:c>
      <x:c r="AO274" t="n">
        <x:v>253</x:v>
      </x:c>
      <x:c r="AP274" t="str">
        <x:f>IF(Calc!$AO$274&gt;'Calc'!$B$8,"",MAX(Calc!$AP$273*(1+'财富模型'!$E$6/12)+('Calc'!$B$5-'财富模型'!$E$5-(IF('Calc'!$E$17=1,'财富模型'!$E$9,'财富模型'!$M$9+IF(Calc!$AO$274&lt;='财富模型'!$E$11*12,'Calc'!$W$17,'Calc'!$Y$17)-(IF('Calc'!$E$17=1,0,MIN(Calc!$AQ$273*(1+'财富模型'!$E$20/12)+'Calc'!$B$6,IF(Calc!$AO$274&lt;='财富模型'!$E$11*12,'Calc'!$W$17,'Calc'!$Y$17))))))),0))</x:f>
      </x:c>
      <x:c r="AQ274" t="str">
        <x:f>IF(Calc!$AO$274&gt;'Calc'!$B$8,"",MAX(Calc!$AQ$273*(1+'财富模型'!$E$20/12)+'Calc'!$B$6-(IF('Calc'!$E$17=1,0,MIN(Calc!$AQ$273*(1+'财富模型'!$E$20/12)+'Calc'!$B$6,IF(Calc!$AO$274&lt;='财富模型'!$E$11*12,'Calc'!$W$17,'Calc'!$Y$17)))),0))</x:f>
      </x:c>
      <x:c r="AR274" t="str">
        <x:f>IF(Calc!$AO$274&gt;'Calc'!$B$8,"",IF('Calc'!$E$17=1,'财富模型'!$E$9,'财富模型'!$M$9+IF(Calc!$AO$274&lt;='财富模型'!$E$11*12,'Calc'!$W$17,'Calc'!$Y$17)-(IF('Calc'!$E$17=1,0,MIN(Calc!$AQ$273*(1+'财富模型'!$E$20/12)+'Calc'!$B$6,IF(Calc!$AO$274&lt;='财富模型'!$E$11*12,'Calc'!$W$17,'Calc'!$Y$17))))))</x:f>
      </x:c>
      <x:c r="AS274" t="str">
        <x:f>IF(Calc!$AO$274&gt;'Calc'!$B$8,"",IF('Calc'!$E$17=1,0,MIN(Calc!$AQ$273*(1+'财富模型'!$E$20/12)+'Calc'!$B$6,IF(Calc!$AO$274&lt;='财富模型'!$E$11*12,'Calc'!$W$17,'Calc'!$Y$17))))</x:f>
      </x:c>
      <x:c r="AT274" t="str">
        <x:f>IF(Calc!$AO$274&gt;'Calc'!$B$8,"",'Calc'!$B$5-'财富模型'!$E$5-(IF('Calc'!$E$17=1,'财富模型'!$E$9,'财富模型'!$M$9+IF(Calc!$AO$274&lt;='财富模型'!$E$11*12,'Calc'!$W$17,'Calc'!$Y$17)-(IF('Calc'!$E$17=1,0,MIN(Calc!$AQ$273*(1+'财富模型'!$E$20/12)+'Calc'!$B$6,IF(Calc!$AO$274&lt;='财富模型'!$E$11*12,'Calc'!$W$17,'Calc'!$Y$17)))))))</x:f>
      </x:c>
      <x:c r="AU274" t="str">
        <x:f>IF(Calc!$AO$274&gt;'Calc'!$B$8,"",IF('Calc'!$E$17=1,0,MAX(Calc!$AU$273*(1+IF(Calc!$AO$274&lt;='财富模型'!$E$11*12,'财富模型'!$E$10,'财富模型'!$E$12)/12)-IF('Calc'!$E$17=1,0,IF(Calc!$AO$274&lt;='财富模型'!$E$11*12,'Calc'!$W$17,'Calc'!$Y$17)),0)))</x:f>
      </x:c>
    </x:row>
    <x:row r="275">
      <x:c r="A275" t="n">
        <x:v>254</x:v>
      </x:c>
      <x:c r="B275" t="str">
        <x:f>IF(Calc!$A$275&gt;'Calc'!$B$8,"",MAX(Calc!$B$274*(1+'财富模型'!$E$6/12)+('Calc'!$B$5-'财富模型'!$E$5-(IF('Calc'!$E$12=1,'财富模型'!$E$9,'财富模型'!$M$4+IF(Calc!$A$275&lt;='财富模型'!$E$11*12,'Calc'!$W$12,'Calc'!$Y$12)-(IF('Calc'!$E$12=1,0,MIN(Calc!$C$274*(1+'财富模型'!$E$20/12)+'Calc'!$B$6,IF(Calc!$A$275&lt;='财富模型'!$E$11*12,'Calc'!$W$12,'Calc'!$Y$12))))))),0))</x:f>
      </x:c>
      <x:c r="C275" t="str">
        <x:f>IF(Calc!$A$275&gt;'Calc'!$B$8,"",MAX(Calc!$C$274*(1+'财富模型'!$E$20/12)+'Calc'!$B$6-(IF('Calc'!$E$12=1,0,MIN(Calc!$C$274*(1+'财富模型'!$E$20/12)+'Calc'!$B$6,IF(Calc!$A$275&lt;='财富模型'!$E$11*12,'Calc'!$W$12,'Calc'!$Y$12)))),0))</x:f>
      </x:c>
      <x:c r="D275" t="str">
        <x:f>IF(Calc!$A$275&gt;'Calc'!$B$8,"",IF('Calc'!$E$12=1,'财富模型'!$E$9,'财富模型'!$M$4+IF(Calc!$A$275&lt;='财富模型'!$E$11*12,'Calc'!$W$12,'Calc'!$Y$12)-(IF('Calc'!$E$12=1,0,MIN(Calc!$C$274*(1+'财富模型'!$E$20/12)+'Calc'!$B$6,IF(Calc!$A$275&lt;='财富模型'!$E$11*12,'Calc'!$W$12,'Calc'!$Y$12))))))</x:f>
      </x:c>
      <x:c r="E275" t="str">
        <x:f>IF(Calc!$A$275&gt;'Calc'!$B$8,"",IF('Calc'!$E$12=1,0,MIN(Calc!$C$274*(1+'财富模型'!$E$20/12)+'Calc'!$B$6,IF(Calc!$A$275&lt;='财富模型'!$E$11*12,'Calc'!$W$12,'Calc'!$Y$12))))</x:f>
      </x:c>
      <x:c r="F275" t="str">
        <x:f>IF(Calc!$A$275&gt;'Calc'!$B$8,"",'Calc'!$B$5-'财富模型'!$E$5-(IF('Calc'!$E$12=1,'财富模型'!$E$9,'财富模型'!$M$4+IF(Calc!$A$275&lt;='财富模型'!$E$11*12,'Calc'!$W$12,'Calc'!$Y$12)-(IF('Calc'!$E$12=1,0,MIN(Calc!$C$274*(1+'财富模型'!$E$20/12)+'Calc'!$B$6,IF(Calc!$A$275&lt;='财富模型'!$E$11*12,'Calc'!$W$12,'Calc'!$Y$12)))))))</x:f>
      </x:c>
      <x:c r="G275" t="str">
        <x:f>IF(Calc!$A$275&gt;'Calc'!$B$8,"",IF('Calc'!$E$12=1,0,MAX(Calc!$G$274*(1+IF(Calc!$A$275&lt;='财富模型'!$E$11*12,'财富模型'!$E$10,'财富模型'!$E$12)/12)-IF('Calc'!$E$12=1,0,IF(Calc!$A$275&lt;='财富模型'!$E$11*12,'Calc'!$W$12,'Calc'!$Y$12)),0)))</x:f>
      </x:c>
      <x:c r="I275" t="n">
        <x:v>254</x:v>
      </x:c>
      <x:c r="J275" t="str">
        <x:f>IF(Calc!$I$275&gt;'Calc'!$B$8,"",MAX(Calc!$J$274*(1+'财富模型'!$E$6/12)+('Calc'!$B$5-'财富模型'!$E$5-(IF('Calc'!$E$13=1,'财富模型'!$E$9,'财富模型'!$M$5+IF(Calc!$I$275&lt;='财富模型'!$E$11*12,'Calc'!$W$13,'Calc'!$Y$13)-(IF('Calc'!$E$13=1,0,MIN(Calc!$K$274*(1+'财富模型'!$E$20/12)+'Calc'!$B$6,IF(Calc!$I$275&lt;='财富模型'!$E$11*12,'Calc'!$W$13,'Calc'!$Y$13))))))),0))</x:f>
      </x:c>
      <x:c r="K275" t="str">
        <x:f>IF(Calc!$I$275&gt;'Calc'!$B$8,"",MAX(Calc!$K$274*(1+'财富模型'!$E$20/12)+'Calc'!$B$6-(IF('Calc'!$E$13=1,0,MIN(Calc!$K$274*(1+'财富模型'!$E$20/12)+'Calc'!$B$6,IF(Calc!$I$275&lt;='财富模型'!$E$11*12,'Calc'!$W$13,'Calc'!$Y$13)))),0))</x:f>
      </x:c>
      <x:c r="L275" t="str">
        <x:f>IF(Calc!$I$275&gt;'Calc'!$B$8,"",IF('Calc'!$E$13=1,'财富模型'!$E$9,'财富模型'!$M$5+IF(Calc!$I$275&lt;='财富模型'!$E$11*12,'Calc'!$W$13,'Calc'!$Y$13)-(IF('Calc'!$E$13=1,0,MIN(Calc!$K$274*(1+'财富模型'!$E$20/12)+'Calc'!$B$6,IF(Calc!$I$275&lt;='财富模型'!$E$11*12,'Calc'!$W$13,'Calc'!$Y$13))))))</x:f>
      </x:c>
      <x:c r="M275" t="str">
        <x:f>IF(Calc!$I$275&gt;'Calc'!$B$8,"",IF('Calc'!$E$13=1,0,MIN(Calc!$K$274*(1+'财富模型'!$E$20/12)+'Calc'!$B$6,IF(Calc!$I$275&lt;='财富模型'!$E$11*12,'Calc'!$W$13,'Calc'!$Y$13))))</x:f>
      </x:c>
      <x:c r="N275" t="str">
        <x:f>IF(Calc!$I$275&gt;'Calc'!$B$8,"",'Calc'!$B$5-'财富模型'!$E$5-(IF('Calc'!$E$13=1,'财富模型'!$E$9,'财富模型'!$M$5+IF(Calc!$I$275&lt;='财富模型'!$E$11*12,'Calc'!$W$13,'Calc'!$Y$13)-(IF('Calc'!$E$13=1,0,MIN(Calc!$K$274*(1+'财富模型'!$E$20/12)+'Calc'!$B$6,IF(Calc!$I$275&lt;='财富模型'!$E$11*12,'Calc'!$W$13,'Calc'!$Y$13)))))))</x:f>
      </x:c>
      <x:c r="O275" t="str">
        <x:f>IF(Calc!$I$275&gt;'Calc'!$B$8,"",IF('Calc'!$E$13=1,0,MAX(Calc!$O$274*(1+IF(Calc!$I$275&lt;='财富模型'!$E$11*12,'财富模型'!$E$10,'财富模型'!$E$12)/12)-IF('Calc'!$E$13=1,0,IF(Calc!$I$275&lt;='财富模型'!$E$11*12,'Calc'!$W$13,'Calc'!$Y$13)),0)))</x:f>
      </x:c>
      <x:c r="Q275" t="n">
        <x:v>254</x:v>
      </x:c>
      <x:c r="R275" t="str">
        <x:f>IF(Calc!$Q$275&gt;'Calc'!$B$8,"",MAX(Calc!$R$274*(1+'财富模型'!$E$6/12)+('Calc'!$B$5-'财富模型'!$E$5-(IF('Calc'!$E$14=1,'财富模型'!$E$9,'财富模型'!$M$6+IF(Calc!$Q$275&lt;='财富模型'!$E$11*12,'Calc'!$W$14,'Calc'!$Y$14)-(IF('Calc'!$E$14=1,0,MIN(Calc!$S$274*(1+'财富模型'!$E$20/12)+'Calc'!$B$6,IF(Calc!$Q$275&lt;='财富模型'!$E$11*12,'Calc'!$W$14,'Calc'!$Y$14))))))),0))</x:f>
      </x:c>
      <x:c r="S275" t="str">
        <x:f>IF(Calc!$Q$275&gt;'Calc'!$B$8,"",MAX(Calc!$S$274*(1+'财富模型'!$E$20/12)+'Calc'!$B$6-(IF('Calc'!$E$14=1,0,MIN(Calc!$S$274*(1+'财富模型'!$E$20/12)+'Calc'!$B$6,IF(Calc!$Q$275&lt;='财富模型'!$E$11*12,'Calc'!$W$14,'Calc'!$Y$14)))),0))</x:f>
      </x:c>
      <x:c r="T275" t="str">
        <x:f>IF(Calc!$Q$275&gt;'Calc'!$B$8,"",IF('Calc'!$E$14=1,'财富模型'!$E$9,'财富模型'!$M$6+IF(Calc!$Q$275&lt;='财富模型'!$E$11*12,'Calc'!$W$14,'Calc'!$Y$14)-(IF('Calc'!$E$14=1,0,MIN(Calc!$S$274*(1+'财富模型'!$E$20/12)+'Calc'!$B$6,IF(Calc!$Q$275&lt;='财富模型'!$E$11*12,'Calc'!$W$14,'Calc'!$Y$14))))))</x:f>
      </x:c>
      <x:c r="U275" t="str">
        <x:f>IF(Calc!$Q$275&gt;'Calc'!$B$8,"",IF('Calc'!$E$14=1,0,MIN(Calc!$S$274*(1+'财富模型'!$E$20/12)+'Calc'!$B$6,IF(Calc!$Q$275&lt;='财富模型'!$E$11*12,'Calc'!$W$14,'Calc'!$Y$14))))</x:f>
      </x:c>
      <x:c r="V275" t="str">
        <x:f>IF(Calc!$Q$275&gt;'Calc'!$B$8,"",'Calc'!$B$5-'财富模型'!$E$5-(IF('Calc'!$E$14=1,'财富模型'!$E$9,'财富模型'!$M$6+IF(Calc!$Q$275&lt;='财富模型'!$E$11*12,'Calc'!$W$14,'Calc'!$Y$14)-(IF('Calc'!$E$14=1,0,MIN(Calc!$S$274*(1+'财富模型'!$E$20/12)+'Calc'!$B$6,IF(Calc!$Q$275&lt;='财富模型'!$E$11*12,'Calc'!$W$14,'Calc'!$Y$14)))))))</x:f>
      </x:c>
      <x:c r="W275" t="str">
        <x:f>IF(Calc!$Q$275&gt;'Calc'!$B$8,"",IF('Calc'!$E$14=1,0,MAX(Calc!$W$274*(1+IF(Calc!$Q$275&lt;='财富模型'!$E$11*12,'财富模型'!$E$10,'财富模型'!$E$12)/12)-IF('Calc'!$E$14=1,0,IF(Calc!$Q$275&lt;='财富模型'!$E$11*12,'Calc'!$W$14,'Calc'!$Y$14)),0)))</x:f>
      </x:c>
      <x:c r="Y275" t="n">
        <x:v>254</x:v>
      </x:c>
      <x:c r="Z275" t="str">
        <x:f>IF(Calc!$Y$275&gt;'Calc'!$B$8,"",MAX(Calc!$Z$274*(1+'财富模型'!$E$6/12)+('Calc'!$B$5-'财富模型'!$E$5-(IF('Calc'!$E$15=1,'财富模型'!$E$9,'财富模型'!$M$7+IF(Calc!$Y$275&lt;='财富模型'!$E$11*12,'Calc'!$W$15,'Calc'!$Y$15)-(IF('Calc'!$E$15=1,0,MIN(Calc!$AA$274*(1+'财富模型'!$E$20/12)+'Calc'!$B$6,IF(Calc!$Y$275&lt;='财富模型'!$E$11*12,'Calc'!$W$15,'Calc'!$Y$15))))))),0))</x:f>
      </x:c>
      <x:c r="AA275" t="str">
        <x:f>IF(Calc!$Y$275&gt;'Calc'!$B$8,"",MAX(Calc!$AA$274*(1+'财富模型'!$E$20/12)+'Calc'!$B$6-(IF('Calc'!$E$15=1,0,MIN(Calc!$AA$274*(1+'财富模型'!$E$20/12)+'Calc'!$B$6,IF(Calc!$Y$275&lt;='财富模型'!$E$11*12,'Calc'!$W$15,'Calc'!$Y$15)))),0))</x:f>
      </x:c>
      <x:c r="AB275" t="str">
        <x:f>IF(Calc!$Y$275&gt;'Calc'!$B$8,"",IF('Calc'!$E$15=1,'财富模型'!$E$9,'财富模型'!$M$7+IF(Calc!$Y$275&lt;='财富模型'!$E$11*12,'Calc'!$W$15,'Calc'!$Y$15)-(IF('Calc'!$E$15=1,0,MIN(Calc!$AA$274*(1+'财富模型'!$E$20/12)+'Calc'!$B$6,IF(Calc!$Y$275&lt;='财富模型'!$E$11*12,'Calc'!$W$15,'Calc'!$Y$15))))))</x:f>
      </x:c>
      <x:c r="AC275" t="str">
        <x:f>IF(Calc!$Y$275&gt;'Calc'!$B$8,"",IF('Calc'!$E$15=1,0,MIN(Calc!$AA$274*(1+'财富模型'!$E$20/12)+'Calc'!$B$6,IF(Calc!$Y$275&lt;='财富模型'!$E$11*12,'Calc'!$W$15,'Calc'!$Y$15))))</x:f>
      </x:c>
      <x:c r="AD275" t="str">
        <x:f>IF(Calc!$Y$275&gt;'Calc'!$B$8,"",'Calc'!$B$5-'财富模型'!$E$5-(IF('Calc'!$E$15=1,'财富模型'!$E$9,'财富模型'!$M$7+IF(Calc!$Y$275&lt;='财富模型'!$E$11*12,'Calc'!$W$15,'Calc'!$Y$15)-(IF('Calc'!$E$15=1,0,MIN(Calc!$AA$274*(1+'财富模型'!$E$20/12)+'Calc'!$B$6,IF(Calc!$Y$275&lt;='财富模型'!$E$11*12,'Calc'!$W$15,'Calc'!$Y$15)))))))</x:f>
      </x:c>
      <x:c r="AE275" t="str">
        <x:f>IF(Calc!$Y$275&gt;'Calc'!$B$8,"",IF('Calc'!$E$15=1,0,MAX(Calc!$AE$274*(1+IF(Calc!$Y$275&lt;='财富模型'!$E$11*12,'财富模型'!$E$10,'财富模型'!$E$12)/12)-IF('Calc'!$E$15=1,0,IF(Calc!$Y$275&lt;='财富模型'!$E$11*12,'Calc'!$W$15,'Calc'!$Y$15)),0)))</x:f>
      </x:c>
      <x:c r="AG275" t="n">
        <x:v>254</x:v>
      </x:c>
      <x:c r="AH275" t="str">
        <x:f>IF(Calc!$AG$275&gt;'Calc'!$B$8,"",MAX(Calc!$AH$274*(1+'财富模型'!$E$6/12)+('Calc'!$B$5-'财富模型'!$E$5-(IF('Calc'!$E$16=1,'财富模型'!$E$9,'财富模型'!$M$8+IF(Calc!$AG$275&lt;='财富模型'!$E$11*12,'Calc'!$W$16,'Calc'!$Y$16)-(IF('Calc'!$E$16=1,0,MIN(Calc!$AI$274*(1+'财富模型'!$E$20/12)+'Calc'!$B$6,IF(Calc!$AG$275&lt;='财富模型'!$E$11*12,'Calc'!$W$16,'Calc'!$Y$16))))))),0))</x:f>
      </x:c>
      <x:c r="AI275" t="str">
        <x:f>IF(Calc!$AG$275&gt;'Calc'!$B$8,"",MAX(Calc!$AI$274*(1+'财富模型'!$E$20/12)+'Calc'!$B$6-(IF('Calc'!$E$16=1,0,MIN(Calc!$AI$274*(1+'财富模型'!$E$20/12)+'Calc'!$B$6,IF(Calc!$AG$275&lt;='财富模型'!$E$11*12,'Calc'!$W$16,'Calc'!$Y$16)))),0))</x:f>
      </x:c>
      <x:c r="AJ275" t="str">
        <x:f>IF(Calc!$AG$275&gt;'Calc'!$B$8,"",IF('Calc'!$E$16=1,'财富模型'!$E$9,'财富模型'!$M$8+IF(Calc!$AG$275&lt;='财富模型'!$E$11*12,'Calc'!$W$16,'Calc'!$Y$16)-(IF('Calc'!$E$16=1,0,MIN(Calc!$AI$274*(1+'财富模型'!$E$20/12)+'Calc'!$B$6,IF(Calc!$AG$275&lt;='财富模型'!$E$11*12,'Calc'!$W$16,'Calc'!$Y$16))))))</x:f>
      </x:c>
      <x:c r="AK275" t="str">
        <x:f>IF(Calc!$AG$275&gt;'Calc'!$B$8,"",IF('Calc'!$E$16=1,0,MIN(Calc!$AI$274*(1+'财富模型'!$E$20/12)+'Calc'!$B$6,IF(Calc!$AG$275&lt;='财富模型'!$E$11*12,'Calc'!$W$16,'Calc'!$Y$16))))</x:f>
      </x:c>
      <x:c r="AL275" t="str">
        <x:f>IF(Calc!$AG$275&gt;'Calc'!$B$8,"",'Calc'!$B$5-'财富模型'!$E$5-(IF('Calc'!$E$16=1,'财富模型'!$E$9,'财富模型'!$M$8+IF(Calc!$AG$275&lt;='财富模型'!$E$11*12,'Calc'!$W$16,'Calc'!$Y$16)-(IF('Calc'!$E$16=1,0,MIN(Calc!$AI$274*(1+'财富模型'!$E$20/12)+'Calc'!$B$6,IF(Calc!$AG$275&lt;='财富模型'!$E$11*12,'Calc'!$W$16,'Calc'!$Y$16)))))))</x:f>
      </x:c>
      <x:c r="AM275" t="str">
        <x:f>IF(Calc!$AG$275&gt;'Calc'!$B$8,"",IF('Calc'!$E$16=1,0,MAX(Calc!$AM$274*(1+IF(Calc!$AG$275&lt;='财富模型'!$E$11*12,'财富模型'!$E$10,'财富模型'!$E$12)/12)-IF('Calc'!$E$16=1,0,IF(Calc!$AG$275&lt;='财富模型'!$E$11*12,'Calc'!$W$16,'Calc'!$Y$16)),0)))</x:f>
      </x:c>
      <x:c r="AO275" t="n">
        <x:v>254</x:v>
      </x:c>
      <x:c r="AP275" t="str">
        <x:f>IF(Calc!$AO$275&gt;'Calc'!$B$8,"",MAX(Calc!$AP$274*(1+'财富模型'!$E$6/12)+('Calc'!$B$5-'财富模型'!$E$5-(IF('Calc'!$E$17=1,'财富模型'!$E$9,'财富模型'!$M$9+IF(Calc!$AO$275&lt;='财富模型'!$E$11*12,'Calc'!$W$17,'Calc'!$Y$17)-(IF('Calc'!$E$17=1,0,MIN(Calc!$AQ$274*(1+'财富模型'!$E$20/12)+'Calc'!$B$6,IF(Calc!$AO$275&lt;='财富模型'!$E$11*12,'Calc'!$W$17,'Calc'!$Y$17))))))),0))</x:f>
      </x:c>
      <x:c r="AQ275" t="str">
        <x:f>IF(Calc!$AO$275&gt;'Calc'!$B$8,"",MAX(Calc!$AQ$274*(1+'财富模型'!$E$20/12)+'Calc'!$B$6-(IF('Calc'!$E$17=1,0,MIN(Calc!$AQ$274*(1+'财富模型'!$E$20/12)+'Calc'!$B$6,IF(Calc!$AO$275&lt;='财富模型'!$E$11*12,'Calc'!$W$17,'Calc'!$Y$17)))),0))</x:f>
      </x:c>
      <x:c r="AR275" t="str">
        <x:f>IF(Calc!$AO$275&gt;'Calc'!$B$8,"",IF('Calc'!$E$17=1,'财富模型'!$E$9,'财富模型'!$M$9+IF(Calc!$AO$275&lt;='财富模型'!$E$11*12,'Calc'!$W$17,'Calc'!$Y$17)-(IF('Calc'!$E$17=1,0,MIN(Calc!$AQ$274*(1+'财富模型'!$E$20/12)+'Calc'!$B$6,IF(Calc!$AO$275&lt;='财富模型'!$E$11*12,'Calc'!$W$17,'Calc'!$Y$17))))))</x:f>
      </x:c>
      <x:c r="AS275" t="str">
        <x:f>IF(Calc!$AO$275&gt;'Calc'!$B$8,"",IF('Calc'!$E$17=1,0,MIN(Calc!$AQ$274*(1+'财富模型'!$E$20/12)+'Calc'!$B$6,IF(Calc!$AO$275&lt;='财富模型'!$E$11*12,'Calc'!$W$17,'Calc'!$Y$17))))</x:f>
      </x:c>
      <x:c r="AT275" t="str">
        <x:f>IF(Calc!$AO$275&gt;'Calc'!$B$8,"",'Calc'!$B$5-'财富模型'!$E$5-(IF('Calc'!$E$17=1,'财富模型'!$E$9,'财富模型'!$M$9+IF(Calc!$AO$275&lt;='财富模型'!$E$11*12,'Calc'!$W$17,'Calc'!$Y$17)-(IF('Calc'!$E$17=1,0,MIN(Calc!$AQ$274*(1+'财富模型'!$E$20/12)+'Calc'!$B$6,IF(Calc!$AO$275&lt;='财富模型'!$E$11*12,'Calc'!$W$17,'Calc'!$Y$17)))))))</x:f>
      </x:c>
      <x:c r="AU275" t="str">
        <x:f>IF(Calc!$AO$275&gt;'Calc'!$B$8,"",IF('Calc'!$E$17=1,0,MAX(Calc!$AU$274*(1+IF(Calc!$AO$275&lt;='财富模型'!$E$11*12,'财富模型'!$E$10,'财富模型'!$E$12)/12)-IF('Calc'!$E$17=1,0,IF(Calc!$AO$275&lt;='财富模型'!$E$11*12,'Calc'!$W$17,'Calc'!$Y$17)),0)))</x:f>
      </x:c>
    </x:row>
    <x:row r="276">
      <x:c r="A276" t="n">
        <x:v>255</x:v>
      </x:c>
      <x:c r="B276" t="str">
        <x:f>IF(Calc!$A$276&gt;'Calc'!$B$8,"",MAX(Calc!$B$275*(1+'财富模型'!$E$6/12)+('Calc'!$B$5-'财富模型'!$E$5-(IF('Calc'!$E$12=1,'财富模型'!$E$9,'财富模型'!$M$4+IF(Calc!$A$276&lt;='财富模型'!$E$11*12,'Calc'!$W$12,'Calc'!$Y$12)-(IF('Calc'!$E$12=1,0,MIN(Calc!$C$275*(1+'财富模型'!$E$20/12)+'Calc'!$B$6,IF(Calc!$A$276&lt;='财富模型'!$E$11*12,'Calc'!$W$12,'Calc'!$Y$12))))))),0))</x:f>
      </x:c>
      <x:c r="C276" t="str">
        <x:f>IF(Calc!$A$276&gt;'Calc'!$B$8,"",MAX(Calc!$C$275*(1+'财富模型'!$E$20/12)+'Calc'!$B$6-(IF('Calc'!$E$12=1,0,MIN(Calc!$C$275*(1+'财富模型'!$E$20/12)+'Calc'!$B$6,IF(Calc!$A$276&lt;='财富模型'!$E$11*12,'Calc'!$W$12,'Calc'!$Y$12)))),0))</x:f>
      </x:c>
      <x:c r="D276" t="str">
        <x:f>IF(Calc!$A$276&gt;'Calc'!$B$8,"",IF('Calc'!$E$12=1,'财富模型'!$E$9,'财富模型'!$M$4+IF(Calc!$A$276&lt;='财富模型'!$E$11*12,'Calc'!$W$12,'Calc'!$Y$12)-(IF('Calc'!$E$12=1,0,MIN(Calc!$C$275*(1+'财富模型'!$E$20/12)+'Calc'!$B$6,IF(Calc!$A$276&lt;='财富模型'!$E$11*12,'Calc'!$W$12,'Calc'!$Y$12))))))</x:f>
      </x:c>
      <x:c r="E276" t="str">
        <x:f>IF(Calc!$A$276&gt;'Calc'!$B$8,"",IF('Calc'!$E$12=1,0,MIN(Calc!$C$275*(1+'财富模型'!$E$20/12)+'Calc'!$B$6,IF(Calc!$A$276&lt;='财富模型'!$E$11*12,'Calc'!$W$12,'Calc'!$Y$12))))</x:f>
      </x:c>
      <x:c r="F276" t="str">
        <x:f>IF(Calc!$A$276&gt;'Calc'!$B$8,"",'Calc'!$B$5-'财富模型'!$E$5-(IF('Calc'!$E$12=1,'财富模型'!$E$9,'财富模型'!$M$4+IF(Calc!$A$276&lt;='财富模型'!$E$11*12,'Calc'!$W$12,'Calc'!$Y$12)-(IF('Calc'!$E$12=1,0,MIN(Calc!$C$275*(1+'财富模型'!$E$20/12)+'Calc'!$B$6,IF(Calc!$A$276&lt;='财富模型'!$E$11*12,'Calc'!$W$12,'Calc'!$Y$12)))))))</x:f>
      </x:c>
      <x:c r="G276" t="str">
        <x:f>IF(Calc!$A$276&gt;'Calc'!$B$8,"",IF('Calc'!$E$12=1,0,MAX(Calc!$G$275*(1+IF(Calc!$A$276&lt;='财富模型'!$E$11*12,'财富模型'!$E$10,'财富模型'!$E$12)/12)-IF('Calc'!$E$12=1,0,IF(Calc!$A$276&lt;='财富模型'!$E$11*12,'Calc'!$W$12,'Calc'!$Y$12)),0)))</x:f>
      </x:c>
      <x:c r="I276" t="n">
        <x:v>255</x:v>
      </x:c>
      <x:c r="J276" t="str">
        <x:f>IF(Calc!$I$276&gt;'Calc'!$B$8,"",MAX(Calc!$J$275*(1+'财富模型'!$E$6/12)+('Calc'!$B$5-'财富模型'!$E$5-(IF('Calc'!$E$13=1,'财富模型'!$E$9,'财富模型'!$M$5+IF(Calc!$I$276&lt;='财富模型'!$E$11*12,'Calc'!$W$13,'Calc'!$Y$13)-(IF('Calc'!$E$13=1,0,MIN(Calc!$K$275*(1+'财富模型'!$E$20/12)+'Calc'!$B$6,IF(Calc!$I$276&lt;='财富模型'!$E$11*12,'Calc'!$W$13,'Calc'!$Y$13))))))),0))</x:f>
      </x:c>
      <x:c r="K276" t="str">
        <x:f>IF(Calc!$I$276&gt;'Calc'!$B$8,"",MAX(Calc!$K$275*(1+'财富模型'!$E$20/12)+'Calc'!$B$6-(IF('Calc'!$E$13=1,0,MIN(Calc!$K$275*(1+'财富模型'!$E$20/12)+'Calc'!$B$6,IF(Calc!$I$276&lt;='财富模型'!$E$11*12,'Calc'!$W$13,'Calc'!$Y$13)))),0))</x:f>
      </x:c>
      <x:c r="L276" t="str">
        <x:f>IF(Calc!$I$276&gt;'Calc'!$B$8,"",IF('Calc'!$E$13=1,'财富模型'!$E$9,'财富模型'!$M$5+IF(Calc!$I$276&lt;='财富模型'!$E$11*12,'Calc'!$W$13,'Calc'!$Y$13)-(IF('Calc'!$E$13=1,0,MIN(Calc!$K$275*(1+'财富模型'!$E$20/12)+'Calc'!$B$6,IF(Calc!$I$276&lt;='财富模型'!$E$11*12,'Calc'!$W$13,'Calc'!$Y$13))))))</x:f>
      </x:c>
      <x:c r="M276" t="str">
        <x:f>IF(Calc!$I$276&gt;'Calc'!$B$8,"",IF('Calc'!$E$13=1,0,MIN(Calc!$K$275*(1+'财富模型'!$E$20/12)+'Calc'!$B$6,IF(Calc!$I$276&lt;='财富模型'!$E$11*12,'Calc'!$W$13,'Calc'!$Y$13))))</x:f>
      </x:c>
      <x:c r="N276" t="str">
        <x:f>IF(Calc!$I$276&gt;'Calc'!$B$8,"",'Calc'!$B$5-'财富模型'!$E$5-(IF('Calc'!$E$13=1,'财富模型'!$E$9,'财富模型'!$M$5+IF(Calc!$I$276&lt;='财富模型'!$E$11*12,'Calc'!$W$13,'Calc'!$Y$13)-(IF('Calc'!$E$13=1,0,MIN(Calc!$K$275*(1+'财富模型'!$E$20/12)+'Calc'!$B$6,IF(Calc!$I$276&lt;='财富模型'!$E$11*12,'Calc'!$W$13,'Calc'!$Y$13)))))))</x:f>
      </x:c>
      <x:c r="O276" t="str">
        <x:f>IF(Calc!$I$276&gt;'Calc'!$B$8,"",IF('Calc'!$E$13=1,0,MAX(Calc!$O$275*(1+IF(Calc!$I$276&lt;='财富模型'!$E$11*12,'财富模型'!$E$10,'财富模型'!$E$12)/12)-IF('Calc'!$E$13=1,0,IF(Calc!$I$276&lt;='财富模型'!$E$11*12,'Calc'!$W$13,'Calc'!$Y$13)),0)))</x:f>
      </x:c>
      <x:c r="Q276" t="n">
        <x:v>255</x:v>
      </x:c>
      <x:c r="R276" t="str">
        <x:f>IF(Calc!$Q$276&gt;'Calc'!$B$8,"",MAX(Calc!$R$275*(1+'财富模型'!$E$6/12)+('Calc'!$B$5-'财富模型'!$E$5-(IF('Calc'!$E$14=1,'财富模型'!$E$9,'财富模型'!$M$6+IF(Calc!$Q$276&lt;='财富模型'!$E$11*12,'Calc'!$W$14,'Calc'!$Y$14)-(IF('Calc'!$E$14=1,0,MIN(Calc!$S$275*(1+'财富模型'!$E$20/12)+'Calc'!$B$6,IF(Calc!$Q$276&lt;='财富模型'!$E$11*12,'Calc'!$W$14,'Calc'!$Y$14))))))),0))</x:f>
      </x:c>
      <x:c r="S276" t="str">
        <x:f>IF(Calc!$Q$276&gt;'Calc'!$B$8,"",MAX(Calc!$S$275*(1+'财富模型'!$E$20/12)+'Calc'!$B$6-(IF('Calc'!$E$14=1,0,MIN(Calc!$S$275*(1+'财富模型'!$E$20/12)+'Calc'!$B$6,IF(Calc!$Q$276&lt;='财富模型'!$E$11*12,'Calc'!$W$14,'Calc'!$Y$14)))),0))</x:f>
      </x:c>
      <x:c r="T276" t="str">
        <x:f>IF(Calc!$Q$276&gt;'Calc'!$B$8,"",IF('Calc'!$E$14=1,'财富模型'!$E$9,'财富模型'!$M$6+IF(Calc!$Q$276&lt;='财富模型'!$E$11*12,'Calc'!$W$14,'Calc'!$Y$14)-(IF('Calc'!$E$14=1,0,MIN(Calc!$S$275*(1+'财富模型'!$E$20/12)+'Calc'!$B$6,IF(Calc!$Q$276&lt;='财富模型'!$E$11*12,'Calc'!$W$14,'Calc'!$Y$14))))))</x:f>
      </x:c>
      <x:c r="U276" t="str">
        <x:f>IF(Calc!$Q$276&gt;'Calc'!$B$8,"",IF('Calc'!$E$14=1,0,MIN(Calc!$S$275*(1+'财富模型'!$E$20/12)+'Calc'!$B$6,IF(Calc!$Q$276&lt;='财富模型'!$E$11*12,'Calc'!$W$14,'Calc'!$Y$14))))</x:f>
      </x:c>
      <x:c r="V276" t="str">
        <x:f>IF(Calc!$Q$276&gt;'Calc'!$B$8,"",'Calc'!$B$5-'财富模型'!$E$5-(IF('Calc'!$E$14=1,'财富模型'!$E$9,'财富模型'!$M$6+IF(Calc!$Q$276&lt;='财富模型'!$E$11*12,'Calc'!$W$14,'Calc'!$Y$14)-(IF('Calc'!$E$14=1,0,MIN(Calc!$S$275*(1+'财富模型'!$E$20/12)+'Calc'!$B$6,IF(Calc!$Q$276&lt;='财富模型'!$E$11*12,'Calc'!$W$14,'Calc'!$Y$14)))))))</x:f>
      </x:c>
      <x:c r="W276" t="str">
        <x:f>IF(Calc!$Q$276&gt;'Calc'!$B$8,"",IF('Calc'!$E$14=1,0,MAX(Calc!$W$275*(1+IF(Calc!$Q$276&lt;='财富模型'!$E$11*12,'财富模型'!$E$10,'财富模型'!$E$12)/12)-IF('Calc'!$E$14=1,0,IF(Calc!$Q$276&lt;='财富模型'!$E$11*12,'Calc'!$W$14,'Calc'!$Y$14)),0)))</x:f>
      </x:c>
      <x:c r="Y276" t="n">
        <x:v>255</x:v>
      </x:c>
      <x:c r="Z276" t="str">
        <x:f>IF(Calc!$Y$276&gt;'Calc'!$B$8,"",MAX(Calc!$Z$275*(1+'财富模型'!$E$6/12)+('Calc'!$B$5-'财富模型'!$E$5-(IF('Calc'!$E$15=1,'财富模型'!$E$9,'财富模型'!$M$7+IF(Calc!$Y$276&lt;='财富模型'!$E$11*12,'Calc'!$W$15,'Calc'!$Y$15)-(IF('Calc'!$E$15=1,0,MIN(Calc!$AA$275*(1+'财富模型'!$E$20/12)+'Calc'!$B$6,IF(Calc!$Y$276&lt;='财富模型'!$E$11*12,'Calc'!$W$15,'Calc'!$Y$15))))))),0))</x:f>
      </x:c>
      <x:c r="AA276" t="str">
        <x:f>IF(Calc!$Y$276&gt;'Calc'!$B$8,"",MAX(Calc!$AA$275*(1+'财富模型'!$E$20/12)+'Calc'!$B$6-(IF('Calc'!$E$15=1,0,MIN(Calc!$AA$275*(1+'财富模型'!$E$20/12)+'Calc'!$B$6,IF(Calc!$Y$276&lt;='财富模型'!$E$11*12,'Calc'!$W$15,'Calc'!$Y$15)))),0))</x:f>
      </x:c>
      <x:c r="AB276" t="str">
        <x:f>IF(Calc!$Y$276&gt;'Calc'!$B$8,"",IF('Calc'!$E$15=1,'财富模型'!$E$9,'财富模型'!$M$7+IF(Calc!$Y$276&lt;='财富模型'!$E$11*12,'Calc'!$W$15,'Calc'!$Y$15)-(IF('Calc'!$E$15=1,0,MIN(Calc!$AA$275*(1+'财富模型'!$E$20/12)+'Calc'!$B$6,IF(Calc!$Y$276&lt;='财富模型'!$E$11*12,'Calc'!$W$15,'Calc'!$Y$15))))))</x:f>
      </x:c>
      <x:c r="AC276" t="str">
        <x:f>IF(Calc!$Y$276&gt;'Calc'!$B$8,"",IF('Calc'!$E$15=1,0,MIN(Calc!$AA$275*(1+'财富模型'!$E$20/12)+'Calc'!$B$6,IF(Calc!$Y$276&lt;='财富模型'!$E$11*12,'Calc'!$W$15,'Calc'!$Y$15))))</x:f>
      </x:c>
      <x:c r="AD276" t="str">
        <x:f>IF(Calc!$Y$276&gt;'Calc'!$B$8,"",'Calc'!$B$5-'财富模型'!$E$5-(IF('Calc'!$E$15=1,'财富模型'!$E$9,'财富模型'!$M$7+IF(Calc!$Y$276&lt;='财富模型'!$E$11*12,'Calc'!$W$15,'Calc'!$Y$15)-(IF('Calc'!$E$15=1,0,MIN(Calc!$AA$275*(1+'财富模型'!$E$20/12)+'Calc'!$B$6,IF(Calc!$Y$276&lt;='财富模型'!$E$11*12,'Calc'!$W$15,'Calc'!$Y$15)))))))</x:f>
      </x:c>
      <x:c r="AE276" t="str">
        <x:f>IF(Calc!$Y$276&gt;'Calc'!$B$8,"",IF('Calc'!$E$15=1,0,MAX(Calc!$AE$275*(1+IF(Calc!$Y$276&lt;='财富模型'!$E$11*12,'财富模型'!$E$10,'财富模型'!$E$12)/12)-IF('Calc'!$E$15=1,0,IF(Calc!$Y$276&lt;='财富模型'!$E$11*12,'Calc'!$W$15,'Calc'!$Y$15)),0)))</x:f>
      </x:c>
      <x:c r="AG276" t="n">
        <x:v>255</x:v>
      </x:c>
      <x:c r="AH276" t="str">
        <x:f>IF(Calc!$AG$276&gt;'Calc'!$B$8,"",MAX(Calc!$AH$275*(1+'财富模型'!$E$6/12)+('Calc'!$B$5-'财富模型'!$E$5-(IF('Calc'!$E$16=1,'财富模型'!$E$9,'财富模型'!$M$8+IF(Calc!$AG$276&lt;='财富模型'!$E$11*12,'Calc'!$W$16,'Calc'!$Y$16)-(IF('Calc'!$E$16=1,0,MIN(Calc!$AI$275*(1+'财富模型'!$E$20/12)+'Calc'!$B$6,IF(Calc!$AG$276&lt;='财富模型'!$E$11*12,'Calc'!$W$16,'Calc'!$Y$16))))))),0))</x:f>
      </x:c>
      <x:c r="AI276" t="str">
        <x:f>IF(Calc!$AG$276&gt;'Calc'!$B$8,"",MAX(Calc!$AI$275*(1+'财富模型'!$E$20/12)+'Calc'!$B$6-(IF('Calc'!$E$16=1,0,MIN(Calc!$AI$275*(1+'财富模型'!$E$20/12)+'Calc'!$B$6,IF(Calc!$AG$276&lt;='财富模型'!$E$11*12,'Calc'!$W$16,'Calc'!$Y$16)))),0))</x:f>
      </x:c>
      <x:c r="AJ276" t="str">
        <x:f>IF(Calc!$AG$276&gt;'Calc'!$B$8,"",IF('Calc'!$E$16=1,'财富模型'!$E$9,'财富模型'!$M$8+IF(Calc!$AG$276&lt;='财富模型'!$E$11*12,'Calc'!$W$16,'Calc'!$Y$16)-(IF('Calc'!$E$16=1,0,MIN(Calc!$AI$275*(1+'财富模型'!$E$20/12)+'Calc'!$B$6,IF(Calc!$AG$276&lt;='财富模型'!$E$11*12,'Calc'!$W$16,'Calc'!$Y$16))))))</x:f>
      </x:c>
      <x:c r="AK276" t="str">
        <x:f>IF(Calc!$AG$276&gt;'Calc'!$B$8,"",IF('Calc'!$E$16=1,0,MIN(Calc!$AI$275*(1+'财富模型'!$E$20/12)+'Calc'!$B$6,IF(Calc!$AG$276&lt;='财富模型'!$E$11*12,'Calc'!$W$16,'Calc'!$Y$16))))</x:f>
      </x:c>
      <x:c r="AL276" t="str">
        <x:f>IF(Calc!$AG$276&gt;'Calc'!$B$8,"",'Calc'!$B$5-'财富模型'!$E$5-(IF('Calc'!$E$16=1,'财富模型'!$E$9,'财富模型'!$M$8+IF(Calc!$AG$276&lt;='财富模型'!$E$11*12,'Calc'!$W$16,'Calc'!$Y$16)-(IF('Calc'!$E$16=1,0,MIN(Calc!$AI$275*(1+'财富模型'!$E$20/12)+'Calc'!$B$6,IF(Calc!$AG$276&lt;='财富模型'!$E$11*12,'Calc'!$W$16,'Calc'!$Y$16)))))))</x:f>
      </x:c>
      <x:c r="AM276" t="str">
        <x:f>IF(Calc!$AG$276&gt;'Calc'!$B$8,"",IF('Calc'!$E$16=1,0,MAX(Calc!$AM$275*(1+IF(Calc!$AG$276&lt;='财富模型'!$E$11*12,'财富模型'!$E$10,'财富模型'!$E$12)/12)-IF('Calc'!$E$16=1,0,IF(Calc!$AG$276&lt;='财富模型'!$E$11*12,'Calc'!$W$16,'Calc'!$Y$16)),0)))</x:f>
      </x:c>
      <x:c r="AO276" t="n">
        <x:v>255</x:v>
      </x:c>
      <x:c r="AP276" t="str">
        <x:f>IF(Calc!$AO$276&gt;'Calc'!$B$8,"",MAX(Calc!$AP$275*(1+'财富模型'!$E$6/12)+('Calc'!$B$5-'财富模型'!$E$5-(IF('Calc'!$E$17=1,'财富模型'!$E$9,'财富模型'!$M$9+IF(Calc!$AO$276&lt;='财富模型'!$E$11*12,'Calc'!$W$17,'Calc'!$Y$17)-(IF('Calc'!$E$17=1,0,MIN(Calc!$AQ$275*(1+'财富模型'!$E$20/12)+'Calc'!$B$6,IF(Calc!$AO$276&lt;='财富模型'!$E$11*12,'Calc'!$W$17,'Calc'!$Y$17))))))),0))</x:f>
      </x:c>
      <x:c r="AQ276" t="str">
        <x:f>IF(Calc!$AO$276&gt;'Calc'!$B$8,"",MAX(Calc!$AQ$275*(1+'财富模型'!$E$20/12)+'Calc'!$B$6-(IF('Calc'!$E$17=1,0,MIN(Calc!$AQ$275*(1+'财富模型'!$E$20/12)+'Calc'!$B$6,IF(Calc!$AO$276&lt;='财富模型'!$E$11*12,'Calc'!$W$17,'Calc'!$Y$17)))),0))</x:f>
      </x:c>
      <x:c r="AR276" t="str">
        <x:f>IF(Calc!$AO$276&gt;'Calc'!$B$8,"",IF('Calc'!$E$17=1,'财富模型'!$E$9,'财富模型'!$M$9+IF(Calc!$AO$276&lt;='财富模型'!$E$11*12,'Calc'!$W$17,'Calc'!$Y$17)-(IF('Calc'!$E$17=1,0,MIN(Calc!$AQ$275*(1+'财富模型'!$E$20/12)+'Calc'!$B$6,IF(Calc!$AO$276&lt;='财富模型'!$E$11*12,'Calc'!$W$17,'Calc'!$Y$17))))))</x:f>
      </x:c>
      <x:c r="AS276" t="str">
        <x:f>IF(Calc!$AO$276&gt;'Calc'!$B$8,"",IF('Calc'!$E$17=1,0,MIN(Calc!$AQ$275*(1+'财富模型'!$E$20/12)+'Calc'!$B$6,IF(Calc!$AO$276&lt;='财富模型'!$E$11*12,'Calc'!$W$17,'Calc'!$Y$17))))</x:f>
      </x:c>
      <x:c r="AT276" t="str">
        <x:f>IF(Calc!$AO$276&gt;'Calc'!$B$8,"",'Calc'!$B$5-'财富模型'!$E$5-(IF('Calc'!$E$17=1,'财富模型'!$E$9,'财富模型'!$M$9+IF(Calc!$AO$276&lt;='财富模型'!$E$11*12,'Calc'!$W$17,'Calc'!$Y$17)-(IF('Calc'!$E$17=1,0,MIN(Calc!$AQ$275*(1+'财富模型'!$E$20/12)+'Calc'!$B$6,IF(Calc!$AO$276&lt;='财富模型'!$E$11*12,'Calc'!$W$17,'Calc'!$Y$17)))))))</x:f>
      </x:c>
      <x:c r="AU276" t="str">
        <x:f>IF(Calc!$AO$276&gt;'Calc'!$B$8,"",IF('Calc'!$E$17=1,0,MAX(Calc!$AU$275*(1+IF(Calc!$AO$276&lt;='财富模型'!$E$11*12,'财富模型'!$E$10,'财富模型'!$E$12)/12)-IF('Calc'!$E$17=1,0,IF(Calc!$AO$276&lt;='财富模型'!$E$11*12,'Calc'!$W$17,'Calc'!$Y$17)),0)))</x:f>
      </x:c>
    </x:row>
    <x:row r="277">
      <x:c r="A277" t="n">
        <x:v>256</x:v>
      </x:c>
      <x:c r="B277" t="str">
        <x:f>IF(Calc!$A$277&gt;'Calc'!$B$8,"",MAX(Calc!$B$276*(1+'财富模型'!$E$6/12)+('Calc'!$B$5-'财富模型'!$E$5-(IF('Calc'!$E$12=1,'财富模型'!$E$9,'财富模型'!$M$4+IF(Calc!$A$277&lt;='财富模型'!$E$11*12,'Calc'!$W$12,'Calc'!$Y$12)-(IF('Calc'!$E$12=1,0,MIN(Calc!$C$276*(1+'财富模型'!$E$20/12)+'Calc'!$B$6,IF(Calc!$A$277&lt;='财富模型'!$E$11*12,'Calc'!$W$12,'Calc'!$Y$12))))))),0))</x:f>
      </x:c>
      <x:c r="C277" t="str">
        <x:f>IF(Calc!$A$277&gt;'Calc'!$B$8,"",MAX(Calc!$C$276*(1+'财富模型'!$E$20/12)+'Calc'!$B$6-(IF('Calc'!$E$12=1,0,MIN(Calc!$C$276*(1+'财富模型'!$E$20/12)+'Calc'!$B$6,IF(Calc!$A$277&lt;='财富模型'!$E$11*12,'Calc'!$W$12,'Calc'!$Y$12)))),0))</x:f>
      </x:c>
      <x:c r="D277" t="str">
        <x:f>IF(Calc!$A$277&gt;'Calc'!$B$8,"",IF('Calc'!$E$12=1,'财富模型'!$E$9,'财富模型'!$M$4+IF(Calc!$A$277&lt;='财富模型'!$E$11*12,'Calc'!$W$12,'Calc'!$Y$12)-(IF('Calc'!$E$12=1,0,MIN(Calc!$C$276*(1+'财富模型'!$E$20/12)+'Calc'!$B$6,IF(Calc!$A$277&lt;='财富模型'!$E$11*12,'Calc'!$W$12,'Calc'!$Y$12))))))</x:f>
      </x:c>
      <x:c r="E277" t="str">
        <x:f>IF(Calc!$A$277&gt;'Calc'!$B$8,"",IF('Calc'!$E$12=1,0,MIN(Calc!$C$276*(1+'财富模型'!$E$20/12)+'Calc'!$B$6,IF(Calc!$A$277&lt;='财富模型'!$E$11*12,'Calc'!$W$12,'Calc'!$Y$12))))</x:f>
      </x:c>
      <x:c r="F277" t="str">
        <x:f>IF(Calc!$A$277&gt;'Calc'!$B$8,"",'Calc'!$B$5-'财富模型'!$E$5-(IF('Calc'!$E$12=1,'财富模型'!$E$9,'财富模型'!$M$4+IF(Calc!$A$277&lt;='财富模型'!$E$11*12,'Calc'!$W$12,'Calc'!$Y$12)-(IF('Calc'!$E$12=1,0,MIN(Calc!$C$276*(1+'财富模型'!$E$20/12)+'Calc'!$B$6,IF(Calc!$A$277&lt;='财富模型'!$E$11*12,'Calc'!$W$12,'Calc'!$Y$12)))))))</x:f>
      </x:c>
      <x:c r="G277" t="str">
        <x:f>IF(Calc!$A$277&gt;'Calc'!$B$8,"",IF('Calc'!$E$12=1,0,MAX(Calc!$G$276*(1+IF(Calc!$A$277&lt;='财富模型'!$E$11*12,'财富模型'!$E$10,'财富模型'!$E$12)/12)-IF('Calc'!$E$12=1,0,IF(Calc!$A$277&lt;='财富模型'!$E$11*12,'Calc'!$W$12,'Calc'!$Y$12)),0)))</x:f>
      </x:c>
      <x:c r="I277" t="n">
        <x:v>256</x:v>
      </x:c>
      <x:c r="J277" t="str">
        <x:f>IF(Calc!$I$277&gt;'Calc'!$B$8,"",MAX(Calc!$J$276*(1+'财富模型'!$E$6/12)+('Calc'!$B$5-'财富模型'!$E$5-(IF('Calc'!$E$13=1,'财富模型'!$E$9,'财富模型'!$M$5+IF(Calc!$I$277&lt;='财富模型'!$E$11*12,'Calc'!$W$13,'Calc'!$Y$13)-(IF('Calc'!$E$13=1,0,MIN(Calc!$K$276*(1+'财富模型'!$E$20/12)+'Calc'!$B$6,IF(Calc!$I$277&lt;='财富模型'!$E$11*12,'Calc'!$W$13,'Calc'!$Y$13))))))),0))</x:f>
      </x:c>
      <x:c r="K277" t="str">
        <x:f>IF(Calc!$I$277&gt;'Calc'!$B$8,"",MAX(Calc!$K$276*(1+'财富模型'!$E$20/12)+'Calc'!$B$6-(IF('Calc'!$E$13=1,0,MIN(Calc!$K$276*(1+'财富模型'!$E$20/12)+'Calc'!$B$6,IF(Calc!$I$277&lt;='财富模型'!$E$11*12,'Calc'!$W$13,'Calc'!$Y$13)))),0))</x:f>
      </x:c>
      <x:c r="L277" t="str">
        <x:f>IF(Calc!$I$277&gt;'Calc'!$B$8,"",IF('Calc'!$E$13=1,'财富模型'!$E$9,'财富模型'!$M$5+IF(Calc!$I$277&lt;='财富模型'!$E$11*12,'Calc'!$W$13,'Calc'!$Y$13)-(IF('Calc'!$E$13=1,0,MIN(Calc!$K$276*(1+'财富模型'!$E$20/12)+'Calc'!$B$6,IF(Calc!$I$277&lt;='财富模型'!$E$11*12,'Calc'!$W$13,'Calc'!$Y$13))))))</x:f>
      </x:c>
      <x:c r="M277" t="str">
        <x:f>IF(Calc!$I$277&gt;'Calc'!$B$8,"",IF('Calc'!$E$13=1,0,MIN(Calc!$K$276*(1+'财富模型'!$E$20/12)+'Calc'!$B$6,IF(Calc!$I$277&lt;='财富模型'!$E$11*12,'Calc'!$W$13,'Calc'!$Y$13))))</x:f>
      </x:c>
      <x:c r="N277" t="str">
        <x:f>IF(Calc!$I$277&gt;'Calc'!$B$8,"",'Calc'!$B$5-'财富模型'!$E$5-(IF('Calc'!$E$13=1,'财富模型'!$E$9,'财富模型'!$M$5+IF(Calc!$I$277&lt;='财富模型'!$E$11*12,'Calc'!$W$13,'Calc'!$Y$13)-(IF('Calc'!$E$13=1,0,MIN(Calc!$K$276*(1+'财富模型'!$E$20/12)+'Calc'!$B$6,IF(Calc!$I$277&lt;='财富模型'!$E$11*12,'Calc'!$W$13,'Calc'!$Y$13)))))))</x:f>
      </x:c>
      <x:c r="O277" t="str">
        <x:f>IF(Calc!$I$277&gt;'Calc'!$B$8,"",IF('Calc'!$E$13=1,0,MAX(Calc!$O$276*(1+IF(Calc!$I$277&lt;='财富模型'!$E$11*12,'财富模型'!$E$10,'财富模型'!$E$12)/12)-IF('Calc'!$E$13=1,0,IF(Calc!$I$277&lt;='财富模型'!$E$11*12,'Calc'!$W$13,'Calc'!$Y$13)),0)))</x:f>
      </x:c>
      <x:c r="Q277" t="n">
        <x:v>256</x:v>
      </x:c>
      <x:c r="R277" t="str">
        <x:f>IF(Calc!$Q$277&gt;'Calc'!$B$8,"",MAX(Calc!$R$276*(1+'财富模型'!$E$6/12)+('Calc'!$B$5-'财富模型'!$E$5-(IF('Calc'!$E$14=1,'财富模型'!$E$9,'财富模型'!$M$6+IF(Calc!$Q$277&lt;='财富模型'!$E$11*12,'Calc'!$W$14,'Calc'!$Y$14)-(IF('Calc'!$E$14=1,0,MIN(Calc!$S$276*(1+'财富模型'!$E$20/12)+'Calc'!$B$6,IF(Calc!$Q$277&lt;='财富模型'!$E$11*12,'Calc'!$W$14,'Calc'!$Y$14))))))),0))</x:f>
      </x:c>
      <x:c r="S277" t="str">
        <x:f>IF(Calc!$Q$277&gt;'Calc'!$B$8,"",MAX(Calc!$S$276*(1+'财富模型'!$E$20/12)+'Calc'!$B$6-(IF('Calc'!$E$14=1,0,MIN(Calc!$S$276*(1+'财富模型'!$E$20/12)+'Calc'!$B$6,IF(Calc!$Q$277&lt;='财富模型'!$E$11*12,'Calc'!$W$14,'Calc'!$Y$14)))),0))</x:f>
      </x:c>
      <x:c r="T277" t="str">
        <x:f>IF(Calc!$Q$277&gt;'Calc'!$B$8,"",IF('Calc'!$E$14=1,'财富模型'!$E$9,'财富模型'!$M$6+IF(Calc!$Q$277&lt;='财富模型'!$E$11*12,'Calc'!$W$14,'Calc'!$Y$14)-(IF('Calc'!$E$14=1,0,MIN(Calc!$S$276*(1+'财富模型'!$E$20/12)+'Calc'!$B$6,IF(Calc!$Q$277&lt;='财富模型'!$E$11*12,'Calc'!$W$14,'Calc'!$Y$14))))))</x:f>
      </x:c>
      <x:c r="U277" t="str">
        <x:f>IF(Calc!$Q$277&gt;'Calc'!$B$8,"",IF('Calc'!$E$14=1,0,MIN(Calc!$S$276*(1+'财富模型'!$E$20/12)+'Calc'!$B$6,IF(Calc!$Q$277&lt;='财富模型'!$E$11*12,'Calc'!$W$14,'Calc'!$Y$14))))</x:f>
      </x:c>
      <x:c r="V277" t="str">
        <x:f>IF(Calc!$Q$277&gt;'Calc'!$B$8,"",'Calc'!$B$5-'财富模型'!$E$5-(IF('Calc'!$E$14=1,'财富模型'!$E$9,'财富模型'!$M$6+IF(Calc!$Q$277&lt;='财富模型'!$E$11*12,'Calc'!$W$14,'Calc'!$Y$14)-(IF('Calc'!$E$14=1,0,MIN(Calc!$S$276*(1+'财富模型'!$E$20/12)+'Calc'!$B$6,IF(Calc!$Q$277&lt;='财富模型'!$E$11*12,'Calc'!$W$14,'Calc'!$Y$14)))))))</x:f>
      </x:c>
      <x:c r="W277" t="str">
        <x:f>IF(Calc!$Q$277&gt;'Calc'!$B$8,"",IF('Calc'!$E$14=1,0,MAX(Calc!$W$276*(1+IF(Calc!$Q$277&lt;='财富模型'!$E$11*12,'财富模型'!$E$10,'财富模型'!$E$12)/12)-IF('Calc'!$E$14=1,0,IF(Calc!$Q$277&lt;='财富模型'!$E$11*12,'Calc'!$W$14,'Calc'!$Y$14)),0)))</x:f>
      </x:c>
      <x:c r="Y277" t="n">
        <x:v>256</x:v>
      </x:c>
      <x:c r="Z277" t="str">
        <x:f>IF(Calc!$Y$277&gt;'Calc'!$B$8,"",MAX(Calc!$Z$276*(1+'财富模型'!$E$6/12)+('Calc'!$B$5-'财富模型'!$E$5-(IF('Calc'!$E$15=1,'财富模型'!$E$9,'财富模型'!$M$7+IF(Calc!$Y$277&lt;='财富模型'!$E$11*12,'Calc'!$W$15,'Calc'!$Y$15)-(IF('Calc'!$E$15=1,0,MIN(Calc!$AA$276*(1+'财富模型'!$E$20/12)+'Calc'!$B$6,IF(Calc!$Y$277&lt;='财富模型'!$E$11*12,'Calc'!$W$15,'Calc'!$Y$15))))))),0))</x:f>
      </x:c>
      <x:c r="AA277" t="str">
        <x:f>IF(Calc!$Y$277&gt;'Calc'!$B$8,"",MAX(Calc!$AA$276*(1+'财富模型'!$E$20/12)+'Calc'!$B$6-(IF('Calc'!$E$15=1,0,MIN(Calc!$AA$276*(1+'财富模型'!$E$20/12)+'Calc'!$B$6,IF(Calc!$Y$277&lt;='财富模型'!$E$11*12,'Calc'!$W$15,'Calc'!$Y$15)))),0))</x:f>
      </x:c>
      <x:c r="AB277" t="str">
        <x:f>IF(Calc!$Y$277&gt;'Calc'!$B$8,"",IF('Calc'!$E$15=1,'财富模型'!$E$9,'财富模型'!$M$7+IF(Calc!$Y$277&lt;='财富模型'!$E$11*12,'Calc'!$W$15,'Calc'!$Y$15)-(IF('Calc'!$E$15=1,0,MIN(Calc!$AA$276*(1+'财富模型'!$E$20/12)+'Calc'!$B$6,IF(Calc!$Y$277&lt;='财富模型'!$E$11*12,'Calc'!$W$15,'Calc'!$Y$15))))))</x:f>
      </x:c>
      <x:c r="AC277" t="str">
        <x:f>IF(Calc!$Y$277&gt;'Calc'!$B$8,"",IF('Calc'!$E$15=1,0,MIN(Calc!$AA$276*(1+'财富模型'!$E$20/12)+'Calc'!$B$6,IF(Calc!$Y$277&lt;='财富模型'!$E$11*12,'Calc'!$W$15,'Calc'!$Y$15))))</x:f>
      </x:c>
      <x:c r="AD277" t="str">
        <x:f>IF(Calc!$Y$277&gt;'Calc'!$B$8,"",'Calc'!$B$5-'财富模型'!$E$5-(IF('Calc'!$E$15=1,'财富模型'!$E$9,'财富模型'!$M$7+IF(Calc!$Y$277&lt;='财富模型'!$E$11*12,'Calc'!$W$15,'Calc'!$Y$15)-(IF('Calc'!$E$15=1,0,MIN(Calc!$AA$276*(1+'财富模型'!$E$20/12)+'Calc'!$B$6,IF(Calc!$Y$277&lt;='财富模型'!$E$11*12,'Calc'!$W$15,'Calc'!$Y$15)))))))</x:f>
      </x:c>
      <x:c r="AE277" t="str">
        <x:f>IF(Calc!$Y$277&gt;'Calc'!$B$8,"",IF('Calc'!$E$15=1,0,MAX(Calc!$AE$276*(1+IF(Calc!$Y$277&lt;='财富模型'!$E$11*12,'财富模型'!$E$10,'财富模型'!$E$12)/12)-IF('Calc'!$E$15=1,0,IF(Calc!$Y$277&lt;='财富模型'!$E$11*12,'Calc'!$W$15,'Calc'!$Y$15)),0)))</x:f>
      </x:c>
      <x:c r="AG277" t="n">
        <x:v>256</x:v>
      </x:c>
      <x:c r="AH277" t="str">
        <x:f>IF(Calc!$AG$277&gt;'Calc'!$B$8,"",MAX(Calc!$AH$276*(1+'财富模型'!$E$6/12)+('Calc'!$B$5-'财富模型'!$E$5-(IF('Calc'!$E$16=1,'财富模型'!$E$9,'财富模型'!$M$8+IF(Calc!$AG$277&lt;='财富模型'!$E$11*12,'Calc'!$W$16,'Calc'!$Y$16)-(IF('Calc'!$E$16=1,0,MIN(Calc!$AI$276*(1+'财富模型'!$E$20/12)+'Calc'!$B$6,IF(Calc!$AG$277&lt;='财富模型'!$E$11*12,'Calc'!$W$16,'Calc'!$Y$16))))))),0))</x:f>
      </x:c>
      <x:c r="AI277" t="str">
        <x:f>IF(Calc!$AG$277&gt;'Calc'!$B$8,"",MAX(Calc!$AI$276*(1+'财富模型'!$E$20/12)+'Calc'!$B$6-(IF('Calc'!$E$16=1,0,MIN(Calc!$AI$276*(1+'财富模型'!$E$20/12)+'Calc'!$B$6,IF(Calc!$AG$277&lt;='财富模型'!$E$11*12,'Calc'!$W$16,'Calc'!$Y$16)))),0))</x:f>
      </x:c>
      <x:c r="AJ277" t="str">
        <x:f>IF(Calc!$AG$277&gt;'Calc'!$B$8,"",IF('Calc'!$E$16=1,'财富模型'!$E$9,'财富模型'!$M$8+IF(Calc!$AG$277&lt;='财富模型'!$E$11*12,'Calc'!$W$16,'Calc'!$Y$16)-(IF('Calc'!$E$16=1,0,MIN(Calc!$AI$276*(1+'财富模型'!$E$20/12)+'Calc'!$B$6,IF(Calc!$AG$277&lt;='财富模型'!$E$11*12,'Calc'!$W$16,'Calc'!$Y$16))))))</x:f>
      </x:c>
      <x:c r="AK277" t="str">
        <x:f>IF(Calc!$AG$277&gt;'Calc'!$B$8,"",IF('Calc'!$E$16=1,0,MIN(Calc!$AI$276*(1+'财富模型'!$E$20/12)+'Calc'!$B$6,IF(Calc!$AG$277&lt;='财富模型'!$E$11*12,'Calc'!$W$16,'Calc'!$Y$16))))</x:f>
      </x:c>
      <x:c r="AL277" t="str">
        <x:f>IF(Calc!$AG$277&gt;'Calc'!$B$8,"",'Calc'!$B$5-'财富模型'!$E$5-(IF('Calc'!$E$16=1,'财富模型'!$E$9,'财富模型'!$M$8+IF(Calc!$AG$277&lt;='财富模型'!$E$11*12,'Calc'!$W$16,'Calc'!$Y$16)-(IF('Calc'!$E$16=1,0,MIN(Calc!$AI$276*(1+'财富模型'!$E$20/12)+'Calc'!$B$6,IF(Calc!$AG$277&lt;='财富模型'!$E$11*12,'Calc'!$W$16,'Calc'!$Y$16)))))))</x:f>
      </x:c>
      <x:c r="AM277" t="str">
        <x:f>IF(Calc!$AG$277&gt;'Calc'!$B$8,"",IF('Calc'!$E$16=1,0,MAX(Calc!$AM$276*(1+IF(Calc!$AG$277&lt;='财富模型'!$E$11*12,'财富模型'!$E$10,'财富模型'!$E$12)/12)-IF('Calc'!$E$16=1,0,IF(Calc!$AG$277&lt;='财富模型'!$E$11*12,'Calc'!$W$16,'Calc'!$Y$16)),0)))</x:f>
      </x:c>
      <x:c r="AO277" t="n">
        <x:v>256</x:v>
      </x:c>
      <x:c r="AP277" t="str">
        <x:f>IF(Calc!$AO$277&gt;'Calc'!$B$8,"",MAX(Calc!$AP$276*(1+'财富模型'!$E$6/12)+('Calc'!$B$5-'财富模型'!$E$5-(IF('Calc'!$E$17=1,'财富模型'!$E$9,'财富模型'!$M$9+IF(Calc!$AO$277&lt;='财富模型'!$E$11*12,'Calc'!$W$17,'Calc'!$Y$17)-(IF('Calc'!$E$17=1,0,MIN(Calc!$AQ$276*(1+'财富模型'!$E$20/12)+'Calc'!$B$6,IF(Calc!$AO$277&lt;='财富模型'!$E$11*12,'Calc'!$W$17,'Calc'!$Y$17))))))),0))</x:f>
      </x:c>
      <x:c r="AQ277" t="str">
        <x:f>IF(Calc!$AO$277&gt;'Calc'!$B$8,"",MAX(Calc!$AQ$276*(1+'财富模型'!$E$20/12)+'Calc'!$B$6-(IF('Calc'!$E$17=1,0,MIN(Calc!$AQ$276*(1+'财富模型'!$E$20/12)+'Calc'!$B$6,IF(Calc!$AO$277&lt;='财富模型'!$E$11*12,'Calc'!$W$17,'Calc'!$Y$17)))),0))</x:f>
      </x:c>
      <x:c r="AR277" t="str">
        <x:f>IF(Calc!$AO$277&gt;'Calc'!$B$8,"",IF('Calc'!$E$17=1,'财富模型'!$E$9,'财富模型'!$M$9+IF(Calc!$AO$277&lt;='财富模型'!$E$11*12,'Calc'!$W$17,'Calc'!$Y$17)-(IF('Calc'!$E$17=1,0,MIN(Calc!$AQ$276*(1+'财富模型'!$E$20/12)+'Calc'!$B$6,IF(Calc!$AO$277&lt;='财富模型'!$E$11*12,'Calc'!$W$17,'Calc'!$Y$17))))))</x:f>
      </x:c>
      <x:c r="AS277" t="str">
        <x:f>IF(Calc!$AO$277&gt;'Calc'!$B$8,"",IF('Calc'!$E$17=1,0,MIN(Calc!$AQ$276*(1+'财富模型'!$E$20/12)+'Calc'!$B$6,IF(Calc!$AO$277&lt;='财富模型'!$E$11*12,'Calc'!$W$17,'Calc'!$Y$17))))</x:f>
      </x:c>
      <x:c r="AT277" t="str">
        <x:f>IF(Calc!$AO$277&gt;'Calc'!$B$8,"",'Calc'!$B$5-'财富模型'!$E$5-(IF('Calc'!$E$17=1,'财富模型'!$E$9,'财富模型'!$M$9+IF(Calc!$AO$277&lt;='财富模型'!$E$11*12,'Calc'!$W$17,'Calc'!$Y$17)-(IF('Calc'!$E$17=1,0,MIN(Calc!$AQ$276*(1+'财富模型'!$E$20/12)+'Calc'!$B$6,IF(Calc!$AO$277&lt;='财富模型'!$E$11*12,'Calc'!$W$17,'Calc'!$Y$17)))))))</x:f>
      </x:c>
      <x:c r="AU277" t="str">
        <x:f>IF(Calc!$AO$277&gt;'Calc'!$B$8,"",IF('Calc'!$E$17=1,0,MAX(Calc!$AU$276*(1+IF(Calc!$AO$277&lt;='财富模型'!$E$11*12,'财富模型'!$E$10,'财富模型'!$E$12)/12)-IF('Calc'!$E$17=1,0,IF(Calc!$AO$277&lt;='财富模型'!$E$11*12,'Calc'!$W$17,'Calc'!$Y$17)),0)))</x:f>
      </x:c>
    </x:row>
    <x:row r="278">
      <x:c r="A278" t="n">
        <x:v>257</x:v>
      </x:c>
      <x:c r="B278" t="str">
        <x:f>IF(Calc!$A$278&gt;'Calc'!$B$8,"",MAX(Calc!$B$277*(1+'财富模型'!$E$6/12)+('Calc'!$B$5-'财富模型'!$E$5-(IF('Calc'!$E$12=1,'财富模型'!$E$9,'财富模型'!$M$4+IF(Calc!$A$278&lt;='财富模型'!$E$11*12,'Calc'!$W$12,'Calc'!$Y$12)-(IF('Calc'!$E$12=1,0,MIN(Calc!$C$277*(1+'财富模型'!$E$20/12)+'Calc'!$B$6,IF(Calc!$A$278&lt;='财富模型'!$E$11*12,'Calc'!$W$12,'Calc'!$Y$12))))))),0))</x:f>
      </x:c>
      <x:c r="C278" t="str">
        <x:f>IF(Calc!$A$278&gt;'Calc'!$B$8,"",MAX(Calc!$C$277*(1+'财富模型'!$E$20/12)+'Calc'!$B$6-(IF('Calc'!$E$12=1,0,MIN(Calc!$C$277*(1+'财富模型'!$E$20/12)+'Calc'!$B$6,IF(Calc!$A$278&lt;='财富模型'!$E$11*12,'Calc'!$W$12,'Calc'!$Y$12)))),0))</x:f>
      </x:c>
      <x:c r="D278" t="str">
        <x:f>IF(Calc!$A$278&gt;'Calc'!$B$8,"",IF('Calc'!$E$12=1,'财富模型'!$E$9,'财富模型'!$M$4+IF(Calc!$A$278&lt;='财富模型'!$E$11*12,'Calc'!$W$12,'Calc'!$Y$12)-(IF('Calc'!$E$12=1,0,MIN(Calc!$C$277*(1+'财富模型'!$E$20/12)+'Calc'!$B$6,IF(Calc!$A$278&lt;='财富模型'!$E$11*12,'Calc'!$W$12,'Calc'!$Y$12))))))</x:f>
      </x:c>
      <x:c r="E278" t="str">
        <x:f>IF(Calc!$A$278&gt;'Calc'!$B$8,"",IF('Calc'!$E$12=1,0,MIN(Calc!$C$277*(1+'财富模型'!$E$20/12)+'Calc'!$B$6,IF(Calc!$A$278&lt;='财富模型'!$E$11*12,'Calc'!$W$12,'Calc'!$Y$12))))</x:f>
      </x:c>
      <x:c r="F278" t="str">
        <x:f>IF(Calc!$A$278&gt;'Calc'!$B$8,"",'Calc'!$B$5-'财富模型'!$E$5-(IF('Calc'!$E$12=1,'财富模型'!$E$9,'财富模型'!$M$4+IF(Calc!$A$278&lt;='财富模型'!$E$11*12,'Calc'!$W$12,'Calc'!$Y$12)-(IF('Calc'!$E$12=1,0,MIN(Calc!$C$277*(1+'财富模型'!$E$20/12)+'Calc'!$B$6,IF(Calc!$A$278&lt;='财富模型'!$E$11*12,'Calc'!$W$12,'Calc'!$Y$12)))))))</x:f>
      </x:c>
      <x:c r="G278" t="str">
        <x:f>IF(Calc!$A$278&gt;'Calc'!$B$8,"",IF('Calc'!$E$12=1,0,MAX(Calc!$G$277*(1+IF(Calc!$A$278&lt;='财富模型'!$E$11*12,'财富模型'!$E$10,'财富模型'!$E$12)/12)-IF('Calc'!$E$12=1,0,IF(Calc!$A$278&lt;='财富模型'!$E$11*12,'Calc'!$W$12,'Calc'!$Y$12)),0)))</x:f>
      </x:c>
      <x:c r="I278" t="n">
        <x:v>257</x:v>
      </x:c>
      <x:c r="J278" t="str">
        <x:f>IF(Calc!$I$278&gt;'Calc'!$B$8,"",MAX(Calc!$J$277*(1+'财富模型'!$E$6/12)+('Calc'!$B$5-'财富模型'!$E$5-(IF('Calc'!$E$13=1,'财富模型'!$E$9,'财富模型'!$M$5+IF(Calc!$I$278&lt;='财富模型'!$E$11*12,'Calc'!$W$13,'Calc'!$Y$13)-(IF('Calc'!$E$13=1,0,MIN(Calc!$K$277*(1+'财富模型'!$E$20/12)+'Calc'!$B$6,IF(Calc!$I$278&lt;='财富模型'!$E$11*12,'Calc'!$W$13,'Calc'!$Y$13))))))),0))</x:f>
      </x:c>
      <x:c r="K278" t="str">
        <x:f>IF(Calc!$I$278&gt;'Calc'!$B$8,"",MAX(Calc!$K$277*(1+'财富模型'!$E$20/12)+'Calc'!$B$6-(IF('Calc'!$E$13=1,0,MIN(Calc!$K$277*(1+'财富模型'!$E$20/12)+'Calc'!$B$6,IF(Calc!$I$278&lt;='财富模型'!$E$11*12,'Calc'!$W$13,'Calc'!$Y$13)))),0))</x:f>
      </x:c>
      <x:c r="L278" t="str">
        <x:f>IF(Calc!$I$278&gt;'Calc'!$B$8,"",IF('Calc'!$E$13=1,'财富模型'!$E$9,'财富模型'!$M$5+IF(Calc!$I$278&lt;='财富模型'!$E$11*12,'Calc'!$W$13,'Calc'!$Y$13)-(IF('Calc'!$E$13=1,0,MIN(Calc!$K$277*(1+'财富模型'!$E$20/12)+'Calc'!$B$6,IF(Calc!$I$278&lt;='财富模型'!$E$11*12,'Calc'!$W$13,'Calc'!$Y$13))))))</x:f>
      </x:c>
      <x:c r="M278" t="str">
        <x:f>IF(Calc!$I$278&gt;'Calc'!$B$8,"",IF('Calc'!$E$13=1,0,MIN(Calc!$K$277*(1+'财富模型'!$E$20/12)+'Calc'!$B$6,IF(Calc!$I$278&lt;='财富模型'!$E$11*12,'Calc'!$W$13,'Calc'!$Y$13))))</x:f>
      </x:c>
      <x:c r="N278" t="str">
        <x:f>IF(Calc!$I$278&gt;'Calc'!$B$8,"",'Calc'!$B$5-'财富模型'!$E$5-(IF('Calc'!$E$13=1,'财富模型'!$E$9,'财富模型'!$M$5+IF(Calc!$I$278&lt;='财富模型'!$E$11*12,'Calc'!$W$13,'Calc'!$Y$13)-(IF('Calc'!$E$13=1,0,MIN(Calc!$K$277*(1+'财富模型'!$E$20/12)+'Calc'!$B$6,IF(Calc!$I$278&lt;='财富模型'!$E$11*12,'Calc'!$W$13,'Calc'!$Y$13)))))))</x:f>
      </x:c>
      <x:c r="O278" t="str">
        <x:f>IF(Calc!$I$278&gt;'Calc'!$B$8,"",IF('Calc'!$E$13=1,0,MAX(Calc!$O$277*(1+IF(Calc!$I$278&lt;='财富模型'!$E$11*12,'财富模型'!$E$10,'财富模型'!$E$12)/12)-IF('Calc'!$E$13=1,0,IF(Calc!$I$278&lt;='财富模型'!$E$11*12,'Calc'!$W$13,'Calc'!$Y$13)),0)))</x:f>
      </x:c>
      <x:c r="Q278" t="n">
        <x:v>257</x:v>
      </x:c>
      <x:c r="R278" t="str">
        <x:f>IF(Calc!$Q$278&gt;'Calc'!$B$8,"",MAX(Calc!$R$277*(1+'财富模型'!$E$6/12)+('Calc'!$B$5-'财富模型'!$E$5-(IF('Calc'!$E$14=1,'财富模型'!$E$9,'财富模型'!$M$6+IF(Calc!$Q$278&lt;='财富模型'!$E$11*12,'Calc'!$W$14,'Calc'!$Y$14)-(IF('Calc'!$E$14=1,0,MIN(Calc!$S$277*(1+'财富模型'!$E$20/12)+'Calc'!$B$6,IF(Calc!$Q$278&lt;='财富模型'!$E$11*12,'Calc'!$W$14,'Calc'!$Y$14))))))),0))</x:f>
      </x:c>
      <x:c r="S278" t="str">
        <x:f>IF(Calc!$Q$278&gt;'Calc'!$B$8,"",MAX(Calc!$S$277*(1+'财富模型'!$E$20/12)+'Calc'!$B$6-(IF('Calc'!$E$14=1,0,MIN(Calc!$S$277*(1+'财富模型'!$E$20/12)+'Calc'!$B$6,IF(Calc!$Q$278&lt;='财富模型'!$E$11*12,'Calc'!$W$14,'Calc'!$Y$14)))),0))</x:f>
      </x:c>
      <x:c r="T278" t="str">
        <x:f>IF(Calc!$Q$278&gt;'Calc'!$B$8,"",IF('Calc'!$E$14=1,'财富模型'!$E$9,'财富模型'!$M$6+IF(Calc!$Q$278&lt;='财富模型'!$E$11*12,'Calc'!$W$14,'Calc'!$Y$14)-(IF('Calc'!$E$14=1,0,MIN(Calc!$S$277*(1+'财富模型'!$E$20/12)+'Calc'!$B$6,IF(Calc!$Q$278&lt;='财富模型'!$E$11*12,'Calc'!$W$14,'Calc'!$Y$14))))))</x:f>
      </x:c>
      <x:c r="U278" t="str">
        <x:f>IF(Calc!$Q$278&gt;'Calc'!$B$8,"",IF('Calc'!$E$14=1,0,MIN(Calc!$S$277*(1+'财富模型'!$E$20/12)+'Calc'!$B$6,IF(Calc!$Q$278&lt;='财富模型'!$E$11*12,'Calc'!$W$14,'Calc'!$Y$14))))</x:f>
      </x:c>
      <x:c r="V278" t="str">
        <x:f>IF(Calc!$Q$278&gt;'Calc'!$B$8,"",'Calc'!$B$5-'财富模型'!$E$5-(IF('Calc'!$E$14=1,'财富模型'!$E$9,'财富模型'!$M$6+IF(Calc!$Q$278&lt;='财富模型'!$E$11*12,'Calc'!$W$14,'Calc'!$Y$14)-(IF('Calc'!$E$14=1,0,MIN(Calc!$S$277*(1+'财富模型'!$E$20/12)+'Calc'!$B$6,IF(Calc!$Q$278&lt;='财富模型'!$E$11*12,'Calc'!$W$14,'Calc'!$Y$14)))))))</x:f>
      </x:c>
      <x:c r="W278" t="str">
        <x:f>IF(Calc!$Q$278&gt;'Calc'!$B$8,"",IF('Calc'!$E$14=1,0,MAX(Calc!$W$277*(1+IF(Calc!$Q$278&lt;='财富模型'!$E$11*12,'财富模型'!$E$10,'财富模型'!$E$12)/12)-IF('Calc'!$E$14=1,0,IF(Calc!$Q$278&lt;='财富模型'!$E$11*12,'Calc'!$W$14,'Calc'!$Y$14)),0)))</x:f>
      </x:c>
      <x:c r="Y278" t="n">
        <x:v>257</x:v>
      </x:c>
      <x:c r="Z278" t="str">
        <x:f>IF(Calc!$Y$278&gt;'Calc'!$B$8,"",MAX(Calc!$Z$277*(1+'财富模型'!$E$6/12)+('Calc'!$B$5-'财富模型'!$E$5-(IF('Calc'!$E$15=1,'财富模型'!$E$9,'财富模型'!$M$7+IF(Calc!$Y$278&lt;='财富模型'!$E$11*12,'Calc'!$W$15,'Calc'!$Y$15)-(IF('Calc'!$E$15=1,0,MIN(Calc!$AA$277*(1+'财富模型'!$E$20/12)+'Calc'!$B$6,IF(Calc!$Y$278&lt;='财富模型'!$E$11*12,'Calc'!$W$15,'Calc'!$Y$15))))))),0))</x:f>
      </x:c>
      <x:c r="AA278" t="str">
        <x:f>IF(Calc!$Y$278&gt;'Calc'!$B$8,"",MAX(Calc!$AA$277*(1+'财富模型'!$E$20/12)+'Calc'!$B$6-(IF('Calc'!$E$15=1,0,MIN(Calc!$AA$277*(1+'财富模型'!$E$20/12)+'Calc'!$B$6,IF(Calc!$Y$278&lt;='财富模型'!$E$11*12,'Calc'!$W$15,'Calc'!$Y$15)))),0))</x:f>
      </x:c>
      <x:c r="AB278" t="str">
        <x:f>IF(Calc!$Y$278&gt;'Calc'!$B$8,"",IF('Calc'!$E$15=1,'财富模型'!$E$9,'财富模型'!$M$7+IF(Calc!$Y$278&lt;='财富模型'!$E$11*12,'Calc'!$W$15,'Calc'!$Y$15)-(IF('Calc'!$E$15=1,0,MIN(Calc!$AA$277*(1+'财富模型'!$E$20/12)+'Calc'!$B$6,IF(Calc!$Y$278&lt;='财富模型'!$E$11*12,'Calc'!$W$15,'Calc'!$Y$15))))))</x:f>
      </x:c>
      <x:c r="AC278" t="str">
        <x:f>IF(Calc!$Y$278&gt;'Calc'!$B$8,"",IF('Calc'!$E$15=1,0,MIN(Calc!$AA$277*(1+'财富模型'!$E$20/12)+'Calc'!$B$6,IF(Calc!$Y$278&lt;='财富模型'!$E$11*12,'Calc'!$W$15,'Calc'!$Y$15))))</x:f>
      </x:c>
      <x:c r="AD278" t="str">
        <x:f>IF(Calc!$Y$278&gt;'Calc'!$B$8,"",'Calc'!$B$5-'财富模型'!$E$5-(IF('Calc'!$E$15=1,'财富模型'!$E$9,'财富模型'!$M$7+IF(Calc!$Y$278&lt;='财富模型'!$E$11*12,'Calc'!$W$15,'Calc'!$Y$15)-(IF('Calc'!$E$15=1,0,MIN(Calc!$AA$277*(1+'财富模型'!$E$20/12)+'Calc'!$B$6,IF(Calc!$Y$278&lt;='财富模型'!$E$11*12,'Calc'!$W$15,'Calc'!$Y$15)))))))</x:f>
      </x:c>
      <x:c r="AE278" t="str">
        <x:f>IF(Calc!$Y$278&gt;'Calc'!$B$8,"",IF('Calc'!$E$15=1,0,MAX(Calc!$AE$277*(1+IF(Calc!$Y$278&lt;='财富模型'!$E$11*12,'财富模型'!$E$10,'财富模型'!$E$12)/12)-IF('Calc'!$E$15=1,0,IF(Calc!$Y$278&lt;='财富模型'!$E$11*12,'Calc'!$W$15,'Calc'!$Y$15)),0)))</x:f>
      </x:c>
      <x:c r="AG278" t="n">
        <x:v>257</x:v>
      </x:c>
      <x:c r="AH278" t="str">
        <x:f>IF(Calc!$AG$278&gt;'Calc'!$B$8,"",MAX(Calc!$AH$277*(1+'财富模型'!$E$6/12)+('Calc'!$B$5-'财富模型'!$E$5-(IF('Calc'!$E$16=1,'财富模型'!$E$9,'财富模型'!$M$8+IF(Calc!$AG$278&lt;='财富模型'!$E$11*12,'Calc'!$W$16,'Calc'!$Y$16)-(IF('Calc'!$E$16=1,0,MIN(Calc!$AI$277*(1+'财富模型'!$E$20/12)+'Calc'!$B$6,IF(Calc!$AG$278&lt;='财富模型'!$E$11*12,'Calc'!$W$16,'Calc'!$Y$16))))))),0))</x:f>
      </x:c>
      <x:c r="AI278" t="str">
        <x:f>IF(Calc!$AG$278&gt;'Calc'!$B$8,"",MAX(Calc!$AI$277*(1+'财富模型'!$E$20/12)+'Calc'!$B$6-(IF('Calc'!$E$16=1,0,MIN(Calc!$AI$277*(1+'财富模型'!$E$20/12)+'Calc'!$B$6,IF(Calc!$AG$278&lt;='财富模型'!$E$11*12,'Calc'!$W$16,'Calc'!$Y$16)))),0))</x:f>
      </x:c>
      <x:c r="AJ278" t="str">
        <x:f>IF(Calc!$AG$278&gt;'Calc'!$B$8,"",IF('Calc'!$E$16=1,'财富模型'!$E$9,'财富模型'!$M$8+IF(Calc!$AG$278&lt;='财富模型'!$E$11*12,'Calc'!$W$16,'Calc'!$Y$16)-(IF('Calc'!$E$16=1,0,MIN(Calc!$AI$277*(1+'财富模型'!$E$20/12)+'Calc'!$B$6,IF(Calc!$AG$278&lt;='财富模型'!$E$11*12,'Calc'!$W$16,'Calc'!$Y$16))))))</x:f>
      </x:c>
      <x:c r="AK278" t="str">
        <x:f>IF(Calc!$AG$278&gt;'Calc'!$B$8,"",IF('Calc'!$E$16=1,0,MIN(Calc!$AI$277*(1+'财富模型'!$E$20/12)+'Calc'!$B$6,IF(Calc!$AG$278&lt;='财富模型'!$E$11*12,'Calc'!$W$16,'Calc'!$Y$16))))</x:f>
      </x:c>
      <x:c r="AL278" t="str">
        <x:f>IF(Calc!$AG$278&gt;'Calc'!$B$8,"",'Calc'!$B$5-'财富模型'!$E$5-(IF('Calc'!$E$16=1,'财富模型'!$E$9,'财富模型'!$M$8+IF(Calc!$AG$278&lt;='财富模型'!$E$11*12,'Calc'!$W$16,'Calc'!$Y$16)-(IF('Calc'!$E$16=1,0,MIN(Calc!$AI$277*(1+'财富模型'!$E$20/12)+'Calc'!$B$6,IF(Calc!$AG$278&lt;='财富模型'!$E$11*12,'Calc'!$W$16,'Calc'!$Y$16)))))))</x:f>
      </x:c>
      <x:c r="AM278" t="str">
        <x:f>IF(Calc!$AG$278&gt;'Calc'!$B$8,"",IF('Calc'!$E$16=1,0,MAX(Calc!$AM$277*(1+IF(Calc!$AG$278&lt;='财富模型'!$E$11*12,'财富模型'!$E$10,'财富模型'!$E$12)/12)-IF('Calc'!$E$16=1,0,IF(Calc!$AG$278&lt;='财富模型'!$E$11*12,'Calc'!$W$16,'Calc'!$Y$16)),0)))</x:f>
      </x:c>
      <x:c r="AO278" t="n">
        <x:v>257</x:v>
      </x:c>
      <x:c r="AP278" t="str">
        <x:f>IF(Calc!$AO$278&gt;'Calc'!$B$8,"",MAX(Calc!$AP$277*(1+'财富模型'!$E$6/12)+('Calc'!$B$5-'财富模型'!$E$5-(IF('Calc'!$E$17=1,'财富模型'!$E$9,'财富模型'!$M$9+IF(Calc!$AO$278&lt;='财富模型'!$E$11*12,'Calc'!$W$17,'Calc'!$Y$17)-(IF('Calc'!$E$17=1,0,MIN(Calc!$AQ$277*(1+'财富模型'!$E$20/12)+'Calc'!$B$6,IF(Calc!$AO$278&lt;='财富模型'!$E$11*12,'Calc'!$W$17,'Calc'!$Y$17))))))),0))</x:f>
      </x:c>
      <x:c r="AQ278" t="str">
        <x:f>IF(Calc!$AO$278&gt;'Calc'!$B$8,"",MAX(Calc!$AQ$277*(1+'财富模型'!$E$20/12)+'Calc'!$B$6-(IF('Calc'!$E$17=1,0,MIN(Calc!$AQ$277*(1+'财富模型'!$E$20/12)+'Calc'!$B$6,IF(Calc!$AO$278&lt;='财富模型'!$E$11*12,'Calc'!$W$17,'Calc'!$Y$17)))),0))</x:f>
      </x:c>
      <x:c r="AR278" t="str">
        <x:f>IF(Calc!$AO$278&gt;'Calc'!$B$8,"",IF('Calc'!$E$17=1,'财富模型'!$E$9,'财富模型'!$M$9+IF(Calc!$AO$278&lt;='财富模型'!$E$11*12,'Calc'!$W$17,'Calc'!$Y$17)-(IF('Calc'!$E$17=1,0,MIN(Calc!$AQ$277*(1+'财富模型'!$E$20/12)+'Calc'!$B$6,IF(Calc!$AO$278&lt;='财富模型'!$E$11*12,'Calc'!$W$17,'Calc'!$Y$17))))))</x:f>
      </x:c>
      <x:c r="AS278" t="str">
        <x:f>IF(Calc!$AO$278&gt;'Calc'!$B$8,"",IF('Calc'!$E$17=1,0,MIN(Calc!$AQ$277*(1+'财富模型'!$E$20/12)+'Calc'!$B$6,IF(Calc!$AO$278&lt;='财富模型'!$E$11*12,'Calc'!$W$17,'Calc'!$Y$17))))</x:f>
      </x:c>
      <x:c r="AT278" t="str">
        <x:f>IF(Calc!$AO$278&gt;'Calc'!$B$8,"",'Calc'!$B$5-'财富模型'!$E$5-(IF('Calc'!$E$17=1,'财富模型'!$E$9,'财富模型'!$M$9+IF(Calc!$AO$278&lt;='财富模型'!$E$11*12,'Calc'!$W$17,'Calc'!$Y$17)-(IF('Calc'!$E$17=1,0,MIN(Calc!$AQ$277*(1+'财富模型'!$E$20/12)+'Calc'!$B$6,IF(Calc!$AO$278&lt;='财富模型'!$E$11*12,'Calc'!$W$17,'Calc'!$Y$17)))))))</x:f>
      </x:c>
      <x:c r="AU278" t="str">
        <x:f>IF(Calc!$AO$278&gt;'Calc'!$B$8,"",IF('Calc'!$E$17=1,0,MAX(Calc!$AU$277*(1+IF(Calc!$AO$278&lt;='财富模型'!$E$11*12,'财富模型'!$E$10,'财富模型'!$E$12)/12)-IF('Calc'!$E$17=1,0,IF(Calc!$AO$278&lt;='财富模型'!$E$11*12,'Calc'!$W$17,'Calc'!$Y$17)),0)))</x:f>
      </x:c>
    </x:row>
    <x:row r="279">
      <x:c r="A279" t="n">
        <x:v>258</x:v>
      </x:c>
      <x:c r="B279" t="str">
        <x:f>IF(Calc!$A$279&gt;'Calc'!$B$8,"",MAX(Calc!$B$278*(1+'财富模型'!$E$6/12)+('Calc'!$B$5-'财富模型'!$E$5-(IF('Calc'!$E$12=1,'财富模型'!$E$9,'财富模型'!$M$4+IF(Calc!$A$279&lt;='财富模型'!$E$11*12,'Calc'!$W$12,'Calc'!$Y$12)-(IF('Calc'!$E$12=1,0,MIN(Calc!$C$278*(1+'财富模型'!$E$20/12)+'Calc'!$B$6,IF(Calc!$A$279&lt;='财富模型'!$E$11*12,'Calc'!$W$12,'Calc'!$Y$12))))))),0))</x:f>
      </x:c>
      <x:c r="C279" t="str">
        <x:f>IF(Calc!$A$279&gt;'Calc'!$B$8,"",MAX(Calc!$C$278*(1+'财富模型'!$E$20/12)+'Calc'!$B$6-(IF('Calc'!$E$12=1,0,MIN(Calc!$C$278*(1+'财富模型'!$E$20/12)+'Calc'!$B$6,IF(Calc!$A$279&lt;='财富模型'!$E$11*12,'Calc'!$W$12,'Calc'!$Y$12)))),0))</x:f>
      </x:c>
      <x:c r="D279" t="str">
        <x:f>IF(Calc!$A$279&gt;'Calc'!$B$8,"",IF('Calc'!$E$12=1,'财富模型'!$E$9,'财富模型'!$M$4+IF(Calc!$A$279&lt;='财富模型'!$E$11*12,'Calc'!$W$12,'Calc'!$Y$12)-(IF('Calc'!$E$12=1,0,MIN(Calc!$C$278*(1+'财富模型'!$E$20/12)+'Calc'!$B$6,IF(Calc!$A$279&lt;='财富模型'!$E$11*12,'Calc'!$W$12,'Calc'!$Y$12))))))</x:f>
      </x:c>
      <x:c r="E279" t="str">
        <x:f>IF(Calc!$A$279&gt;'Calc'!$B$8,"",IF('Calc'!$E$12=1,0,MIN(Calc!$C$278*(1+'财富模型'!$E$20/12)+'Calc'!$B$6,IF(Calc!$A$279&lt;='财富模型'!$E$11*12,'Calc'!$W$12,'Calc'!$Y$12))))</x:f>
      </x:c>
      <x:c r="F279" t="str">
        <x:f>IF(Calc!$A$279&gt;'Calc'!$B$8,"",'Calc'!$B$5-'财富模型'!$E$5-(IF('Calc'!$E$12=1,'财富模型'!$E$9,'财富模型'!$M$4+IF(Calc!$A$279&lt;='财富模型'!$E$11*12,'Calc'!$W$12,'Calc'!$Y$12)-(IF('Calc'!$E$12=1,0,MIN(Calc!$C$278*(1+'财富模型'!$E$20/12)+'Calc'!$B$6,IF(Calc!$A$279&lt;='财富模型'!$E$11*12,'Calc'!$W$12,'Calc'!$Y$12)))))))</x:f>
      </x:c>
      <x:c r="G279" t="str">
        <x:f>IF(Calc!$A$279&gt;'Calc'!$B$8,"",IF('Calc'!$E$12=1,0,MAX(Calc!$G$278*(1+IF(Calc!$A$279&lt;='财富模型'!$E$11*12,'财富模型'!$E$10,'财富模型'!$E$12)/12)-IF('Calc'!$E$12=1,0,IF(Calc!$A$279&lt;='财富模型'!$E$11*12,'Calc'!$W$12,'Calc'!$Y$12)),0)))</x:f>
      </x:c>
      <x:c r="I279" t="n">
        <x:v>258</x:v>
      </x:c>
      <x:c r="J279" t="str">
        <x:f>IF(Calc!$I$279&gt;'Calc'!$B$8,"",MAX(Calc!$J$278*(1+'财富模型'!$E$6/12)+('Calc'!$B$5-'财富模型'!$E$5-(IF('Calc'!$E$13=1,'财富模型'!$E$9,'财富模型'!$M$5+IF(Calc!$I$279&lt;='财富模型'!$E$11*12,'Calc'!$W$13,'Calc'!$Y$13)-(IF('Calc'!$E$13=1,0,MIN(Calc!$K$278*(1+'财富模型'!$E$20/12)+'Calc'!$B$6,IF(Calc!$I$279&lt;='财富模型'!$E$11*12,'Calc'!$W$13,'Calc'!$Y$13))))))),0))</x:f>
      </x:c>
      <x:c r="K279" t="str">
        <x:f>IF(Calc!$I$279&gt;'Calc'!$B$8,"",MAX(Calc!$K$278*(1+'财富模型'!$E$20/12)+'Calc'!$B$6-(IF('Calc'!$E$13=1,0,MIN(Calc!$K$278*(1+'财富模型'!$E$20/12)+'Calc'!$B$6,IF(Calc!$I$279&lt;='财富模型'!$E$11*12,'Calc'!$W$13,'Calc'!$Y$13)))),0))</x:f>
      </x:c>
      <x:c r="L279" t="str">
        <x:f>IF(Calc!$I$279&gt;'Calc'!$B$8,"",IF('Calc'!$E$13=1,'财富模型'!$E$9,'财富模型'!$M$5+IF(Calc!$I$279&lt;='财富模型'!$E$11*12,'Calc'!$W$13,'Calc'!$Y$13)-(IF('Calc'!$E$13=1,0,MIN(Calc!$K$278*(1+'财富模型'!$E$20/12)+'Calc'!$B$6,IF(Calc!$I$279&lt;='财富模型'!$E$11*12,'Calc'!$W$13,'Calc'!$Y$13))))))</x:f>
      </x:c>
      <x:c r="M279" t="str">
        <x:f>IF(Calc!$I$279&gt;'Calc'!$B$8,"",IF('Calc'!$E$13=1,0,MIN(Calc!$K$278*(1+'财富模型'!$E$20/12)+'Calc'!$B$6,IF(Calc!$I$279&lt;='财富模型'!$E$11*12,'Calc'!$W$13,'Calc'!$Y$13))))</x:f>
      </x:c>
      <x:c r="N279" t="str">
        <x:f>IF(Calc!$I$279&gt;'Calc'!$B$8,"",'Calc'!$B$5-'财富模型'!$E$5-(IF('Calc'!$E$13=1,'财富模型'!$E$9,'财富模型'!$M$5+IF(Calc!$I$279&lt;='财富模型'!$E$11*12,'Calc'!$W$13,'Calc'!$Y$13)-(IF('Calc'!$E$13=1,0,MIN(Calc!$K$278*(1+'财富模型'!$E$20/12)+'Calc'!$B$6,IF(Calc!$I$279&lt;='财富模型'!$E$11*12,'Calc'!$W$13,'Calc'!$Y$13)))))))</x:f>
      </x:c>
      <x:c r="O279" t="str">
        <x:f>IF(Calc!$I$279&gt;'Calc'!$B$8,"",IF('Calc'!$E$13=1,0,MAX(Calc!$O$278*(1+IF(Calc!$I$279&lt;='财富模型'!$E$11*12,'财富模型'!$E$10,'财富模型'!$E$12)/12)-IF('Calc'!$E$13=1,0,IF(Calc!$I$279&lt;='财富模型'!$E$11*12,'Calc'!$W$13,'Calc'!$Y$13)),0)))</x:f>
      </x:c>
      <x:c r="Q279" t="n">
        <x:v>258</x:v>
      </x:c>
      <x:c r="R279" t="str">
        <x:f>IF(Calc!$Q$279&gt;'Calc'!$B$8,"",MAX(Calc!$R$278*(1+'财富模型'!$E$6/12)+('Calc'!$B$5-'财富模型'!$E$5-(IF('Calc'!$E$14=1,'财富模型'!$E$9,'财富模型'!$M$6+IF(Calc!$Q$279&lt;='财富模型'!$E$11*12,'Calc'!$W$14,'Calc'!$Y$14)-(IF('Calc'!$E$14=1,0,MIN(Calc!$S$278*(1+'财富模型'!$E$20/12)+'Calc'!$B$6,IF(Calc!$Q$279&lt;='财富模型'!$E$11*12,'Calc'!$W$14,'Calc'!$Y$14))))))),0))</x:f>
      </x:c>
      <x:c r="S279" t="str">
        <x:f>IF(Calc!$Q$279&gt;'Calc'!$B$8,"",MAX(Calc!$S$278*(1+'财富模型'!$E$20/12)+'Calc'!$B$6-(IF('Calc'!$E$14=1,0,MIN(Calc!$S$278*(1+'财富模型'!$E$20/12)+'Calc'!$B$6,IF(Calc!$Q$279&lt;='财富模型'!$E$11*12,'Calc'!$W$14,'Calc'!$Y$14)))),0))</x:f>
      </x:c>
      <x:c r="T279" t="str">
        <x:f>IF(Calc!$Q$279&gt;'Calc'!$B$8,"",IF('Calc'!$E$14=1,'财富模型'!$E$9,'财富模型'!$M$6+IF(Calc!$Q$279&lt;='财富模型'!$E$11*12,'Calc'!$W$14,'Calc'!$Y$14)-(IF('Calc'!$E$14=1,0,MIN(Calc!$S$278*(1+'财富模型'!$E$20/12)+'Calc'!$B$6,IF(Calc!$Q$279&lt;='财富模型'!$E$11*12,'Calc'!$W$14,'Calc'!$Y$14))))))</x:f>
      </x:c>
      <x:c r="U279" t="str">
        <x:f>IF(Calc!$Q$279&gt;'Calc'!$B$8,"",IF('Calc'!$E$14=1,0,MIN(Calc!$S$278*(1+'财富模型'!$E$20/12)+'Calc'!$B$6,IF(Calc!$Q$279&lt;='财富模型'!$E$11*12,'Calc'!$W$14,'Calc'!$Y$14))))</x:f>
      </x:c>
      <x:c r="V279" t="str">
        <x:f>IF(Calc!$Q$279&gt;'Calc'!$B$8,"",'Calc'!$B$5-'财富模型'!$E$5-(IF('Calc'!$E$14=1,'财富模型'!$E$9,'财富模型'!$M$6+IF(Calc!$Q$279&lt;='财富模型'!$E$11*12,'Calc'!$W$14,'Calc'!$Y$14)-(IF('Calc'!$E$14=1,0,MIN(Calc!$S$278*(1+'财富模型'!$E$20/12)+'Calc'!$B$6,IF(Calc!$Q$279&lt;='财富模型'!$E$11*12,'Calc'!$W$14,'Calc'!$Y$14)))))))</x:f>
      </x:c>
      <x:c r="W279" t="str">
        <x:f>IF(Calc!$Q$279&gt;'Calc'!$B$8,"",IF('Calc'!$E$14=1,0,MAX(Calc!$W$278*(1+IF(Calc!$Q$279&lt;='财富模型'!$E$11*12,'财富模型'!$E$10,'财富模型'!$E$12)/12)-IF('Calc'!$E$14=1,0,IF(Calc!$Q$279&lt;='财富模型'!$E$11*12,'Calc'!$W$14,'Calc'!$Y$14)),0)))</x:f>
      </x:c>
      <x:c r="Y279" t="n">
        <x:v>258</x:v>
      </x:c>
      <x:c r="Z279" t="str">
        <x:f>IF(Calc!$Y$279&gt;'Calc'!$B$8,"",MAX(Calc!$Z$278*(1+'财富模型'!$E$6/12)+('Calc'!$B$5-'财富模型'!$E$5-(IF('Calc'!$E$15=1,'财富模型'!$E$9,'财富模型'!$M$7+IF(Calc!$Y$279&lt;='财富模型'!$E$11*12,'Calc'!$W$15,'Calc'!$Y$15)-(IF('Calc'!$E$15=1,0,MIN(Calc!$AA$278*(1+'财富模型'!$E$20/12)+'Calc'!$B$6,IF(Calc!$Y$279&lt;='财富模型'!$E$11*12,'Calc'!$W$15,'Calc'!$Y$15))))))),0))</x:f>
      </x:c>
      <x:c r="AA279" t="str">
        <x:f>IF(Calc!$Y$279&gt;'Calc'!$B$8,"",MAX(Calc!$AA$278*(1+'财富模型'!$E$20/12)+'Calc'!$B$6-(IF('Calc'!$E$15=1,0,MIN(Calc!$AA$278*(1+'财富模型'!$E$20/12)+'Calc'!$B$6,IF(Calc!$Y$279&lt;='财富模型'!$E$11*12,'Calc'!$W$15,'Calc'!$Y$15)))),0))</x:f>
      </x:c>
      <x:c r="AB279" t="str">
        <x:f>IF(Calc!$Y$279&gt;'Calc'!$B$8,"",IF('Calc'!$E$15=1,'财富模型'!$E$9,'财富模型'!$M$7+IF(Calc!$Y$279&lt;='财富模型'!$E$11*12,'Calc'!$W$15,'Calc'!$Y$15)-(IF('Calc'!$E$15=1,0,MIN(Calc!$AA$278*(1+'财富模型'!$E$20/12)+'Calc'!$B$6,IF(Calc!$Y$279&lt;='财富模型'!$E$11*12,'Calc'!$W$15,'Calc'!$Y$15))))))</x:f>
      </x:c>
      <x:c r="AC279" t="str">
        <x:f>IF(Calc!$Y$279&gt;'Calc'!$B$8,"",IF('Calc'!$E$15=1,0,MIN(Calc!$AA$278*(1+'财富模型'!$E$20/12)+'Calc'!$B$6,IF(Calc!$Y$279&lt;='财富模型'!$E$11*12,'Calc'!$W$15,'Calc'!$Y$15))))</x:f>
      </x:c>
      <x:c r="AD279" t="str">
        <x:f>IF(Calc!$Y$279&gt;'Calc'!$B$8,"",'Calc'!$B$5-'财富模型'!$E$5-(IF('Calc'!$E$15=1,'财富模型'!$E$9,'财富模型'!$M$7+IF(Calc!$Y$279&lt;='财富模型'!$E$11*12,'Calc'!$W$15,'Calc'!$Y$15)-(IF('Calc'!$E$15=1,0,MIN(Calc!$AA$278*(1+'财富模型'!$E$20/12)+'Calc'!$B$6,IF(Calc!$Y$279&lt;='财富模型'!$E$11*12,'Calc'!$W$15,'Calc'!$Y$15)))))))</x:f>
      </x:c>
      <x:c r="AE279" t="str">
        <x:f>IF(Calc!$Y$279&gt;'Calc'!$B$8,"",IF('Calc'!$E$15=1,0,MAX(Calc!$AE$278*(1+IF(Calc!$Y$279&lt;='财富模型'!$E$11*12,'财富模型'!$E$10,'财富模型'!$E$12)/12)-IF('Calc'!$E$15=1,0,IF(Calc!$Y$279&lt;='财富模型'!$E$11*12,'Calc'!$W$15,'Calc'!$Y$15)),0)))</x:f>
      </x:c>
      <x:c r="AG279" t="n">
        <x:v>258</x:v>
      </x:c>
      <x:c r="AH279" t="str">
        <x:f>IF(Calc!$AG$279&gt;'Calc'!$B$8,"",MAX(Calc!$AH$278*(1+'财富模型'!$E$6/12)+('Calc'!$B$5-'财富模型'!$E$5-(IF('Calc'!$E$16=1,'财富模型'!$E$9,'财富模型'!$M$8+IF(Calc!$AG$279&lt;='财富模型'!$E$11*12,'Calc'!$W$16,'Calc'!$Y$16)-(IF('Calc'!$E$16=1,0,MIN(Calc!$AI$278*(1+'财富模型'!$E$20/12)+'Calc'!$B$6,IF(Calc!$AG$279&lt;='财富模型'!$E$11*12,'Calc'!$W$16,'Calc'!$Y$16))))))),0))</x:f>
      </x:c>
      <x:c r="AI279" t="str">
        <x:f>IF(Calc!$AG$279&gt;'Calc'!$B$8,"",MAX(Calc!$AI$278*(1+'财富模型'!$E$20/12)+'Calc'!$B$6-(IF('Calc'!$E$16=1,0,MIN(Calc!$AI$278*(1+'财富模型'!$E$20/12)+'Calc'!$B$6,IF(Calc!$AG$279&lt;='财富模型'!$E$11*12,'Calc'!$W$16,'Calc'!$Y$16)))),0))</x:f>
      </x:c>
      <x:c r="AJ279" t="str">
        <x:f>IF(Calc!$AG$279&gt;'Calc'!$B$8,"",IF('Calc'!$E$16=1,'财富模型'!$E$9,'财富模型'!$M$8+IF(Calc!$AG$279&lt;='财富模型'!$E$11*12,'Calc'!$W$16,'Calc'!$Y$16)-(IF('Calc'!$E$16=1,0,MIN(Calc!$AI$278*(1+'财富模型'!$E$20/12)+'Calc'!$B$6,IF(Calc!$AG$279&lt;='财富模型'!$E$11*12,'Calc'!$W$16,'Calc'!$Y$16))))))</x:f>
      </x:c>
      <x:c r="AK279" t="str">
        <x:f>IF(Calc!$AG$279&gt;'Calc'!$B$8,"",IF('Calc'!$E$16=1,0,MIN(Calc!$AI$278*(1+'财富模型'!$E$20/12)+'Calc'!$B$6,IF(Calc!$AG$279&lt;='财富模型'!$E$11*12,'Calc'!$W$16,'Calc'!$Y$16))))</x:f>
      </x:c>
      <x:c r="AL279" t="str">
        <x:f>IF(Calc!$AG$279&gt;'Calc'!$B$8,"",'Calc'!$B$5-'财富模型'!$E$5-(IF('Calc'!$E$16=1,'财富模型'!$E$9,'财富模型'!$M$8+IF(Calc!$AG$279&lt;='财富模型'!$E$11*12,'Calc'!$W$16,'Calc'!$Y$16)-(IF('Calc'!$E$16=1,0,MIN(Calc!$AI$278*(1+'财富模型'!$E$20/12)+'Calc'!$B$6,IF(Calc!$AG$279&lt;='财富模型'!$E$11*12,'Calc'!$W$16,'Calc'!$Y$16)))))))</x:f>
      </x:c>
      <x:c r="AM279" t="str">
        <x:f>IF(Calc!$AG$279&gt;'Calc'!$B$8,"",IF('Calc'!$E$16=1,0,MAX(Calc!$AM$278*(1+IF(Calc!$AG$279&lt;='财富模型'!$E$11*12,'财富模型'!$E$10,'财富模型'!$E$12)/12)-IF('Calc'!$E$16=1,0,IF(Calc!$AG$279&lt;='财富模型'!$E$11*12,'Calc'!$W$16,'Calc'!$Y$16)),0)))</x:f>
      </x:c>
      <x:c r="AO279" t="n">
        <x:v>258</x:v>
      </x:c>
      <x:c r="AP279" t="str">
        <x:f>IF(Calc!$AO$279&gt;'Calc'!$B$8,"",MAX(Calc!$AP$278*(1+'财富模型'!$E$6/12)+('Calc'!$B$5-'财富模型'!$E$5-(IF('Calc'!$E$17=1,'财富模型'!$E$9,'财富模型'!$M$9+IF(Calc!$AO$279&lt;='财富模型'!$E$11*12,'Calc'!$W$17,'Calc'!$Y$17)-(IF('Calc'!$E$17=1,0,MIN(Calc!$AQ$278*(1+'财富模型'!$E$20/12)+'Calc'!$B$6,IF(Calc!$AO$279&lt;='财富模型'!$E$11*12,'Calc'!$W$17,'Calc'!$Y$17))))))),0))</x:f>
      </x:c>
      <x:c r="AQ279" t="str">
        <x:f>IF(Calc!$AO$279&gt;'Calc'!$B$8,"",MAX(Calc!$AQ$278*(1+'财富模型'!$E$20/12)+'Calc'!$B$6-(IF('Calc'!$E$17=1,0,MIN(Calc!$AQ$278*(1+'财富模型'!$E$20/12)+'Calc'!$B$6,IF(Calc!$AO$279&lt;='财富模型'!$E$11*12,'Calc'!$W$17,'Calc'!$Y$17)))),0))</x:f>
      </x:c>
      <x:c r="AR279" t="str">
        <x:f>IF(Calc!$AO$279&gt;'Calc'!$B$8,"",IF('Calc'!$E$17=1,'财富模型'!$E$9,'财富模型'!$M$9+IF(Calc!$AO$279&lt;='财富模型'!$E$11*12,'Calc'!$W$17,'Calc'!$Y$17)-(IF('Calc'!$E$17=1,0,MIN(Calc!$AQ$278*(1+'财富模型'!$E$20/12)+'Calc'!$B$6,IF(Calc!$AO$279&lt;='财富模型'!$E$11*12,'Calc'!$W$17,'Calc'!$Y$17))))))</x:f>
      </x:c>
      <x:c r="AS279" t="str">
        <x:f>IF(Calc!$AO$279&gt;'Calc'!$B$8,"",IF('Calc'!$E$17=1,0,MIN(Calc!$AQ$278*(1+'财富模型'!$E$20/12)+'Calc'!$B$6,IF(Calc!$AO$279&lt;='财富模型'!$E$11*12,'Calc'!$W$17,'Calc'!$Y$17))))</x:f>
      </x:c>
      <x:c r="AT279" t="str">
        <x:f>IF(Calc!$AO$279&gt;'Calc'!$B$8,"",'Calc'!$B$5-'财富模型'!$E$5-(IF('Calc'!$E$17=1,'财富模型'!$E$9,'财富模型'!$M$9+IF(Calc!$AO$279&lt;='财富模型'!$E$11*12,'Calc'!$W$17,'Calc'!$Y$17)-(IF('Calc'!$E$17=1,0,MIN(Calc!$AQ$278*(1+'财富模型'!$E$20/12)+'Calc'!$B$6,IF(Calc!$AO$279&lt;='财富模型'!$E$11*12,'Calc'!$W$17,'Calc'!$Y$17)))))))</x:f>
      </x:c>
      <x:c r="AU279" t="str">
        <x:f>IF(Calc!$AO$279&gt;'Calc'!$B$8,"",IF('Calc'!$E$17=1,0,MAX(Calc!$AU$278*(1+IF(Calc!$AO$279&lt;='财富模型'!$E$11*12,'财富模型'!$E$10,'财富模型'!$E$12)/12)-IF('Calc'!$E$17=1,0,IF(Calc!$AO$279&lt;='财富模型'!$E$11*12,'Calc'!$W$17,'Calc'!$Y$17)),0)))</x:f>
      </x:c>
    </x:row>
    <x:row r="280">
      <x:c r="A280" t="n">
        <x:v>259</x:v>
      </x:c>
      <x:c r="B280" t="str">
        <x:f>IF(Calc!$A$280&gt;'Calc'!$B$8,"",MAX(Calc!$B$279*(1+'财富模型'!$E$6/12)+('Calc'!$B$5-'财富模型'!$E$5-(IF('Calc'!$E$12=1,'财富模型'!$E$9,'财富模型'!$M$4+IF(Calc!$A$280&lt;='财富模型'!$E$11*12,'Calc'!$W$12,'Calc'!$Y$12)-(IF('Calc'!$E$12=1,0,MIN(Calc!$C$279*(1+'财富模型'!$E$20/12)+'Calc'!$B$6,IF(Calc!$A$280&lt;='财富模型'!$E$11*12,'Calc'!$W$12,'Calc'!$Y$12))))))),0))</x:f>
      </x:c>
      <x:c r="C280" t="str">
        <x:f>IF(Calc!$A$280&gt;'Calc'!$B$8,"",MAX(Calc!$C$279*(1+'财富模型'!$E$20/12)+'Calc'!$B$6-(IF('Calc'!$E$12=1,0,MIN(Calc!$C$279*(1+'财富模型'!$E$20/12)+'Calc'!$B$6,IF(Calc!$A$280&lt;='财富模型'!$E$11*12,'Calc'!$W$12,'Calc'!$Y$12)))),0))</x:f>
      </x:c>
      <x:c r="D280" t="str">
        <x:f>IF(Calc!$A$280&gt;'Calc'!$B$8,"",IF('Calc'!$E$12=1,'财富模型'!$E$9,'财富模型'!$M$4+IF(Calc!$A$280&lt;='财富模型'!$E$11*12,'Calc'!$W$12,'Calc'!$Y$12)-(IF('Calc'!$E$12=1,0,MIN(Calc!$C$279*(1+'财富模型'!$E$20/12)+'Calc'!$B$6,IF(Calc!$A$280&lt;='财富模型'!$E$11*12,'Calc'!$W$12,'Calc'!$Y$12))))))</x:f>
      </x:c>
      <x:c r="E280" t="str">
        <x:f>IF(Calc!$A$280&gt;'Calc'!$B$8,"",IF('Calc'!$E$12=1,0,MIN(Calc!$C$279*(1+'财富模型'!$E$20/12)+'Calc'!$B$6,IF(Calc!$A$280&lt;='财富模型'!$E$11*12,'Calc'!$W$12,'Calc'!$Y$12))))</x:f>
      </x:c>
      <x:c r="F280" t="str">
        <x:f>IF(Calc!$A$280&gt;'Calc'!$B$8,"",'Calc'!$B$5-'财富模型'!$E$5-(IF('Calc'!$E$12=1,'财富模型'!$E$9,'财富模型'!$M$4+IF(Calc!$A$280&lt;='财富模型'!$E$11*12,'Calc'!$W$12,'Calc'!$Y$12)-(IF('Calc'!$E$12=1,0,MIN(Calc!$C$279*(1+'财富模型'!$E$20/12)+'Calc'!$B$6,IF(Calc!$A$280&lt;='财富模型'!$E$11*12,'Calc'!$W$12,'Calc'!$Y$12)))))))</x:f>
      </x:c>
      <x:c r="G280" t="str">
        <x:f>IF(Calc!$A$280&gt;'Calc'!$B$8,"",IF('Calc'!$E$12=1,0,MAX(Calc!$G$279*(1+IF(Calc!$A$280&lt;='财富模型'!$E$11*12,'财富模型'!$E$10,'财富模型'!$E$12)/12)-IF('Calc'!$E$12=1,0,IF(Calc!$A$280&lt;='财富模型'!$E$11*12,'Calc'!$W$12,'Calc'!$Y$12)),0)))</x:f>
      </x:c>
      <x:c r="I280" t="n">
        <x:v>259</x:v>
      </x:c>
      <x:c r="J280" t="str">
        <x:f>IF(Calc!$I$280&gt;'Calc'!$B$8,"",MAX(Calc!$J$279*(1+'财富模型'!$E$6/12)+('Calc'!$B$5-'财富模型'!$E$5-(IF('Calc'!$E$13=1,'财富模型'!$E$9,'财富模型'!$M$5+IF(Calc!$I$280&lt;='财富模型'!$E$11*12,'Calc'!$W$13,'Calc'!$Y$13)-(IF('Calc'!$E$13=1,0,MIN(Calc!$K$279*(1+'财富模型'!$E$20/12)+'Calc'!$B$6,IF(Calc!$I$280&lt;='财富模型'!$E$11*12,'Calc'!$W$13,'Calc'!$Y$13))))))),0))</x:f>
      </x:c>
      <x:c r="K280" t="str">
        <x:f>IF(Calc!$I$280&gt;'Calc'!$B$8,"",MAX(Calc!$K$279*(1+'财富模型'!$E$20/12)+'Calc'!$B$6-(IF('Calc'!$E$13=1,0,MIN(Calc!$K$279*(1+'财富模型'!$E$20/12)+'Calc'!$B$6,IF(Calc!$I$280&lt;='财富模型'!$E$11*12,'Calc'!$W$13,'Calc'!$Y$13)))),0))</x:f>
      </x:c>
      <x:c r="L280" t="str">
        <x:f>IF(Calc!$I$280&gt;'Calc'!$B$8,"",IF('Calc'!$E$13=1,'财富模型'!$E$9,'财富模型'!$M$5+IF(Calc!$I$280&lt;='财富模型'!$E$11*12,'Calc'!$W$13,'Calc'!$Y$13)-(IF('Calc'!$E$13=1,0,MIN(Calc!$K$279*(1+'财富模型'!$E$20/12)+'Calc'!$B$6,IF(Calc!$I$280&lt;='财富模型'!$E$11*12,'Calc'!$W$13,'Calc'!$Y$13))))))</x:f>
      </x:c>
      <x:c r="M280" t="str">
        <x:f>IF(Calc!$I$280&gt;'Calc'!$B$8,"",IF('Calc'!$E$13=1,0,MIN(Calc!$K$279*(1+'财富模型'!$E$20/12)+'Calc'!$B$6,IF(Calc!$I$280&lt;='财富模型'!$E$11*12,'Calc'!$W$13,'Calc'!$Y$13))))</x:f>
      </x:c>
      <x:c r="N280" t="str">
        <x:f>IF(Calc!$I$280&gt;'Calc'!$B$8,"",'Calc'!$B$5-'财富模型'!$E$5-(IF('Calc'!$E$13=1,'财富模型'!$E$9,'财富模型'!$M$5+IF(Calc!$I$280&lt;='财富模型'!$E$11*12,'Calc'!$W$13,'Calc'!$Y$13)-(IF('Calc'!$E$13=1,0,MIN(Calc!$K$279*(1+'财富模型'!$E$20/12)+'Calc'!$B$6,IF(Calc!$I$280&lt;='财富模型'!$E$11*12,'Calc'!$W$13,'Calc'!$Y$13)))))))</x:f>
      </x:c>
      <x:c r="O280" t="str">
        <x:f>IF(Calc!$I$280&gt;'Calc'!$B$8,"",IF('Calc'!$E$13=1,0,MAX(Calc!$O$279*(1+IF(Calc!$I$280&lt;='财富模型'!$E$11*12,'财富模型'!$E$10,'财富模型'!$E$12)/12)-IF('Calc'!$E$13=1,0,IF(Calc!$I$280&lt;='财富模型'!$E$11*12,'Calc'!$W$13,'Calc'!$Y$13)),0)))</x:f>
      </x:c>
      <x:c r="Q280" t="n">
        <x:v>259</x:v>
      </x:c>
      <x:c r="R280" t="str">
        <x:f>IF(Calc!$Q$280&gt;'Calc'!$B$8,"",MAX(Calc!$R$279*(1+'财富模型'!$E$6/12)+('Calc'!$B$5-'财富模型'!$E$5-(IF('Calc'!$E$14=1,'财富模型'!$E$9,'财富模型'!$M$6+IF(Calc!$Q$280&lt;='财富模型'!$E$11*12,'Calc'!$W$14,'Calc'!$Y$14)-(IF('Calc'!$E$14=1,0,MIN(Calc!$S$279*(1+'财富模型'!$E$20/12)+'Calc'!$B$6,IF(Calc!$Q$280&lt;='财富模型'!$E$11*12,'Calc'!$W$14,'Calc'!$Y$14))))))),0))</x:f>
      </x:c>
      <x:c r="S280" t="str">
        <x:f>IF(Calc!$Q$280&gt;'Calc'!$B$8,"",MAX(Calc!$S$279*(1+'财富模型'!$E$20/12)+'Calc'!$B$6-(IF('Calc'!$E$14=1,0,MIN(Calc!$S$279*(1+'财富模型'!$E$20/12)+'Calc'!$B$6,IF(Calc!$Q$280&lt;='财富模型'!$E$11*12,'Calc'!$W$14,'Calc'!$Y$14)))),0))</x:f>
      </x:c>
      <x:c r="T280" t="str">
        <x:f>IF(Calc!$Q$280&gt;'Calc'!$B$8,"",IF('Calc'!$E$14=1,'财富模型'!$E$9,'财富模型'!$M$6+IF(Calc!$Q$280&lt;='财富模型'!$E$11*12,'Calc'!$W$14,'Calc'!$Y$14)-(IF('Calc'!$E$14=1,0,MIN(Calc!$S$279*(1+'财富模型'!$E$20/12)+'Calc'!$B$6,IF(Calc!$Q$280&lt;='财富模型'!$E$11*12,'Calc'!$W$14,'Calc'!$Y$14))))))</x:f>
      </x:c>
      <x:c r="U280" t="str">
        <x:f>IF(Calc!$Q$280&gt;'Calc'!$B$8,"",IF('Calc'!$E$14=1,0,MIN(Calc!$S$279*(1+'财富模型'!$E$20/12)+'Calc'!$B$6,IF(Calc!$Q$280&lt;='财富模型'!$E$11*12,'Calc'!$W$14,'Calc'!$Y$14))))</x:f>
      </x:c>
      <x:c r="V280" t="str">
        <x:f>IF(Calc!$Q$280&gt;'Calc'!$B$8,"",'Calc'!$B$5-'财富模型'!$E$5-(IF('Calc'!$E$14=1,'财富模型'!$E$9,'财富模型'!$M$6+IF(Calc!$Q$280&lt;='财富模型'!$E$11*12,'Calc'!$W$14,'Calc'!$Y$14)-(IF('Calc'!$E$14=1,0,MIN(Calc!$S$279*(1+'财富模型'!$E$20/12)+'Calc'!$B$6,IF(Calc!$Q$280&lt;='财富模型'!$E$11*12,'Calc'!$W$14,'Calc'!$Y$14)))))))</x:f>
      </x:c>
      <x:c r="W280" t="str">
        <x:f>IF(Calc!$Q$280&gt;'Calc'!$B$8,"",IF('Calc'!$E$14=1,0,MAX(Calc!$W$279*(1+IF(Calc!$Q$280&lt;='财富模型'!$E$11*12,'财富模型'!$E$10,'财富模型'!$E$12)/12)-IF('Calc'!$E$14=1,0,IF(Calc!$Q$280&lt;='财富模型'!$E$11*12,'Calc'!$W$14,'Calc'!$Y$14)),0)))</x:f>
      </x:c>
      <x:c r="Y280" t="n">
        <x:v>259</x:v>
      </x:c>
      <x:c r="Z280" t="str">
        <x:f>IF(Calc!$Y$280&gt;'Calc'!$B$8,"",MAX(Calc!$Z$279*(1+'财富模型'!$E$6/12)+('Calc'!$B$5-'财富模型'!$E$5-(IF('Calc'!$E$15=1,'财富模型'!$E$9,'财富模型'!$M$7+IF(Calc!$Y$280&lt;='财富模型'!$E$11*12,'Calc'!$W$15,'Calc'!$Y$15)-(IF('Calc'!$E$15=1,0,MIN(Calc!$AA$279*(1+'财富模型'!$E$20/12)+'Calc'!$B$6,IF(Calc!$Y$280&lt;='财富模型'!$E$11*12,'Calc'!$W$15,'Calc'!$Y$15))))))),0))</x:f>
      </x:c>
      <x:c r="AA280" t="str">
        <x:f>IF(Calc!$Y$280&gt;'Calc'!$B$8,"",MAX(Calc!$AA$279*(1+'财富模型'!$E$20/12)+'Calc'!$B$6-(IF('Calc'!$E$15=1,0,MIN(Calc!$AA$279*(1+'财富模型'!$E$20/12)+'Calc'!$B$6,IF(Calc!$Y$280&lt;='财富模型'!$E$11*12,'Calc'!$W$15,'Calc'!$Y$15)))),0))</x:f>
      </x:c>
      <x:c r="AB280" t="str">
        <x:f>IF(Calc!$Y$280&gt;'Calc'!$B$8,"",IF('Calc'!$E$15=1,'财富模型'!$E$9,'财富模型'!$M$7+IF(Calc!$Y$280&lt;='财富模型'!$E$11*12,'Calc'!$W$15,'Calc'!$Y$15)-(IF('Calc'!$E$15=1,0,MIN(Calc!$AA$279*(1+'财富模型'!$E$20/12)+'Calc'!$B$6,IF(Calc!$Y$280&lt;='财富模型'!$E$11*12,'Calc'!$W$15,'Calc'!$Y$15))))))</x:f>
      </x:c>
      <x:c r="AC280" t="str">
        <x:f>IF(Calc!$Y$280&gt;'Calc'!$B$8,"",IF('Calc'!$E$15=1,0,MIN(Calc!$AA$279*(1+'财富模型'!$E$20/12)+'Calc'!$B$6,IF(Calc!$Y$280&lt;='财富模型'!$E$11*12,'Calc'!$W$15,'Calc'!$Y$15))))</x:f>
      </x:c>
      <x:c r="AD280" t="str">
        <x:f>IF(Calc!$Y$280&gt;'Calc'!$B$8,"",'Calc'!$B$5-'财富模型'!$E$5-(IF('Calc'!$E$15=1,'财富模型'!$E$9,'财富模型'!$M$7+IF(Calc!$Y$280&lt;='财富模型'!$E$11*12,'Calc'!$W$15,'Calc'!$Y$15)-(IF('Calc'!$E$15=1,0,MIN(Calc!$AA$279*(1+'财富模型'!$E$20/12)+'Calc'!$B$6,IF(Calc!$Y$280&lt;='财富模型'!$E$11*12,'Calc'!$W$15,'Calc'!$Y$15)))))))</x:f>
      </x:c>
      <x:c r="AE280" t="str">
        <x:f>IF(Calc!$Y$280&gt;'Calc'!$B$8,"",IF('Calc'!$E$15=1,0,MAX(Calc!$AE$279*(1+IF(Calc!$Y$280&lt;='财富模型'!$E$11*12,'财富模型'!$E$10,'财富模型'!$E$12)/12)-IF('Calc'!$E$15=1,0,IF(Calc!$Y$280&lt;='财富模型'!$E$11*12,'Calc'!$W$15,'Calc'!$Y$15)),0)))</x:f>
      </x:c>
      <x:c r="AG280" t="n">
        <x:v>259</x:v>
      </x:c>
      <x:c r="AH280" t="str">
        <x:f>IF(Calc!$AG$280&gt;'Calc'!$B$8,"",MAX(Calc!$AH$279*(1+'财富模型'!$E$6/12)+('Calc'!$B$5-'财富模型'!$E$5-(IF('Calc'!$E$16=1,'财富模型'!$E$9,'财富模型'!$M$8+IF(Calc!$AG$280&lt;='财富模型'!$E$11*12,'Calc'!$W$16,'Calc'!$Y$16)-(IF('Calc'!$E$16=1,0,MIN(Calc!$AI$279*(1+'财富模型'!$E$20/12)+'Calc'!$B$6,IF(Calc!$AG$280&lt;='财富模型'!$E$11*12,'Calc'!$W$16,'Calc'!$Y$16))))))),0))</x:f>
      </x:c>
      <x:c r="AI280" t="str">
        <x:f>IF(Calc!$AG$280&gt;'Calc'!$B$8,"",MAX(Calc!$AI$279*(1+'财富模型'!$E$20/12)+'Calc'!$B$6-(IF('Calc'!$E$16=1,0,MIN(Calc!$AI$279*(1+'财富模型'!$E$20/12)+'Calc'!$B$6,IF(Calc!$AG$280&lt;='财富模型'!$E$11*12,'Calc'!$W$16,'Calc'!$Y$16)))),0))</x:f>
      </x:c>
      <x:c r="AJ280" t="str">
        <x:f>IF(Calc!$AG$280&gt;'Calc'!$B$8,"",IF('Calc'!$E$16=1,'财富模型'!$E$9,'财富模型'!$M$8+IF(Calc!$AG$280&lt;='财富模型'!$E$11*12,'Calc'!$W$16,'Calc'!$Y$16)-(IF('Calc'!$E$16=1,0,MIN(Calc!$AI$279*(1+'财富模型'!$E$20/12)+'Calc'!$B$6,IF(Calc!$AG$280&lt;='财富模型'!$E$11*12,'Calc'!$W$16,'Calc'!$Y$16))))))</x:f>
      </x:c>
      <x:c r="AK280" t="str">
        <x:f>IF(Calc!$AG$280&gt;'Calc'!$B$8,"",IF('Calc'!$E$16=1,0,MIN(Calc!$AI$279*(1+'财富模型'!$E$20/12)+'Calc'!$B$6,IF(Calc!$AG$280&lt;='财富模型'!$E$11*12,'Calc'!$W$16,'Calc'!$Y$16))))</x:f>
      </x:c>
      <x:c r="AL280" t="str">
        <x:f>IF(Calc!$AG$280&gt;'Calc'!$B$8,"",'Calc'!$B$5-'财富模型'!$E$5-(IF('Calc'!$E$16=1,'财富模型'!$E$9,'财富模型'!$M$8+IF(Calc!$AG$280&lt;='财富模型'!$E$11*12,'Calc'!$W$16,'Calc'!$Y$16)-(IF('Calc'!$E$16=1,0,MIN(Calc!$AI$279*(1+'财富模型'!$E$20/12)+'Calc'!$B$6,IF(Calc!$AG$280&lt;='财富模型'!$E$11*12,'Calc'!$W$16,'Calc'!$Y$16)))))))</x:f>
      </x:c>
      <x:c r="AM280" t="str">
        <x:f>IF(Calc!$AG$280&gt;'Calc'!$B$8,"",IF('Calc'!$E$16=1,0,MAX(Calc!$AM$279*(1+IF(Calc!$AG$280&lt;='财富模型'!$E$11*12,'财富模型'!$E$10,'财富模型'!$E$12)/12)-IF('Calc'!$E$16=1,0,IF(Calc!$AG$280&lt;='财富模型'!$E$11*12,'Calc'!$W$16,'Calc'!$Y$16)),0)))</x:f>
      </x:c>
      <x:c r="AO280" t="n">
        <x:v>259</x:v>
      </x:c>
      <x:c r="AP280" t="str">
        <x:f>IF(Calc!$AO$280&gt;'Calc'!$B$8,"",MAX(Calc!$AP$279*(1+'财富模型'!$E$6/12)+('Calc'!$B$5-'财富模型'!$E$5-(IF('Calc'!$E$17=1,'财富模型'!$E$9,'财富模型'!$M$9+IF(Calc!$AO$280&lt;='财富模型'!$E$11*12,'Calc'!$W$17,'Calc'!$Y$17)-(IF('Calc'!$E$17=1,0,MIN(Calc!$AQ$279*(1+'财富模型'!$E$20/12)+'Calc'!$B$6,IF(Calc!$AO$280&lt;='财富模型'!$E$11*12,'Calc'!$W$17,'Calc'!$Y$17))))))),0))</x:f>
      </x:c>
      <x:c r="AQ280" t="str">
        <x:f>IF(Calc!$AO$280&gt;'Calc'!$B$8,"",MAX(Calc!$AQ$279*(1+'财富模型'!$E$20/12)+'Calc'!$B$6-(IF('Calc'!$E$17=1,0,MIN(Calc!$AQ$279*(1+'财富模型'!$E$20/12)+'Calc'!$B$6,IF(Calc!$AO$280&lt;='财富模型'!$E$11*12,'Calc'!$W$17,'Calc'!$Y$17)))),0))</x:f>
      </x:c>
      <x:c r="AR280" t="str">
        <x:f>IF(Calc!$AO$280&gt;'Calc'!$B$8,"",IF('Calc'!$E$17=1,'财富模型'!$E$9,'财富模型'!$M$9+IF(Calc!$AO$280&lt;='财富模型'!$E$11*12,'Calc'!$W$17,'Calc'!$Y$17)-(IF('Calc'!$E$17=1,0,MIN(Calc!$AQ$279*(1+'财富模型'!$E$20/12)+'Calc'!$B$6,IF(Calc!$AO$280&lt;='财富模型'!$E$11*12,'Calc'!$W$17,'Calc'!$Y$17))))))</x:f>
      </x:c>
      <x:c r="AS280" t="str">
        <x:f>IF(Calc!$AO$280&gt;'Calc'!$B$8,"",IF('Calc'!$E$17=1,0,MIN(Calc!$AQ$279*(1+'财富模型'!$E$20/12)+'Calc'!$B$6,IF(Calc!$AO$280&lt;='财富模型'!$E$11*12,'Calc'!$W$17,'Calc'!$Y$17))))</x:f>
      </x:c>
      <x:c r="AT280" t="str">
        <x:f>IF(Calc!$AO$280&gt;'Calc'!$B$8,"",'Calc'!$B$5-'财富模型'!$E$5-(IF('Calc'!$E$17=1,'财富模型'!$E$9,'财富模型'!$M$9+IF(Calc!$AO$280&lt;='财富模型'!$E$11*12,'Calc'!$W$17,'Calc'!$Y$17)-(IF('Calc'!$E$17=1,0,MIN(Calc!$AQ$279*(1+'财富模型'!$E$20/12)+'Calc'!$B$6,IF(Calc!$AO$280&lt;='财富模型'!$E$11*12,'Calc'!$W$17,'Calc'!$Y$17)))))))</x:f>
      </x:c>
      <x:c r="AU280" t="str">
        <x:f>IF(Calc!$AO$280&gt;'Calc'!$B$8,"",IF('Calc'!$E$17=1,0,MAX(Calc!$AU$279*(1+IF(Calc!$AO$280&lt;='财富模型'!$E$11*12,'财富模型'!$E$10,'财富模型'!$E$12)/12)-IF('Calc'!$E$17=1,0,IF(Calc!$AO$280&lt;='财富模型'!$E$11*12,'Calc'!$W$17,'Calc'!$Y$17)),0)))</x:f>
      </x:c>
    </x:row>
    <x:row r="281">
      <x:c r="A281" t="n">
        <x:v>260</x:v>
      </x:c>
      <x:c r="B281" t="str">
        <x:f>IF(Calc!$A$281&gt;'Calc'!$B$8,"",MAX(Calc!$B$280*(1+'财富模型'!$E$6/12)+('Calc'!$B$5-'财富模型'!$E$5-(IF('Calc'!$E$12=1,'财富模型'!$E$9,'财富模型'!$M$4+IF(Calc!$A$281&lt;='财富模型'!$E$11*12,'Calc'!$W$12,'Calc'!$Y$12)-(IF('Calc'!$E$12=1,0,MIN(Calc!$C$280*(1+'财富模型'!$E$20/12)+'Calc'!$B$6,IF(Calc!$A$281&lt;='财富模型'!$E$11*12,'Calc'!$W$12,'Calc'!$Y$12))))))),0))</x:f>
      </x:c>
      <x:c r="C281" t="str">
        <x:f>IF(Calc!$A$281&gt;'Calc'!$B$8,"",MAX(Calc!$C$280*(1+'财富模型'!$E$20/12)+'Calc'!$B$6-(IF('Calc'!$E$12=1,0,MIN(Calc!$C$280*(1+'财富模型'!$E$20/12)+'Calc'!$B$6,IF(Calc!$A$281&lt;='财富模型'!$E$11*12,'Calc'!$W$12,'Calc'!$Y$12)))),0))</x:f>
      </x:c>
      <x:c r="D281" t="str">
        <x:f>IF(Calc!$A$281&gt;'Calc'!$B$8,"",IF('Calc'!$E$12=1,'财富模型'!$E$9,'财富模型'!$M$4+IF(Calc!$A$281&lt;='财富模型'!$E$11*12,'Calc'!$W$12,'Calc'!$Y$12)-(IF('Calc'!$E$12=1,0,MIN(Calc!$C$280*(1+'财富模型'!$E$20/12)+'Calc'!$B$6,IF(Calc!$A$281&lt;='财富模型'!$E$11*12,'Calc'!$W$12,'Calc'!$Y$12))))))</x:f>
      </x:c>
      <x:c r="E281" t="str">
        <x:f>IF(Calc!$A$281&gt;'Calc'!$B$8,"",IF('Calc'!$E$12=1,0,MIN(Calc!$C$280*(1+'财富模型'!$E$20/12)+'Calc'!$B$6,IF(Calc!$A$281&lt;='财富模型'!$E$11*12,'Calc'!$W$12,'Calc'!$Y$12))))</x:f>
      </x:c>
      <x:c r="F281" t="str">
        <x:f>IF(Calc!$A$281&gt;'Calc'!$B$8,"",'Calc'!$B$5-'财富模型'!$E$5-(IF('Calc'!$E$12=1,'财富模型'!$E$9,'财富模型'!$M$4+IF(Calc!$A$281&lt;='财富模型'!$E$11*12,'Calc'!$W$12,'Calc'!$Y$12)-(IF('Calc'!$E$12=1,0,MIN(Calc!$C$280*(1+'财富模型'!$E$20/12)+'Calc'!$B$6,IF(Calc!$A$281&lt;='财富模型'!$E$11*12,'Calc'!$W$12,'Calc'!$Y$12)))))))</x:f>
      </x:c>
      <x:c r="G281" t="str">
        <x:f>IF(Calc!$A$281&gt;'Calc'!$B$8,"",IF('Calc'!$E$12=1,0,MAX(Calc!$G$280*(1+IF(Calc!$A$281&lt;='财富模型'!$E$11*12,'财富模型'!$E$10,'财富模型'!$E$12)/12)-IF('Calc'!$E$12=1,0,IF(Calc!$A$281&lt;='财富模型'!$E$11*12,'Calc'!$W$12,'Calc'!$Y$12)),0)))</x:f>
      </x:c>
      <x:c r="I281" t="n">
        <x:v>260</x:v>
      </x:c>
      <x:c r="J281" t="str">
        <x:f>IF(Calc!$I$281&gt;'Calc'!$B$8,"",MAX(Calc!$J$280*(1+'财富模型'!$E$6/12)+('Calc'!$B$5-'财富模型'!$E$5-(IF('Calc'!$E$13=1,'财富模型'!$E$9,'财富模型'!$M$5+IF(Calc!$I$281&lt;='财富模型'!$E$11*12,'Calc'!$W$13,'Calc'!$Y$13)-(IF('Calc'!$E$13=1,0,MIN(Calc!$K$280*(1+'财富模型'!$E$20/12)+'Calc'!$B$6,IF(Calc!$I$281&lt;='财富模型'!$E$11*12,'Calc'!$W$13,'Calc'!$Y$13))))))),0))</x:f>
      </x:c>
      <x:c r="K281" t="str">
        <x:f>IF(Calc!$I$281&gt;'Calc'!$B$8,"",MAX(Calc!$K$280*(1+'财富模型'!$E$20/12)+'Calc'!$B$6-(IF('Calc'!$E$13=1,0,MIN(Calc!$K$280*(1+'财富模型'!$E$20/12)+'Calc'!$B$6,IF(Calc!$I$281&lt;='财富模型'!$E$11*12,'Calc'!$W$13,'Calc'!$Y$13)))),0))</x:f>
      </x:c>
      <x:c r="L281" t="str">
        <x:f>IF(Calc!$I$281&gt;'Calc'!$B$8,"",IF('Calc'!$E$13=1,'财富模型'!$E$9,'财富模型'!$M$5+IF(Calc!$I$281&lt;='财富模型'!$E$11*12,'Calc'!$W$13,'Calc'!$Y$13)-(IF('Calc'!$E$13=1,0,MIN(Calc!$K$280*(1+'财富模型'!$E$20/12)+'Calc'!$B$6,IF(Calc!$I$281&lt;='财富模型'!$E$11*12,'Calc'!$W$13,'Calc'!$Y$13))))))</x:f>
      </x:c>
      <x:c r="M281" t="str">
        <x:f>IF(Calc!$I$281&gt;'Calc'!$B$8,"",IF('Calc'!$E$13=1,0,MIN(Calc!$K$280*(1+'财富模型'!$E$20/12)+'Calc'!$B$6,IF(Calc!$I$281&lt;='财富模型'!$E$11*12,'Calc'!$W$13,'Calc'!$Y$13))))</x:f>
      </x:c>
      <x:c r="N281" t="str">
        <x:f>IF(Calc!$I$281&gt;'Calc'!$B$8,"",'Calc'!$B$5-'财富模型'!$E$5-(IF('Calc'!$E$13=1,'财富模型'!$E$9,'财富模型'!$M$5+IF(Calc!$I$281&lt;='财富模型'!$E$11*12,'Calc'!$W$13,'Calc'!$Y$13)-(IF('Calc'!$E$13=1,0,MIN(Calc!$K$280*(1+'财富模型'!$E$20/12)+'Calc'!$B$6,IF(Calc!$I$281&lt;='财富模型'!$E$11*12,'Calc'!$W$13,'Calc'!$Y$13)))))))</x:f>
      </x:c>
      <x:c r="O281" t="str">
        <x:f>IF(Calc!$I$281&gt;'Calc'!$B$8,"",IF('Calc'!$E$13=1,0,MAX(Calc!$O$280*(1+IF(Calc!$I$281&lt;='财富模型'!$E$11*12,'财富模型'!$E$10,'财富模型'!$E$12)/12)-IF('Calc'!$E$13=1,0,IF(Calc!$I$281&lt;='财富模型'!$E$11*12,'Calc'!$W$13,'Calc'!$Y$13)),0)))</x:f>
      </x:c>
      <x:c r="Q281" t="n">
        <x:v>260</x:v>
      </x:c>
      <x:c r="R281" t="str">
        <x:f>IF(Calc!$Q$281&gt;'Calc'!$B$8,"",MAX(Calc!$R$280*(1+'财富模型'!$E$6/12)+('Calc'!$B$5-'财富模型'!$E$5-(IF('Calc'!$E$14=1,'财富模型'!$E$9,'财富模型'!$M$6+IF(Calc!$Q$281&lt;='财富模型'!$E$11*12,'Calc'!$W$14,'Calc'!$Y$14)-(IF('Calc'!$E$14=1,0,MIN(Calc!$S$280*(1+'财富模型'!$E$20/12)+'Calc'!$B$6,IF(Calc!$Q$281&lt;='财富模型'!$E$11*12,'Calc'!$W$14,'Calc'!$Y$14))))))),0))</x:f>
      </x:c>
      <x:c r="S281" t="str">
        <x:f>IF(Calc!$Q$281&gt;'Calc'!$B$8,"",MAX(Calc!$S$280*(1+'财富模型'!$E$20/12)+'Calc'!$B$6-(IF('Calc'!$E$14=1,0,MIN(Calc!$S$280*(1+'财富模型'!$E$20/12)+'Calc'!$B$6,IF(Calc!$Q$281&lt;='财富模型'!$E$11*12,'Calc'!$W$14,'Calc'!$Y$14)))),0))</x:f>
      </x:c>
      <x:c r="T281" t="str">
        <x:f>IF(Calc!$Q$281&gt;'Calc'!$B$8,"",IF('Calc'!$E$14=1,'财富模型'!$E$9,'财富模型'!$M$6+IF(Calc!$Q$281&lt;='财富模型'!$E$11*12,'Calc'!$W$14,'Calc'!$Y$14)-(IF('Calc'!$E$14=1,0,MIN(Calc!$S$280*(1+'财富模型'!$E$20/12)+'Calc'!$B$6,IF(Calc!$Q$281&lt;='财富模型'!$E$11*12,'Calc'!$W$14,'Calc'!$Y$14))))))</x:f>
      </x:c>
      <x:c r="U281" t="str">
        <x:f>IF(Calc!$Q$281&gt;'Calc'!$B$8,"",IF('Calc'!$E$14=1,0,MIN(Calc!$S$280*(1+'财富模型'!$E$20/12)+'Calc'!$B$6,IF(Calc!$Q$281&lt;='财富模型'!$E$11*12,'Calc'!$W$14,'Calc'!$Y$14))))</x:f>
      </x:c>
      <x:c r="V281" t="str">
        <x:f>IF(Calc!$Q$281&gt;'Calc'!$B$8,"",'Calc'!$B$5-'财富模型'!$E$5-(IF('Calc'!$E$14=1,'财富模型'!$E$9,'财富模型'!$M$6+IF(Calc!$Q$281&lt;='财富模型'!$E$11*12,'Calc'!$W$14,'Calc'!$Y$14)-(IF('Calc'!$E$14=1,0,MIN(Calc!$S$280*(1+'财富模型'!$E$20/12)+'Calc'!$B$6,IF(Calc!$Q$281&lt;='财富模型'!$E$11*12,'Calc'!$W$14,'Calc'!$Y$14)))))))</x:f>
      </x:c>
      <x:c r="W281" t="str">
        <x:f>IF(Calc!$Q$281&gt;'Calc'!$B$8,"",IF('Calc'!$E$14=1,0,MAX(Calc!$W$280*(1+IF(Calc!$Q$281&lt;='财富模型'!$E$11*12,'财富模型'!$E$10,'财富模型'!$E$12)/12)-IF('Calc'!$E$14=1,0,IF(Calc!$Q$281&lt;='财富模型'!$E$11*12,'Calc'!$W$14,'Calc'!$Y$14)),0)))</x:f>
      </x:c>
      <x:c r="Y281" t="n">
        <x:v>260</x:v>
      </x:c>
      <x:c r="Z281" t="str">
        <x:f>IF(Calc!$Y$281&gt;'Calc'!$B$8,"",MAX(Calc!$Z$280*(1+'财富模型'!$E$6/12)+('Calc'!$B$5-'财富模型'!$E$5-(IF('Calc'!$E$15=1,'财富模型'!$E$9,'财富模型'!$M$7+IF(Calc!$Y$281&lt;='财富模型'!$E$11*12,'Calc'!$W$15,'Calc'!$Y$15)-(IF('Calc'!$E$15=1,0,MIN(Calc!$AA$280*(1+'财富模型'!$E$20/12)+'Calc'!$B$6,IF(Calc!$Y$281&lt;='财富模型'!$E$11*12,'Calc'!$W$15,'Calc'!$Y$15))))))),0))</x:f>
      </x:c>
      <x:c r="AA281" t="str">
        <x:f>IF(Calc!$Y$281&gt;'Calc'!$B$8,"",MAX(Calc!$AA$280*(1+'财富模型'!$E$20/12)+'Calc'!$B$6-(IF('Calc'!$E$15=1,0,MIN(Calc!$AA$280*(1+'财富模型'!$E$20/12)+'Calc'!$B$6,IF(Calc!$Y$281&lt;='财富模型'!$E$11*12,'Calc'!$W$15,'Calc'!$Y$15)))),0))</x:f>
      </x:c>
      <x:c r="AB281" t="str">
        <x:f>IF(Calc!$Y$281&gt;'Calc'!$B$8,"",IF('Calc'!$E$15=1,'财富模型'!$E$9,'财富模型'!$M$7+IF(Calc!$Y$281&lt;='财富模型'!$E$11*12,'Calc'!$W$15,'Calc'!$Y$15)-(IF('Calc'!$E$15=1,0,MIN(Calc!$AA$280*(1+'财富模型'!$E$20/12)+'Calc'!$B$6,IF(Calc!$Y$281&lt;='财富模型'!$E$11*12,'Calc'!$W$15,'Calc'!$Y$15))))))</x:f>
      </x:c>
      <x:c r="AC281" t="str">
        <x:f>IF(Calc!$Y$281&gt;'Calc'!$B$8,"",IF('Calc'!$E$15=1,0,MIN(Calc!$AA$280*(1+'财富模型'!$E$20/12)+'Calc'!$B$6,IF(Calc!$Y$281&lt;='财富模型'!$E$11*12,'Calc'!$W$15,'Calc'!$Y$15))))</x:f>
      </x:c>
      <x:c r="AD281" t="str">
        <x:f>IF(Calc!$Y$281&gt;'Calc'!$B$8,"",'Calc'!$B$5-'财富模型'!$E$5-(IF('Calc'!$E$15=1,'财富模型'!$E$9,'财富模型'!$M$7+IF(Calc!$Y$281&lt;='财富模型'!$E$11*12,'Calc'!$W$15,'Calc'!$Y$15)-(IF('Calc'!$E$15=1,0,MIN(Calc!$AA$280*(1+'财富模型'!$E$20/12)+'Calc'!$B$6,IF(Calc!$Y$281&lt;='财富模型'!$E$11*12,'Calc'!$W$15,'Calc'!$Y$15)))))))</x:f>
      </x:c>
      <x:c r="AE281" t="str">
        <x:f>IF(Calc!$Y$281&gt;'Calc'!$B$8,"",IF('Calc'!$E$15=1,0,MAX(Calc!$AE$280*(1+IF(Calc!$Y$281&lt;='财富模型'!$E$11*12,'财富模型'!$E$10,'财富模型'!$E$12)/12)-IF('Calc'!$E$15=1,0,IF(Calc!$Y$281&lt;='财富模型'!$E$11*12,'Calc'!$W$15,'Calc'!$Y$15)),0)))</x:f>
      </x:c>
      <x:c r="AG281" t="n">
        <x:v>260</x:v>
      </x:c>
      <x:c r="AH281" t="str">
        <x:f>IF(Calc!$AG$281&gt;'Calc'!$B$8,"",MAX(Calc!$AH$280*(1+'财富模型'!$E$6/12)+('Calc'!$B$5-'财富模型'!$E$5-(IF('Calc'!$E$16=1,'财富模型'!$E$9,'财富模型'!$M$8+IF(Calc!$AG$281&lt;='财富模型'!$E$11*12,'Calc'!$W$16,'Calc'!$Y$16)-(IF('Calc'!$E$16=1,0,MIN(Calc!$AI$280*(1+'财富模型'!$E$20/12)+'Calc'!$B$6,IF(Calc!$AG$281&lt;='财富模型'!$E$11*12,'Calc'!$W$16,'Calc'!$Y$16))))))),0))</x:f>
      </x:c>
      <x:c r="AI281" t="str">
        <x:f>IF(Calc!$AG$281&gt;'Calc'!$B$8,"",MAX(Calc!$AI$280*(1+'财富模型'!$E$20/12)+'Calc'!$B$6-(IF('Calc'!$E$16=1,0,MIN(Calc!$AI$280*(1+'财富模型'!$E$20/12)+'Calc'!$B$6,IF(Calc!$AG$281&lt;='财富模型'!$E$11*12,'Calc'!$W$16,'Calc'!$Y$16)))),0))</x:f>
      </x:c>
      <x:c r="AJ281" t="str">
        <x:f>IF(Calc!$AG$281&gt;'Calc'!$B$8,"",IF('Calc'!$E$16=1,'财富模型'!$E$9,'财富模型'!$M$8+IF(Calc!$AG$281&lt;='财富模型'!$E$11*12,'Calc'!$W$16,'Calc'!$Y$16)-(IF('Calc'!$E$16=1,0,MIN(Calc!$AI$280*(1+'财富模型'!$E$20/12)+'Calc'!$B$6,IF(Calc!$AG$281&lt;='财富模型'!$E$11*12,'Calc'!$W$16,'Calc'!$Y$16))))))</x:f>
      </x:c>
      <x:c r="AK281" t="str">
        <x:f>IF(Calc!$AG$281&gt;'Calc'!$B$8,"",IF('Calc'!$E$16=1,0,MIN(Calc!$AI$280*(1+'财富模型'!$E$20/12)+'Calc'!$B$6,IF(Calc!$AG$281&lt;='财富模型'!$E$11*12,'Calc'!$W$16,'Calc'!$Y$16))))</x:f>
      </x:c>
      <x:c r="AL281" t="str">
        <x:f>IF(Calc!$AG$281&gt;'Calc'!$B$8,"",'Calc'!$B$5-'财富模型'!$E$5-(IF('Calc'!$E$16=1,'财富模型'!$E$9,'财富模型'!$M$8+IF(Calc!$AG$281&lt;='财富模型'!$E$11*12,'Calc'!$W$16,'Calc'!$Y$16)-(IF('Calc'!$E$16=1,0,MIN(Calc!$AI$280*(1+'财富模型'!$E$20/12)+'Calc'!$B$6,IF(Calc!$AG$281&lt;='财富模型'!$E$11*12,'Calc'!$W$16,'Calc'!$Y$16)))))))</x:f>
      </x:c>
      <x:c r="AM281" t="str">
        <x:f>IF(Calc!$AG$281&gt;'Calc'!$B$8,"",IF('Calc'!$E$16=1,0,MAX(Calc!$AM$280*(1+IF(Calc!$AG$281&lt;='财富模型'!$E$11*12,'财富模型'!$E$10,'财富模型'!$E$12)/12)-IF('Calc'!$E$16=1,0,IF(Calc!$AG$281&lt;='财富模型'!$E$11*12,'Calc'!$W$16,'Calc'!$Y$16)),0)))</x:f>
      </x:c>
      <x:c r="AO281" t="n">
        <x:v>260</x:v>
      </x:c>
      <x:c r="AP281" t="str">
        <x:f>IF(Calc!$AO$281&gt;'Calc'!$B$8,"",MAX(Calc!$AP$280*(1+'财富模型'!$E$6/12)+('Calc'!$B$5-'财富模型'!$E$5-(IF('Calc'!$E$17=1,'财富模型'!$E$9,'财富模型'!$M$9+IF(Calc!$AO$281&lt;='财富模型'!$E$11*12,'Calc'!$W$17,'Calc'!$Y$17)-(IF('Calc'!$E$17=1,0,MIN(Calc!$AQ$280*(1+'财富模型'!$E$20/12)+'Calc'!$B$6,IF(Calc!$AO$281&lt;='财富模型'!$E$11*12,'Calc'!$W$17,'Calc'!$Y$17))))))),0))</x:f>
      </x:c>
      <x:c r="AQ281" t="str">
        <x:f>IF(Calc!$AO$281&gt;'Calc'!$B$8,"",MAX(Calc!$AQ$280*(1+'财富模型'!$E$20/12)+'Calc'!$B$6-(IF('Calc'!$E$17=1,0,MIN(Calc!$AQ$280*(1+'财富模型'!$E$20/12)+'Calc'!$B$6,IF(Calc!$AO$281&lt;='财富模型'!$E$11*12,'Calc'!$W$17,'Calc'!$Y$17)))),0))</x:f>
      </x:c>
      <x:c r="AR281" t="str">
        <x:f>IF(Calc!$AO$281&gt;'Calc'!$B$8,"",IF('Calc'!$E$17=1,'财富模型'!$E$9,'财富模型'!$M$9+IF(Calc!$AO$281&lt;='财富模型'!$E$11*12,'Calc'!$W$17,'Calc'!$Y$17)-(IF('Calc'!$E$17=1,0,MIN(Calc!$AQ$280*(1+'财富模型'!$E$20/12)+'Calc'!$B$6,IF(Calc!$AO$281&lt;='财富模型'!$E$11*12,'Calc'!$W$17,'Calc'!$Y$17))))))</x:f>
      </x:c>
      <x:c r="AS281" t="str">
        <x:f>IF(Calc!$AO$281&gt;'Calc'!$B$8,"",IF('Calc'!$E$17=1,0,MIN(Calc!$AQ$280*(1+'财富模型'!$E$20/12)+'Calc'!$B$6,IF(Calc!$AO$281&lt;='财富模型'!$E$11*12,'Calc'!$W$17,'Calc'!$Y$17))))</x:f>
      </x:c>
      <x:c r="AT281" t="str">
        <x:f>IF(Calc!$AO$281&gt;'Calc'!$B$8,"",'Calc'!$B$5-'财富模型'!$E$5-(IF('Calc'!$E$17=1,'财富模型'!$E$9,'财富模型'!$M$9+IF(Calc!$AO$281&lt;='财富模型'!$E$11*12,'Calc'!$W$17,'Calc'!$Y$17)-(IF('Calc'!$E$17=1,0,MIN(Calc!$AQ$280*(1+'财富模型'!$E$20/12)+'Calc'!$B$6,IF(Calc!$AO$281&lt;='财富模型'!$E$11*12,'Calc'!$W$17,'Calc'!$Y$17)))))))</x:f>
      </x:c>
      <x:c r="AU281" t="str">
        <x:f>IF(Calc!$AO$281&gt;'Calc'!$B$8,"",IF('Calc'!$E$17=1,0,MAX(Calc!$AU$280*(1+IF(Calc!$AO$281&lt;='财富模型'!$E$11*12,'财富模型'!$E$10,'财富模型'!$E$12)/12)-IF('Calc'!$E$17=1,0,IF(Calc!$AO$281&lt;='财富模型'!$E$11*12,'Calc'!$W$17,'Calc'!$Y$17)),0)))</x:f>
      </x:c>
    </x:row>
    <x:row r="282">
      <x:c r="A282" t="n">
        <x:v>261</x:v>
      </x:c>
      <x:c r="B282" t="str">
        <x:f>IF(Calc!$A$282&gt;'Calc'!$B$8,"",MAX(Calc!$B$281*(1+'财富模型'!$E$6/12)+('Calc'!$B$5-'财富模型'!$E$5-(IF('Calc'!$E$12=1,'财富模型'!$E$9,'财富模型'!$M$4+IF(Calc!$A$282&lt;='财富模型'!$E$11*12,'Calc'!$W$12,'Calc'!$Y$12)-(IF('Calc'!$E$12=1,0,MIN(Calc!$C$281*(1+'财富模型'!$E$20/12)+'Calc'!$B$6,IF(Calc!$A$282&lt;='财富模型'!$E$11*12,'Calc'!$W$12,'Calc'!$Y$12))))))),0))</x:f>
      </x:c>
      <x:c r="C282" t="str">
        <x:f>IF(Calc!$A$282&gt;'Calc'!$B$8,"",MAX(Calc!$C$281*(1+'财富模型'!$E$20/12)+'Calc'!$B$6-(IF('Calc'!$E$12=1,0,MIN(Calc!$C$281*(1+'财富模型'!$E$20/12)+'Calc'!$B$6,IF(Calc!$A$282&lt;='财富模型'!$E$11*12,'Calc'!$W$12,'Calc'!$Y$12)))),0))</x:f>
      </x:c>
      <x:c r="D282" t="str">
        <x:f>IF(Calc!$A$282&gt;'Calc'!$B$8,"",IF('Calc'!$E$12=1,'财富模型'!$E$9,'财富模型'!$M$4+IF(Calc!$A$282&lt;='财富模型'!$E$11*12,'Calc'!$W$12,'Calc'!$Y$12)-(IF('Calc'!$E$12=1,0,MIN(Calc!$C$281*(1+'财富模型'!$E$20/12)+'Calc'!$B$6,IF(Calc!$A$282&lt;='财富模型'!$E$11*12,'Calc'!$W$12,'Calc'!$Y$12))))))</x:f>
      </x:c>
      <x:c r="E282" t="str">
        <x:f>IF(Calc!$A$282&gt;'Calc'!$B$8,"",IF('Calc'!$E$12=1,0,MIN(Calc!$C$281*(1+'财富模型'!$E$20/12)+'Calc'!$B$6,IF(Calc!$A$282&lt;='财富模型'!$E$11*12,'Calc'!$W$12,'Calc'!$Y$12))))</x:f>
      </x:c>
      <x:c r="F282" t="str">
        <x:f>IF(Calc!$A$282&gt;'Calc'!$B$8,"",'Calc'!$B$5-'财富模型'!$E$5-(IF('Calc'!$E$12=1,'财富模型'!$E$9,'财富模型'!$M$4+IF(Calc!$A$282&lt;='财富模型'!$E$11*12,'Calc'!$W$12,'Calc'!$Y$12)-(IF('Calc'!$E$12=1,0,MIN(Calc!$C$281*(1+'财富模型'!$E$20/12)+'Calc'!$B$6,IF(Calc!$A$282&lt;='财富模型'!$E$11*12,'Calc'!$W$12,'Calc'!$Y$12)))))))</x:f>
      </x:c>
      <x:c r="G282" t="str">
        <x:f>IF(Calc!$A$282&gt;'Calc'!$B$8,"",IF('Calc'!$E$12=1,0,MAX(Calc!$G$281*(1+IF(Calc!$A$282&lt;='财富模型'!$E$11*12,'财富模型'!$E$10,'财富模型'!$E$12)/12)-IF('Calc'!$E$12=1,0,IF(Calc!$A$282&lt;='财富模型'!$E$11*12,'Calc'!$W$12,'Calc'!$Y$12)),0)))</x:f>
      </x:c>
      <x:c r="I282" t="n">
        <x:v>261</x:v>
      </x:c>
      <x:c r="J282" t="str">
        <x:f>IF(Calc!$I$282&gt;'Calc'!$B$8,"",MAX(Calc!$J$281*(1+'财富模型'!$E$6/12)+('Calc'!$B$5-'财富模型'!$E$5-(IF('Calc'!$E$13=1,'财富模型'!$E$9,'财富模型'!$M$5+IF(Calc!$I$282&lt;='财富模型'!$E$11*12,'Calc'!$W$13,'Calc'!$Y$13)-(IF('Calc'!$E$13=1,0,MIN(Calc!$K$281*(1+'财富模型'!$E$20/12)+'Calc'!$B$6,IF(Calc!$I$282&lt;='财富模型'!$E$11*12,'Calc'!$W$13,'Calc'!$Y$13))))))),0))</x:f>
      </x:c>
      <x:c r="K282" t="str">
        <x:f>IF(Calc!$I$282&gt;'Calc'!$B$8,"",MAX(Calc!$K$281*(1+'财富模型'!$E$20/12)+'Calc'!$B$6-(IF('Calc'!$E$13=1,0,MIN(Calc!$K$281*(1+'财富模型'!$E$20/12)+'Calc'!$B$6,IF(Calc!$I$282&lt;='财富模型'!$E$11*12,'Calc'!$W$13,'Calc'!$Y$13)))),0))</x:f>
      </x:c>
      <x:c r="L282" t="str">
        <x:f>IF(Calc!$I$282&gt;'Calc'!$B$8,"",IF('Calc'!$E$13=1,'财富模型'!$E$9,'财富模型'!$M$5+IF(Calc!$I$282&lt;='财富模型'!$E$11*12,'Calc'!$W$13,'Calc'!$Y$13)-(IF('Calc'!$E$13=1,0,MIN(Calc!$K$281*(1+'财富模型'!$E$20/12)+'Calc'!$B$6,IF(Calc!$I$282&lt;='财富模型'!$E$11*12,'Calc'!$W$13,'Calc'!$Y$13))))))</x:f>
      </x:c>
      <x:c r="M282" t="str">
        <x:f>IF(Calc!$I$282&gt;'Calc'!$B$8,"",IF('Calc'!$E$13=1,0,MIN(Calc!$K$281*(1+'财富模型'!$E$20/12)+'Calc'!$B$6,IF(Calc!$I$282&lt;='财富模型'!$E$11*12,'Calc'!$W$13,'Calc'!$Y$13))))</x:f>
      </x:c>
      <x:c r="N282" t="str">
        <x:f>IF(Calc!$I$282&gt;'Calc'!$B$8,"",'Calc'!$B$5-'财富模型'!$E$5-(IF('Calc'!$E$13=1,'财富模型'!$E$9,'财富模型'!$M$5+IF(Calc!$I$282&lt;='财富模型'!$E$11*12,'Calc'!$W$13,'Calc'!$Y$13)-(IF('Calc'!$E$13=1,0,MIN(Calc!$K$281*(1+'财富模型'!$E$20/12)+'Calc'!$B$6,IF(Calc!$I$282&lt;='财富模型'!$E$11*12,'Calc'!$W$13,'Calc'!$Y$13)))))))</x:f>
      </x:c>
      <x:c r="O282" t="str">
        <x:f>IF(Calc!$I$282&gt;'Calc'!$B$8,"",IF('Calc'!$E$13=1,0,MAX(Calc!$O$281*(1+IF(Calc!$I$282&lt;='财富模型'!$E$11*12,'财富模型'!$E$10,'财富模型'!$E$12)/12)-IF('Calc'!$E$13=1,0,IF(Calc!$I$282&lt;='财富模型'!$E$11*12,'Calc'!$W$13,'Calc'!$Y$13)),0)))</x:f>
      </x:c>
      <x:c r="Q282" t="n">
        <x:v>261</x:v>
      </x:c>
      <x:c r="R282" t="str">
        <x:f>IF(Calc!$Q$282&gt;'Calc'!$B$8,"",MAX(Calc!$R$281*(1+'财富模型'!$E$6/12)+('Calc'!$B$5-'财富模型'!$E$5-(IF('Calc'!$E$14=1,'财富模型'!$E$9,'财富模型'!$M$6+IF(Calc!$Q$282&lt;='财富模型'!$E$11*12,'Calc'!$W$14,'Calc'!$Y$14)-(IF('Calc'!$E$14=1,0,MIN(Calc!$S$281*(1+'财富模型'!$E$20/12)+'Calc'!$B$6,IF(Calc!$Q$282&lt;='财富模型'!$E$11*12,'Calc'!$W$14,'Calc'!$Y$14))))))),0))</x:f>
      </x:c>
      <x:c r="S282" t="str">
        <x:f>IF(Calc!$Q$282&gt;'Calc'!$B$8,"",MAX(Calc!$S$281*(1+'财富模型'!$E$20/12)+'Calc'!$B$6-(IF('Calc'!$E$14=1,0,MIN(Calc!$S$281*(1+'财富模型'!$E$20/12)+'Calc'!$B$6,IF(Calc!$Q$282&lt;='财富模型'!$E$11*12,'Calc'!$W$14,'Calc'!$Y$14)))),0))</x:f>
      </x:c>
      <x:c r="T282" t="str">
        <x:f>IF(Calc!$Q$282&gt;'Calc'!$B$8,"",IF('Calc'!$E$14=1,'财富模型'!$E$9,'财富模型'!$M$6+IF(Calc!$Q$282&lt;='财富模型'!$E$11*12,'Calc'!$W$14,'Calc'!$Y$14)-(IF('Calc'!$E$14=1,0,MIN(Calc!$S$281*(1+'财富模型'!$E$20/12)+'Calc'!$B$6,IF(Calc!$Q$282&lt;='财富模型'!$E$11*12,'Calc'!$W$14,'Calc'!$Y$14))))))</x:f>
      </x:c>
      <x:c r="U282" t="str">
        <x:f>IF(Calc!$Q$282&gt;'Calc'!$B$8,"",IF('Calc'!$E$14=1,0,MIN(Calc!$S$281*(1+'财富模型'!$E$20/12)+'Calc'!$B$6,IF(Calc!$Q$282&lt;='财富模型'!$E$11*12,'Calc'!$W$14,'Calc'!$Y$14))))</x:f>
      </x:c>
      <x:c r="V282" t="str">
        <x:f>IF(Calc!$Q$282&gt;'Calc'!$B$8,"",'Calc'!$B$5-'财富模型'!$E$5-(IF('Calc'!$E$14=1,'财富模型'!$E$9,'财富模型'!$M$6+IF(Calc!$Q$282&lt;='财富模型'!$E$11*12,'Calc'!$W$14,'Calc'!$Y$14)-(IF('Calc'!$E$14=1,0,MIN(Calc!$S$281*(1+'财富模型'!$E$20/12)+'Calc'!$B$6,IF(Calc!$Q$282&lt;='财富模型'!$E$11*12,'Calc'!$W$14,'Calc'!$Y$14)))))))</x:f>
      </x:c>
      <x:c r="W282" t="str">
        <x:f>IF(Calc!$Q$282&gt;'Calc'!$B$8,"",IF('Calc'!$E$14=1,0,MAX(Calc!$W$281*(1+IF(Calc!$Q$282&lt;='财富模型'!$E$11*12,'财富模型'!$E$10,'财富模型'!$E$12)/12)-IF('Calc'!$E$14=1,0,IF(Calc!$Q$282&lt;='财富模型'!$E$11*12,'Calc'!$W$14,'Calc'!$Y$14)),0)))</x:f>
      </x:c>
      <x:c r="Y282" t="n">
        <x:v>261</x:v>
      </x:c>
      <x:c r="Z282" t="str">
        <x:f>IF(Calc!$Y$282&gt;'Calc'!$B$8,"",MAX(Calc!$Z$281*(1+'财富模型'!$E$6/12)+('Calc'!$B$5-'财富模型'!$E$5-(IF('Calc'!$E$15=1,'财富模型'!$E$9,'财富模型'!$M$7+IF(Calc!$Y$282&lt;='财富模型'!$E$11*12,'Calc'!$W$15,'Calc'!$Y$15)-(IF('Calc'!$E$15=1,0,MIN(Calc!$AA$281*(1+'财富模型'!$E$20/12)+'Calc'!$B$6,IF(Calc!$Y$282&lt;='财富模型'!$E$11*12,'Calc'!$W$15,'Calc'!$Y$15))))))),0))</x:f>
      </x:c>
      <x:c r="AA282" t="str">
        <x:f>IF(Calc!$Y$282&gt;'Calc'!$B$8,"",MAX(Calc!$AA$281*(1+'财富模型'!$E$20/12)+'Calc'!$B$6-(IF('Calc'!$E$15=1,0,MIN(Calc!$AA$281*(1+'财富模型'!$E$20/12)+'Calc'!$B$6,IF(Calc!$Y$282&lt;='财富模型'!$E$11*12,'Calc'!$W$15,'Calc'!$Y$15)))),0))</x:f>
      </x:c>
      <x:c r="AB282" t="str">
        <x:f>IF(Calc!$Y$282&gt;'Calc'!$B$8,"",IF('Calc'!$E$15=1,'财富模型'!$E$9,'财富模型'!$M$7+IF(Calc!$Y$282&lt;='财富模型'!$E$11*12,'Calc'!$W$15,'Calc'!$Y$15)-(IF('Calc'!$E$15=1,0,MIN(Calc!$AA$281*(1+'财富模型'!$E$20/12)+'Calc'!$B$6,IF(Calc!$Y$282&lt;='财富模型'!$E$11*12,'Calc'!$W$15,'Calc'!$Y$15))))))</x:f>
      </x:c>
      <x:c r="AC282" t="str">
        <x:f>IF(Calc!$Y$282&gt;'Calc'!$B$8,"",IF('Calc'!$E$15=1,0,MIN(Calc!$AA$281*(1+'财富模型'!$E$20/12)+'Calc'!$B$6,IF(Calc!$Y$282&lt;='财富模型'!$E$11*12,'Calc'!$W$15,'Calc'!$Y$15))))</x:f>
      </x:c>
      <x:c r="AD282" t="str">
        <x:f>IF(Calc!$Y$282&gt;'Calc'!$B$8,"",'Calc'!$B$5-'财富模型'!$E$5-(IF('Calc'!$E$15=1,'财富模型'!$E$9,'财富模型'!$M$7+IF(Calc!$Y$282&lt;='财富模型'!$E$11*12,'Calc'!$W$15,'Calc'!$Y$15)-(IF('Calc'!$E$15=1,0,MIN(Calc!$AA$281*(1+'财富模型'!$E$20/12)+'Calc'!$B$6,IF(Calc!$Y$282&lt;='财富模型'!$E$11*12,'Calc'!$W$15,'Calc'!$Y$15)))))))</x:f>
      </x:c>
      <x:c r="AE282" t="str">
        <x:f>IF(Calc!$Y$282&gt;'Calc'!$B$8,"",IF('Calc'!$E$15=1,0,MAX(Calc!$AE$281*(1+IF(Calc!$Y$282&lt;='财富模型'!$E$11*12,'财富模型'!$E$10,'财富模型'!$E$12)/12)-IF('Calc'!$E$15=1,0,IF(Calc!$Y$282&lt;='财富模型'!$E$11*12,'Calc'!$W$15,'Calc'!$Y$15)),0)))</x:f>
      </x:c>
      <x:c r="AG282" t="n">
        <x:v>261</x:v>
      </x:c>
      <x:c r="AH282" t="str">
        <x:f>IF(Calc!$AG$282&gt;'Calc'!$B$8,"",MAX(Calc!$AH$281*(1+'财富模型'!$E$6/12)+('Calc'!$B$5-'财富模型'!$E$5-(IF('Calc'!$E$16=1,'财富模型'!$E$9,'财富模型'!$M$8+IF(Calc!$AG$282&lt;='财富模型'!$E$11*12,'Calc'!$W$16,'Calc'!$Y$16)-(IF('Calc'!$E$16=1,0,MIN(Calc!$AI$281*(1+'财富模型'!$E$20/12)+'Calc'!$B$6,IF(Calc!$AG$282&lt;='财富模型'!$E$11*12,'Calc'!$W$16,'Calc'!$Y$16))))))),0))</x:f>
      </x:c>
      <x:c r="AI282" t="str">
        <x:f>IF(Calc!$AG$282&gt;'Calc'!$B$8,"",MAX(Calc!$AI$281*(1+'财富模型'!$E$20/12)+'Calc'!$B$6-(IF('Calc'!$E$16=1,0,MIN(Calc!$AI$281*(1+'财富模型'!$E$20/12)+'Calc'!$B$6,IF(Calc!$AG$282&lt;='财富模型'!$E$11*12,'Calc'!$W$16,'Calc'!$Y$16)))),0))</x:f>
      </x:c>
      <x:c r="AJ282" t="str">
        <x:f>IF(Calc!$AG$282&gt;'Calc'!$B$8,"",IF('Calc'!$E$16=1,'财富模型'!$E$9,'财富模型'!$M$8+IF(Calc!$AG$282&lt;='财富模型'!$E$11*12,'Calc'!$W$16,'Calc'!$Y$16)-(IF('Calc'!$E$16=1,0,MIN(Calc!$AI$281*(1+'财富模型'!$E$20/12)+'Calc'!$B$6,IF(Calc!$AG$282&lt;='财富模型'!$E$11*12,'Calc'!$W$16,'Calc'!$Y$16))))))</x:f>
      </x:c>
      <x:c r="AK282" t="str">
        <x:f>IF(Calc!$AG$282&gt;'Calc'!$B$8,"",IF('Calc'!$E$16=1,0,MIN(Calc!$AI$281*(1+'财富模型'!$E$20/12)+'Calc'!$B$6,IF(Calc!$AG$282&lt;='财富模型'!$E$11*12,'Calc'!$W$16,'Calc'!$Y$16))))</x:f>
      </x:c>
      <x:c r="AL282" t="str">
        <x:f>IF(Calc!$AG$282&gt;'Calc'!$B$8,"",'Calc'!$B$5-'财富模型'!$E$5-(IF('Calc'!$E$16=1,'财富模型'!$E$9,'财富模型'!$M$8+IF(Calc!$AG$282&lt;='财富模型'!$E$11*12,'Calc'!$W$16,'Calc'!$Y$16)-(IF('Calc'!$E$16=1,0,MIN(Calc!$AI$281*(1+'财富模型'!$E$20/12)+'Calc'!$B$6,IF(Calc!$AG$282&lt;='财富模型'!$E$11*12,'Calc'!$W$16,'Calc'!$Y$16)))))))</x:f>
      </x:c>
      <x:c r="AM282" t="str">
        <x:f>IF(Calc!$AG$282&gt;'Calc'!$B$8,"",IF('Calc'!$E$16=1,0,MAX(Calc!$AM$281*(1+IF(Calc!$AG$282&lt;='财富模型'!$E$11*12,'财富模型'!$E$10,'财富模型'!$E$12)/12)-IF('Calc'!$E$16=1,0,IF(Calc!$AG$282&lt;='财富模型'!$E$11*12,'Calc'!$W$16,'Calc'!$Y$16)),0)))</x:f>
      </x:c>
      <x:c r="AO282" t="n">
        <x:v>261</x:v>
      </x:c>
      <x:c r="AP282" t="str">
        <x:f>IF(Calc!$AO$282&gt;'Calc'!$B$8,"",MAX(Calc!$AP$281*(1+'财富模型'!$E$6/12)+('Calc'!$B$5-'财富模型'!$E$5-(IF('Calc'!$E$17=1,'财富模型'!$E$9,'财富模型'!$M$9+IF(Calc!$AO$282&lt;='财富模型'!$E$11*12,'Calc'!$W$17,'Calc'!$Y$17)-(IF('Calc'!$E$17=1,0,MIN(Calc!$AQ$281*(1+'财富模型'!$E$20/12)+'Calc'!$B$6,IF(Calc!$AO$282&lt;='财富模型'!$E$11*12,'Calc'!$W$17,'Calc'!$Y$17))))))),0))</x:f>
      </x:c>
      <x:c r="AQ282" t="str">
        <x:f>IF(Calc!$AO$282&gt;'Calc'!$B$8,"",MAX(Calc!$AQ$281*(1+'财富模型'!$E$20/12)+'Calc'!$B$6-(IF('Calc'!$E$17=1,0,MIN(Calc!$AQ$281*(1+'财富模型'!$E$20/12)+'Calc'!$B$6,IF(Calc!$AO$282&lt;='财富模型'!$E$11*12,'Calc'!$W$17,'Calc'!$Y$17)))),0))</x:f>
      </x:c>
      <x:c r="AR282" t="str">
        <x:f>IF(Calc!$AO$282&gt;'Calc'!$B$8,"",IF('Calc'!$E$17=1,'财富模型'!$E$9,'财富模型'!$M$9+IF(Calc!$AO$282&lt;='财富模型'!$E$11*12,'Calc'!$W$17,'Calc'!$Y$17)-(IF('Calc'!$E$17=1,0,MIN(Calc!$AQ$281*(1+'财富模型'!$E$20/12)+'Calc'!$B$6,IF(Calc!$AO$282&lt;='财富模型'!$E$11*12,'Calc'!$W$17,'Calc'!$Y$17))))))</x:f>
      </x:c>
      <x:c r="AS282" t="str">
        <x:f>IF(Calc!$AO$282&gt;'Calc'!$B$8,"",IF('Calc'!$E$17=1,0,MIN(Calc!$AQ$281*(1+'财富模型'!$E$20/12)+'Calc'!$B$6,IF(Calc!$AO$282&lt;='财富模型'!$E$11*12,'Calc'!$W$17,'Calc'!$Y$17))))</x:f>
      </x:c>
      <x:c r="AT282" t="str">
        <x:f>IF(Calc!$AO$282&gt;'Calc'!$B$8,"",'Calc'!$B$5-'财富模型'!$E$5-(IF('Calc'!$E$17=1,'财富模型'!$E$9,'财富模型'!$M$9+IF(Calc!$AO$282&lt;='财富模型'!$E$11*12,'Calc'!$W$17,'Calc'!$Y$17)-(IF('Calc'!$E$17=1,0,MIN(Calc!$AQ$281*(1+'财富模型'!$E$20/12)+'Calc'!$B$6,IF(Calc!$AO$282&lt;='财富模型'!$E$11*12,'Calc'!$W$17,'Calc'!$Y$17)))))))</x:f>
      </x:c>
      <x:c r="AU282" t="str">
        <x:f>IF(Calc!$AO$282&gt;'Calc'!$B$8,"",IF('Calc'!$E$17=1,0,MAX(Calc!$AU$281*(1+IF(Calc!$AO$282&lt;='财富模型'!$E$11*12,'财富模型'!$E$10,'财富模型'!$E$12)/12)-IF('Calc'!$E$17=1,0,IF(Calc!$AO$282&lt;='财富模型'!$E$11*12,'Calc'!$W$17,'Calc'!$Y$17)),0)))</x:f>
      </x:c>
    </x:row>
    <x:row r="283">
      <x:c r="A283" t="n">
        <x:v>262</x:v>
      </x:c>
      <x:c r="B283" t="str">
        <x:f>IF(Calc!$A$283&gt;'Calc'!$B$8,"",MAX(Calc!$B$282*(1+'财富模型'!$E$6/12)+('Calc'!$B$5-'财富模型'!$E$5-(IF('Calc'!$E$12=1,'财富模型'!$E$9,'财富模型'!$M$4+IF(Calc!$A$283&lt;='财富模型'!$E$11*12,'Calc'!$W$12,'Calc'!$Y$12)-(IF('Calc'!$E$12=1,0,MIN(Calc!$C$282*(1+'财富模型'!$E$20/12)+'Calc'!$B$6,IF(Calc!$A$283&lt;='财富模型'!$E$11*12,'Calc'!$W$12,'Calc'!$Y$12))))))),0))</x:f>
      </x:c>
      <x:c r="C283" t="str">
        <x:f>IF(Calc!$A$283&gt;'Calc'!$B$8,"",MAX(Calc!$C$282*(1+'财富模型'!$E$20/12)+'Calc'!$B$6-(IF('Calc'!$E$12=1,0,MIN(Calc!$C$282*(1+'财富模型'!$E$20/12)+'Calc'!$B$6,IF(Calc!$A$283&lt;='财富模型'!$E$11*12,'Calc'!$W$12,'Calc'!$Y$12)))),0))</x:f>
      </x:c>
      <x:c r="D283" t="str">
        <x:f>IF(Calc!$A$283&gt;'Calc'!$B$8,"",IF('Calc'!$E$12=1,'财富模型'!$E$9,'财富模型'!$M$4+IF(Calc!$A$283&lt;='财富模型'!$E$11*12,'Calc'!$W$12,'Calc'!$Y$12)-(IF('Calc'!$E$12=1,0,MIN(Calc!$C$282*(1+'财富模型'!$E$20/12)+'Calc'!$B$6,IF(Calc!$A$283&lt;='财富模型'!$E$11*12,'Calc'!$W$12,'Calc'!$Y$12))))))</x:f>
      </x:c>
      <x:c r="E283" t="str">
        <x:f>IF(Calc!$A$283&gt;'Calc'!$B$8,"",IF('Calc'!$E$12=1,0,MIN(Calc!$C$282*(1+'财富模型'!$E$20/12)+'Calc'!$B$6,IF(Calc!$A$283&lt;='财富模型'!$E$11*12,'Calc'!$W$12,'Calc'!$Y$12))))</x:f>
      </x:c>
      <x:c r="F283" t="str">
        <x:f>IF(Calc!$A$283&gt;'Calc'!$B$8,"",'Calc'!$B$5-'财富模型'!$E$5-(IF('Calc'!$E$12=1,'财富模型'!$E$9,'财富模型'!$M$4+IF(Calc!$A$283&lt;='财富模型'!$E$11*12,'Calc'!$W$12,'Calc'!$Y$12)-(IF('Calc'!$E$12=1,0,MIN(Calc!$C$282*(1+'财富模型'!$E$20/12)+'Calc'!$B$6,IF(Calc!$A$283&lt;='财富模型'!$E$11*12,'Calc'!$W$12,'Calc'!$Y$12)))))))</x:f>
      </x:c>
      <x:c r="G283" t="str">
        <x:f>IF(Calc!$A$283&gt;'Calc'!$B$8,"",IF('Calc'!$E$12=1,0,MAX(Calc!$G$282*(1+IF(Calc!$A$283&lt;='财富模型'!$E$11*12,'财富模型'!$E$10,'财富模型'!$E$12)/12)-IF('Calc'!$E$12=1,0,IF(Calc!$A$283&lt;='财富模型'!$E$11*12,'Calc'!$W$12,'Calc'!$Y$12)),0)))</x:f>
      </x:c>
      <x:c r="I283" t="n">
        <x:v>262</x:v>
      </x:c>
      <x:c r="J283" t="str">
        <x:f>IF(Calc!$I$283&gt;'Calc'!$B$8,"",MAX(Calc!$J$282*(1+'财富模型'!$E$6/12)+('Calc'!$B$5-'财富模型'!$E$5-(IF('Calc'!$E$13=1,'财富模型'!$E$9,'财富模型'!$M$5+IF(Calc!$I$283&lt;='财富模型'!$E$11*12,'Calc'!$W$13,'Calc'!$Y$13)-(IF('Calc'!$E$13=1,0,MIN(Calc!$K$282*(1+'财富模型'!$E$20/12)+'Calc'!$B$6,IF(Calc!$I$283&lt;='财富模型'!$E$11*12,'Calc'!$W$13,'Calc'!$Y$13))))))),0))</x:f>
      </x:c>
      <x:c r="K283" t="str">
        <x:f>IF(Calc!$I$283&gt;'Calc'!$B$8,"",MAX(Calc!$K$282*(1+'财富模型'!$E$20/12)+'Calc'!$B$6-(IF('Calc'!$E$13=1,0,MIN(Calc!$K$282*(1+'财富模型'!$E$20/12)+'Calc'!$B$6,IF(Calc!$I$283&lt;='财富模型'!$E$11*12,'Calc'!$W$13,'Calc'!$Y$13)))),0))</x:f>
      </x:c>
      <x:c r="L283" t="str">
        <x:f>IF(Calc!$I$283&gt;'Calc'!$B$8,"",IF('Calc'!$E$13=1,'财富模型'!$E$9,'财富模型'!$M$5+IF(Calc!$I$283&lt;='财富模型'!$E$11*12,'Calc'!$W$13,'Calc'!$Y$13)-(IF('Calc'!$E$13=1,0,MIN(Calc!$K$282*(1+'财富模型'!$E$20/12)+'Calc'!$B$6,IF(Calc!$I$283&lt;='财富模型'!$E$11*12,'Calc'!$W$13,'Calc'!$Y$13))))))</x:f>
      </x:c>
      <x:c r="M283" t="str">
        <x:f>IF(Calc!$I$283&gt;'Calc'!$B$8,"",IF('Calc'!$E$13=1,0,MIN(Calc!$K$282*(1+'财富模型'!$E$20/12)+'Calc'!$B$6,IF(Calc!$I$283&lt;='财富模型'!$E$11*12,'Calc'!$W$13,'Calc'!$Y$13))))</x:f>
      </x:c>
      <x:c r="N283" t="str">
        <x:f>IF(Calc!$I$283&gt;'Calc'!$B$8,"",'Calc'!$B$5-'财富模型'!$E$5-(IF('Calc'!$E$13=1,'财富模型'!$E$9,'财富模型'!$M$5+IF(Calc!$I$283&lt;='财富模型'!$E$11*12,'Calc'!$W$13,'Calc'!$Y$13)-(IF('Calc'!$E$13=1,0,MIN(Calc!$K$282*(1+'财富模型'!$E$20/12)+'Calc'!$B$6,IF(Calc!$I$283&lt;='财富模型'!$E$11*12,'Calc'!$W$13,'Calc'!$Y$13)))))))</x:f>
      </x:c>
      <x:c r="O283" t="str">
        <x:f>IF(Calc!$I$283&gt;'Calc'!$B$8,"",IF('Calc'!$E$13=1,0,MAX(Calc!$O$282*(1+IF(Calc!$I$283&lt;='财富模型'!$E$11*12,'财富模型'!$E$10,'财富模型'!$E$12)/12)-IF('Calc'!$E$13=1,0,IF(Calc!$I$283&lt;='财富模型'!$E$11*12,'Calc'!$W$13,'Calc'!$Y$13)),0)))</x:f>
      </x:c>
      <x:c r="Q283" t="n">
        <x:v>262</x:v>
      </x:c>
      <x:c r="R283" t="str">
        <x:f>IF(Calc!$Q$283&gt;'Calc'!$B$8,"",MAX(Calc!$R$282*(1+'财富模型'!$E$6/12)+('Calc'!$B$5-'财富模型'!$E$5-(IF('Calc'!$E$14=1,'财富模型'!$E$9,'财富模型'!$M$6+IF(Calc!$Q$283&lt;='财富模型'!$E$11*12,'Calc'!$W$14,'Calc'!$Y$14)-(IF('Calc'!$E$14=1,0,MIN(Calc!$S$282*(1+'财富模型'!$E$20/12)+'Calc'!$B$6,IF(Calc!$Q$283&lt;='财富模型'!$E$11*12,'Calc'!$W$14,'Calc'!$Y$14))))))),0))</x:f>
      </x:c>
      <x:c r="S283" t="str">
        <x:f>IF(Calc!$Q$283&gt;'Calc'!$B$8,"",MAX(Calc!$S$282*(1+'财富模型'!$E$20/12)+'Calc'!$B$6-(IF('Calc'!$E$14=1,0,MIN(Calc!$S$282*(1+'财富模型'!$E$20/12)+'Calc'!$B$6,IF(Calc!$Q$283&lt;='财富模型'!$E$11*12,'Calc'!$W$14,'Calc'!$Y$14)))),0))</x:f>
      </x:c>
      <x:c r="T283" t="str">
        <x:f>IF(Calc!$Q$283&gt;'Calc'!$B$8,"",IF('Calc'!$E$14=1,'财富模型'!$E$9,'财富模型'!$M$6+IF(Calc!$Q$283&lt;='财富模型'!$E$11*12,'Calc'!$W$14,'Calc'!$Y$14)-(IF('Calc'!$E$14=1,0,MIN(Calc!$S$282*(1+'财富模型'!$E$20/12)+'Calc'!$B$6,IF(Calc!$Q$283&lt;='财富模型'!$E$11*12,'Calc'!$W$14,'Calc'!$Y$14))))))</x:f>
      </x:c>
      <x:c r="U283" t="str">
        <x:f>IF(Calc!$Q$283&gt;'Calc'!$B$8,"",IF('Calc'!$E$14=1,0,MIN(Calc!$S$282*(1+'财富模型'!$E$20/12)+'Calc'!$B$6,IF(Calc!$Q$283&lt;='财富模型'!$E$11*12,'Calc'!$W$14,'Calc'!$Y$14))))</x:f>
      </x:c>
      <x:c r="V283" t="str">
        <x:f>IF(Calc!$Q$283&gt;'Calc'!$B$8,"",'Calc'!$B$5-'财富模型'!$E$5-(IF('Calc'!$E$14=1,'财富模型'!$E$9,'财富模型'!$M$6+IF(Calc!$Q$283&lt;='财富模型'!$E$11*12,'Calc'!$W$14,'Calc'!$Y$14)-(IF('Calc'!$E$14=1,0,MIN(Calc!$S$282*(1+'财富模型'!$E$20/12)+'Calc'!$B$6,IF(Calc!$Q$283&lt;='财富模型'!$E$11*12,'Calc'!$W$14,'Calc'!$Y$14)))))))</x:f>
      </x:c>
      <x:c r="W283" t="str">
        <x:f>IF(Calc!$Q$283&gt;'Calc'!$B$8,"",IF('Calc'!$E$14=1,0,MAX(Calc!$W$282*(1+IF(Calc!$Q$283&lt;='财富模型'!$E$11*12,'财富模型'!$E$10,'财富模型'!$E$12)/12)-IF('Calc'!$E$14=1,0,IF(Calc!$Q$283&lt;='财富模型'!$E$11*12,'Calc'!$W$14,'Calc'!$Y$14)),0)))</x:f>
      </x:c>
      <x:c r="Y283" t="n">
        <x:v>262</x:v>
      </x:c>
      <x:c r="Z283" t="str">
        <x:f>IF(Calc!$Y$283&gt;'Calc'!$B$8,"",MAX(Calc!$Z$282*(1+'财富模型'!$E$6/12)+('Calc'!$B$5-'财富模型'!$E$5-(IF('Calc'!$E$15=1,'财富模型'!$E$9,'财富模型'!$M$7+IF(Calc!$Y$283&lt;='财富模型'!$E$11*12,'Calc'!$W$15,'Calc'!$Y$15)-(IF('Calc'!$E$15=1,0,MIN(Calc!$AA$282*(1+'财富模型'!$E$20/12)+'Calc'!$B$6,IF(Calc!$Y$283&lt;='财富模型'!$E$11*12,'Calc'!$W$15,'Calc'!$Y$15))))))),0))</x:f>
      </x:c>
      <x:c r="AA283" t="str">
        <x:f>IF(Calc!$Y$283&gt;'Calc'!$B$8,"",MAX(Calc!$AA$282*(1+'财富模型'!$E$20/12)+'Calc'!$B$6-(IF('Calc'!$E$15=1,0,MIN(Calc!$AA$282*(1+'财富模型'!$E$20/12)+'Calc'!$B$6,IF(Calc!$Y$283&lt;='财富模型'!$E$11*12,'Calc'!$W$15,'Calc'!$Y$15)))),0))</x:f>
      </x:c>
      <x:c r="AB283" t="str">
        <x:f>IF(Calc!$Y$283&gt;'Calc'!$B$8,"",IF('Calc'!$E$15=1,'财富模型'!$E$9,'财富模型'!$M$7+IF(Calc!$Y$283&lt;='财富模型'!$E$11*12,'Calc'!$W$15,'Calc'!$Y$15)-(IF('Calc'!$E$15=1,0,MIN(Calc!$AA$282*(1+'财富模型'!$E$20/12)+'Calc'!$B$6,IF(Calc!$Y$283&lt;='财富模型'!$E$11*12,'Calc'!$W$15,'Calc'!$Y$15))))))</x:f>
      </x:c>
      <x:c r="AC283" t="str">
        <x:f>IF(Calc!$Y$283&gt;'Calc'!$B$8,"",IF('Calc'!$E$15=1,0,MIN(Calc!$AA$282*(1+'财富模型'!$E$20/12)+'Calc'!$B$6,IF(Calc!$Y$283&lt;='财富模型'!$E$11*12,'Calc'!$W$15,'Calc'!$Y$15))))</x:f>
      </x:c>
      <x:c r="AD283" t="str">
        <x:f>IF(Calc!$Y$283&gt;'Calc'!$B$8,"",'Calc'!$B$5-'财富模型'!$E$5-(IF('Calc'!$E$15=1,'财富模型'!$E$9,'财富模型'!$M$7+IF(Calc!$Y$283&lt;='财富模型'!$E$11*12,'Calc'!$W$15,'Calc'!$Y$15)-(IF('Calc'!$E$15=1,0,MIN(Calc!$AA$282*(1+'财富模型'!$E$20/12)+'Calc'!$B$6,IF(Calc!$Y$283&lt;='财富模型'!$E$11*12,'Calc'!$W$15,'Calc'!$Y$15)))))))</x:f>
      </x:c>
      <x:c r="AE283" t="str">
        <x:f>IF(Calc!$Y$283&gt;'Calc'!$B$8,"",IF('Calc'!$E$15=1,0,MAX(Calc!$AE$282*(1+IF(Calc!$Y$283&lt;='财富模型'!$E$11*12,'财富模型'!$E$10,'财富模型'!$E$12)/12)-IF('Calc'!$E$15=1,0,IF(Calc!$Y$283&lt;='财富模型'!$E$11*12,'Calc'!$W$15,'Calc'!$Y$15)),0)))</x:f>
      </x:c>
      <x:c r="AG283" t="n">
        <x:v>262</x:v>
      </x:c>
      <x:c r="AH283" t="str">
        <x:f>IF(Calc!$AG$283&gt;'Calc'!$B$8,"",MAX(Calc!$AH$282*(1+'财富模型'!$E$6/12)+('Calc'!$B$5-'财富模型'!$E$5-(IF('Calc'!$E$16=1,'财富模型'!$E$9,'财富模型'!$M$8+IF(Calc!$AG$283&lt;='财富模型'!$E$11*12,'Calc'!$W$16,'Calc'!$Y$16)-(IF('Calc'!$E$16=1,0,MIN(Calc!$AI$282*(1+'财富模型'!$E$20/12)+'Calc'!$B$6,IF(Calc!$AG$283&lt;='财富模型'!$E$11*12,'Calc'!$W$16,'Calc'!$Y$16))))))),0))</x:f>
      </x:c>
      <x:c r="AI283" t="str">
        <x:f>IF(Calc!$AG$283&gt;'Calc'!$B$8,"",MAX(Calc!$AI$282*(1+'财富模型'!$E$20/12)+'Calc'!$B$6-(IF('Calc'!$E$16=1,0,MIN(Calc!$AI$282*(1+'财富模型'!$E$20/12)+'Calc'!$B$6,IF(Calc!$AG$283&lt;='财富模型'!$E$11*12,'Calc'!$W$16,'Calc'!$Y$16)))),0))</x:f>
      </x:c>
      <x:c r="AJ283" t="str">
        <x:f>IF(Calc!$AG$283&gt;'Calc'!$B$8,"",IF('Calc'!$E$16=1,'财富模型'!$E$9,'财富模型'!$M$8+IF(Calc!$AG$283&lt;='财富模型'!$E$11*12,'Calc'!$W$16,'Calc'!$Y$16)-(IF('Calc'!$E$16=1,0,MIN(Calc!$AI$282*(1+'财富模型'!$E$20/12)+'Calc'!$B$6,IF(Calc!$AG$283&lt;='财富模型'!$E$11*12,'Calc'!$W$16,'Calc'!$Y$16))))))</x:f>
      </x:c>
      <x:c r="AK283" t="str">
        <x:f>IF(Calc!$AG$283&gt;'Calc'!$B$8,"",IF('Calc'!$E$16=1,0,MIN(Calc!$AI$282*(1+'财富模型'!$E$20/12)+'Calc'!$B$6,IF(Calc!$AG$283&lt;='财富模型'!$E$11*12,'Calc'!$W$16,'Calc'!$Y$16))))</x:f>
      </x:c>
      <x:c r="AL283" t="str">
        <x:f>IF(Calc!$AG$283&gt;'Calc'!$B$8,"",'Calc'!$B$5-'财富模型'!$E$5-(IF('Calc'!$E$16=1,'财富模型'!$E$9,'财富模型'!$M$8+IF(Calc!$AG$283&lt;='财富模型'!$E$11*12,'Calc'!$W$16,'Calc'!$Y$16)-(IF('Calc'!$E$16=1,0,MIN(Calc!$AI$282*(1+'财富模型'!$E$20/12)+'Calc'!$B$6,IF(Calc!$AG$283&lt;='财富模型'!$E$11*12,'Calc'!$W$16,'Calc'!$Y$16)))))))</x:f>
      </x:c>
      <x:c r="AM283" t="str">
        <x:f>IF(Calc!$AG$283&gt;'Calc'!$B$8,"",IF('Calc'!$E$16=1,0,MAX(Calc!$AM$282*(1+IF(Calc!$AG$283&lt;='财富模型'!$E$11*12,'财富模型'!$E$10,'财富模型'!$E$12)/12)-IF('Calc'!$E$16=1,0,IF(Calc!$AG$283&lt;='财富模型'!$E$11*12,'Calc'!$W$16,'Calc'!$Y$16)),0)))</x:f>
      </x:c>
      <x:c r="AO283" t="n">
        <x:v>262</x:v>
      </x:c>
      <x:c r="AP283" t="str">
        <x:f>IF(Calc!$AO$283&gt;'Calc'!$B$8,"",MAX(Calc!$AP$282*(1+'财富模型'!$E$6/12)+('Calc'!$B$5-'财富模型'!$E$5-(IF('Calc'!$E$17=1,'财富模型'!$E$9,'财富模型'!$M$9+IF(Calc!$AO$283&lt;='财富模型'!$E$11*12,'Calc'!$W$17,'Calc'!$Y$17)-(IF('Calc'!$E$17=1,0,MIN(Calc!$AQ$282*(1+'财富模型'!$E$20/12)+'Calc'!$B$6,IF(Calc!$AO$283&lt;='财富模型'!$E$11*12,'Calc'!$W$17,'Calc'!$Y$17))))))),0))</x:f>
      </x:c>
      <x:c r="AQ283" t="str">
        <x:f>IF(Calc!$AO$283&gt;'Calc'!$B$8,"",MAX(Calc!$AQ$282*(1+'财富模型'!$E$20/12)+'Calc'!$B$6-(IF('Calc'!$E$17=1,0,MIN(Calc!$AQ$282*(1+'财富模型'!$E$20/12)+'Calc'!$B$6,IF(Calc!$AO$283&lt;='财富模型'!$E$11*12,'Calc'!$W$17,'Calc'!$Y$17)))),0))</x:f>
      </x:c>
      <x:c r="AR283" t="str">
        <x:f>IF(Calc!$AO$283&gt;'Calc'!$B$8,"",IF('Calc'!$E$17=1,'财富模型'!$E$9,'财富模型'!$M$9+IF(Calc!$AO$283&lt;='财富模型'!$E$11*12,'Calc'!$W$17,'Calc'!$Y$17)-(IF('Calc'!$E$17=1,0,MIN(Calc!$AQ$282*(1+'财富模型'!$E$20/12)+'Calc'!$B$6,IF(Calc!$AO$283&lt;='财富模型'!$E$11*12,'Calc'!$W$17,'Calc'!$Y$17))))))</x:f>
      </x:c>
      <x:c r="AS283" t="str">
        <x:f>IF(Calc!$AO$283&gt;'Calc'!$B$8,"",IF('Calc'!$E$17=1,0,MIN(Calc!$AQ$282*(1+'财富模型'!$E$20/12)+'Calc'!$B$6,IF(Calc!$AO$283&lt;='财富模型'!$E$11*12,'Calc'!$W$17,'Calc'!$Y$17))))</x:f>
      </x:c>
      <x:c r="AT283" t="str">
        <x:f>IF(Calc!$AO$283&gt;'Calc'!$B$8,"",'Calc'!$B$5-'财富模型'!$E$5-(IF('Calc'!$E$17=1,'财富模型'!$E$9,'财富模型'!$M$9+IF(Calc!$AO$283&lt;='财富模型'!$E$11*12,'Calc'!$W$17,'Calc'!$Y$17)-(IF('Calc'!$E$17=1,0,MIN(Calc!$AQ$282*(1+'财富模型'!$E$20/12)+'Calc'!$B$6,IF(Calc!$AO$283&lt;='财富模型'!$E$11*12,'Calc'!$W$17,'Calc'!$Y$17)))))))</x:f>
      </x:c>
      <x:c r="AU283" t="str">
        <x:f>IF(Calc!$AO$283&gt;'Calc'!$B$8,"",IF('Calc'!$E$17=1,0,MAX(Calc!$AU$282*(1+IF(Calc!$AO$283&lt;='财富模型'!$E$11*12,'财富模型'!$E$10,'财富模型'!$E$12)/12)-IF('Calc'!$E$17=1,0,IF(Calc!$AO$283&lt;='财富模型'!$E$11*12,'Calc'!$W$17,'Calc'!$Y$17)),0)))</x:f>
      </x:c>
    </x:row>
    <x:row r="284">
      <x:c r="A284" t="n">
        <x:v>263</x:v>
      </x:c>
      <x:c r="B284" t="str">
        <x:f>IF(Calc!$A$284&gt;'Calc'!$B$8,"",MAX(Calc!$B$283*(1+'财富模型'!$E$6/12)+('Calc'!$B$5-'财富模型'!$E$5-(IF('Calc'!$E$12=1,'财富模型'!$E$9,'财富模型'!$M$4+IF(Calc!$A$284&lt;='财富模型'!$E$11*12,'Calc'!$W$12,'Calc'!$Y$12)-(IF('Calc'!$E$12=1,0,MIN(Calc!$C$283*(1+'财富模型'!$E$20/12)+'Calc'!$B$6,IF(Calc!$A$284&lt;='财富模型'!$E$11*12,'Calc'!$W$12,'Calc'!$Y$12))))))),0))</x:f>
      </x:c>
      <x:c r="C284" t="str">
        <x:f>IF(Calc!$A$284&gt;'Calc'!$B$8,"",MAX(Calc!$C$283*(1+'财富模型'!$E$20/12)+'Calc'!$B$6-(IF('Calc'!$E$12=1,0,MIN(Calc!$C$283*(1+'财富模型'!$E$20/12)+'Calc'!$B$6,IF(Calc!$A$284&lt;='财富模型'!$E$11*12,'Calc'!$W$12,'Calc'!$Y$12)))),0))</x:f>
      </x:c>
      <x:c r="D284" t="str">
        <x:f>IF(Calc!$A$284&gt;'Calc'!$B$8,"",IF('Calc'!$E$12=1,'财富模型'!$E$9,'财富模型'!$M$4+IF(Calc!$A$284&lt;='财富模型'!$E$11*12,'Calc'!$W$12,'Calc'!$Y$12)-(IF('Calc'!$E$12=1,0,MIN(Calc!$C$283*(1+'财富模型'!$E$20/12)+'Calc'!$B$6,IF(Calc!$A$284&lt;='财富模型'!$E$11*12,'Calc'!$W$12,'Calc'!$Y$12))))))</x:f>
      </x:c>
      <x:c r="E284" t="str">
        <x:f>IF(Calc!$A$284&gt;'Calc'!$B$8,"",IF('Calc'!$E$12=1,0,MIN(Calc!$C$283*(1+'财富模型'!$E$20/12)+'Calc'!$B$6,IF(Calc!$A$284&lt;='财富模型'!$E$11*12,'Calc'!$W$12,'Calc'!$Y$12))))</x:f>
      </x:c>
      <x:c r="F284" t="str">
        <x:f>IF(Calc!$A$284&gt;'Calc'!$B$8,"",'Calc'!$B$5-'财富模型'!$E$5-(IF('Calc'!$E$12=1,'财富模型'!$E$9,'财富模型'!$M$4+IF(Calc!$A$284&lt;='财富模型'!$E$11*12,'Calc'!$W$12,'Calc'!$Y$12)-(IF('Calc'!$E$12=1,0,MIN(Calc!$C$283*(1+'财富模型'!$E$20/12)+'Calc'!$B$6,IF(Calc!$A$284&lt;='财富模型'!$E$11*12,'Calc'!$W$12,'Calc'!$Y$12)))))))</x:f>
      </x:c>
      <x:c r="G284" t="str">
        <x:f>IF(Calc!$A$284&gt;'Calc'!$B$8,"",IF('Calc'!$E$12=1,0,MAX(Calc!$G$283*(1+IF(Calc!$A$284&lt;='财富模型'!$E$11*12,'财富模型'!$E$10,'财富模型'!$E$12)/12)-IF('Calc'!$E$12=1,0,IF(Calc!$A$284&lt;='财富模型'!$E$11*12,'Calc'!$W$12,'Calc'!$Y$12)),0)))</x:f>
      </x:c>
      <x:c r="I284" t="n">
        <x:v>263</x:v>
      </x:c>
      <x:c r="J284" t="str">
        <x:f>IF(Calc!$I$284&gt;'Calc'!$B$8,"",MAX(Calc!$J$283*(1+'财富模型'!$E$6/12)+('Calc'!$B$5-'财富模型'!$E$5-(IF('Calc'!$E$13=1,'财富模型'!$E$9,'财富模型'!$M$5+IF(Calc!$I$284&lt;='财富模型'!$E$11*12,'Calc'!$W$13,'Calc'!$Y$13)-(IF('Calc'!$E$13=1,0,MIN(Calc!$K$283*(1+'财富模型'!$E$20/12)+'Calc'!$B$6,IF(Calc!$I$284&lt;='财富模型'!$E$11*12,'Calc'!$W$13,'Calc'!$Y$13))))))),0))</x:f>
      </x:c>
      <x:c r="K284" t="str">
        <x:f>IF(Calc!$I$284&gt;'Calc'!$B$8,"",MAX(Calc!$K$283*(1+'财富模型'!$E$20/12)+'Calc'!$B$6-(IF('Calc'!$E$13=1,0,MIN(Calc!$K$283*(1+'财富模型'!$E$20/12)+'Calc'!$B$6,IF(Calc!$I$284&lt;='财富模型'!$E$11*12,'Calc'!$W$13,'Calc'!$Y$13)))),0))</x:f>
      </x:c>
      <x:c r="L284" t="str">
        <x:f>IF(Calc!$I$284&gt;'Calc'!$B$8,"",IF('Calc'!$E$13=1,'财富模型'!$E$9,'财富模型'!$M$5+IF(Calc!$I$284&lt;='财富模型'!$E$11*12,'Calc'!$W$13,'Calc'!$Y$13)-(IF('Calc'!$E$13=1,0,MIN(Calc!$K$283*(1+'财富模型'!$E$20/12)+'Calc'!$B$6,IF(Calc!$I$284&lt;='财富模型'!$E$11*12,'Calc'!$W$13,'Calc'!$Y$13))))))</x:f>
      </x:c>
      <x:c r="M284" t="str">
        <x:f>IF(Calc!$I$284&gt;'Calc'!$B$8,"",IF('Calc'!$E$13=1,0,MIN(Calc!$K$283*(1+'财富模型'!$E$20/12)+'Calc'!$B$6,IF(Calc!$I$284&lt;='财富模型'!$E$11*12,'Calc'!$W$13,'Calc'!$Y$13))))</x:f>
      </x:c>
      <x:c r="N284" t="str">
        <x:f>IF(Calc!$I$284&gt;'Calc'!$B$8,"",'Calc'!$B$5-'财富模型'!$E$5-(IF('Calc'!$E$13=1,'财富模型'!$E$9,'财富模型'!$M$5+IF(Calc!$I$284&lt;='财富模型'!$E$11*12,'Calc'!$W$13,'Calc'!$Y$13)-(IF('Calc'!$E$13=1,0,MIN(Calc!$K$283*(1+'财富模型'!$E$20/12)+'Calc'!$B$6,IF(Calc!$I$284&lt;='财富模型'!$E$11*12,'Calc'!$W$13,'Calc'!$Y$13)))))))</x:f>
      </x:c>
      <x:c r="O284" t="str">
        <x:f>IF(Calc!$I$284&gt;'Calc'!$B$8,"",IF('Calc'!$E$13=1,0,MAX(Calc!$O$283*(1+IF(Calc!$I$284&lt;='财富模型'!$E$11*12,'财富模型'!$E$10,'财富模型'!$E$12)/12)-IF('Calc'!$E$13=1,0,IF(Calc!$I$284&lt;='财富模型'!$E$11*12,'Calc'!$W$13,'Calc'!$Y$13)),0)))</x:f>
      </x:c>
      <x:c r="Q284" t="n">
        <x:v>263</x:v>
      </x:c>
      <x:c r="R284" t="str">
        <x:f>IF(Calc!$Q$284&gt;'Calc'!$B$8,"",MAX(Calc!$R$283*(1+'财富模型'!$E$6/12)+('Calc'!$B$5-'财富模型'!$E$5-(IF('Calc'!$E$14=1,'财富模型'!$E$9,'财富模型'!$M$6+IF(Calc!$Q$284&lt;='财富模型'!$E$11*12,'Calc'!$W$14,'Calc'!$Y$14)-(IF('Calc'!$E$14=1,0,MIN(Calc!$S$283*(1+'财富模型'!$E$20/12)+'Calc'!$B$6,IF(Calc!$Q$284&lt;='财富模型'!$E$11*12,'Calc'!$W$14,'Calc'!$Y$14))))))),0))</x:f>
      </x:c>
      <x:c r="S284" t="str">
        <x:f>IF(Calc!$Q$284&gt;'Calc'!$B$8,"",MAX(Calc!$S$283*(1+'财富模型'!$E$20/12)+'Calc'!$B$6-(IF('Calc'!$E$14=1,0,MIN(Calc!$S$283*(1+'财富模型'!$E$20/12)+'Calc'!$B$6,IF(Calc!$Q$284&lt;='财富模型'!$E$11*12,'Calc'!$W$14,'Calc'!$Y$14)))),0))</x:f>
      </x:c>
      <x:c r="T284" t="str">
        <x:f>IF(Calc!$Q$284&gt;'Calc'!$B$8,"",IF('Calc'!$E$14=1,'财富模型'!$E$9,'财富模型'!$M$6+IF(Calc!$Q$284&lt;='财富模型'!$E$11*12,'Calc'!$W$14,'Calc'!$Y$14)-(IF('Calc'!$E$14=1,0,MIN(Calc!$S$283*(1+'财富模型'!$E$20/12)+'Calc'!$B$6,IF(Calc!$Q$284&lt;='财富模型'!$E$11*12,'Calc'!$W$14,'Calc'!$Y$14))))))</x:f>
      </x:c>
      <x:c r="U284" t="str">
        <x:f>IF(Calc!$Q$284&gt;'Calc'!$B$8,"",IF('Calc'!$E$14=1,0,MIN(Calc!$S$283*(1+'财富模型'!$E$20/12)+'Calc'!$B$6,IF(Calc!$Q$284&lt;='财富模型'!$E$11*12,'Calc'!$W$14,'Calc'!$Y$14))))</x:f>
      </x:c>
      <x:c r="V284" t="str">
        <x:f>IF(Calc!$Q$284&gt;'Calc'!$B$8,"",'Calc'!$B$5-'财富模型'!$E$5-(IF('Calc'!$E$14=1,'财富模型'!$E$9,'财富模型'!$M$6+IF(Calc!$Q$284&lt;='财富模型'!$E$11*12,'Calc'!$W$14,'Calc'!$Y$14)-(IF('Calc'!$E$14=1,0,MIN(Calc!$S$283*(1+'财富模型'!$E$20/12)+'Calc'!$B$6,IF(Calc!$Q$284&lt;='财富模型'!$E$11*12,'Calc'!$W$14,'Calc'!$Y$14)))))))</x:f>
      </x:c>
      <x:c r="W284" t="str">
        <x:f>IF(Calc!$Q$284&gt;'Calc'!$B$8,"",IF('Calc'!$E$14=1,0,MAX(Calc!$W$283*(1+IF(Calc!$Q$284&lt;='财富模型'!$E$11*12,'财富模型'!$E$10,'财富模型'!$E$12)/12)-IF('Calc'!$E$14=1,0,IF(Calc!$Q$284&lt;='财富模型'!$E$11*12,'Calc'!$W$14,'Calc'!$Y$14)),0)))</x:f>
      </x:c>
      <x:c r="Y284" t="n">
        <x:v>263</x:v>
      </x:c>
      <x:c r="Z284" t="str">
        <x:f>IF(Calc!$Y$284&gt;'Calc'!$B$8,"",MAX(Calc!$Z$283*(1+'财富模型'!$E$6/12)+('Calc'!$B$5-'财富模型'!$E$5-(IF('Calc'!$E$15=1,'财富模型'!$E$9,'财富模型'!$M$7+IF(Calc!$Y$284&lt;='财富模型'!$E$11*12,'Calc'!$W$15,'Calc'!$Y$15)-(IF('Calc'!$E$15=1,0,MIN(Calc!$AA$283*(1+'财富模型'!$E$20/12)+'Calc'!$B$6,IF(Calc!$Y$284&lt;='财富模型'!$E$11*12,'Calc'!$W$15,'Calc'!$Y$15))))))),0))</x:f>
      </x:c>
      <x:c r="AA284" t="str">
        <x:f>IF(Calc!$Y$284&gt;'Calc'!$B$8,"",MAX(Calc!$AA$283*(1+'财富模型'!$E$20/12)+'Calc'!$B$6-(IF('Calc'!$E$15=1,0,MIN(Calc!$AA$283*(1+'财富模型'!$E$20/12)+'Calc'!$B$6,IF(Calc!$Y$284&lt;='财富模型'!$E$11*12,'Calc'!$W$15,'Calc'!$Y$15)))),0))</x:f>
      </x:c>
      <x:c r="AB284" t="str">
        <x:f>IF(Calc!$Y$284&gt;'Calc'!$B$8,"",IF('Calc'!$E$15=1,'财富模型'!$E$9,'财富模型'!$M$7+IF(Calc!$Y$284&lt;='财富模型'!$E$11*12,'Calc'!$W$15,'Calc'!$Y$15)-(IF('Calc'!$E$15=1,0,MIN(Calc!$AA$283*(1+'财富模型'!$E$20/12)+'Calc'!$B$6,IF(Calc!$Y$284&lt;='财富模型'!$E$11*12,'Calc'!$W$15,'Calc'!$Y$15))))))</x:f>
      </x:c>
      <x:c r="AC284" t="str">
        <x:f>IF(Calc!$Y$284&gt;'Calc'!$B$8,"",IF('Calc'!$E$15=1,0,MIN(Calc!$AA$283*(1+'财富模型'!$E$20/12)+'Calc'!$B$6,IF(Calc!$Y$284&lt;='财富模型'!$E$11*12,'Calc'!$W$15,'Calc'!$Y$15))))</x:f>
      </x:c>
      <x:c r="AD284" t="str">
        <x:f>IF(Calc!$Y$284&gt;'Calc'!$B$8,"",'Calc'!$B$5-'财富模型'!$E$5-(IF('Calc'!$E$15=1,'财富模型'!$E$9,'财富模型'!$M$7+IF(Calc!$Y$284&lt;='财富模型'!$E$11*12,'Calc'!$W$15,'Calc'!$Y$15)-(IF('Calc'!$E$15=1,0,MIN(Calc!$AA$283*(1+'财富模型'!$E$20/12)+'Calc'!$B$6,IF(Calc!$Y$284&lt;='财富模型'!$E$11*12,'Calc'!$W$15,'Calc'!$Y$15)))))))</x:f>
      </x:c>
      <x:c r="AE284" t="str">
        <x:f>IF(Calc!$Y$284&gt;'Calc'!$B$8,"",IF('Calc'!$E$15=1,0,MAX(Calc!$AE$283*(1+IF(Calc!$Y$284&lt;='财富模型'!$E$11*12,'财富模型'!$E$10,'财富模型'!$E$12)/12)-IF('Calc'!$E$15=1,0,IF(Calc!$Y$284&lt;='财富模型'!$E$11*12,'Calc'!$W$15,'Calc'!$Y$15)),0)))</x:f>
      </x:c>
      <x:c r="AG284" t="n">
        <x:v>263</x:v>
      </x:c>
      <x:c r="AH284" t="str">
        <x:f>IF(Calc!$AG$284&gt;'Calc'!$B$8,"",MAX(Calc!$AH$283*(1+'财富模型'!$E$6/12)+('Calc'!$B$5-'财富模型'!$E$5-(IF('Calc'!$E$16=1,'财富模型'!$E$9,'财富模型'!$M$8+IF(Calc!$AG$284&lt;='财富模型'!$E$11*12,'Calc'!$W$16,'Calc'!$Y$16)-(IF('Calc'!$E$16=1,0,MIN(Calc!$AI$283*(1+'财富模型'!$E$20/12)+'Calc'!$B$6,IF(Calc!$AG$284&lt;='财富模型'!$E$11*12,'Calc'!$W$16,'Calc'!$Y$16))))))),0))</x:f>
      </x:c>
      <x:c r="AI284" t="str">
        <x:f>IF(Calc!$AG$284&gt;'Calc'!$B$8,"",MAX(Calc!$AI$283*(1+'财富模型'!$E$20/12)+'Calc'!$B$6-(IF('Calc'!$E$16=1,0,MIN(Calc!$AI$283*(1+'财富模型'!$E$20/12)+'Calc'!$B$6,IF(Calc!$AG$284&lt;='财富模型'!$E$11*12,'Calc'!$W$16,'Calc'!$Y$16)))),0))</x:f>
      </x:c>
      <x:c r="AJ284" t="str">
        <x:f>IF(Calc!$AG$284&gt;'Calc'!$B$8,"",IF('Calc'!$E$16=1,'财富模型'!$E$9,'财富模型'!$M$8+IF(Calc!$AG$284&lt;='财富模型'!$E$11*12,'Calc'!$W$16,'Calc'!$Y$16)-(IF('Calc'!$E$16=1,0,MIN(Calc!$AI$283*(1+'财富模型'!$E$20/12)+'Calc'!$B$6,IF(Calc!$AG$284&lt;='财富模型'!$E$11*12,'Calc'!$W$16,'Calc'!$Y$16))))))</x:f>
      </x:c>
      <x:c r="AK284" t="str">
        <x:f>IF(Calc!$AG$284&gt;'Calc'!$B$8,"",IF('Calc'!$E$16=1,0,MIN(Calc!$AI$283*(1+'财富模型'!$E$20/12)+'Calc'!$B$6,IF(Calc!$AG$284&lt;='财富模型'!$E$11*12,'Calc'!$W$16,'Calc'!$Y$16))))</x:f>
      </x:c>
      <x:c r="AL284" t="str">
        <x:f>IF(Calc!$AG$284&gt;'Calc'!$B$8,"",'Calc'!$B$5-'财富模型'!$E$5-(IF('Calc'!$E$16=1,'财富模型'!$E$9,'财富模型'!$M$8+IF(Calc!$AG$284&lt;='财富模型'!$E$11*12,'Calc'!$W$16,'Calc'!$Y$16)-(IF('Calc'!$E$16=1,0,MIN(Calc!$AI$283*(1+'财富模型'!$E$20/12)+'Calc'!$B$6,IF(Calc!$AG$284&lt;='财富模型'!$E$11*12,'Calc'!$W$16,'Calc'!$Y$16)))))))</x:f>
      </x:c>
      <x:c r="AM284" t="str">
        <x:f>IF(Calc!$AG$284&gt;'Calc'!$B$8,"",IF('Calc'!$E$16=1,0,MAX(Calc!$AM$283*(1+IF(Calc!$AG$284&lt;='财富模型'!$E$11*12,'财富模型'!$E$10,'财富模型'!$E$12)/12)-IF('Calc'!$E$16=1,0,IF(Calc!$AG$284&lt;='财富模型'!$E$11*12,'Calc'!$W$16,'Calc'!$Y$16)),0)))</x:f>
      </x:c>
      <x:c r="AO284" t="n">
        <x:v>263</x:v>
      </x:c>
      <x:c r="AP284" t="str">
        <x:f>IF(Calc!$AO$284&gt;'Calc'!$B$8,"",MAX(Calc!$AP$283*(1+'财富模型'!$E$6/12)+('Calc'!$B$5-'财富模型'!$E$5-(IF('Calc'!$E$17=1,'财富模型'!$E$9,'财富模型'!$M$9+IF(Calc!$AO$284&lt;='财富模型'!$E$11*12,'Calc'!$W$17,'Calc'!$Y$17)-(IF('Calc'!$E$17=1,0,MIN(Calc!$AQ$283*(1+'财富模型'!$E$20/12)+'Calc'!$B$6,IF(Calc!$AO$284&lt;='财富模型'!$E$11*12,'Calc'!$W$17,'Calc'!$Y$17))))))),0))</x:f>
      </x:c>
      <x:c r="AQ284" t="str">
        <x:f>IF(Calc!$AO$284&gt;'Calc'!$B$8,"",MAX(Calc!$AQ$283*(1+'财富模型'!$E$20/12)+'Calc'!$B$6-(IF('Calc'!$E$17=1,0,MIN(Calc!$AQ$283*(1+'财富模型'!$E$20/12)+'Calc'!$B$6,IF(Calc!$AO$284&lt;='财富模型'!$E$11*12,'Calc'!$W$17,'Calc'!$Y$17)))),0))</x:f>
      </x:c>
      <x:c r="AR284" t="str">
        <x:f>IF(Calc!$AO$284&gt;'Calc'!$B$8,"",IF('Calc'!$E$17=1,'财富模型'!$E$9,'财富模型'!$M$9+IF(Calc!$AO$284&lt;='财富模型'!$E$11*12,'Calc'!$W$17,'Calc'!$Y$17)-(IF('Calc'!$E$17=1,0,MIN(Calc!$AQ$283*(1+'财富模型'!$E$20/12)+'Calc'!$B$6,IF(Calc!$AO$284&lt;='财富模型'!$E$11*12,'Calc'!$W$17,'Calc'!$Y$17))))))</x:f>
      </x:c>
      <x:c r="AS284" t="str">
        <x:f>IF(Calc!$AO$284&gt;'Calc'!$B$8,"",IF('Calc'!$E$17=1,0,MIN(Calc!$AQ$283*(1+'财富模型'!$E$20/12)+'Calc'!$B$6,IF(Calc!$AO$284&lt;='财富模型'!$E$11*12,'Calc'!$W$17,'Calc'!$Y$17))))</x:f>
      </x:c>
      <x:c r="AT284" t="str">
        <x:f>IF(Calc!$AO$284&gt;'Calc'!$B$8,"",'Calc'!$B$5-'财富模型'!$E$5-(IF('Calc'!$E$17=1,'财富模型'!$E$9,'财富模型'!$M$9+IF(Calc!$AO$284&lt;='财富模型'!$E$11*12,'Calc'!$W$17,'Calc'!$Y$17)-(IF('Calc'!$E$17=1,0,MIN(Calc!$AQ$283*(1+'财富模型'!$E$20/12)+'Calc'!$B$6,IF(Calc!$AO$284&lt;='财富模型'!$E$11*12,'Calc'!$W$17,'Calc'!$Y$17)))))))</x:f>
      </x:c>
      <x:c r="AU284" t="str">
        <x:f>IF(Calc!$AO$284&gt;'Calc'!$B$8,"",IF('Calc'!$E$17=1,0,MAX(Calc!$AU$283*(1+IF(Calc!$AO$284&lt;='财富模型'!$E$11*12,'财富模型'!$E$10,'财富模型'!$E$12)/12)-IF('Calc'!$E$17=1,0,IF(Calc!$AO$284&lt;='财富模型'!$E$11*12,'Calc'!$W$17,'Calc'!$Y$17)),0)))</x:f>
      </x:c>
    </x:row>
    <x:row r="285">
      <x:c r="A285" t="n">
        <x:v>264</x:v>
      </x:c>
      <x:c r="B285" t="str">
        <x:f>IF(Calc!$A$285&gt;'Calc'!$B$8,"",MAX(Calc!$B$284*(1+'财富模型'!$E$6/12)+('Calc'!$B$5-'财富模型'!$E$5-(IF('Calc'!$E$12=1,'财富模型'!$E$9,'财富模型'!$M$4+IF(Calc!$A$285&lt;='财富模型'!$E$11*12,'Calc'!$W$12,'Calc'!$Y$12)-(IF('Calc'!$E$12=1,0,MIN(Calc!$C$284*(1+'财富模型'!$E$20/12)+'Calc'!$B$6,IF(Calc!$A$285&lt;='财富模型'!$E$11*12,'Calc'!$W$12,'Calc'!$Y$12))))))),0))</x:f>
      </x:c>
      <x:c r="C285" t="str">
        <x:f>IF(Calc!$A$285&gt;'Calc'!$B$8,"",MAX(Calc!$C$284*(1+'财富模型'!$E$20/12)+'Calc'!$B$6-(IF('Calc'!$E$12=1,0,MIN(Calc!$C$284*(1+'财富模型'!$E$20/12)+'Calc'!$B$6,IF(Calc!$A$285&lt;='财富模型'!$E$11*12,'Calc'!$W$12,'Calc'!$Y$12)))),0))</x:f>
      </x:c>
      <x:c r="D285" t="str">
        <x:f>IF(Calc!$A$285&gt;'Calc'!$B$8,"",IF('Calc'!$E$12=1,'财富模型'!$E$9,'财富模型'!$M$4+IF(Calc!$A$285&lt;='财富模型'!$E$11*12,'Calc'!$W$12,'Calc'!$Y$12)-(IF('Calc'!$E$12=1,0,MIN(Calc!$C$284*(1+'财富模型'!$E$20/12)+'Calc'!$B$6,IF(Calc!$A$285&lt;='财富模型'!$E$11*12,'Calc'!$W$12,'Calc'!$Y$12))))))</x:f>
      </x:c>
      <x:c r="E285" t="str">
        <x:f>IF(Calc!$A$285&gt;'Calc'!$B$8,"",IF('Calc'!$E$12=1,0,MIN(Calc!$C$284*(1+'财富模型'!$E$20/12)+'Calc'!$B$6,IF(Calc!$A$285&lt;='财富模型'!$E$11*12,'Calc'!$W$12,'Calc'!$Y$12))))</x:f>
      </x:c>
      <x:c r="F285" t="str">
        <x:f>IF(Calc!$A$285&gt;'Calc'!$B$8,"",'Calc'!$B$5-'财富模型'!$E$5-(IF('Calc'!$E$12=1,'财富模型'!$E$9,'财富模型'!$M$4+IF(Calc!$A$285&lt;='财富模型'!$E$11*12,'Calc'!$W$12,'Calc'!$Y$12)-(IF('Calc'!$E$12=1,0,MIN(Calc!$C$284*(1+'财富模型'!$E$20/12)+'Calc'!$B$6,IF(Calc!$A$285&lt;='财富模型'!$E$11*12,'Calc'!$W$12,'Calc'!$Y$12)))))))</x:f>
      </x:c>
      <x:c r="G285" t="str">
        <x:f>IF(Calc!$A$285&gt;'Calc'!$B$8,"",IF('Calc'!$E$12=1,0,MAX(Calc!$G$284*(1+IF(Calc!$A$285&lt;='财富模型'!$E$11*12,'财富模型'!$E$10,'财富模型'!$E$12)/12)-IF('Calc'!$E$12=1,0,IF(Calc!$A$285&lt;='财富模型'!$E$11*12,'Calc'!$W$12,'Calc'!$Y$12)),0)))</x:f>
      </x:c>
      <x:c r="I285" t="n">
        <x:v>264</x:v>
      </x:c>
      <x:c r="J285" t="str">
        <x:f>IF(Calc!$I$285&gt;'Calc'!$B$8,"",MAX(Calc!$J$284*(1+'财富模型'!$E$6/12)+('Calc'!$B$5-'财富模型'!$E$5-(IF('Calc'!$E$13=1,'财富模型'!$E$9,'财富模型'!$M$5+IF(Calc!$I$285&lt;='财富模型'!$E$11*12,'Calc'!$W$13,'Calc'!$Y$13)-(IF('Calc'!$E$13=1,0,MIN(Calc!$K$284*(1+'财富模型'!$E$20/12)+'Calc'!$B$6,IF(Calc!$I$285&lt;='财富模型'!$E$11*12,'Calc'!$W$13,'Calc'!$Y$13))))))),0))</x:f>
      </x:c>
      <x:c r="K285" t="str">
        <x:f>IF(Calc!$I$285&gt;'Calc'!$B$8,"",MAX(Calc!$K$284*(1+'财富模型'!$E$20/12)+'Calc'!$B$6-(IF('Calc'!$E$13=1,0,MIN(Calc!$K$284*(1+'财富模型'!$E$20/12)+'Calc'!$B$6,IF(Calc!$I$285&lt;='财富模型'!$E$11*12,'Calc'!$W$13,'Calc'!$Y$13)))),0))</x:f>
      </x:c>
      <x:c r="L285" t="str">
        <x:f>IF(Calc!$I$285&gt;'Calc'!$B$8,"",IF('Calc'!$E$13=1,'财富模型'!$E$9,'财富模型'!$M$5+IF(Calc!$I$285&lt;='财富模型'!$E$11*12,'Calc'!$W$13,'Calc'!$Y$13)-(IF('Calc'!$E$13=1,0,MIN(Calc!$K$284*(1+'财富模型'!$E$20/12)+'Calc'!$B$6,IF(Calc!$I$285&lt;='财富模型'!$E$11*12,'Calc'!$W$13,'Calc'!$Y$13))))))</x:f>
      </x:c>
      <x:c r="M285" t="str">
        <x:f>IF(Calc!$I$285&gt;'Calc'!$B$8,"",IF('Calc'!$E$13=1,0,MIN(Calc!$K$284*(1+'财富模型'!$E$20/12)+'Calc'!$B$6,IF(Calc!$I$285&lt;='财富模型'!$E$11*12,'Calc'!$W$13,'Calc'!$Y$13))))</x:f>
      </x:c>
      <x:c r="N285" t="str">
        <x:f>IF(Calc!$I$285&gt;'Calc'!$B$8,"",'Calc'!$B$5-'财富模型'!$E$5-(IF('Calc'!$E$13=1,'财富模型'!$E$9,'财富模型'!$M$5+IF(Calc!$I$285&lt;='财富模型'!$E$11*12,'Calc'!$W$13,'Calc'!$Y$13)-(IF('Calc'!$E$13=1,0,MIN(Calc!$K$284*(1+'财富模型'!$E$20/12)+'Calc'!$B$6,IF(Calc!$I$285&lt;='财富模型'!$E$11*12,'Calc'!$W$13,'Calc'!$Y$13)))))))</x:f>
      </x:c>
      <x:c r="O285" t="str">
        <x:f>IF(Calc!$I$285&gt;'Calc'!$B$8,"",IF('Calc'!$E$13=1,0,MAX(Calc!$O$284*(1+IF(Calc!$I$285&lt;='财富模型'!$E$11*12,'财富模型'!$E$10,'财富模型'!$E$12)/12)-IF('Calc'!$E$13=1,0,IF(Calc!$I$285&lt;='财富模型'!$E$11*12,'Calc'!$W$13,'Calc'!$Y$13)),0)))</x:f>
      </x:c>
      <x:c r="Q285" t="n">
        <x:v>264</x:v>
      </x:c>
      <x:c r="R285" t="str">
        <x:f>IF(Calc!$Q$285&gt;'Calc'!$B$8,"",MAX(Calc!$R$284*(1+'财富模型'!$E$6/12)+('Calc'!$B$5-'财富模型'!$E$5-(IF('Calc'!$E$14=1,'财富模型'!$E$9,'财富模型'!$M$6+IF(Calc!$Q$285&lt;='财富模型'!$E$11*12,'Calc'!$W$14,'Calc'!$Y$14)-(IF('Calc'!$E$14=1,0,MIN(Calc!$S$284*(1+'财富模型'!$E$20/12)+'Calc'!$B$6,IF(Calc!$Q$285&lt;='财富模型'!$E$11*12,'Calc'!$W$14,'Calc'!$Y$14))))))),0))</x:f>
      </x:c>
      <x:c r="S285" t="str">
        <x:f>IF(Calc!$Q$285&gt;'Calc'!$B$8,"",MAX(Calc!$S$284*(1+'财富模型'!$E$20/12)+'Calc'!$B$6-(IF('Calc'!$E$14=1,0,MIN(Calc!$S$284*(1+'财富模型'!$E$20/12)+'Calc'!$B$6,IF(Calc!$Q$285&lt;='财富模型'!$E$11*12,'Calc'!$W$14,'Calc'!$Y$14)))),0))</x:f>
      </x:c>
      <x:c r="T285" t="str">
        <x:f>IF(Calc!$Q$285&gt;'Calc'!$B$8,"",IF('Calc'!$E$14=1,'财富模型'!$E$9,'财富模型'!$M$6+IF(Calc!$Q$285&lt;='财富模型'!$E$11*12,'Calc'!$W$14,'Calc'!$Y$14)-(IF('Calc'!$E$14=1,0,MIN(Calc!$S$284*(1+'财富模型'!$E$20/12)+'Calc'!$B$6,IF(Calc!$Q$285&lt;='财富模型'!$E$11*12,'Calc'!$W$14,'Calc'!$Y$14))))))</x:f>
      </x:c>
      <x:c r="U285" t="str">
        <x:f>IF(Calc!$Q$285&gt;'Calc'!$B$8,"",IF('Calc'!$E$14=1,0,MIN(Calc!$S$284*(1+'财富模型'!$E$20/12)+'Calc'!$B$6,IF(Calc!$Q$285&lt;='财富模型'!$E$11*12,'Calc'!$W$14,'Calc'!$Y$14))))</x:f>
      </x:c>
      <x:c r="V285" t="str">
        <x:f>IF(Calc!$Q$285&gt;'Calc'!$B$8,"",'Calc'!$B$5-'财富模型'!$E$5-(IF('Calc'!$E$14=1,'财富模型'!$E$9,'财富模型'!$M$6+IF(Calc!$Q$285&lt;='财富模型'!$E$11*12,'Calc'!$W$14,'Calc'!$Y$14)-(IF('Calc'!$E$14=1,0,MIN(Calc!$S$284*(1+'财富模型'!$E$20/12)+'Calc'!$B$6,IF(Calc!$Q$285&lt;='财富模型'!$E$11*12,'Calc'!$W$14,'Calc'!$Y$14)))))))</x:f>
      </x:c>
      <x:c r="W285" t="str">
        <x:f>IF(Calc!$Q$285&gt;'Calc'!$B$8,"",IF('Calc'!$E$14=1,0,MAX(Calc!$W$284*(1+IF(Calc!$Q$285&lt;='财富模型'!$E$11*12,'财富模型'!$E$10,'财富模型'!$E$12)/12)-IF('Calc'!$E$14=1,0,IF(Calc!$Q$285&lt;='财富模型'!$E$11*12,'Calc'!$W$14,'Calc'!$Y$14)),0)))</x:f>
      </x:c>
      <x:c r="Y285" t="n">
        <x:v>264</x:v>
      </x:c>
      <x:c r="Z285" t="str">
        <x:f>IF(Calc!$Y$285&gt;'Calc'!$B$8,"",MAX(Calc!$Z$284*(1+'财富模型'!$E$6/12)+('Calc'!$B$5-'财富模型'!$E$5-(IF('Calc'!$E$15=1,'财富模型'!$E$9,'财富模型'!$M$7+IF(Calc!$Y$285&lt;='财富模型'!$E$11*12,'Calc'!$W$15,'Calc'!$Y$15)-(IF('Calc'!$E$15=1,0,MIN(Calc!$AA$284*(1+'财富模型'!$E$20/12)+'Calc'!$B$6,IF(Calc!$Y$285&lt;='财富模型'!$E$11*12,'Calc'!$W$15,'Calc'!$Y$15))))))),0))</x:f>
      </x:c>
      <x:c r="AA285" t="str">
        <x:f>IF(Calc!$Y$285&gt;'Calc'!$B$8,"",MAX(Calc!$AA$284*(1+'财富模型'!$E$20/12)+'Calc'!$B$6-(IF('Calc'!$E$15=1,0,MIN(Calc!$AA$284*(1+'财富模型'!$E$20/12)+'Calc'!$B$6,IF(Calc!$Y$285&lt;='财富模型'!$E$11*12,'Calc'!$W$15,'Calc'!$Y$15)))),0))</x:f>
      </x:c>
      <x:c r="AB285" t="str">
        <x:f>IF(Calc!$Y$285&gt;'Calc'!$B$8,"",IF('Calc'!$E$15=1,'财富模型'!$E$9,'财富模型'!$M$7+IF(Calc!$Y$285&lt;='财富模型'!$E$11*12,'Calc'!$W$15,'Calc'!$Y$15)-(IF('Calc'!$E$15=1,0,MIN(Calc!$AA$284*(1+'财富模型'!$E$20/12)+'Calc'!$B$6,IF(Calc!$Y$285&lt;='财富模型'!$E$11*12,'Calc'!$W$15,'Calc'!$Y$15))))))</x:f>
      </x:c>
      <x:c r="AC285" t="str">
        <x:f>IF(Calc!$Y$285&gt;'Calc'!$B$8,"",IF('Calc'!$E$15=1,0,MIN(Calc!$AA$284*(1+'财富模型'!$E$20/12)+'Calc'!$B$6,IF(Calc!$Y$285&lt;='财富模型'!$E$11*12,'Calc'!$W$15,'Calc'!$Y$15))))</x:f>
      </x:c>
      <x:c r="AD285" t="str">
        <x:f>IF(Calc!$Y$285&gt;'Calc'!$B$8,"",'Calc'!$B$5-'财富模型'!$E$5-(IF('Calc'!$E$15=1,'财富模型'!$E$9,'财富模型'!$M$7+IF(Calc!$Y$285&lt;='财富模型'!$E$11*12,'Calc'!$W$15,'Calc'!$Y$15)-(IF('Calc'!$E$15=1,0,MIN(Calc!$AA$284*(1+'财富模型'!$E$20/12)+'Calc'!$B$6,IF(Calc!$Y$285&lt;='财富模型'!$E$11*12,'Calc'!$W$15,'Calc'!$Y$15)))))))</x:f>
      </x:c>
      <x:c r="AE285" t="str">
        <x:f>IF(Calc!$Y$285&gt;'Calc'!$B$8,"",IF('Calc'!$E$15=1,0,MAX(Calc!$AE$284*(1+IF(Calc!$Y$285&lt;='财富模型'!$E$11*12,'财富模型'!$E$10,'财富模型'!$E$12)/12)-IF('Calc'!$E$15=1,0,IF(Calc!$Y$285&lt;='财富模型'!$E$11*12,'Calc'!$W$15,'Calc'!$Y$15)),0)))</x:f>
      </x:c>
      <x:c r="AG285" t="n">
        <x:v>264</x:v>
      </x:c>
      <x:c r="AH285" t="str">
        <x:f>IF(Calc!$AG$285&gt;'Calc'!$B$8,"",MAX(Calc!$AH$284*(1+'财富模型'!$E$6/12)+('Calc'!$B$5-'财富模型'!$E$5-(IF('Calc'!$E$16=1,'财富模型'!$E$9,'财富模型'!$M$8+IF(Calc!$AG$285&lt;='财富模型'!$E$11*12,'Calc'!$W$16,'Calc'!$Y$16)-(IF('Calc'!$E$16=1,0,MIN(Calc!$AI$284*(1+'财富模型'!$E$20/12)+'Calc'!$B$6,IF(Calc!$AG$285&lt;='财富模型'!$E$11*12,'Calc'!$W$16,'Calc'!$Y$16))))))),0))</x:f>
      </x:c>
      <x:c r="AI285" t="str">
        <x:f>IF(Calc!$AG$285&gt;'Calc'!$B$8,"",MAX(Calc!$AI$284*(1+'财富模型'!$E$20/12)+'Calc'!$B$6-(IF('Calc'!$E$16=1,0,MIN(Calc!$AI$284*(1+'财富模型'!$E$20/12)+'Calc'!$B$6,IF(Calc!$AG$285&lt;='财富模型'!$E$11*12,'Calc'!$W$16,'Calc'!$Y$16)))),0))</x:f>
      </x:c>
      <x:c r="AJ285" t="str">
        <x:f>IF(Calc!$AG$285&gt;'Calc'!$B$8,"",IF('Calc'!$E$16=1,'财富模型'!$E$9,'财富模型'!$M$8+IF(Calc!$AG$285&lt;='财富模型'!$E$11*12,'Calc'!$W$16,'Calc'!$Y$16)-(IF('Calc'!$E$16=1,0,MIN(Calc!$AI$284*(1+'财富模型'!$E$20/12)+'Calc'!$B$6,IF(Calc!$AG$285&lt;='财富模型'!$E$11*12,'Calc'!$W$16,'Calc'!$Y$16))))))</x:f>
      </x:c>
      <x:c r="AK285" t="str">
        <x:f>IF(Calc!$AG$285&gt;'Calc'!$B$8,"",IF('Calc'!$E$16=1,0,MIN(Calc!$AI$284*(1+'财富模型'!$E$20/12)+'Calc'!$B$6,IF(Calc!$AG$285&lt;='财富模型'!$E$11*12,'Calc'!$W$16,'Calc'!$Y$16))))</x:f>
      </x:c>
      <x:c r="AL285" t="str">
        <x:f>IF(Calc!$AG$285&gt;'Calc'!$B$8,"",'Calc'!$B$5-'财富模型'!$E$5-(IF('Calc'!$E$16=1,'财富模型'!$E$9,'财富模型'!$M$8+IF(Calc!$AG$285&lt;='财富模型'!$E$11*12,'Calc'!$W$16,'Calc'!$Y$16)-(IF('Calc'!$E$16=1,0,MIN(Calc!$AI$284*(1+'财富模型'!$E$20/12)+'Calc'!$B$6,IF(Calc!$AG$285&lt;='财富模型'!$E$11*12,'Calc'!$W$16,'Calc'!$Y$16)))))))</x:f>
      </x:c>
      <x:c r="AM285" t="str">
        <x:f>IF(Calc!$AG$285&gt;'Calc'!$B$8,"",IF('Calc'!$E$16=1,0,MAX(Calc!$AM$284*(1+IF(Calc!$AG$285&lt;='财富模型'!$E$11*12,'财富模型'!$E$10,'财富模型'!$E$12)/12)-IF('Calc'!$E$16=1,0,IF(Calc!$AG$285&lt;='财富模型'!$E$11*12,'Calc'!$W$16,'Calc'!$Y$16)),0)))</x:f>
      </x:c>
      <x:c r="AO285" t="n">
        <x:v>264</x:v>
      </x:c>
      <x:c r="AP285" t="str">
        <x:f>IF(Calc!$AO$285&gt;'Calc'!$B$8,"",MAX(Calc!$AP$284*(1+'财富模型'!$E$6/12)+('Calc'!$B$5-'财富模型'!$E$5-(IF('Calc'!$E$17=1,'财富模型'!$E$9,'财富模型'!$M$9+IF(Calc!$AO$285&lt;='财富模型'!$E$11*12,'Calc'!$W$17,'Calc'!$Y$17)-(IF('Calc'!$E$17=1,0,MIN(Calc!$AQ$284*(1+'财富模型'!$E$20/12)+'Calc'!$B$6,IF(Calc!$AO$285&lt;='财富模型'!$E$11*12,'Calc'!$W$17,'Calc'!$Y$17))))))),0))</x:f>
      </x:c>
      <x:c r="AQ285" t="str">
        <x:f>IF(Calc!$AO$285&gt;'Calc'!$B$8,"",MAX(Calc!$AQ$284*(1+'财富模型'!$E$20/12)+'Calc'!$B$6-(IF('Calc'!$E$17=1,0,MIN(Calc!$AQ$284*(1+'财富模型'!$E$20/12)+'Calc'!$B$6,IF(Calc!$AO$285&lt;='财富模型'!$E$11*12,'Calc'!$W$17,'Calc'!$Y$17)))),0))</x:f>
      </x:c>
      <x:c r="AR285" t="str">
        <x:f>IF(Calc!$AO$285&gt;'Calc'!$B$8,"",IF('Calc'!$E$17=1,'财富模型'!$E$9,'财富模型'!$M$9+IF(Calc!$AO$285&lt;='财富模型'!$E$11*12,'Calc'!$W$17,'Calc'!$Y$17)-(IF('Calc'!$E$17=1,0,MIN(Calc!$AQ$284*(1+'财富模型'!$E$20/12)+'Calc'!$B$6,IF(Calc!$AO$285&lt;='财富模型'!$E$11*12,'Calc'!$W$17,'Calc'!$Y$17))))))</x:f>
      </x:c>
      <x:c r="AS285" t="str">
        <x:f>IF(Calc!$AO$285&gt;'Calc'!$B$8,"",IF('Calc'!$E$17=1,0,MIN(Calc!$AQ$284*(1+'财富模型'!$E$20/12)+'Calc'!$B$6,IF(Calc!$AO$285&lt;='财富模型'!$E$11*12,'Calc'!$W$17,'Calc'!$Y$17))))</x:f>
      </x:c>
      <x:c r="AT285" t="str">
        <x:f>IF(Calc!$AO$285&gt;'Calc'!$B$8,"",'Calc'!$B$5-'财富模型'!$E$5-(IF('Calc'!$E$17=1,'财富模型'!$E$9,'财富模型'!$M$9+IF(Calc!$AO$285&lt;='财富模型'!$E$11*12,'Calc'!$W$17,'Calc'!$Y$17)-(IF('Calc'!$E$17=1,0,MIN(Calc!$AQ$284*(1+'财富模型'!$E$20/12)+'Calc'!$B$6,IF(Calc!$AO$285&lt;='财富模型'!$E$11*12,'Calc'!$W$17,'Calc'!$Y$17)))))))</x:f>
      </x:c>
      <x:c r="AU285" t="str">
        <x:f>IF(Calc!$AO$285&gt;'Calc'!$B$8,"",IF('Calc'!$E$17=1,0,MAX(Calc!$AU$284*(1+IF(Calc!$AO$285&lt;='财富模型'!$E$11*12,'财富模型'!$E$10,'财富模型'!$E$12)/12)-IF('Calc'!$E$17=1,0,IF(Calc!$AO$285&lt;='财富模型'!$E$11*12,'Calc'!$W$17,'Calc'!$Y$17)),0)))</x:f>
      </x:c>
    </x:row>
    <x:row r="286">
      <x:c r="A286" t="n">
        <x:v>265</x:v>
      </x:c>
      <x:c r="B286" t="str">
        <x:f>IF(Calc!$A$286&gt;'Calc'!$B$8,"",MAX(Calc!$B$285*(1+'财富模型'!$E$6/12)+('Calc'!$B$5-'财富模型'!$E$5-(IF('Calc'!$E$12=1,'财富模型'!$E$9,'财富模型'!$M$4+IF(Calc!$A$286&lt;='财富模型'!$E$11*12,'Calc'!$W$12,'Calc'!$Y$12)-(IF('Calc'!$E$12=1,0,MIN(Calc!$C$285*(1+'财富模型'!$E$20/12)+'Calc'!$B$6,IF(Calc!$A$286&lt;='财富模型'!$E$11*12,'Calc'!$W$12,'Calc'!$Y$12))))))),0))</x:f>
      </x:c>
      <x:c r="C286" t="str">
        <x:f>IF(Calc!$A$286&gt;'Calc'!$B$8,"",MAX(Calc!$C$285*(1+'财富模型'!$E$20/12)+'Calc'!$B$6-(IF('Calc'!$E$12=1,0,MIN(Calc!$C$285*(1+'财富模型'!$E$20/12)+'Calc'!$B$6,IF(Calc!$A$286&lt;='财富模型'!$E$11*12,'Calc'!$W$12,'Calc'!$Y$12)))),0))</x:f>
      </x:c>
      <x:c r="D286" t="str">
        <x:f>IF(Calc!$A$286&gt;'Calc'!$B$8,"",IF('Calc'!$E$12=1,'财富模型'!$E$9,'财富模型'!$M$4+IF(Calc!$A$286&lt;='财富模型'!$E$11*12,'Calc'!$W$12,'Calc'!$Y$12)-(IF('Calc'!$E$12=1,0,MIN(Calc!$C$285*(1+'财富模型'!$E$20/12)+'Calc'!$B$6,IF(Calc!$A$286&lt;='财富模型'!$E$11*12,'Calc'!$W$12,'Calc'!$Y$12))))))</x:f>
      </x:c>
      <x:c r="E286" t="str">
        <x:f>IF(Calc!$A$286&gt;'Calc'!$B$8,"",IF('Calc'!$E$12=1,0,MIN(Calc!$C$285*(1+'财富模型'!$E$20/12)+'Calc'!$B$6,IF(Calc!$A$286&lt;='财富模型'!$E$11*12,'Calc'!$W$12,'Calc'!$Y$12))))</x:f>
      </x:c>
      <x:c r="F286" t="str">
        <x:f>IF(Calc!$A$286&gt;'Calc'!$B$8,"",'Calc'!$B$5-'财富模型'!$E$5-(IF('Calc'!$E$12=1,'财富模型'!$E$9,'财富模型'!$M$4+IF(Calc!$A$286&lt;='财富模型'!$E$11*12,'Calc'!$W$12,'Calc'!$Y$12)-(IF('Calc'!$E$12=1,0,MIN(Calc!$C$285*(1+'财富模型'!$E$20/12)+'Calc'!$B$6,IF(Calc!$A$286&lt;='财富模型'!$E$11*12,'Calc'!$W$12,'Calc'!$Y$12)))))))</x:f>
      </x:c>
      <x:c r="G286" t="str">
        <x:f>IF(Calc!$A$286&gt;'Calc'!$B$8,"",IF('Calc'!$E$12=1,0,MAX(Calc!$G$285*(1+IF(Calc!$A$286&lt;='财富模型'!$E$11*12,'财富模型'!$E$10,'财富模型'!$E$12)/12)-IF('Calc'!$E$12=1,0,IF(Calc!$A$286&lt;='财富模型'!$E$11*12,'Calc'!$W$12,'Calc'!$Y$12)),0)))</x:f>
      </x:c>
      <x:c r="I286" t="n">
        <x:v>265</x:v>
      </x:c>
      <x:c r="J286" t="str">
        <x:f>IF(Calc!$I$286&gt;'Calc'!$B$8,"",MAX(Calc!$J$285*(1+'财富模型'!$E$6/12)+('Calc'!$B$5-'财富模型'!$E$5-(IF('Calc'!$E$13=1,'财富模型'!$E$9,'财富模型'!$M$5+IF(Calc!$I$286&lt;='财富模型'!$E$11*12,'Calc'!$W$13,'Calc'!$Y$13)-(IF('Calc'!$E$13=1,0,MIN(Calc!$K$285*(1+'财富模型'!$E$20/12)+'Calc'!$B$6,IF(Calc!$I$286&lt;='财富模型'!$E$11*12,'Calc'!$W$13,'Calc'!$Y$13))))))),0))</x:f>
      </x:c>
      <x:c r="K286" t="str">
        <x:f>IF(Calc!$I$286&gt;'Calc'!$B$8,"",MAX(Calc!$K$285*(1+'财富模型'!$E$20/12)+'Calc'!$B$6-(IF('Calc'!$E$13=1,0,MIN(Calc!$K$285*(1+'财富模型'!$E$20/12)+'Calc'!$B$6,IF(Calc!$I$286&lt;='财富模型'!$E$11*12,'Calc'!$W$13,'Calc'!$Y$13)))),0))</x:f>
      </x:c>
      <x:c r="L286" t="str">
        <x:f>IF(Calc!$I$286&gt;'Calc'!$B$8,"",IF('Calc'!$E$13=1,'财富模型'!$E$9,'财富模型'!$M$5+IF(Calc!$I$286&lt;='财富模型'!$E$11*12,'Calc'!$W$13,'Calc'!$Y$13)-(IF('Calc'!$E$13=1,0,MIN(Calc!$K$285*(1+'财富模型'!$E$20/12)+'Calc'!$B$6,IF(Calc!$I$286&lt;='财富模型'!$E$11*12,'Calc'!$W$13,'Calc'!$Y$13))))))</x:f>
      </x:c>
      <x:c r="M286" t="str">
        <x:f>IF(Calc!$I$286&gt;'Calc'!$B$8,"",IF('Calc'!$E$13=1,0,MIN(Calc!$K$285*(1+'财富模型'!$E$20/12)+'Calc'!$B$6,IF(Calc!$I$286&lt;='财富模型'!$E$11*12,'Calc'!$W$13,'Calc'!$Y$13))))</x:f>
      </x:c>
      <x:c r="N286" t="str">
        <x:f>IF(Calc!$I$286&gt;'Calc'!$B$8,"",'Calc'!$B$5-'财富模型'!$E$5-(IF('Calc'!$E$13=1,'财富模型'!$E$9,'财富模型'!$M$5+IF(Calc!$I$286&lt;='财富模型'!$E$11*12,'Calc'!$W$13,'Calc'!$Y$13)-(IF('Calc'!$E$13=1,0,MIN(Calc!$K$285*(1+'财富模型'!$E$20/12)+'Calc'!$B$6,IF(Calc!$I$286&lt;='财富模型'!$E$11*12,'Calc'!$W$13,'Calc'!$Y$13)))))))</x:f>
      </x:c>
      <x:c r="O286" t="str">
        <x:f>IF(Calc!$I$286&gt;'Calc'!$B$8,"",IF('Calc'!$E$13=1,0,MAX(Calc!$O$285*(1+IF(Calc!$I$286&lt;='财富模型'!$E$11*12,'财富模型'!$E$10,'财富模型'!$E$12)/12)-IF('Calc'!$E$13=1,0,IF(Calc!$I$286&lt;='财富模型'!$E$11*12,'Calc'!$W$13,'Calc'!$Y$13)),0)))</x:f>
      </x:c>
      <x:c r="Q286" t="n">
        <x:v>265</x:v>
      </x:c>
      <x:c r="R286" t="str">
        <x:f>IF(Calc!$Q$286&gt;'Calc'!$B$8,"",MAX(Calc!$R$285*(1+'财富模型'!$E$6/12)+('Calc'!$B$5-'财富模型'!$E$5-(IF('Calc'!$E$14=1,'财富模型'!$E$9,'财富模型'!$M$6+IF(Calc!$Q$286&lt;='财富模型'!$E$11*12,'Calc'!$W$14,'Calc'!$Y$14)-(IF('Calc'!$E$14=1,0,MIN(Calc!$S$285*(1+'财富模型'!$E$20/12)+'Calc'!$B$6,IF(Calc!$Q$286&lt;='财富模型'!$E$11*12,'Calc'!$W$14,'Calc'!$Y$14))))))),0))</x:f>
      </x:c>
      <x:c r="S286" t="str">
        <x:f>IF(Calc!$Q$286&gt;'Calc'!$B$8,"",MAX(Calc!$S$285*(1+'财富模型'!$E$20/12)+'Calc'!$B$6-(IF('Calc'!$E$14=1,0,MIN(Calc!$S$285*(1+'财富模型'!$E$20/12)+'Calc'!$B$6,IF(Calc!$Q$286&lt;='财富模型'!$E$11*12,'Calc'!$W$14,'Calc'!$Y$14)))),0))</x:f>
      </x:c>
      <x:c r="T286" t="str">
        <x:f>IF(Calc!$Q$286&gt;'Calc'!$B$8,"",IF('Calc'!$E$14=1,'财富模型'!$E$9,'财富模型'!$M$6+IF(Calc!$Q$286&lt;='财富模型'!$E$11*12,'Calc'!$W$14,'Calc'!$Y$14)-(IF('Calc'!$E$14=1,0,MIN(Calc!$S$285*(1+'财富模型'!$E$20/12)+'Calc'!$B$6,IF(Calc!$Q$286&lt;='财富模型'!$E$11*12,'Calc'!$W$14,'Calc'!$Y$14))))))</x:f>
      </x:c>
      <x:c r="U286" t="str">
        <x:f>IF(Calc!$Q$286&gt;'Calc'!$B$8,"",IF('Calc'!$E$14=1,0,MIN(Calc!$S$285*(1+'财富模型'!$E$20/12)+'Calc'!$B$6,IF(Calc!$Q$286&lt;='财富模型'!$E$11*12,'Calc'!$W$14,'Calc'!$Y$14))))</x:f>
      </x:c>
      <x:c r="V286" t="str">
        <x:f>IF(Calc!$Q$286&gt;'Calc'!$B$8,"",'Calc'!$B$5-'财富模型'!$E$5-(IF('Calc'!$E$14=1,'财富模型'!$E$9,'财富模型'!$M$6+IF(Calc!$Q$286&lt;='财富模型'!$E$11*12,'Calc'!$W$14,'Calc'!$Y$14)-(IF('Calc'!$E$14=1,0,MIN(Calc!$S$285*(1+'财富模型'!$E$20/12)+'Calc'!$B$6,IF(Calc!$Q$286&lt;='财富模型'!$E$11*12,'Calc'!$W$14,'Calc'!$Y$14)))))))</x:f>
      </x:c>
      <x:c r="W286" t="str">
        <x:f>IF(Calc!$Q$286&gt;'Calc'!$B$8,"",IF('Calc'!$E$14=1,0,MAX(Calc!$W$285*(1+IF(Calc!$Q$286&lt;='财富模型'!$E$11*12,'财富模型'!$E$10,'财富模型'!$E$12)/12)-IF('Calc'!$E$14=1,0,IF(Calc!$Q$286&lt;='财富模型'!$E$11*12,'Calc'!$W$14,'Calc'!$Y$14)),0)))</x:f>
      </x:c>
      <x:c r="Y286" t="n">
        <x:v>265</x:v>
      </x:c>
      <x:c r="Z286" t="str">
        <x:f>IF(Calc!$Y$286&gt;'Calc'!$B$8,"",MAX(Calc!$Z$285*(1+'财富模型'!$E$6/12)+('Calc'!$B$5-'财富模型'!$E$5-(IF('Calc'!$E$15=1,'财富模型'!$E$9,'财富模型'!$M$7+IF(Calc!$Y$286&lt;='财富模型'!$E$11*12,'Calc'!$W$15,'Calc'!$Y$15)-(IF('Calc'!$E$15=1,0,MIN(Calc!$AA$285*(1+'财富模型'!$E$20/12)+'Calc'!$B$6,IF(Calc!$Y$286&lt;='财富模型'!$E$11*12,'Calc'!$W$15,'Calc'!$Y$15))))))),0))</x:f>
      </x:c>
      <x:c r="AA286" t="str">
        <x:f>IF(Calc!$Y$286&gt;'Calc'!$B$8,"",MAX(Calc!$AA$285*(1+'财富模型'!$E$20/12)+'Calc'!$B$6-(IF('Calc'!$E$15=1,0,MIN(Calc!$AA$285*(1+'财富模型'!$E$20/12)+'Calc'!$B$6,IF(Calc!$Y$286&lt;='财富模型'!$E$11*12,'Calc'!$W$15,'Calc'!$Y$15)))),0))</x:f>
      </x:c>
      <x:c r="AB286" t="str">
        <x:f>IF(Calc!$Y$286&gt;'Calc'!$B$8,"",IF('Calc'!$E$15=1,'财富模型'!$E$9,'财富模型'!$M$7+IF(Calc!$Y$286&lt;='财富模型'!$E$11*12,'Calc'!$W$15,'Calc'!$Y$15)-(IF('Calc'!$E$15=1,0,MIN(Calc!$AA$285*(1+'财富模型'!$E$20/12)+'Calc'!$B$6,IF(Calc!$Y$286&lt;='财富模型'!$E$11*12,'Calc'!$W$15,'Calc'!$Y$15))))))</x:f>
      </x:c>
      <x:c r="AC286" t="str">
        <x:f>IF(Calc!$Y$286&gt;'Calc'!$B$8,"",IF('Calc'!$E$15=1,0,MIN(Calc!$AA$285*(1+'财富模型'!$E$20/12)+'Calc'!$B$6,IF(Calc!$Y$286&lt;='财富模型'!$E$11*12,'Calc'!$W$15,'Calc'!$Y$15))))</x:f>
      </x:c>
      <x:c r="AD286" t="str">
        <x:f>IF(Calc!$Y$286&gt;'Calc'!$B$8,"",'Calc'!$B$5-'财富模型'!$E$5-(IF('Calc'!$E$15=1,'财富模型'!$E$9,'财富模型'!$M$7+IF(Calc!$Y$286&lt;='财富模型'!$E$11*12,'Calc'!$W$15,'Calc'!$Y$15)-(IF('Calc'!$E$15=1,0,MIN(Calc!$AA$285*(1+'财富模型'!$E$20/12)+'Calc'!$B$6,IF(Calc!$Y$286&lt;='财富模型'!$E$11*12,'Calc'!$W$15,'Calc'!$Y$15)))))))</x:f>
      </x:c>
      <x:c r="AE286" t="str">
        <x:f>IF(Calc!$Y$286&gt;'Calc'!$B$8,"",IF('Calc'!$E$15=1,0,MAX(Calc!$AE$285*(1+IF(Calc!$Y$286&lt;='财富模型'!$E$11*12,'财富模型'!$E$10,'财富模型'!$E$12)/12)-IF('Calc'!$E$15=1,0,IF(Calc!$Y$286&lt;='财富模型'!$E$11*12,'Calc'!$W$15,'Calc'!$Y$15)),0)))</x:f>
      </x:c>
      <x:c r="AG286" t="n">
        <x:v>265</x:v>
      </x:c>
      <x:c r="AH286" t="str">
        <x:f>IF(Calc!$AG$286&gt;'Calc'!$B$8,"",MAX(Calc!$AH$285*(1+'财富模型'!$E$6/12)+('Calc'!$B$5-'财富模型'!$E$5-(IF('Calc'!$E$16=1,'财富模型'!$E$9,'财富模型'!$M$8+IF(Calc!$AG$286&lt;='财富模型'!$E$11*12,'Calc'!$W$16,'Calc'!$Y$16)-(IF('Calc'!$E$16=1,0,MIN(Calc!$AI$285*(1+'财富模型'!$E$20/12)+'Calc'!$B$6,IF(Calc!$AG$286&lt;='财富模型'!$E$11*12,'Calc'!$W$16,'Calc'!$Y$16))))))),0))</x:f>
      </x:c>
      <x:c r="AI286" t="str">
        <x:f>IF(Calc!$AG$286&gt;'Calc'!$B$8,"",MAX(Calc!$AI$285*(1+'财富模型'!$E$20/12)+'Calc'!$B$6-(IF('Calc'!$E$16=1,0,MIN(Calc!$AI$285*(1+'财富模型'!$E$20/12)+'Calc'!$B$6,IF(Calc!$AG$286&lt;='财富模型'!$E$11*12,'Calc'!$W$16,'Calc'!$Y$16)))),0))</x:f>
      </x:c>
      <x:c r="AJ286" t="str">
        <x:f>IF(Calc!$AG$286&gt;'Calc'!$B$8,"",IF('Calc'!$E$16=1,'财富模型'!$E$9,'财富模型'!$M$8+IF(Calc!$AG$286&lt;='财富模型'!$E$11*12,'Calc'!$W$16,'Calc'!$Y$16)-(IF('Calc'!$E$16=1,0,MIN(Calc!$AI$285*(1+'财富模型'!$E$20/12)+'Calc'!$B$6,IF(Calc!$AG$286&lt;='财富模型'!$E$11*12,'Calc'!$W$16,'Calc'!$Y$16))))))</x:f>
      </x:c>
      <x:c r="AK286" t="str">
        <x:f>IF(Calc!$AG$286&gt;'Calc'!$B$8,"",IF('Calc'!$E$16=1,0,MIN(Calc!$AI$285*(1+'财富模型'!$E$20/12)+'Calc'!$B$6,IF(Calc!$AG$286&lt;='财富模型'!$E$11*12,'Calc'!$W$16,'Calc'!$Y$16))))</x:f>
      </x:c>
      <x:c r="AL286" t="str">
        <x:f>IF(Calc!$AG$286&gt;'Calc'!$B$8,"",'Calc'!$B$5-'财富模型'!$E$5-(IF('Calc'!$E$16=1,'财富模型'!$E$9,'财富模型'!$M$8+IF(Calc!$AG$286&lt;='财富模型'!$E$11*12,'Calc'!$W$16,'Calc'!$Y$16)-(IF('Calc'!$E$16=1,0,MIN(Calc!$AI$285*(1+'财富模型'!$E$20/12)+'Calc'!$B$6,IF(Calc!$AG$286&lt;='财富模型'!$E$11*12,'Calc'!$W$16,'Calc'!$Y$16)))))))</x:f>
      </x:c>
      <x:c r="AM286" t="str">
        <x:f>IF(Calc!$AG$286&gt;'Calc'!$B$8,"",IF('Calc'!$E$16=1,0,MAX(Calc!$AM$285*(1+IF(Calc!$AG$286&lt;='财富模型'!$E$11*12,'财富模型'!$E$10,'财富模型'!$E$12)/12)-IF('Calc'!$E$16=1,0,IF(Calc!$AG$286&lt;='财富模型'!$E$11*12,'Calc'!$W$16,'Calc'!$Y$16)),0)))</x:f>
      </x:c>
      <x:c r="AO286" t="n">
        <x:v>265</x:v>
      </x:c>
      <x:c r="AP286" t="str">
        <x:f>IF(Calc!$AO$286&gt;'Calc'!$B$8,"",MAX(Calc!$AP$285*(1+'财富模型'!$E$6/12)+('Calc'!$B$5-'财富模型'!$E$5-(IF('Calc'!$E$17=1,'财富模型'!$E$9,'财富模型'!$M$9+IF(Calc!$AO$286&lt;='财富模型'!$E$11*12,'Calc'!$W$17,'Calc'!$Y$17)-(IF('Calc'!$E$17=1,0,MIN(Calc!$AQ$285*(1+'财富模型'!$E$20/12)+'Calc'!$B$6,IF(Calc!$AO$286&lt;='财富模型'!$E$11*12,'Calc'!$W$17,'Calc'!$Y$17))))))),0))</x:f>
      </x:c>
      <x:c r="AQ286" t="str">
        <x:f>IF(Calc!$AO$286&gt;'Calc'!$B$8,"",MAX(Calc!$AQ$285*(1+'财富模型'!$E$20/12)+'Calc'!$B$6-(IF('Calc'!$E$17=1,0,MIN(Calc!$AQ$285*(1+'财富模型'!$E$20/12)+'Calc'!$B$6,IF(Calc!$AO$286&lt;='财富模型'!$E$11*12,'Calc'!$W$17,'Calc'!$Y$17)))),0))</x:f>
      </x:c>
      <x:c r="AR286" t="str">
        <x:f>IF(Calc!$AO$286&gt;'Calc'!$B$8,"",IF('Calc'!$E$17=1,'财富模型'!$E$9,'财富模型'!$M$9+IF(Calc!$AO$286&lt;='财富模型'!$E$11*12,'Calc'!$W$17,'Calc'!$Y$17)-(IF('Calc'!$E$17=1,0,MIN(Calc!$AQ$285*(1+'财富模型'!$E$20/12)+'Calc'!$B$6,IF(Calc!$AO$286&lt;='财富模型'!$E$11*12,'Calc'!$W$17,'Calc'!$Y$17))))))</x:f>
      </x:c>
      <x:c r="AS286" t="str">
        <x:f>IF(Calc!$AO$286&gt;'Calc'!$B$8,"",IF('Calc'!$E$17=1,0,MIN(Calc!$AQ$285*(1+'财富模型'!$E$20/12)+'Calc'!$B$6,IF(Calc!$AO$286&lt;='财富模型'!$E$11*12,'Calc'!$W$17,'Calc'!$Y$17))))</x:f>
      </x:c>
      <x:c r="AT286" t="str">
        <x:f>IF(Calc!$AO$286&gt;'Calc'!$B$8,"",'Calc'!$B$5-'财富模型'!$E$5-(IF('Calc'!$E$17=1,'财富模型'!$E$9,'财富模型'!$M$9+IF(Calc!$AO$286&lt;='财富模型'!$E$11*12,'Calc'!$W$17,'Calc'!$Y$17)-(IF('Calc'!$E$17=1,0,MIN(Calc!$AQ$285*(1+'财富模型'!$E$20/12)+'Calc'!$B$6,IF(Calc!$AO$286&lt;='财富模型'!$E$11*12,'Calc'!$W$17,'Calc'!$Y$17)))))))</x:f>
      </x:c>
      <x:c r="AU286" t="str">
        <x:f>IF(Calc!$AO$286&gt;'Calc'!$B$8,"",IF('Calc'!$E$17=1,0,MAX(Calc!$AU$285*(1+IF(Calc!$AO$286&lt;='财富模型'!$E$11*12,'财富模型'!$E$10,'财富模型'!$E$12)/12)-IF('Calc'!$E$17=1,0,IF(Calc!$AO$286&lt;='财富模型'!$E$11*12,'Calc'!$W$17,'Calc'!$Y$17)),0)))</x:f>
      </x:c>
    </x:row>
    <x:row r="287">
      <x:c r="A287" t="n">
        <x:v>266</x:v>
      </x:c>
      <x:c r="B287" t="str">
        <x:f>IF(Calc!$A$287&gt;'Calc'!$B$8,"",MAX(Calc!$B$286*(1+'财富模型'!$E$6/12)+('Calc'!$B$5-'财富模型'!$E$5-(IF('Calc'!$E$12=1,'财富模型'!$E$9,'财富模型'!$M$4+IF(Calc!$A$287&lt;='财富模型'!$E$11*12,'Calc'!$W$12,'Calc'!$Y$12)-(IF('Calc'!$E$12=1,0,MIN(Calc!$C$286*(1+'财富模型'!$E$20/12)+'Calc'!$B$6,IF(Calc!$A$287&lt;='财富模型'!$E$11*12,'Calc'!$W$12,'Calc'!$Y$12))))))),0))</x:f>
      </x:c>
      <x:c r="C287" t="str">
        <x:f>IF(Calc!$A$287&gt;'Calc'!$B$8,"",MAX(Calc!$C$286*(1+'财富模型'!$E$20/12)+'Calc'!$B$6-(IF('Calc'!$E$12=1,0,MIN(Calc!$C$286*(1+'财富模型'!$E$20/12)+'Calc'!$B$6,IF(Calc!$A$287&lt;='财富模型'!$E$11*12,'Calc'!$W$12,'Calc'!$Y$12)))),0))</x:f>
      </x:c>
      <x:c r="D287" t="str">
        <x:f>IF(Calc!$A$287&gt;'Calc'!$B$8,"",IF('Calc'!$E$12=1,'财富模型'!$E$9,'财富模型'!$M$4+IF(Calc!$A$287&lt;='财富模型'!$E$11*12,'Calc'!$W$12,'Calc'!$Y$12)-(IF('Calc'!$E$12=1,0,MIN(Calc!$C$286*(1+'财富模型'!$E$20/12)+'Calc'!$B$6,IF(Calc!$A$287&lt;='财富模型'!$E$11*12,'Calc'!$W$12,'Calc'!$Y$12))))))</x:f>
      </x:c>
      <x:c r="E287" t="str">
        <x:f>IF(Calc!$A$287&gt;'Calc'!$B$8,"",IF('Calc'!$E$12=1,0,MIN(Calc!$C$286*(1+'财富模型'!$E$20/12)+'Calc'!$B$6,IF(Calc!$A$287&lt;='财富模型'!$E$11*12,'Calc'!$W$12,'Calc'!$Y$12))))</x:f>
      </x:c>
      <x:c r="F287" t="str">
        <x:f>IF(Calc!$A$287&gt;'Calc'!$B$8,"",'Calc'!$B$5-'财富模型'!$E$5-(IF('Calc'!$E$12=1,'财富模型'!$E$9,'财富模型'!$M$4+IF(Calc!$A$287&lt;='财富模型'!$E$11*12,'Calc'!$W$12,'Calc'!$Y$12)-(IF('Calc'!$E$12=1,0,MIN(Calc!$C$286*(1+'财富模型'!$E$20/12)+'Calc'!$B$6,IF(Calc!$A$287&lt;='财富模型'!$E$11*12,'Calc'!$W$12,'Calc'!$Y$12)))))))</x:f>
      </x:c>
      <x:c r="G287" t="str">
        <x:f>IF(Calc!$A$287&gt;'Calc'!$B$8,"",IF('Calc'!$E$12=1,0,MAX(Calc!$G$286*(1+IF(Calc!$A$287&lt;='财富模型'!$E$11*12,'财富模型'!$E$10,'财富模型'!$E$12)/12)-IF('Calc'!$E$12=1,0,IF(Calc!$A$287&lt;='财富模型'!$E$11*12,'Calc'!$W$12,'Calc'!$Y$12)),0)))</x:f>
      </x:c>
      <x:c r="I287" t="n">
        <x:v>266</x:v>
      </x:c>
      <x:c r="J287" t="str">
        <x:f>IF(Calc!$I$287&gt;'Calc'!$B$8,"",MAX(Calc!$J$286*(1+'财富模型'!$E$6/12)+('Calc'!$B$5-'财富模型'!$E$5-(IF('Calc'!$E$13=1,'财富模型'!$E$9,'财富模型'!$M$5+IF(Calc!$I$287&lt;='财富模型'!$E$11*12,'Calc'!$W$13,'Calc'!$Y$13)-(IF('Calc'!$E$13=1,0,MIN(Calc!$K$286*(1+'财富模型'!$E$20/12)+'Calc'!$B$6,IF(Calc!$I$287&lt;='财富模型'!$E$11*12,'Calc'!$W$13,'Calc'!$Y$13))))))),0))</x:f>
      </x:c>
      <x:c r="K287" t="str">
        <x:f>IF(Calc!$I$287&gt;'Calc'!$B$8,"",MAX(Calc!$K$286*(1+'财富模型'!$E$20/12)+'Calc'!$B$6-(IF('Calc'!$E$13=1,0,MIN(Calc!$K$286*(1+'财富模型'!$E$20/12)+'Calc'!$B$6,IF(Calc!$I$287&lt;='财富模型'!$E$11*12,'Calc'!$W$13,'Calc'!$Y$13)))),0))</x:f>
      </x:c>
      <x:c r="L287" t="str">
        <x:f>IF(Calc!$I$287&gt;'Calc'!$B$8,"",IF('Calc'!$E$13=1,'财富模型'!$E$9,'财富模型'!$M$5+IF(Calc!$I$287&lt;='财富模型'!$E$11*12,'Calc'!$W$13,'Calc'!$Y$13)-(IF('Calc'!$E$13=1,0,MIN(Calc!$K$286*(1+'财富模型'!$E$20/12)+'Calc'!$B$6,IF(Calc!$I$287&lt;='财富模型'!$E$11*12,'Calc'!$W$13,'Calc'!$Y$13))))))</x:f>
      </x:c>
      <x:c r="M287" t="str">
        <x:f>IF(Calc!$I$287&gt;'Calc'!$B$8,"",IF('Calc'!$E$13=1,0,MIN(Calc!$K$286*(1+'财富模型'!$E$20/12)+'Calc'!$B$6,IF(Calc!$I$287&lt;='财富模型'!$E$11*12,'Calc'!$W$13,'Calc'!$Y$13))))</x:f>
      </x:c>
      <x:c r="N287" t="str">
        <x:f>IF(Calc!$I$287&gt;'Calc'!$B$8,"",'Calc'!$B$5-'财富模型'!$E$5-(IF('Calc'!$E$13=1,'财富模型'!$E$9,'财富模型'!$M$5+IF(Calc!$I$287&lt;='财富模型'!$E$11*12,'Calc'!$W$13,'Calc'!$Y$13)-(IF('Calc'!$E$13=1,0,MIN(Calc!$K$286*(1+'财富模型'!$E$20/12)+'Calc'!$B$6,IF(Calc!$I$287&lt;='财富模型'!$E$11*12,'Calc'!$W$13,'Calc'!$Y$13)))))))</x:f>
      </x:c>
      <x:c r="O287" t="str">
        <x:f>IF(Calc!$I$287&gt;'Calc'!$B$8,"",IF('Calc'!$E$13=1,0,MAX(Calc!$O$286*(1+IF(Calc!$I$287&lt;='财富模型'!$E$11*12,'财富模型'!$E$10,'财富模型'!$E$12)/12)-IF('Calc'!$E$13=1,0,IF(Calc!$I$287&lt;='财富模型'!$E$11*12,'Calc'!$W$13,'Calc'!$Y$13)),0)))</x:f>
      </x:c>
      <x:c r="Q287" t="n">
        <x:v>266</x:v>
      </x:c>
      <x:c r="R287" t="str">
        <x:f>IF(Calc!$Q$287&gt;'Calc'!$B$8,"",MAX(Calc!$R$286*(1+'财富模型'!$E$6/12)+('Calc'!$B$5-'财富模型'!$E$5-(IF('Calc'!$E$14=1,'财富模型'!$E$9,'财富模型'!$M$6+IF(Calc!$Q$287&lt;='财富模型'!$E$11*12,'Calc'!$W$14,'Calc'!$Y$14)-(IF('Calc'!$E$14=1,0,MIN(Calc!$S$286*(1+'财富模型'!$E$20/12)+'Calc'!$B$6,IF(Calc!$Q$287&lt;='财富模型'!$E$11*12,'Calc'!$W$14,'Calc'!$Y$14))))))),0))</x:f>
      </x:c>
      <x:c r="S287" t="str">
        <x:f>IF(Calc!$Q$287&gt;'Calc'!$B$8,"",MAX(Calc!$S$286*(1+'财富模型'!$E$20/12)+'Calc'!$B$6-(IF('Calc'!$E$14=1,0,MIN(Calc!$S$286*(1+'财富模型'!$E$20/12)+'Calc'!$B$6,IF(Calc!$Q$287&lt;='财富模型'!$E$11*12,'Calc'!$W$14,'Calc'!$Y$14)))),0))</x:f>
      </x:c>
      <x:c r="T287" t="str">
        <x:f>IF(Calc!$Q$287&gt;'Calc'!$B$8,"",IF('Calc'!$E$14=1,'财富模型'!$E$9,'财富模型'!$M$6+IF(Calc!$Q$287&lt;='财富模型'!$E$11*12,'Calc'!$W$14,'Calc'!$Y$14)-(IF('Calc'!$E$14=1,0,MIN(Calc!$S$286*(1+'财富模型'!$E$20/12)+'Calc'!$B$6,IF(Calc!$Q$287&lt;='财富模型'!$E$11*12,'Calc'!$W$14,'Calc'!$Y$14))))))</x:f>
      </x:c>
      <x:c r="U287" t="str">
        <x:f>IF(Calc!$Q$287&gt;'Calc'!$B$8,"",IF('Calc'!$E$14=1,0,MIN(Calc!$S$286*(1+'财富模型'!$E$20/12)+'Calc'!$B$6,IF(Calc!$Q$287&lt;='财富模型'!$E$11*12,'Calc'!$W$14,'Calc'!$Y$14))))</x:f>
      </x:c>
      <x:c r="V287" t="str">
        <x:f>IF(Calc!$Q$287&gt;'Calc'!$B$8,"",'Calc'!$B$5-'财富模型'!$E$5-(IF('Calc'!$E$14=1,'财富模型'!$E$9,'财富模型'!$M$6+IF(Calc!$Q$287&lt;='财富模型'!$E$11*12,'Calc'!$W$14,'Calc'!$Y$14)-(IF('Calc'!$E$14=1,0,MIN(Calc!$S$286*(1+'财富模型'!$E$20/12)+'Calc'!$B$6,IF(Calc!$Q$287&lt;='财富模型'!$E$11*12,'Calc'!$W$14,'Calc'!$Y$14)))))))</x:f>
      </x:c>
      <x:c r="W287" t="str">
        <x:f>IF(Calc!$Q$287&gt;'Calc'!$B$8,"",IF('Calc'!$E$14=1,0,MAX(Calc!$W$286*(1+IF(Calc!$Q$287&lt;='财富模型'!$E$11*12,'财富模型'!$E$10,'财富模型'!$E$12)/12)-IF('Calc'!$E$14=1,0,IF(Calc!$Q$287&lt;='财富模型'!$E$11*12,'Calc'!$W$14,'Calc'!$Y$14)),0)))</x:f>
      </x:c>
      <x:c r="Y287" t="n">
        <x:v>266</x:v>
      </x:c>
      <x:c r="Z287" t="str">
        <x:f>IF(Calc!$Y$287&gt;'Calc'!$B$8,"",MAX(Calc!$Z$286*(1+'财富模型'!$E$6/12)+('Calc'!$B$5-'财富模型'!$E$5-(IF('Calc'!$E$15=1,'财富模型'!$E$9,'财富模型'!$M$7+IF(Calc!$Y$287&lt;='财富模型'!$E$11*12,'Calc'!$W$15,'Calc'!$Y$15)-(IF('Calc'!$E$15=1,0,MIN(Calc!$AA$286*(1+'财富模型'!$E$20/12)+'Calc'!$B$6,IF(Calc!$Y$287&lt;='财富模型'!$E$11*12,'Calc'!$W$15,'Calc'!$Y$15))))))),0))</x:f>
      </x:c>
      <x:c r="AA287" t="str">
        <x:f>IF(Calc!$Y$287&gt;'Calc'!$B$8,"",MAX(Calc!$AA$286*(1+'财富模型'!$E$20/12)+'Calc'!$B$6-(IF('Calc'!$E$15=1,0,MIN(Calc!$AA$286*(1+'财富模型'!$E$20/12)+'Calc'!$B$6,IF(Calc!$Y$287&lt;='财富模型'!$E$11*12,'Calc'!$W$15,'Calc'!$Y$15)))),0))</x:f>
      </x:c>
      <x:c r="AB287" t="str">
        <x:f>IF(Calc!$Y$287&gt;'Calc'!$B$8,"",IF('Calc'!$E$15=1,'财富模型'!$E$9,'财富模型'!$M$7+IF(Calc!$Y$287&lt;='财富模型'!$E$11*12,'Calc'!$W$15,'Calc'!$Y$15)-(IF('Calc'!$E$15=1,0,MIN(Calc!$AA$286*(1+'财富模型'!$E$20/12)+'Calc'!$B$6,IF(Calc!$Y$287&lt;='财富模型'!$E$11*12,'Calc'!$W$15,'Calc'!$Y$15))))))</x:f>
      </x:c>
      <x:c r="AC287" t="str">
        <x:f>IF(Calc!$Y$287&gt;'Calc'!$B$8,"",IF('Calc'!$E$15=1,0,MIN(Calc!$AA$286*(1+'财富模型'!$E$20/12)+'Calc'!$B$6,IF(Calc!$Y$287&lt;='财富模型'!$E$11*12,'Calc'!$W$15,'Calc'!$Y$15))))</x:f>
      </x:c>
      <x:c r="AD287" t="str">
        <x:f>IF(Calc!$Y$287&gt;'Calc'!$B$8,"",'Calc'!$B$5-'财富模型'!$E$5-(IF('Calc'!$E$15=1,'财富模型'!$E$9,'财富模型'!$M$7+IF(Calc!$Y$287&lt;='财富模型'!$E$11*12,'Calc'!$W$15,'Calc'!$Y$15)-(IF('Calc'!$E$15=1,0,MIN(Calc!$AA$286*(1+'财富模型'!$E$20/12)+'Calc'!$B$6,IF(Calc!$Y$287&lt;='财富模型'!$E$11*12,'Calc'!$W$15,'Calc'!$Y$15)))))))</x:f>
      </x:c>
      <x:c r="AE287" t="str">
        <x:f>IF(Calc!$Y$287&gt;'Calc'!$B$8,"",IF('Calc'!$E$15=1,0,MAX(Calc!$AE$286*(1+IF(Calc!$Y$287&lt;='财富模型'!$E$11*12,'财富模型'!$E$10,'财富模型'!$E$12)/12)-IF('Calc'!$E$15=1,0,IF(Calc!$Y$287&lt;='财富模型'!$E$11*12,'Calc'!$W$15,'Calc'!$Y$15)),0)))</x:f>
      </x:c>
      <x:c r="AG287" t="n">
        <x:v>266</x:v>
      </x:c>
      <x:c r="AH287" t="str">
        <x:f>IF(Calc!$AG$287&gt;'Calc'!$B$8,"",MAX(Calc!$AH$286*(1+'财富模型'!$E$6/12)+('Calc'!$B$5-'财富模型'!$E$5-(IF('Calc'!$E$16=1,'财富模型'!$E$9,'财富模型'!$M$8+IF(Calc!$AG$287&lt;='财富模型'!$E$11*12,'Calc'!$W$16,'Calc'!$Y$16)-(IF('Calc'!$E$16=1,0,MIN(Calc!$AI$286*(1+'财富模型'!$E$20/12)+'Calc'!$B$6,IF(Calc!$AG$287&lt;='财富模型'!$E$11*12,'Calc'!$W$16,'Calc'!$Y$16))))))),0))</x:f>
      </x:c>
      <x:c r="AI287" t="str">
        <x:f>IF(Calc!$AG$287&gt;'Calc'!$B$8,"",MAX(Calc!$AI$286*(1+'财富模型'!$E$20/12)+'Calc'!$B$6-(IF('Calc'!$E$16=1,0,MIN(Calc!$AI$286*(1+'财富模型'!$E$20/12)+'Calc'!$B$6,IF(Calc!$AG$287&lt;='财富模型'!$E$11*12,'Calc'!$W$16,'Calc'!$Y$16)))),0))</x:f>
      </x:c>
      <x:c r="AJ287" t="str">
        <x:f>IF(Calc!$AG$287&gt;'Calc'!$B$8,"",IF('Calc'!$E$16=1,'财富模型'!$E$9,'财富模型'!$M$8+IF(Calc!$AG$287&lt;='财富模型'!$E$11*12,'Calc'!$W$16,'Calc'!$Y$16)-(IF('Calc'!$E$16=1,0,MIN(Calc!$AI$286*(1+'财富模型'!$E$20/12)+'Calc'!$B$6,IF(Calc!$AG$287&lt;='财富模型'!$E$11*12,'Calc'!$W$16,'Calc'!$Y$16))))))</x:f>
      </x:c>
      <x:c r="AK287" t="str">
        <x:f>IF(Calc!$AG$287&gt;'Calc'!$B$8,"",IF('Calc'!$E$16=1,0,MIN(Calc!$AI$286*(1+'财富模型'!$E$20/12)+'Calc'!$B$6,IF(Calc!$AG$287&lt;='财富模型'!$E$11*12,'Calc'!$W$16,'Calc'!$Y$16))))</x:f>
      </x:c>
      <x:c r="AL287" t="str">
        <x:f>IF(Calc!$AG$287&gt;'Calc'!$B$8,"",'Calc'!$B$5-'财富模型'!$E$5-(IF('Calc'!$E$16=1,'财富模型'!$E$9,'财富模型'!$M$8+IF(Calc!$AG$287&lt;='财富模型'!$E$11*12,'Calc'!$W$16,'Calc'!$Y$16)-(IF('Calc'!$E$16=1,0,MIN(Calc!$AI$286*(1+'财富模型'!$E$20/12)+'Calc'!$B$6,IF(Calc!$AG$287&lt;='财富模型'!$E$11*12,'Calc'!$W$16,'Calc'!$Y$16)))))))</x:f>
      </x:c>
      <x:c r="AM287" t="str">
        <x:f>IF(Calc!$AG$287&gt;'Calc'!$B$8,"",IF('Calc'!$E$16=1,0,MAX(Calc!$AM$286*(1+IF(Calc!$AG$287&lt;='财富模型'!$E$11*12,'财富模型'!$E$10,'财富模型'!$E$12)/12)-IF('Calc'!$E$16=1,0,IF(Calc!$AG$287&lt;='财富模型'!$E$11*12,'Calc'!$W$16,'Calc'!$Y$16)),0)))</x:f>
      </x:c>
      <x:c r="AO287" t="n">
        <x:v>266</x:v>
      </x:c>
      <x:c r="AP287" t="str">
        <x:f>IF(Calc!$AO$287&gt;'Calc'!$B$8,"",MAX(Calc!$AP$286*(1+'财富模型'!$E$6/12)+('Calc'!$B$5-'财富模型'!$E$5-(IF('Calc'!$E$17=1,'财富模型'!$E$9,'财富模型'!$M$9+IF(Calc!$AO$287&lt;='财富模型'!$E$11*12,'Calc'!$W$17,'Calc'!$Y$17)-(IF('Calc'!$E$17=1,0,MIN(Calc!$AQ$286*(1+'财富模型'!$E$20/12)+'Calc'!$B$6,IF(Calc!$AO$287&lt;='财富模型'!$E$11*12,'Calc'!$W$17,'Calc'!$Y$17))))))),0))</x:f>
      </x:c>
      <x:c r="AQ287" t="str">
        <x:f>IF(Calc!$AO$287&gt;'Calc'!$B$8,"",MAX(Calc!$AQ$286*(1+'财富模型'!$E$20/12)+'Calc'!$B$6-(IF('Calc'!$E$17=1,0,MIN(Calc!$AQ$286*(1+'财富模型'!$E$20/12)+'Calc'!$B$6,IF(Calc!$AO$287&lt;='财富模型'!$E$11*12,'Calc'!$W$17,'Calc'!$Y$17)))),0))</x:f>
      </x:c>
      <x:c r="AR287" t="str">
        <x:f>IF(Calc!$AO$287&gt;'Calc'!$B$8,"",IF('Calc'!$E$17=1,'财富模型'!$E$9,'财富模型'!$M$9+IF(Calc!$AO$287&lt;='财富模型'!$E$11*12,'Calc'!$W$17,'Calc'!$Y$17)-(IF('Calc'!$E$17=1,0,MIN(Calc!$AQ$286*(1+'财富模型'!$E$20/12)+'Calc'!$B$6,IF(Calc!$AO$287&lt;='财富模型'!$E$11*12,'Calc'!$W$17,'Calc'!$Y$17))))))</x:f>
      </x:c>
      <x:c r="AS287" t="str">
        <x:f>IF(Calc!$AO$287&gt;'Calc'!$B$8,"",IF('Calc'!$E$17=1,0,MIN(Calc!$AQ$286*(1+'财富模型'!$E$20/12)+'Calc'!$B$6,IF(Calc!$AO$287&lt;='财富模型'!$E$11*12,'Calc'!$W$17,'Calc'!$Y$17))))</x:f>
      </x:c>
      <x:c r="AT287" t="str">
        <x:f>IF(Calc!$AO$287&gt;'Calc'!$B$8,"",'Calc'!$B$5-'财富模型'!$E$5-(IF('Calc'!$E$17=1,'财富模型'!$E$9,'财富模型'!$M$9+IF(Calc!$AO$287&lt;='财富模型'!$E$11*12,'Calc'!$W$17,'Calc'!$Y$17)-(IF('Calc'!$E$17=1,0,MIN(Calc!$AQ$286*(1+'财富模型'!$E$20/12)+'Calc'!$B$6,IF(Calc!$AO$287&lt;='财富模型'!$E$11*12,'Calc'!$W$17,'Calc'!$Y$17)))))))</x:f>
      </x:c>
      <x:c r="AU287" t="str">
        <x:f>IF(Calc!$AO$287&gt;'Calc'!$B$8,"",IF('Calc'!$E$17=1,0,MAX(Calc!$AU$286*(1+IF(Calc!$AO$287&lt;='财富模型'!$E$11*12,'财富模型'!$E$10,'财富模型'!$E$12)/12)-IF('Calc'!$E$17=1,0,IF(Calc!$AO$287&lt;='财富模型'!$E$11*12,'Calc'!$W$17,'Calc'!$Y$17)),0)))</x:f>
      </x:c>
    </x:row>
    <x:row r="288">
      <x:c r="A288" t="n">
        <x:v>267</x:v>
      </x:c>
      <x:c r="B288" t="str">
        <x:f>IF(Calc!$A$288&gt;'Calc'!$B$8,"",MAX(Calc!$B$287*(1+'财富模型'!$E$6/12)+('Calc'!$B$5-'财富模型'!$E$5-(IF('Calc'!$E$12=1,'财富模型'!$E$9,'财富模型'!$M$4+IF(Calc!$A$288&lt;='财富模型'!$E$11*12,'Calc'!$W$12,'Calc'!$Y$12)-(IF('Calc'!$E$12=1,0,MIN(Calc!$C$287*(1+'财富模型'!$E$20/12)+'Calc'!$B$6,IF(Calc!$A$288&lt;='财富模型'!$E$11*12,'Calc'!$W$12,'Calc'!$Y$12))))))),0))</x:f>
      </x:c>
      <x:c r="C288" t="str">
        <x:f>IF(Calc!$A$288&gt;'Calc'!$B$8,"",MAX(Calc!$C$287*(1+'财富模型'!$E$20/12)+'Calc'!$B$6-(IF('Calc'!$E$12=1,0,MIN(Calc!$C$287*(1+'财富模型'!$E$20/12)+'Calc'!$B$6,IF(Calc!$A$288&lt;='财富模型'!$E$11*12,'Calc'!$W$12,'Calc'!$Y$12)))),0))</x:f>
      </x:c>
      <x:c r="D288" t="str">
        <x:f>IF(Calc!$A$288&gt;'Calc'!$B$8,"",IF('Calc'!$E$12=1,'财富模型'!$E$9,'财富模型'!$M$4+IF(Calc!$A$288&lt;='财富模型'!$E$11*12,'Calc'!$W$12,'Calc'!$Y$12)-(IF('Calc'!$E$12=1,0,MIN(Calc!$C$287*(1+'财富模型'!$E$20/12)+'Calc'!$B$6,IF(Calc!$A$288&lt;='财富模型'!$E$11*12,'Calc'!$W$12,'Calc'!$Y$12))))))</x:f>
      </x:c>
      <x:c r="E288" t="str">
        <x:f>IF(Calc!$A$288&gt;'Calc'!$B$8,"",IF('Calc'!$E$12=1,0,MIN(Calc!$C$287*(1+'财富模型'!$E$20/12)+'Calc'!$B$6,IF(Calc!$A$288&lt;='财富模型'!$E$11*12,'Calc'!$W$12,'Calc'!$Y$12))))</x:f>
      </x:c>
      <x:c r="F288" t="str">
        <x:f>IF(Calc!$A$288&gt;'Calc'!$B$8,"",'Calc'!$B$5-'财富模型'!$E$5-(IF('Calc'!$E$12=1,'财富模型'!$E$9,'财富模型'!$M$4+IF(Calc!$A$288&lt;='财富模型'!$E$11*12,'Calc'!$W$12,'Calc'!$Y$12)-(IF('Calc'!$E$12=1,0,MIN(Calc!$C$287*(1+'财富模型'!$E$20/12)+'Calc'!$B$6,IF(Calc!$A$288&lt;='财富模型'!$E$11*12,'Calc'!$W$12,'Calc'!$Y$12)))))))</x:f>
      </x:c>
      <x:c r="G288" t="str">
        <x:f>IF(Calc!$A$288&gt;'Calc'!$B$8,"",IF('Calc'!$E$12=1,0,MAX(Calc!$G$287*(1+IF(Calc!$A$288&lt;='财富模型'!$E$11*12,'财富模型'!$E$10,'财富模型'!$E$12)/12)-IF('Calc'!$E$12=1,0,IF(Calc!$A$288&lt;='财富模型'!$E$11*12,'Calc'!$W$12,'Calc'!$Y$12)),0)))</x:f>
      </x:c>
      <x:c r="I288" t="n">
        <x:v>267</x:v>
      </x:c>
      <x:c r="J288" t="str">
        <x:f>IF(Calc!$I$288&gt;'Calc'!$B$8,"",MAX(Calc!$J$287*(1+'财富模型'!$E$6/12)+('Calc'!$B$5-'财富模型'!$E$5-(IF('Calc'!$E$13=1,'财富模型'!$E$9,'财富模型'!$M$5+IF(Calc!$I$288&lt;='财富模型'!$E$11*12,'Calc'!$W$13,'Calc'!$Y$13)-(IF('Calc'!$E$13=1,0,MIN(Calc!$K$287*(1+'财富模型'!$E$20/12)+'Calc'!$B$6,IF(Calc!$I$288&lt;='财富模型'!$E$11*12,'Calc'!$W$13,'Calc'!$Y$13))))))),0))</x:f>
      </x:c>
      <x:c r="K288" t="str">
        <x:f>IF(Calc!$I$288&gt;'Calc'!$B$8,"",MAX(Calc!$K$287*(1+'财富模型'!$E$20/12)+'Calc'!$B$6-(IF('Calc'!$E$13=1,0,MIN(Calc!$K$287*(1+'财富模型'!$E$20/12)+'Calc'!$B$6,IF(Calc!$I$288&lt;='财富模型'!$E$11*12,'Calc'!$W$13,'Calc'!$Y$13)))),0))</x:f>
      </x:c>
      <x:c r="L288" t="str">
        <x:f>IF(Calc!$I$288&gt;'Calc'!$B$8,"",IF('Calc'!$E$13=1,'财富模型'!$E$9,'财富模型'!$M$5+IF(Calc!$I$288&lt;='财富模型'!$E$11*12,'Calc'!$W$13,'Calc'!$Y$13)-(IF('Calc'!$E$13=1,0,MIN(Calc!$K$287*(1+'财富模型'!$E$20/12)+'Calc'!$B$6,IF(Calc!$I$288&lt;='财富模型'!$E$11*12,'Calc'!$W$13,'Calc'!$Y$13))))))</x:f>
      </x:c>
      <x:c r="M288" t="str">
        <x:f>IF(Calc!$I$288&gt;'Calc'!$B$8,"",IF('Calc'!$E$13=1,0,MIN(Calc!$K$287*(1+'财富模型'!$E$20/12)+'Calc'!$B$6,IF(Calc!$I$288&lt;='财富模型'!$E$11*12,'Calc'!$W$13,'Calc'!$Y$13))))</x:f>
      </x:c>
      <x:c r="N288" t="str">
        <x:f>IF(Calc!$I$288&gt;'Calc'!$B$8,"",'Calc'!$B$5-'财富模型'!$E$5-(IF('Calc'!$E$13=1,'财富模型'!$E$9,'财富模型'!$M$5+IF(Calc!$I$288&lt;='财富模型'!$E$11*12,'Calc'!$W$13,'Calc'!$Y$13)-(IF('Calc'!$E$13=1,0,MIN(Calc!$K$287*(1+'财富模型'!$E$20/12)+'Calc'!$B$6,IF(Calc!$I$288&lt;='财富模型'!$E$11*12,'Calc'!$W$13,'Calc'!$Y$13)))))))</x:f>
      </x:c>
      <x:c r="O288" t="str">
        <x:f>IF(Calc!$I$288&gt;'Calc'!$B$8,"",IF('Calc'!$E$13=1,0,MAX(Calc!$O$287*(1+IF(Calc!$I$288&lt;='财富模型'!$E$11*12,'财富模型'!$E$10,'财富模型'!$E$12)/12)-IF('Calc'!$E$13=1,0,IF(Calc!$I$288&lt;='财富模型'!$E$11*12,'Calc'!$W$13,'Calc'!$Y$13)),0)))</x:f>
      </x:c>
      <x:c r="Q288" t="n">
        <x:v>267</x:v>
      </x:c>
      <x:c r="R288" t="str">
        <x:f>IF(Calc!$Q$288&gt;'Calc'!$B$8,"",MAX(Calc!$R$287*(1+'财富模型'!$E$6/12)+('Calc'!$B$5-'财富模型'!$E$5-(IF('Calc'!$E$14=1,'财富模型'!$E$9,'财富模型'!$M$6+IF(Calc!$Q$288&lt;='财富模型'!$E$11*12,'Calc'!$W$14,'Calc'!$Y$14)-(IF('Calc'!$E$14=1,0,MIN(Calc!$S$287*(1+'财富模型'!$E$20/12)+'Calc'!$B$6,IF(Calc!$Q$288&lt;='财富模型'!$E$11*12,'Calc'!$W$14,'Calc'!$Y$14))))))),0))</x:f>
      </x:c>
      <x:c r="S288" t="str">
        <x:f>IF(Calc!$Q$288&gt;'Calc'!$B$8,"",MAX(Calc!$S$287*(1+'财富模型'!$E$20/12)+'Calc'!$B$6-(IF('Calc'!$E$14=1,0,MIN(Calc!$S$287*(1+'财富模型'!$E$20/12)+'Calc'!$B$6,IF(Calc!$Q$288&lt;='财富模型'!$E$11*12,'Calc'!$W$14,'Calc'!$Y$14)))),0))</x:f>
      </x:c>
      <x:c r="T288" t="str">
        <x:f>IF(Calc!$Q$288&gt;'Calc'!$B$8,"",IF('Calc'!$E$14=1,'财富模型'!$E$9,'财富模型'!$M$6+IF(Calc!$Q$288&lt;='财富模型'!$E$11*12,'Calc'!$W$14,'Calc'!$Y$14)-(IF('Calc'!$E$14=1,0,MIN(Calc!$S$287*(1+'财富模型'!$E$20/12)+'Calc'!$B$6,IF(Calc!$Q$288&lt;='财富模型'!$E$11*12,'Calc'!$W$14,'Calc'!$Y$14))))))</x:f>
      </x:c>
      <x:c r="U288" t="str">
        <x:f>IF(Calc!$Q$288&gt;'Calc'!$B$8,"",IF('Calc'!$E$14=1,0,MIN(Calc!$S$287*(1+'财富模型'!$E$20/12)+'Calc'!$B$6,IF(Calc!$Q$288&lt;='财富模型'!$E$11*12,'Calc'!$W$14,'Calc'!$Y$14))))</x:f>
      </x:c>
      <x:c r="V288" t="str">
        <x:f>IF(Calc!$Q$288&gt;'Calc'!$B$8,"",'Calc'!$B$5-'财富模型'!$E$5-(IF('Calc'!$E$14=1,'财富模型'!$E$9,'财富模型'!$M$6+IF(Calc!$Q$288&lt;='财富模型'!$E$11*12,'Calc'!$W$14,'Calc'!$Y$14)-(IF('Calc'!$E$14=1,0,MIN(Calc!$S$287*(1+'财富模型'!$E$20/12)+'Calc'!$B$6,IF(Calc!$Q$288&lt;='财富模型'!$E$11*12,'Calc'!$W$14,'Calc'!$Y$14)))))))</x:f>
      </x:c>
      <x:c r="W288" t="str">
        <x:f>IF(Calc!$Q$288&gt;'Calc'!$B$8,"",IF('Calc'!$E$14=1,0,MAX(Calc!$W$287*(1+IF(Calc!$Q$288&lt;='财富模型'!$E$11*12,'财富模型'!$E$10,'财富模型'!$E$12)/12)-IF('Calc'!$E$14=1,0,IF(Calc!$Q$288&lt;='财富模型'!$E$11*12,'Calc'!$W$14,'Calc'!$Y$14)),0)))</x:f>
      </x:c>
      <x:c r="Y288" t="n">
        <x:v>267</x:v>
      </x:c>
      <x:c r="Z288" t="str">
        <x:f>IF(Calc!$Y$288&gt;'Calc'!$B$8,"",MAX(Calc!$Z$287*(1+'财富模型'!$E$6/12)+('Calc'!$B$5-'财富模型'!$E$5-(IF('Calc'!$E$15=1,'财富模型'!$E$9,'财富模型'!$M$7+IF(Calc!$Y$288&lt;='财富模型'!$E$11*12,'Calc'!$W$15,'Calc'!$Y$15)-(IF('Calc'!$E$15=1,0,MIN(Calc!$AA$287*(1+'财富模型'!$E$20/12)+'Calc'!$B$6,IF(Calc!$Y$288&lt;='财富模型'!$E$11*12,'Calc'!$W$15,'Calc'!$Y$15))))))),0))</x:f>
      </x:c>
      <x:c r="AA288" t="str">
        <x:f>IF(Calc!$Y$288&gt;'Calc'!$B$8,"",MAX(Calc!$AA$287*(1+'财富模型'!$E$20/12)+'Calc'!$B$6-(IF('Calc'!$E$15=1,0,MIN(Calc!$AA$287*(1+'财富模型'!$E$20/12)+'Calc'!$B$6,IF(Calc!$Y$288&lt;='财富模型'!$E$11*12,'Calc'!$W$15,'Calc'!$Y$15)))),0))</x:f>
      </x:c>
      <x:c r="AB288" t="str">
        <x:f>IF(Calc!$Y$288&gt;'Calc'!$B$8,"",IF('Calc'!$E$15=1,'财富模型'!$E$9,'财富模型'!$M$7+IF(Calc!$Y$288&lt;='财富模型'!$E$11*12,'Calc'!$W$15,'Calc'!$Y$15)-(IF('Calc'!$E$15=1,0,MIN(Calc!$AA$287*(1+'财富模型'!$E$20/12)+'Calc'!$B$6,IF(Calc!$Y$288&lt;='财富模型'!$E$11*12,'Calc'!$W$15,'Calc'!$Y$15))))))</x:f>
      </x:c>
      <x:c r="AC288" t="str">
        <x:f>IF(Calc!$Y$288&gt;'Calc'!$B$8,"",IF('Calc'!$E$15=1,0,MIN(Calc!$AA$287*(1+'财富模型'!$E$20/12)+'Calc'!$B$6,IF(Calc!$Y$288&lt;='财富模型'!$E$11*12,'Calc'!$W$15,'Calc'!$Y$15))))</x:f>
      </x:c>
      <x:c r="AD288" t="str">
        <x:f>IF(Calc!$Y$288&gt;'Calc'!$B$8,"",'Calc'!$B$5-'财富模型'!$E$5-(IF('Calc'!$E$15=1,'财富模型'!$E$9,'财富模型'!$M$7+IF(Calc!$Y$288&lt;='财富模型'!$E$11*12,'Calc'!$W$15,'Calc'!$Y$15)-(IF('Calc'!$E$15=1,0,MIN(Calc!$AA$287*(1+'财富模型'!$E$20/12)+'Calc'!$B$6,IF(Calc!$Y$288&lt;='财富模型'!$E$11*12,'Calc'!$W$15,'Calc'!$Y$15)))))))</x:f>
      </x:c>
      <x:c r="AE288" t="str">
        <x:f>IF(Calc!$Y$288&gt;'Calc'!$B$8,"",IF('Calc'!$E$15=1,0,MAX(Calc!$AE$287*(1+IF(Calc!$Y$288&lt;='财富模型'!$E$11*12,'财富模型'!$E$10,'财富模型'!$E$12)/12)-IF('Calc'!$E$15=1,0,IF(Calc!$Y$288&lt;='财富模型'!$E$11*12,'Calc'!$W$15,'Calc'!$Y$15)),0)))</x:f>
      </x:c>
      <x:c r="AG288" t="n">
        <x:v>267</x:v>
      </x:c>
      <x:c r="AH288" t="str">
        <x:f>IF(Calc!$AG$288&gt;'Calc'!$B$8,"",MAX(Calc!$AH$287*(1+'财富模型'!$E$6/12)+('Calc'!$B$5-'财富模型'!$E$5-(IF('Calc'!$E$16=1,'财富模型'!$E$9,'财富模型'!$M$8+IF(Calc!$AG$288&lt;='财富模型'!$E$11*12,'Calc'!$W$16,'Calc'!$Y$16)-(IF('Calc'!$E$16=1,0,MIN(Calc!$AI$287*(1+'财富模型'!$E$20/12)+'Calc'!$B$6,IF(Calc!$AG$288&lt;='财富模型'!$E$11*12,'Calc'!$W$16,'Calc'!$Y$16))))))),0))</x:f>
      </x:c>
      <x:c r="AI288" t="str">
        <x:f>IF(Calc!$AG$288&gt;'Calc'!$B$8,"",MAX(Calc!$AI$287*(1+'财富模型'!$E$20/12)+'Calc'!$B$6-(IF('Calc'!$E$16=1,0,MIN(Calc!$AI$287*(1+'财富模型'!$E$20/12)+'Calc'!$B$6,IF(Calc!$AG$288&lt;='财富模型'!$E$11*12,'Calc'!$W$16,'Calc'!$Y$16)))),0))</x:f>
      </x:c>
      <x:c r="AJ288" t="str">
        <x:f>IF(Calc!$AG$288&gt;'Calc'!$B$8,"",IF('Calc'!$E$16=1,'财富模型'!$E$9,'财富模型'!$M$8+IF(Calc!$AG$288&lt;='财富模型'!$E$11*12,'Calc'!$W$16,'Calc'!$Y$16)-(IF('Calc'!$E$16=1,0,MIN(Calc!$AI$287*(1+'财富模型'!$E$20/12)+'Calc'!$B$6,IF(Calc!$AG$288&lt;='财富模型'!$E$11*12,'Calc'!$W$16,'Calc'!$Y$16))))))</x:f>
      </x:c>
      <x:c r="AK288" t="str">
        <x:f>IF(Calc!$AG$288&gt;'Calc'!$B$8,"",IF('Calc'!$E$16=1,0,MIN(Calc!$AI$287*(1+'财富模型'!$E$20/12)+'Calc'!$B$6,IF(Calc!$AG$288&lt;='财富模型'!$E$11*12,'Calc'!$W$16,'Calc'!$Y$16))))</x:f>
      </x:c>
      <x:c r="AL288" t="str">
        <x:f>IF(Calc!$AG$288&gt;'Calc'!$B$8,"",'Calc'!$B$5-'财富模型'!$E$5-(IF('Calc'!$E$16=1,'财富模型'!$E$9,'财富模型'!$M$8+IF(Calc!$AG$288&lt;='财富模型'!$E$11*12,'Calc'!$W$16,'Calc'!$Y$16)-(IF('Calc'!$E$16=1,0,MIN(Calc!$AI$287*(1+'财富模型'!$E$20/12)+'Calc'!$B$6,IF(Calc!$AG$288&lt;='财富模型'!$E$11*12,'Calc'!$W$16,'Calc'!$Y$16)))))))</x:f>
      </x:c>
      <x:c r="AM288" t="str">
        <x:f>IF(Calc!$AG$288&gt;'Calc'!$B$8,"",IF('Calc'!$E$16=1,0,MAX(Calc!$AM$287*(1+IF(Calc!$AG$288&lt;='财富模型'!$E$11*12,'财富模型'!$E$10,'财富模型'!$E$12)/12)-IF('Calc'!$E$16=1,0,IF(Calc!$AG$288&lt;='财富模型'!$E$11*12,'Calc'!$W$16,'Calc'!$Y$16)),0)))</x:f>
      </x:c>
      <x:c r="AO288" t="n">
        <x:v>267</x:v>
      </x:c>
      <x:c r="AP288" t="str">
        <x:f>IF(Calc!$AO$288&gt;'Calc'!$B$8,"",MAX(Calc!$AP$287*(1+'财富模型'!$E$6/12)+('Calc'!$B$5-'财富模型'!$E$5-(IF('Calc'!$E$17=1,'财富模型'!$E$9,'财富模型'!$M$9+IF(Calc!$AO$288&lt;='财富模型'!$E$11*12,'Calc'!$W$17,'Calc'!$Y$17)-(IF('Calc'!$E$17=1,0,MIN(Calc!$AQ$287*(1+'财富模型'!$E$20/12)+'Calc'!$B$6,IF(Calc!$AO$288&lt;='财富模型'!$E$11*12,'Calc'!$W$17,'Calc'!$Y$17))))))),0))</x:f>
      </x:c>
      <x:c r="AQ288" t="str">
        <x:f>IF(Calc!$AO$288&gt;'Calc'!$B$8,"",MAX(Calc!$AQ$287*(1+'财富模型'!$E$20/12)+'Calc'!$B$6-(IF('Calc'!$E$17=1,0,MIN(Calc!$AQ$287*(1+'财富模型'!$E$20/12)+'Calc'!$B$6,IF(Calc!$AO$288&lt;='财富模型'!$E$11*12,'Calc'!$W$17,'Calc'!$Y$17)))),0))</x:f>
      </x:c>
      <x:c r="AR288" t="str">
        <x:f>IF(Calc!$AO$288&gt;'Calc'!$B$8,"",IF('Calc'!$E$17=1,'财富模型'!$E$9,'财富模型'!$M$9+IF(Calc!$AO$288&lt;='财富模型'!$E$11*12,'Calc'!$W$17,'Calc'!$Y$17)-(IF('Calc'!$E$17=1,0,MIN(Calc!$AQ$287*(1+'财富模型'!$E$20/12)+'Calc'!$B$6,IF(Calc!$AO$288&lt;='财富模型'!$E$11*12,'Calc'!$W$17,'Calc'!$Y$17))))))</x:f>
      </x:c>
      <x:c r="AS288" t="str">
        <x:f>IF(Calc!$AO$288&gt;'Calc'!$B$8,"",IF('Calc'!$E$17=1,0,MIN(Calc!$AQ$287*(1+'财富模型'!$E$20/12)+'Calc'!$B$6,IF(Calc!$AO$288&lt;='财富模型'!$E$11*12,'Calc'!$W$17,'Calc'!$Y$17))))</x:f>
      </x:c>
      <x:c r="AT288" t="str">
        <x:f>IF(Calc!$AO$288&gt;'Calc'!$B$8,"",'Calc'!$B$5-'财富模型'!$E$5-(IF('Calc'!$E$17=1,'财富模型'!$E$9,'财富模型'!$M$9+IF(Calc!$AO$288&lt;='财富模型'!$E$11*12,'Calc'!$W$17,'Calc'!$Y$17)-(IF('Calc'!$E$17=1,0,MIN(Calc!$AQ$287*(1+'财富模型'!$E$20/12)+'Calc'!$B$6,IF(Calc!$AO$288&lt;='财富模型'!$E$11*12,'Calc'!$W$17,'Calc'!$Y$17)))))))</x:f>
      </x:c>
      <x:c r="AU288" t="str">
        <x:f>IF(Calc!$AO$288&gt;'Calc'!$B$8,"",IF('Calc'!$E$17=1,0,MAX(Calc!$AU$287*(1+IF(Calc!$AO$288&lt;='财富模型'!$E$11*12,'财富模型'!$E$10,'财富模型'!$E$12)/12)-IF('Calc'!$E$17=1,0,IF(Calc!$AO$288&lt;='财富模型'!$E$11*12,'Calc'!$W$17,'Calc'!$Y$17)),0)))</x:f>
      </x:c>
    </x:row>
    <x:row r="289">
      <x:c r="A289" t="n">
        <x:v>268</x:v>
      </x:c>
      <x:c r="B289" t="str">
        <x:f>IF(Calc!$A$289&gt;'Calc'!$B$8,"",MAX(Calc!$B$288*(1+'财富模型'!$E$6/12)+('Calc'!$B$5-'财富模型'!$E$5-(IF('Calc'!$E$12=1,'财富模型'!$E$9,'财富模型'!$M$4+IF(Calc!$A$289&lt;='财富模型'!$E$11*12,'Calc'!$W$12,'Calc'!$Y$12)-(IF('Calc'!$E$12=1,0,MIN(Calc!$C$288*(1+'财富模型'!$E$20/12)+'Calc'!$B$6,IF(Calc!$A$289&lt;='财富模型'!$E$11*12,'Calc'!$W$12,'Calc'!$Y$12))))))),0))</x:f>
      </x:c>
      <x:c r="C289" t="str">
        <x:f>IF(Calc!$A$289&gt;'Calc'!$B$8,"",MAX(Calc!$C$288*(1+'财富模型'!$E$20/12)+'Calc'!$B$6-(IF('Calc'!$E$12=1,0,MIN(Calc!$C$288*(1+'财富模型'!$E$20/12)+'Calc'!$B$6,IF(Calc!$A$289&lt;='财富模型'!$E$11*12,'Calc'!$W$12,'Calc'!$Y$12)))),0))</x:f>
      </x:c>
      <x:c r="D289" t="str">
        <x:f>IF(Calc!$A$289&gt;'Calc'!$B$8,"",IF('Calc'!$E$12=1,'财富模型'!$E$9,'财富模型'!$M$4+IF(Calc!$A$289&lt;='财富模型'!$E$11*12,'Calc'!$W$12,'Calc'!$Y$12)-(IF('Calc'!$E$12=1,0,MIN(Calc!$C$288*(1+'财富模型'!$E$20/12)+'Calc'!$B$6,IF(Calc!$A$289&lt;='财富模型'!$E$11*12,'Calc'!$W$12,'Calc'!$Y$12))))))</x:f>
      </x:c>
      <x:c r="E289" t="str">
        <x:f>IF(Calc!$A$289&gt;'Calc'!$B$8,"",IF('Calc'!$E$12=1,0,MIN(Calc!$C$288*(1+'财富模型'!$E$20/12)+'Calc'!$B$6,IF(Calc!$A$289&lt;='财富模型'!$E$11*12,'Calc'!$W$12,'Calc'!$Y$12))))</x:f>
      </x:c>
      <x:c r="F289" t="str">
        <x:f>IF(Calc!$A$289&gt;'Calc'!$B$8,"",'Calc'!$B$5-'财富模型'!$E$5-(IF('Calc'!$E$12=1,'财富模型'!$E$9,'财富模型'!$M$4+IF(Calc!$A$289&lt;='财富模型'!$E$11*12,'Calc'!$W$12,'Calc'!$Y$12)-(IF('Calc'!$E$12=1,0,MIN(Calc!$C$288*(1+'财富模型'!$E$20/12)+'Calc'!$B$6,IF(Calc!$A$289&lt;='财富模型'!$E$11*12,'Calc'!$W$12,'Calc'!$Y$12)))))))</x:f>
      </x:c>
      <x:c r="G289" t="str">
        <x:f>IF(Calc!$A$289&gt;'Calc'!$B$8,"",IF('Calc'!$E$12=1,0,MAX(Calc!$G$288*(1+IF(Calc!$A$289&lt;='财富模型'!$E$11*12,'财富模型'!$E$10,'财富模型'!$E$12)/12)-IF('Calc'!$E$12=1,0,IF(Calc!$A$289&lt;='财富模型'!$E$11*12,'Calc'!$W$12,'Calc'!$Y$12)),0)))</x:f>
      </x:c>
      <x:c r="I289" t="n">
        <x:v>268</x:v>
      </x:c>
      <x:c r="J289" t="str">
        <x:f>IF(Calc!$I$289&gt;'Calc'!$B$8,"",MAX(Calc!$J$288*(1+'财富模型'!$E$6/12)+('Calc'!$B$5-'财富模型'!$E$5-(IF('Calc'!$E$13=1,'财富模型'!$E$9,'财富模型'!$M$5+IF(Calc!$I$289&lt;='财富模型'!$E$11*12,'Calc'!$W$13,'Calc'!$Y$13)-(IF('Calc'!$E$13=1,0,MIN(Calc!$K$288*(1+'财富模型'!$E$20/12)+'Calc'!$B$6,IF(Calc!$I$289&lt;='财富模型'!$E$11*12,'Calc'!$W$13,'Calc'!$Y$13))))))),0))</x:f>
      </x:c>
      <x:c r="K289" t="str">
        <x:f>IF(Calc!$I$289&gt;'Calc'!$B$8,"",MAX(Calc!$K$288*(1+'财富模型'!$E$20/12)+'Calc'!$B$6-(IF('Calc'!$E$13=1,0,MIN(Calc!$K$288*(1+'财富模型'!$E$20/12)+'Calc'!$B$6,IF(Calc!$I$289&lt;='财富模型'!$E$11*12,'Calc'!$W$13,'Calc'!$Y$13)))),0))</x:f>
      </x:c>
      <x:c r="L289" t="str">
        <x:f>IF(Calc!$I$289&gt;'Calc'!$B$8,"",IF('Calc'!$E$13=1,'财富模型'!$E$9,'财富模型'!$M$5+IF(Calc!$I$289&lt;='财富模型'!$E$11*12,'Calc'!$W$13,'Calc'!$Y$13)-(IF('Calc'!$E$13=1,0,MIN(Calc!$K$288*(1+'财富模型'!$E$20/12)+'Calc'!$B$6,IF(Calc!$I$289&lt;='财富模型'!$E$11*12,'Calc'!$W$13,'Calc'!$Y$13))))))</x:f>
      </x:c>
      <x:c r="M289" t="str">
        <x:f>IF(Calc!$I$289&gt;'Calc'!$B$8,"",IF('Calc'!$E$13=1,0,MIN(Calc!$K$288*(1+'财富模型'!$E$20/12)+'Calc'!$B$6,IF(Calc!$I$289&lt;='财富模型'!$E$11*12,'Calc'!$W$13,'Calc'!$Y$13))))</x:f>
      </x:c>
      <x:c r="N289" t="str">
        <x:f>IF(Calc!$I$289&gt;'Calc'!$B$8,"",'Calc'!$B$5-'财富模型'!$E$5-(IF('Calc'!$E$13=1,'财富模型'!$E$9,'财富模型'!$M$5+IF(Calc!$I$289&lt;='财富模型'!$E$11*12,'Calc'!$W$13,'Calc'!$Y$13)-(IF('Calc'!$E$13=1,0,MIN(Calc!$K$288*(1+'财富模型'!$E$20/12)+'Calc'!$B$6,IF(Calc!$I$289&lt;='财富模型'!$E$11*12,'Calc'!$W$13,'Calc'!$Y$13)))))))</x:f>
      </x:c>
      <x:c r="O289" t="str">
        <x:f>IF(Calc!$I$289&gt;'Calc'!$B$8,"",IF('Calc'!$E$13=1,0,MAX(Calc!$O$288*(1+IF(Calc!$I$289&lt;='财富模型'!$E$11*12,'财富模型'!$E$10,'财富模型'!$E$12)/12)-IF('Calc'!$E$13=1,0,IF(Calc!$I$289&lt;='财富模型'!$E$11*12,'Calc'!$W$13,'Calc'!$Y$13)),0)))</x:f>
      </x:c>
      <x:c r="Q289" t="n">
        <x:v>268</x:v>
      </x:c>
      <x:c r="R289" t="str">
        <x:f>IF(Calc!$Q$289&gt;'Calc'!$B$8,"",MAX(Calc!$R$288*(1+'财富模型'!$E$6/12)+('Calc'!$B$5-'财富模型'!$E$5-(IF('Calc'!$E$14=1,'财富模型'!$E$9,'财富模型'!$M$6+IF(Calc!$Q$289&lt;='财富模型'!$E$11*12,'Calc'!$W$14,'Calc'!$Y$14)-(IF('Calc'!$E$14=1,0,MIN(Calc!$S$288*(1+'财富模型'!$E$20/12)+'Calc'!$B$6,IF(Calc!$Q$289&lt;='财富模型'!$E$11*12,'Calc'!$W$14,'Calc'!$Y$14))))))),0))</x:f>
      </x:c>
      <x:c r="S289" t="str">
        <x:f>IF(Calc!$Q$289&gt;'Calc'!$B$8,"",MAX(Calc!$S$288*(1+'财富模型'!$E$20/12)+'Calc'!$B$6-(IF('Calc'!$E$14=1,0,MIN(Calc!$S$288*(1+'财富模型'!$E$20/12)+'Calc'!$B$6,IF(Calc!$Q$289&lt;='财富模型'!$E$11*12,'Calc'!$W$14,'Calc'!$Y$14)))),0))</x:f>
      </x:c>
      <x:c r="T289" t="str">
        <x:f>IF(Calc!$Q$289&gt;'Calc'!$B$8,"",IF('Calc'!$E$14=1,'财富模型'!$E$9,'财富模型'!$M$6+IF(Calc!$Q$289&lt;='财富模型'!$E$11*12,'Calc'!$W$14,'Calc'!$Y$14)-(IF('Calc'!$E$14=1,0,MIN(Calc!$S$288*(1+'财富模型'!$E$20/12)+'Calc'!$B$6,IF(Calc!$Q$289&lt;='财富模型'!$E$11*12,'Calc'!$W$14,'Calc'!$Y$14))))))</x:f>
      </x:c>
      <x:c r="U289" t="str">
        <x:f>IF(Calc!$Q$289&gt;'Calc'!$B$8,"",IF('Calc'!$E$14=1,0,MIN(Calc!$S$288*(1+'财富模型'!$E$20/12)+'Calc'!$B$6,IF(Calc!$Q$289&lt;='财富模型'!$E$11*12,'Calc'!$W$14,'Calc'!$Y$14))))</x:f>
      </x:c>
      <x:c r="V289" t="str">
        <x:f>IF(Calc!$Q$289&gt;'Calc'!$B$8,"",'Calc'!$B$5-'财富模型'!$E$5-(IF('Calc'!$E$14=1,'财富模型'!$E$9,'财富模型'!$M$6+IF(Calc!$Q$289&lt;='财富模型'!$E$11*12,'Calc'!$W$14,'Calc'!$Y$14)-(IF('Calc'!$E$14=1,0,MIN(Calc!$S$288*(1+'财富模型'!$E$20/12)+'Calc'!$B$6,IF(Calc!$Q$289&lt;='财富模型'!$E$11*12,'Calc'!$W$14,'Calc'!$Y$14)))))))</x:f>
      </x:c>
      <x:c r="W289" t="str">
        <x:f>IF(Calc!$Q$289&gt;'Calc'!$B$8,"",IF('Calc'!$E$14=1,0,MAX(Calc!$W$288*(1+IF(Calc!$Q$289&lt;='财富模型'!$E$11*12,'财富模型'!$E$10,'财富模型'!$E$12)/12)-IF('Calc'!$E$14=1,0,IF(Calc!$Q$289&lt;='财富模型'!$E$11*12,'Calc'!$W$14,'Calc'!$Y$14)),0)))</x:f>
      </x:c>
      <x:c r="Y289" t="n">
        <x:v>268</x:v>
      </x:c>
      <x:c r="Z289" t="str">
        <x:f>IF(Calc!$Y$289&gt;'Calc'!$B$8,"",MAX(Calc!$Z$288*(1+'财富模型'!$E$6/12)+('Calc'!$B$5-'财富模型'!$E$5-(IF('Calc'!$E$15=1,'财富模型'!$E$9,'财富模型'!$M$7+IF(Calc!$Y$289&lt;='财富模型'!$E$11*12,'Calc'!$W$15,'Calc'!$Y$15)-(IF('Calc'!$E$15=1,0,MIN(Calc!$AA$288*(1+'财富模型'!$E$20/12)+'Calc'!$B$6,IF(Calc!$Y$289&lt;='财富模型'!$E$11*12,'Calc'!$W$15,'Calc'!$Y$15))))))),0))</x:f>
      </x:c>
      <x:c r="AA289" t="str">
        <x:f>IF(Calc!$Y$289&gt;'Calc'!$B$8,"",MAX(Calc!$AA$288*(1+'财富模型'!$E$20/12)+'Calc'!$B$6-(IF('Calc'!$E$15=1,0,MIN(Calc!$AA$288*(1+'财富模型'!$E$20/12)+'Calc'!$B$6,IF(Calc!$Y$289&lt;='财富模型'!$E$11*12,'Calc'!$W$15,'Calc'!$Y$15)))),0))</x:f>
      </x:c>
      <x:c r="AB289" t="str">
        <x:f>IF(Calc!$Y$289&gt;'Calc'!$B$8,"",IF('Calc'!$E$15=1,'财富模型'!$E$9,'财富模型'!$M$7+IF(Calc!$Y$289&lt;='财富模型'!$E$11*12,'Calc'!$W$15,'Calc'!$Y$15)-(IF('Calc'!$E$15=1,0,MIN(Calc!$AA$288*(1+'财富模型'!$E$20/12)+'Calc'!$B$6,IF(Calc!$Y$289&lt;='财富模型'!$E$11*12,'Calc'!$W$15,'Calc'!$Y$15))))))</x:f>
      </x:c>
      <x:c r="AC289" t="str">
        <x:f>IF(Calc!$Y$289&gt;'Calc'!$B$8,"",IF('Calc'!$E$15=1,0,MIN(Calc!$AA$288*(1+'财富模型'!$E$20/12)+'Calc'!$B$6,IF(Calc!$Y$289&lt;='财富模型'!$E$11*12,'Calc'!$W$15,'Calc'!$Y$15))))</x:f>
      </x:c>
      <x:c r="AD289" t="str">
        <x:f>IF(Calc!$Y$289&gt;'Calc'!$B$8,"",'Calc'!$B$5-'财富模型'!$E$5-(IF('Calc'!$E$15=1,'财富模型'!$E$9,'财富模型'!$M$7+IF(Calc!$Y$289&lt;='财富模型'!$E$11*12,'Calc'!$W$15,'Calc'!$Y$15)-(IF('Calc'!$E$15=1,0,MIN(Calc!$AA$288*(1+'财富模型'!$E$20/12)+'Calc'!$B$6,IF(Calc!$Y$289&lt;='财富模型'!$E$11*12,'Calc'!$W$15,'Calc'!$Y$15)))))))</x:f>
      </x:c>
      <x:c r="AE289" t="str">
        <x:f>IF(Calc!$Y$289&gt;'Calc'!$B$8,"",IF('Calc'!$E$15=1,0,MAX(Calc!$AE$288*(1+IF(Calc!$Y$289&lt;='财富模型'!$E$11*12,'财富模型'!$E$10,'财富模型'!$E$12)/12)-IF('Calc'!$E$15=1,0,IF(Calc!$Y$289&lt;='财富模型'!$E$11*12,'Calc'!$W$15,'Calc'!$Y$15)),0)))</x:f>
      </x:c>
      <x:c r="AG289" t="n">
        <x:v>268</x:v>
      </x:c>
      <x:c r="AH289" t="str">
        <x:f>IF(Calc!$AG$289&gt;'Calc'!$B$8,"",MAX(Calc!$AH$288*(1+'财富模型'!$E$6/12)+('Calc'!$B$5-'财富模型'!$E$5-(IF('Calc'!$E$16=1,'财富模型'!$E$9,'财富模型'!$M$8+IF(Calc!$AG$289&lt;='财富模型'!$E$11*12,'Calc'!$W$16,'Calc'!$Y$16)-(IF('Calc'!$E$16=1,0,MIN(Calc!$AI$288*(1+'财富模型'!$E$20/12)+'Calc'!$B$6,IF(Calc!$AG$289&lt;='财富模型'!$E$11*12,'Calc'!$W$16,'Calc'!$Y$16))))))),0))</x:f>
      </x:c>
      <x:c r="AI289" t="str">
        <x:f>IF(Calc!$AG$289&gt;'Calc'!$B$8,"",MAX(Calc!$AI$288*(1+'财富模型'!$E$20/12)+'Calc'!$B$6-(IF('Calc'!$E$16=1,0,MIN(Calc!$AI$288*(1+'财富模型'!$E$20/12)+'Calc'!$B$6,IF(Calc!$AG$289&lt;='财富模型'!$E$11*12,'Calc'!$W$16,'Calc'!$Y$16)))),0))</x:f>
      </x:c>
      <x:c r="AJ289" t="str">
        <x:f>IF(Calc!$AG$289&gt;'Calc'!$B$8,"",IF('Calc'!$E$16=1,'财富模型'!$E$9,'财富模型'!$M$8+IF(Calc!$AG$289&lt;='财富模型'!$E$11*12,'Calc'!$W$16,'Calc'!$Y$16)-(IF('Calc'!$E$16=1,0,MIN(Calc!$AI$288*(1+'财富模型'!$E$20/12)+'Calc'!$B$6,IF(Calc!$AG$289&lt;='财富模型'!$E$11*12,'Calc'!$W$16,'Calc'!$Y$16))))))</x:f>
      </x:c>
      <x:c r="AK289" t="str">
        <x:f>IF(Calc!$AG$289&gt;'Calc'!$B$8,"",IF('Calc'!$E$16=1,0,MIN(Calc!$AI$288*(1+'财富模型'!$E$20/12)+'Calc'!$B$6,IF(Calc!$AG$289&lt;='财富模型'!$E$11*12,'Calc'!$W$16,'Calc'!$Y$16))))</x:f>
      </x:c>
      <x:c r="AL289" t="str">
        <x:f>IF(Calc!$AG$289&gt;'Calc'!$B$8,"",'Calc'!$B$5-'财富模型'!$E$5-(IF('Calc'!$E$16=1,'财富模型'!$E$9,'财富模型'!$M$8+IF(Calc!$AG$289&lt;='财富模型'!$E$11*12,'Calc'!$W$16,'Calc'!$Y$16)-(IF('Calc'!$E$16=1,0,MIN(Calc!$AI$288*(1+'财富模型'!$E$20/12)+'Calc'!$B$6,IF(Calc!$AG$289&lt;='财富模型'!$E$11*12,'Calc'!$W$16,'Calc'!$Y$16)))))))</x:f>
      </x:c>
      <x:c r="AM289" t="str">
        <x:f>IF(Calc!$AG$289&gt;'Calc'!$B$8,"",IF('Calc'!$E$16=1,0,MAX(Calc!$AM$288*(1+IF(Calc!$AG$289&lt;='财富模型'!$E$11*12,'财富模型'!$E$10,'财富模型'!$E$12)/12)-IF('Calc'!$E$16=1,0,IF(Calc!$AG$289&lt;='财富模型'!$E$11*12,'Calc'!$W$16,'Calc'!$Y$16)),0)))</x:f>
      </x:c>
      <x:c r="AO289" t="n">
        <x:v>268</x:v>
      </x:c>
      <x:c r="AP289" t="str">
        <x:f>IF(Calc!$AO$289&gt;'Calc'!$B$8,"",MAX(Calc!$AP$288*(1+'财富模型'!$E$6/12)+('Calc'!$B$5-'财富模型'!$E$5-(IF('Calc'!$E$17=1,'财富模型'!$E$9,'财富模型'!$M$9+IF(Calc!$AO$289&lt;='财富模型'!$E$11*12,'Calc'!$W$17,'Calc'!$Y$17)-(IF('Calc'!$E$17=1,0,MIN(Calc!$AQ$288*(1+'财富模型'!$E$20/12)+'Calc'!$B$6,IF(Calc!$AO$289&lt;='财富模型'!$E$11*12,'Calc'!$W$17,'Calc'!$Y$17))))))),0))</x:f>
      </x:c>
      <x:c r="AQ289" t="str">
        <x:f>IF(Calc!$AO$289&gt;'Calc'!$B$8,"",MAX(Calc!$AQ$288*(1+'财富模型'!$E$20/12)+'Calc'!$B$6-(IF('Calc'!$E$17=1,0,MIN(Calc!$AQ$288*(1+'财富模型'!$E$20/12)+'Calc'!$B$6,IF(Calc!$AO$289&lt;='财富模型'!$E$11*12,'Calc'!$W$17,'Calc'!$Y$17)))),0))</x:f>
      </x:c>
      <x:c r="AR289" t="str">
        <x:f>IF(Calc!$AO$289&gt;'Calc'!$B$8,"",IF('Calc'!$E$17=1,'财富模型'!$E$9,'财富模型'!$M$9+IF(Calc!$AO$289&lt;='财富模型'!$E$11*12,'Calc'!$W$17,'Calc'!$Y$17)-(IF('Calc'!$E$17=1,0,MIN(Calc!$AQ$288*(1+'财富模型'!$E$20/12)+'Calc'!$B$6,IF(Calc!$AO$289&lt;='财富模型'!$E$11*12,'Calc'!$W$17,'Calc'!$Y$17))))))</x:f>
      </x:c>
      <x:c r="AS289" t="str">
        <x:f>IF(Calc!$AO$289&gt;'Calc'!$B$8,"",IF('Calc'!$E$17=1,0,MIN(Calc!$AQ$288*(1+'财富模型'!$E$20/12)+'Calc'!$B$6,IF(Calc!$AO$289&lt;='财富模型'!$E$11*12,'Calc'!$W$17,'Calc'!$Y$17))))</x:f>
      </x:c>
      <x:c r="AT289" t="str">
        <x:f>IF(Calc!$AO$289&gt;'Calc'!$B$8,"",'Calc'!$B$5-'财富模型'!$E$5-(IF('Calc'!$E$17=1,'财富模型'!$E$9,'财富模型'!$M$9+IF(Calc!$AO$289&lt;='财富模型'!$E$11*12,'Calc'!$W$17,'Calc'!$Y$17)-(IF('Calc'!$E$17=1,0,MIN(Calc!$AQ$288*(1+'财富模型'!$E$20/12)+'Calc'!$B$6,IF(Calc!$AO$289&lt;='财富模型'!$E$11*12,'Calc'!$W$17,'Calc'!$Y$17)))))))</x:f>
      </x:c>
      <x:c r="AU289" t="str">
        <x:f>IF(Calc!$AO$289&gt;'Calc'!$B$8,"",IF('Calc'!$E$17=1,0,MAX(Calc!$AU$288*(1+IF(Calc!$AO$289&lt;='财富模型'!$E$11*12,'财富模型'!$E$10,'财富模型'!$E$12)/12)-IF('Calc'!$E$17=1,0,IF(Calc!$AO$289&lt;='财富模型'!$E$11*12,'Calc'!$W$17,'Calc'!$Y$17)),0)))</x:f>
      </x:c>
    </x:row>
    <x:row r="290">
      <x:c r="A290" t="n">
        <x:v>269</x:v>
      </x:c>
      <x:c r="B290" t="str">
        <x:f>IF(Calc!$A$290&gt;'Calc'!$B$8,"",MAX(Calc!$B$289*(1+'财富模型'!$E$6/12)+('Calc'!$B$5-'财富模型'!$E$5-(IF('Calc'!$E$12=1,'财富模型'!$E$9,'财富模型'!$M$4+IF(Calc!$A$290&lt;='财富模型'!$E$11*12,'Calc'!$W$12,'Calc'!$Y$12)-(IF('Calc'!$E$12=1,0,MIN(Calc!$C$289*(1+'财富模型'!$E$20/12)+'Calc'!$B$6,IF(Calc!$A$290&lt;='财富模型'!$E$11*12,'Calc'!$W$12,'Calc'!$Y$12))))))),0))</x:f>
      </x:c>
      <x:c r="C290" t="str">
        <x:f>IF(Calc!$A$290&gt;'Calc'!$B$8,"",MAX(Calc!$C$289*(1+'财富模型'!$E$20/12)+'Calc'!$B$6-(IF('Calc'!$E$12=1,0,MIN(Calc!$C$289*(1+'财富模型'!$E$20/12)+'Calc'!$B$6,IF(Calc!$A$290&lt;='财富模型'!$E$11*12,'Calc'!$W$12,'Calc'!$Y$12)))),0))</x:f>
      </x:c>
      <x:c r="D290" t="str">
        <x:f>IF(Calc!$A$290&gt;'Calc'!$B$8,"",IF('Calc'!$E$12=1,'财富模型'!$E$9,'财富模型'!$M$4+IF(Calc!$A$290&lt;='财富模型'!$E$11*12,'Calc'!$W$12,'Calc'!$Y$12)-(IF('Calc'!$E$12=1,0,MIN(Calc!$C$289*(1+'财富模型'!$E$20/12)+'Calc'!$B$6,IF(Calc!$A$290&lt;='财富模型'!$E$11*12,'Calc'!$W$12,'Calc'!$Y$12))))))</x:f>
      </x:c>
      <x:c r="E290" t="str">
        <x:f>IF(Calc!$A$290&gt;'Calc'!$B$8,"",IF('Calc'!$E$12=1,0,MIN(Calc!$C$289*(1+'财富模型'!$E$20/12)+'Calc'!$B$6,IF(Calc!$A$290&lt;='财富模型'!$E$11*12,'Calc'!$W$12,'Calc'!$Y$12))))</x:f>
      </x:c>
      <x:c r="F290" t="str">
        <x:f>IF(Calc!$A$290&gt;'Calc'!$B$8,"",'Calc'!$B$5-'财富模型'!$E$5-(IF('Calc'!$E$12=1,'财富模型'!$E$9,'财富模型'!$M$4+IF(Calc!$A$290&lt;='财富模型'!$E$11*12,'Calc'!$W$12,'Calc'!$Y$12)-(IF('Calc'!$E$12=1,0,MIN(Calc!$C$289*(1+'财富模型'!$E$20/12)+'Calc'!$B$6,IF(Calc!$A$290&lt;='财富模型'!$E$11*12,'Calc'!$W$12,'Calc'!$Y$12)))))))</x:f>
      </x:c>
      <x:c r="G290" t="str">
        <x:f>IF(Calc!$A$290&gt;'Calc'!$B$8,"",IF('Calc'!$E$12=1,0,MAX(Calc!$G$289*(1+IF(Calc!$A$290&lt;='财富模型'!$E$11*12,'财富模型'!$E$10,'财富模型'!$E$12)/12)-IF('Calc'!$E$12=1,0,IF(Calc!$A$290&lt;='财富模型'!$E$11*12,'Calc'!$W$12,'Calc'!$Y$12)),0)))</x:f>
      </x:c>
      <x:c r="I290" t="n">
        <x:v>269</x:v>
      </x:c>
      <x:c r="J290" t="str">
        <x:f>IF(Calc!$I$290&gt;'Calc'!$B$8,"",MAX(Calc!$J$289*(1+'财富模型'!$E$6/12)+('Calc'!$B$5-'财富模型'!$E$5-(IF('Calc'!$E$13=1,'财富模型'!$E$9,'财富模型'!$M$5+IF(Calc!$I$290&lt;='财富模型'!$E$11*12,'Calc'!$W$13,'Calc'!$Y$13)-(IF('Calc'!$E$13=1,0,MIN(Calc!$K$289*(1+'财富模型'!$E$20/12)+'Calc'!$B$6,IF(Calc!$I$290&lt;='财富模型'!$E$11*12,'Calc'!$W$13,'Calc'!$Y$13))))))),0))</x:f>
      </x:c>
      <x:c r="K290" t="str">
        <x:f>IF(Calc!$I$290&gt;'Calc'!$B$8,"",MAX(Calc!$K$289*(1+'财富模型'!$E$20/12)+'Calc'!$B$6-(IF('Calc'!$E$13=1,0,MIN(Calc!$K$289*(1+'财富模型'!$E$20/12)+'Calc'!$B$6,IF(Calc!$I$290&lt;='财富模型'!$E$11*12,'Calc'!$W$13,'Calc'!$Y$13)))),0))</x:f>
      </x:c>
      <x:c r="L290" t="str">
        <x:f>IF(Calc!$I$290&gt;'Calc'!$B$8,"",IF('Calc'!$E$13=1,'财富模型'!$E$9,'财富模型'!$M$5+IF(Calc!$I$290&lt;='财富模型'!$E$11*12,'Calc'!$W$13,'Calc'!$Y$13)-(IF('Calc'!$E$13=1,0,MIN(Calc!$K$289*(1+'财富模型'!$E$20/12)+'Calc'!$B$6,IF(Calc!$I$290&lt;='财富模型'!$E$11*12,'Calc'!$W$13,'Calc'!$Y$13))))))</x:f>
      </x:c>
      <x:c r="M290" t="str">
        <x:f>IF(Calc!$I$290&gt;'Calc'!$B$8,"",IF('Calc'!$E$13=1,0,MIN(Calc!$K$289*(1+'财富模型'!$E$20/12)+'Calc'!$B$6,IF(Calc!$I$290&lt;='财富模型'!$E$11*12,'Calc'!$W$13,'Calc'!$Y$13))))</x:f>
      </x:c>
      <x:c r="N290" t="str">
        <x:f>IF(Calc!$I$290&gt;'Calc'!$B$8,"",'Calc'!$B$5-'财富模型'!$E$5-(IF('Calc'!$E$13=1,'财富模型'!$E$9,'财富模型'!$M$5+IF(Calc!$I$290&lt;='财富模型'!$E$11*12,'Calc'!$W$13,'Calc'!$Y$13)-(IF('Calc'!$E$13=1,0,MIN(Calc!$K$289*(1+'财富模型'!$E$20/12)+'Calc'!$B$6,IF(Calc!$I$290&lt;='财富模型'!$E$11*12,'Calc'!$W$13,'Calc'!$Y$13)))))))</x:f>
      </x:c>
      <x:c r="O290" t="str">
        <x:f>IF(Calc!$I$290&gt;'Calc'!$B$8,"",IF('Calc'!$E$13=1,0,MAX(Calc!$O$289*(1+IF(Calc!$I$290&lt;='财富模型'!$E$11*12,'财富模型'!$E$10,'财富模型'!$E$12)/12)-IF('Calc'!$E$13=1,0,IF(Calc!$I$290&lt;='财富模型'!$E$11*12,'Calc'!$W$13,'Calc'!$Y$13)),0)))</x:f>
      </x:c>
      <x:c r="Q290" t="n">
        <x:v>269</x:v>
      </x:c>
      <x:c r="R290" t="str">
        <x:f>IF(Calc!$Q$290&gt;'Calc'!$B$8,"",MAX(Calc!$R$289*(1+'财富模型'!$E$6/12)+('Calc'!$B$5-'财富模型'!$E$5-(IF('Calc'!$E$14=1,'财富模型'!$E$9,'财富模型'!$M$6+IF(Calc!$Q$290&lt;='财富模型'!$E$11*12,'Calc'!$W$14,'Calc'!$Y$14)-(IF('Calc'!$E$14=1,0,MIN(Calc!$S$289*(1+'财富模型'!$E$20/12)+'Calc'!$B$6,IF(Calc!$Q$290&lt;='财富模型'!$E$11*12,'Calc'!$W$14,'Calc'!$Y$14))))))),0))</x:f>
      </x:c>
      <x:c r="S290" t="str">
        <x:f>IF(Calc!$Q$290&gt;'Calc'!$B$8,"",MAX(Calc!$S$289*(1+'财富模型'!$E$20/12)+'Calc'!$B$6-(IF('Calc'!$E$14=1,0,MIN(Calc!$S$289*(1+'财富模型'!$E$20/12)+'Calc'!$B$6,IF(Calc!$Q$290&lt;='财富模型'!$E$11*12,'Calc'!$W$14,'Calc'!$Y$14)))),0))</x:f>
      </x:c>
      <x:c r="T290" t="str">
        <x:f>IF(Calc!$Q$290&gt;'Calc'!$B$8,"",IF('Calc'!$E$14=1,'财富模型'!$E$9,'财富模型'!$M$6+IF(Calc!$Q$290&lt;='财富模型'!$E$11*12,'Calc'!$W$14,'Calc'!$Y$14)-(IF('Calc'!$E$14=1,0,MIN(Calc!$S$289*(1+'财富模型'!$E$20/12)+'Calc'!$B$6,IF(Calc!$Q$290&lt;='财富模型'!$E$11*12,'Calc'!$W$14,'Calc'!$Y$14))))))</x:f>
      </x:c>
      <x:c r="U290" t="str">
        <x:f>IF(Calc!$Q$290&gt;'Calc'!$B$8,"",IF('Calc'!$E$14=1,0,MIN(Calc!$S$289*(1+'财富模型'!$E$20/12)+'Calc'!$B$6,IF(Calc!$Q$290&lt;='财富模型'!$E$11*12,'Calc'!$W$14,'Calc'!$Y$14))))</x:f>
      </x:c>
      <x:c r="V290" t="str">
        <x:f>IF(Calc!$Q$290&gt;'Calc'!$B$8,"",'Calc'!$B$5-'财富模型'!$E$5-(IF('Calc'!$E$14=1,'财富模型'!$E$9,'财富模型'!$M$6+IF(Calc!$Q$290&lt;='财富模型'!$E$11*12,'Calc'!$W$14,'Calc'!$Y$14)-(IF('Calc'!$E$14=1,0,MIN(Calc!$S$289*(1+'财富模型'!$E$20/12)+'Calc'!$B$6,IF(Calc!$Q$290&lt;='财富模型'!$E$11*12,'Calc'!$W$14,'Calc'!$Y$14)))))))</x:f>
      </x:c>
      <x:c r="W290" t="str">
        <x:f>IF(Calc!$Q$290&gt;'Calc'!$B$8,"",IF('Calc'!$E$14=1,0,MAX(Calc!$W$289*(1+IF(Calc!$Q$290&lt;='财富模型'!$E$11*12,'财富模型'!$E$10,'财富模型'!$E$12)/12)-IF('Calc'!$E$14=1,0,IF(Calc!$Q$290&lt;='财富模型'!$E$11*12,'Calc'!$W$14,'Calc'!$Y$14)),0)))</x:f>
      </x:c>
      <x:c r="Y290" t="n">
        <x:v>269</x:v>
      </x:c>
      <x:c r="Z290" t="str">
        <x:f>IF(Calc!$Y$290&gt;'Calc'!$B$8,"",MAX(Calc!$Z$289*(1+'财富模型'!$E$6/12)+('Calc'!$B$5-'财富模型'!$E$5-(IF('Calc'!$E$15=1,'财富模型'!$E$9,'财富模型'!$M$7+IF(Calc!$Y$290&lt;='财富模型'!$E$11*12,'Calc'!$W$15,'Calc'!$Y$15)-(IF('Calc'!$E$15=1,0,MIN(Calc!$AA$289*(1+'财富模型'!$E$20/12)+'Calc'!$B$6,IF(Calc!$Y$290&lt;='财富模型'!$E$11*12,'Calc'!$W$15,'Calc'!$Y$15))))))),0))</x:f>
      </x:c>
      <x:c r="AA290" t="str">
        <x:f>IF(Calc!$Y$290&gt;'Calc'!$B$8,"",MAX(Calc!$AA$289*(1+'财富模型'!$E$20/12)+'Calc'!$B$6-(IF('Calc'!$E$15=1,0,MIN(Calc!$AA$289*(1+'财富模型'!$E$20/12)+'Calc'!$B$6,IF(Calc!$Y$290&lt;='财富模型'!$E$11*12,'Calc'!$W$15,'Calc'!$Y$15)))),0))</x:f>
      </x:c>
      <x:c r="AB290" t="str">
        <x:f>IF(Calc!$Y$290&gt;'Calc'!$B$8,"",IF('Calc'!$E$15=1,'财富模型'!$E$9,'财富模型'!$M$7+IF(Calc!$Y$290&lt;='财富模型'!$E$11*12,'Calc'!$W$15,'Calc'!$Y$15)-(IF('Calc'!$E$15=1,0,MIN(Calc!$AA$289*(1+'财富模型'!$E$20/12)+'Calc'!$B$6,IF(Calc!$Y$290&lt;='财富模型'!$E$11*12,'Calc'!$W$15,'Calc'!$Y$15))))))</x:f>
      </x:c>
      <x:c r="AC290" t="str">
        <x:f>IF(Calc!$Y$290&gt;'Calc'!$B$8,"",IF('Calc'!$E$15=1,0,MIN(Calc!$AA$289*(1+'财富模型'!$E$20/12)+'Calc'!$B$6,IF(Calc!$Y$290&lt;='财富模型'!$E$11*12,'Calc'!$W$15,'Calc'!$Y$15))))</x:f>
      </x:c>
      <x:c r="AD290" t="str">
        <x:f>IF(Calc!$Y$290&gt;'Calc'!$B$8,"",'Calc'!$B$5-'财富模型'!$E$5-(IF('Calc'!$E$15=1,'财富模型'!$E$9,'财富模型'!$M$7+IF(Calc!$Y$290&lt;='财富模型'!$E$11*12,'Calc'!$W$15,'Calc'!$Y$15)-(IF('Calc'!$E$15=1,0,MIN(Calc!$AA$289*(1+'财富模型'!$E$20/12)+'Calc'!$B$6,IF(Calc!$Y$290&lt;='财富模型'!$E$11*12,'Calc'!$W$15,'Calc'!$Y$15)))))))</x:f>
      </x:c>
      <x:c r="AE290" t="str">
        <x:f>IF(Calc!$Y$290&gt;'Calc'!$B$8,"",IF('Calc'!$E$15=1,0,MAX(Calc!$AE$289*(1+IF(Calc!$Y$290&lt;='财富模型'!$E$11*12,'财富模型'!$E$10,'财富模型'!$E$12)/12)-IF('Calc'!$E$15=1,0,IF(Calc!$Y$290&lt;='财富模型'!$E$11*12,'Calc'!$W$15,'Calc'!$Y$15)),0)))</x:f>
      </x:c>
      <x:c r="AG290" t="n">
        <x:v>269</x:v>
      </x:c>
      <x:c r="AH290" t="str">
        <x:f>IF(Calc!$AG$290&gt;'Calc'!$B$8,"",MAX(Calc!$AH$289*(1+'财富模型'!$E$6/12)+('Calc'!$B$5-'财富模型'!$E$5-(IF('Calc'!$E$16=1,'财富模型'!$E$9,'财富模型'!$M$8+IF(Calc!$AG$290&lt;='财富模型'!$E$11*12,'Calc'!$W$16,'Calc'!$Y$16)-(IF('Calc'!$E$16=1,0,MIN(Calc!$AI$289*(1+'财富模型'!$E$20/12)+'Calc'!$B$6,IF(Calc!$AG$290&lt;='财富模型'!$E$11*12,'Calc'!$W$16,'Calc'!$Y$16))))))),0))</x:f>
      </x:c>
      <x:c r="AI290" t="str">
        <x:f>IF(Calc!$AG$290&gt;'Calc'!$B$8,"",MAX(Calc!$AI$289*(1+'财富模型'!$E$20/12)+'Calc'!$B$6-(IF('Calc'!$E$16=1,0,MIN(Calc!$AI$289*(1+'财富模型'!$E$20/12)+'Calc'!$B$6,IF(Calc!$AG$290&lt;='财富模型'!$E$11*12,'Calc'!$W$16,'Calc'!$Y$16)))),0))</x:f>
      </x:c>
      <x:c r="AJ290" t="str">
        <x:f>IF(Calc!$AG$290&gt;'Calc'!$B$8,"",IF('Calc'!$E$16=1,'财富模型'!$E$9,'财富模型'!$M$8+IF(Calc!$AG$290&lt;='财富模型'!$E$11*12,'Calc'!$W$16,'Calc'!$Y$16)-(IF('Calc'!$E$16=1,0,MIN(Calc!$AI$289*(1+'财富模型'!$E$20/12)+'Calc'!$B$6,IF(Calc!$AG$290&lt;='财富模型'!$E$11*12,'Calc'!$W$16,'Calc'!$Y$16))))))</x:f>
      </x:c>
      <x:c r="AK290" t="str">
        <x:f>IF(Calc!$AG$290&gt;'Calc'!$B$8,"",IF('Calc'!$E$16=1,0,MIN(Calc!$AI$289*(1+'财富模型'!$E$20/12)+'Calc'!$B$6,IF(Calc!$AG$290&lt;='财富模型'!$E$11*12,'Calc'!$W$16,'Calc'!$Y$16))))</x:f>
      </x:c>
      <x:c r="AL290" t="str">
        <x:f>IF(Calc!$AG$290&gt;'Calc'!$B$8,"",'Calc'!$B$5-'财富模型'!$E$5-(IF('Calc'!$E$16=1,'财富模型'!$E$9,'财富模型'!$M$8+IF(Calc!$AG$290&lt;='财富模型'!$E$11*12,'Calc'!$W$16,'Calc'!$Y$16)-(IF('Calc'!$E$16=1,0,MIN(Calc!$AI$289*(1+'财富模型'!$E$20/12)+'Calc'!$B$6,IF(Calc!$AG$290&lt;='财富模型'!$E$11*12,'Calc'!$W$16,'Calc'!$Y$16)))))))</x:f>
      </x:c>
      <x:c r="AM290" t="str">
        <x:f>IF(Calc!$AG$290&gt;'Calc'!$B$8,"",IF('Calc'!$E$16=1,0,MAX(Calc!$AM$289*(1+IF(Calc!$AG$290&lt;='财富模型'!$E$11*12,'财富模型'!$E$10,'财富模型'!$E$12)/12)-IF('Calc'!$E$16=1,0,IF(Calc!$AG$290&lt;='财富模型'!$E$11*12,'Calc'!$W$16,'Calc'!$Y$16)),0)))</x:f>
      </x:c>
      <x:c r="AO290" t="n">
        <x:v>269</x:v>
      </x:c>
      <x:c r="AP290" t="str">
        <x:f>IF(Calc!$AO$290&gt;'Calc'!$B$8,"",MAX(Calc!$AP$289*(1+'财富模型'!$E$6/12)+('Calc'!$B$5-'财富模型'!$E$5-(IF('Calc'!$E$17=1,'财富模型'!$E$9,'财富模型'!$M$9+IF(Calc!$AO$290&lt;='财富模型'!$E$11*12,'Calc'!$W$17,'Calc'!$Y$17)-(IF('Calc'!$E$17=1,0,MIN(Calc!$AQ$289*(1+'财富模型'!$E$20/12)+'Calc'!$B$6,IF(Calc!$AO$290&lt;='财富模型'!$E$11*12,'Calc'!$W$17,'Calc'!$Y$17))))))),0))</x:f>
      </x:c>
      <x:c r="AQ290" t="str">
        <x:f>IF(Calc!$AO$290&gt;'Calc'!$B$8,"",MAX(Calc!$AQ$289*(1+'财富模型'!$E$20/12)+'Calc'!$B$6-(IF('Calc'!$E$17=1,0,MIN(Calc!$AQ$289*(1+'财富模型'!$E$20/12)+'Calc'!$B$6,IF(Calc!$AO$290&lt;='财富模型'!$E$11*12,'Calc'!$W$17,'Calc'!$Y$17)))),0))</x:f>
      </x:c>
      <x:c r="AR290" t="str">
        <x:f>IF(Calc!$AO$290&gt;'Calc'!$B$8,"",IF('Calc'!$E$17=1,'财富模型'!$E$9,'财富模型'!$M$9+IF(Calc!$AO$290&lt;='财富模型'!$E$11*12,'Calc'!$W$17,'Calc'!$Y$17)-(IF('Calc'!$E$17=1,0,MIN(Calc!$AQ$289*(1+'财富模型'!$E$20/12)+'Calc'!$B$6,IF(Calc!$AO$290&lt;='财富模型'!$E$11*12,'Calc'!$W$17,'Calc'!$Y$17))))))</x:f>
      </x:c>
      <x:c r="AS290" t="str">
        <x:f>IF(Calc!$AO$290&gt;'Calc'!$B$8,"",IF('Calc'!$E$17=1,0,MIN(Calc!$AQ$289*(1+'财富模型'!$E$20/12)+'Calc'!$B$6,IF(Calc!$AO$290&lt;='财富模型'!$E$11*12,'Calc'!$W$17,'Calc'!$Y$17))))</x:f>
      </x:c>
      <x:c r="AT290" t="str">
        <x:f>IF(Calc!$AO$290&gt;'Calc'!$B$8,"",'Calc'!$B$5-'财富模型'!$E$5-(IF('Calc'!$E$17=1,'财富模型'!$E$9,'财富模型'!$M$9+IF(Calc!$AO$290&lt;='财富模型'!$E$11*12,'Calc'!$W$17,'Calc'!$Y$17)-(IF('Calc'!$E$17=1,0,MIN(Calc!$AQ$289*(1+'财富模型'!$E$20/12)+'Calc'!$B$6,IF(Calc!$AO$290&lt;='财富模型'!$E$11*12,'Calc'!$W$17,'Calc'!$Y$17)))))))</x:f>
      </x:c>
      <x:c r="AU290" t="str">
        <x:f>IF(Calc!$AO$290&gt;'Calc'!$B$8,"",IF('Calc'!$E$17=1,0,MAX(Calc!$AU$289*(1+IF(Calc!$AO$290&lt;='财富模型'!$E$11*12,'财富模型'!$E$10,'财富模型'!$E$12)/12)-IF('Calc'!$E$17=1,0,IF(Calc!$AO$290&lt;='财富模型'!$E$11*12,'Calc'!$W$17,'Calc'!$Y$17)),0)))</x:f>
      </x:c>
    </x:row>
    <x:row r="291">
      <x:c r="A291" t="n">
        <x:v>270</x:v>
      </x:c>
      <x:c r="B291" t="str">
        <x:f>IF(Calc!$A$291&gt;'Calc'!$B$8,"",MAX(Calc!$B$290*(1+'财富模型'!$E$6/12)+('Calc'!$B$5-'财富模型'!$E$5-(IF('Calc'!$E$12=1,'财富模型'!$E$9,'财富模型'!$M$4+IF(Calc!$A$291&lt;='财富模型'!$E$11*12,'Calc'!$W$12,'Calc'!$Y$12)-(IF('Calc'!$E$12=1,0,MIN(Calc!$C$290*(1+'财富模型'!$E$20/12)+'Calc'!$B$6,IF(Calc!$A$291&lt;='财富模型'!$E$11*12,'Calc'!$W$12,'Calc'!$Y$12))))))),0))</x:f>
      </x:c>
      <x:c r="C291" t="str">
        <x:f>IF(Calc!$A$291&gt;'Calc'!$B$8,"",MAX(Calc!$C$290*(1+'财富模型'!$E$20/12)+'Calc'!$B$6-(IF('Calc'!$E$12=1,0,MIN(Calc!$C$290*(1+'财富模型'!$E$20/12)+'Calc'!$B$6,IF(Calc!$A$291&lt;='财富模型'!$E$11*12,'Calc'!$W$12,'Calc'!$Y$12)))),0))</x:f>
      </x:c>
      <x:c r="D291" t="str">
        <x:f>IF(Calc!$A$291&gt;'Calc'!$B$8,"",IF('Calc'!$E$12=1,'财富模型'!$E$9,'财富模型'!$M$4+IF(Calc!$A$291&lt;='财富模型'!$E$11*12,'Calc'!$W$12,'Calc'!$Y$12)-(IF('Calc'!$E$12=1,0,MIN(Calc!$C$290*(1+'财富模型'!$E$20/12)+'Calc'!$B$6,IF(Calc!$A$291&lt;='财富模型'!$E$11*12,'Calc'!$W$12,'Calc'!$Y$12))))))</x:f>
      </x:c>
      <x:c r="E291" t="str">
        <x:f>IF(Calc!$A$291&gt;'Calc'!$B$8,"",IF('Calc'!$E$12=1,0,MIN(Calc!$C$290*(1+'财富模型'!$E$20/12)+'Calc'!$B$6,IF(Calc!$A$291&lt;='财富模型'!$E$11*12,'Calc'!$W$12,'Calc'!$Y$12))))</x:f>
      </x:c>
      <x:c r="F291" t="str">
        <x:f>IF(Calc!$A$291&gt;'Calc'!$B$8,"",'Calc'!$B$5-'财富模型'!$E$5-(IF('Calc'!$E$12=1,'财富模型'!$E$9,'财富模型'!$M$4+IF(Calc!$A$291&lt;='财富模型'!$E$11*12,'Calc'!$W$12,'Calc'!$Y$12)-(IF('Calc'!$E$12=1,0,MIN(Calc!$C$290*(1+'财富模型'!$E$20/12)+'Calc'!$B$6,IF(Calc!$A$291&lt;='财富模型'!$E$11*12,'Calc'!$W$12,'Calc'!$Y$12)))))))</x:f>
      </x:c>
      <x:c r="G291" t="str">
        <x:f>IF(Calc!$A$291&gt;'Calc'!$B$8,"",IF('Calc'!$E$12=1,0,MAX(Calc!$G$290*(1+IF(Calc!$A$291&lt;='财富模型'!$E$11*12,'财富模型'!$E$10,'财富模型'!$E$12)/12)-IF('Calc'!$E$12=1,0,IF(Calc!$A$291&lt;='财富模型'!$E$11*12,'Calc'!$W$12,'Calc'!$Y$12)),0)))</x:f>
      </x:c>
      <x:c r="I291" t="n">
        <x:v>270</x:v>
      </x:c>
      <x:c r="J291" t="str">
        <x:f>IF(Calc!$I$291&gt;'Calc'!$B$8,"",MAX(Calc!$J$290*(1+'财富模型'!$E$6/12)+('Calc'!$B$5-'财富模型'!$E$5-(IF('Calc'!$E$13=1,'财富模型'!$E$9,'财富模型'!$M$5+IF(Calc!$I$291&lt;='财富模型'!$E$11*12,'Calc'!$W$13,'Calc'!$Y$13)-(IF('Calc'!$E$13=1,0,MIN(Calc!$K$290*(1+'财富模型'!$E$20/12)+'Calc'!$B$6,IF(Calc!$I$291&lt;='财富模型'!$E$11*12,'Calc'!$W$13,'Calc'!$Y$13))))))),0))</x:f>
      </x:c>
      <x:c r="K291" t="str">
        <x:f>IF(Calc!$I$291&gt;'Calc'!$B$8,"",MAX(Calc!$K$290*(1+'财富模型'!$E$20/12)+'Calc'!$B$6-(IF('Calc'!$E$13=1,0,MIN(Calc!$K$290*(1+'财富模型'!$E$20/12)+'Calc'!$B$6,IF(Calc!$I$291&lt;='财富模型'!$E$11*12,'Calc'!$W$13,'Calc'!$Y$13)))),0))</x:f>
      </x:c>
      <x:c r="L291" t="str">
        <x:f>IF(Calc!$I$291&gt;'Calc'!$B$8,"",IF('Calc'!$E$13=1,'财富模型'!$E$9,'财富模型'!$M$5+IF(Calc!$I$291&lt;='财富模型'!$E$11*12,'Calc'!$W$13,'Calc'!$Y$13)-(IF('Calc'!$E$13=1,0,MIN(Calc!$K$290*(1+'财富模型'!$E$20/12)+'Calc'!$B$6,IF(Calc!$I$291&lt;='财富模型'!$E$11*12,'Calc'!$W$13,'Calc'!$Y$13))))))</x:f>
      </x:c>
      <x:c r="M291" t="str">
        <x:f>IF(Calc!$I$291&gt;'Calc'!$B$8,"",IF('Calc'!$E$13=1,0,MIN(Calc!$K$290*(1+'财富模型'!$E$20/12)+'Calc'!$B$6,IF(Calc!$I$291&lt;='财富模型'!$E$11*12,'Calc'!$W$13,'Calc'!$Y$13))))</x:f>
      </x:c>
      <x:c r="N291" t="str">
        <x:f>IF(Calc!$I$291&gt;'Calc'!$B$8,"",'Calc'!$B$5-'财富模型'!$E$5-(IF('Calc'!$E$13=1,'财富模型'!$E$9,'财富模型'!$M$5+IF(Calc!$I$291&lt;='财富模型'!$E$11*12,'Calc'!$W$13,'Calc'!$Y$13)-(IF('Calc'!$E$13=1,0,MIN(Calc!$K$290*(1+'财富模型'!$E$20/12)+'Calc'!$B$6,IF(Calc!$I$291&lt;='财富模型'!$E$11*12,'Calc'!$W$13,'Calc'!$Y$13)))))))</x:f>
      </x:c>
      <x:c r="O291" t="str">
        <x:f>IF(Calc!$I$291&gt;'Calc'!$B$8,"",IF('Calc'!$E$13=1,0,MAX(Calc!$O$290*(1+IF(Calc!$I$291&lt;='财富模型'!$E$11*12,'财富模型'!$E$10,'财富模型'!$E$12)/12)-IF('Calc'!$E$13=1,0,IF(Calc!$I$291&lt;='财富模型'!$E$11*12,'Calc'!$W$13,'Calc'!$Y$13)),0)))</x:f>
      </x:c>
      <x:c r="Q291" t="n">
        <x:v>270</x:v>
      </x:c>
      <x:c r="R291" t="str">
        <x:f>IF(Calc!$Q$291&gt;'Calc'!$B$8,"",MAX(Calc!$R$290*(1+'财富模型'!$E$6/12)+('Calc'!$B$5-'财富模型'!$E$5-(IF('Calc'!$E$14=1,'财富模型'!$E$9,'财富模型'!$M$6+IF(Calc!$Q$291&lt;='财富模型'!$E$11*12,'Calc'!$W$14,'Calc'!$Y$14)-(IF('Calc'!$E$14=1,0,MIN(Calc!$S$290*(1+'财富模型'!$E$20/12)+'Calc'!$B$6,IF(Calc!$Q$291&lt;='财富模型'!$E$11*12,'Calc'!$W$14,'Calc'!$Y$14))))))),0))</x:f>
      </x:c>
      <x:c r="S291" t="str">
        <x:f>IF(Calc!$Q$291&gt;'Calc'!$B$8,"",MAX(Calc!$S$290*(1+'财富模型'!$E$20/12)+'Calc'!$B$6-(IF('Calc'!$E$14=1,0,MIN(Calc!$S$290*(1+'财富模型'!$E$20/12)+'Calc'!$B$6,IF(Calc!$Q$291&lt;='财富模型'!$E$11*12,'Calc'!$W$14,'Calc'!$Y$14)))),0))</x:f>
      </x:c>
      <x:c r="T291" t="str">
        <x:f>IF(Calc!$Q$291&gt;'Calc'!$B$8,"",IF('Calc'!$E$14=1,'财富模型'!$E$9,'财富模型'!$M$6+IF(Calc!$Q$291&lt;='财富模型'!$E$11*12,'Calc'!$W$14,'Calc'!$Y$14)-(IF('Calc'!$E$14=1,0,MIN(Calc!$S$290*(1+'财富模型'!$E$20/12)+'Calc'!$B$6,IF(Calc!$Q$291&lt;='财富模型'!$E$11*12,'Calc'!$W$14,'Calc'!$Y$14))))))</x:f>
      </x:c>
      <x:c r="U291" t="str">
        <x:f>IF(Calc!$Q$291&gt;'Calc'!$B$8,"",IF('Calc'!$E$14=1,0,MIN(Calc!$S$290*(1+'财富模型'!$E$20/12)+'Calc'!$B$6,IF(Calc!$Q$291&lt;='财富模型'!$E$11*12,'Calc'!$W$14,'Calc'!$Y$14))))</x:f>
      </x:c>
      <x:c r="V291" t="str">
        <x:f>IF(Calc!$Q$291&gt;'Calc'!$B$8,"",'Calc'!$B$5-'财富模型'!$E$5-(IF('Calc'!$E$14=1,'财富模型'!$E$9,'财富模型'!$M$6+IF(Calc!$Q$291&lt;='财富模型'!$E$11*12,'Calc'!$W$14,'Calc'!$Y$14)-(IF('Calc'!$E$14=1,0,MIN(Calc!$S$290*(1+'财富模型'!$E$20/12)+'Calc'!$B$6,IF(Calc!$Q$291&lt;='财富模型'!$E$11*12,'Calc'!$W$14,'Calc'!$Y$14)))))))</x:f>
      </x:c>
      <x:c r="W291" t="str">
        <x:f>IF(Calc!$Q$291&gt;'Calc'!$B$8,"",IF('Calc'!$E$14=1,0,MAX(Calc!$W$290*(1+IF(Calc!$Q$291&lt;='财富模型'!$E$11*12,'财富模型'!$E$10,'财富模型'!$E$12)/12)-IF('Calc'!$E$14=1,0,IF(Calc!$Q$291&lt;='财富模型'!$E$11*12,'Calc'!$W$14,'Calc'!$Y$14)),0)))</x:f>
      </x:c>
      <x:c r="Y291" t="n">
        <x:v>270</x:v>
      </x:c>
      <x:c r="Z291" t="str">
        <x:f>IF(Calc!$Y$291&gt;'Calc'!$B$8,"",MAX(Calc!$Z$290*(1+'财富模型'!$E$6/12)+('Calc'!$B$5-'财富模型'!$E$5-(IF('Calc'!$E$15=1,'财富模型'!$E$9,'财富模型'!$M$7+IF(Calc!$Y$291&lt;='财富模型'!$E$11*12,'Calc'!$W$15,'Calc'!$Y$15)-(IF('Calc'!$E$15=1,0,MIN(Calc!$AA$290*(1+'财富模型'!$E$20/12)+'Calc'!$B$6,IF(Calc!$Y$291&lt;='财富模型'!$E$11*12,'Calc'!$W$15,'Calc'!$Y$15))))))),0))</x:f>
      </x:c>
      <x:c r="AA291" t="str">
        <x:f>IF(Calc!$Y$291&gt;'Calc'!$B$8,"",MAX(Calc!$AA$290*(1+'财富模型'!$E$20/12)+'Calc'!$B$6-(IF('Calc'!$E$15=1,0,MIN(Calc!$AA$290*(1+'财富模型'!$E$20/12)+'Calc'!$B$6,IF(Calc!$Y$291&lt;='财富模型'!$E$11*12,'Calc'!$W$15,'Calc'!$Y$15)))),0))</x:f>
      </x:c>
      <x:c r="AB291" t="str">
        <x:f>IF(Calc!$Y$291&gt;'Calc'!$B$8,"",IF('Calc'!$E$15=1,'财富模型'!$E$9,'财富模型'!$M$7+IF(Calc!$Y$291&lt;='财富模型'!$E$11*12,'Calc'!$W$15,'Calc'!$Y$15)-(IF('Calc'!$E$15=1,0,MIN(Calc!$AA$290*(1+'财富模型'!$E$20/12)+'Calc'!$B$6,IF(Calc!$Y$291&lt;='财富模型'!$E$11*12,'Calc'!$W$15,'Calc'!$Y$15))))))</x:f>
      </x:c>
      <x:c r="AC291" t="str">
        <x:f>IF(Calc!$Y$291&gt;'Calc'!$B$8,"",IF('Calc'!$E$15=1,0,MIN(Calc!$AA$290*(1+'财富模型'!$E$20/12)+'Calc'!$B$6,IF(Calc!$Y$291&lt;='财富模型'!$E$11*12,'Calc'!$W$15,'Calc'!$Y$15))))</x:f>
      </x:c>
      <x:c r="AD291" t="str">
        <x:f>IF(Calc!$Y$291&gt;'Calc'!$B$8,"",'Calc'!$B$5-'财富模型'!$E$5-(IF('Calc'!$E$15=1,'财富模型'!$E$9,'财富模型'!$M$7+IF(Calc!$Y$291&lt;='财富模型'!$E$11*12,'Calc'!$W$15,'Calc'!$Y$15)-(IF('Calc'!$E$15=1,0,MIN(Calc!$AA$290*(1+'财富模型'!$E$20/12)+'Calc'!$B$6,IF(Calc!$Y$291&lt;='财富模型'!$E$11*12,'Calc'!$W$15,'Calc'!$Y$15)))))))</x:f>
      </x:c>
      <x:c r="AE291" t="str">
        <x:f>IF(Calc!$Y$291&gt;'Calc'!$B$8,"",IF('Calc'!$E$15=1,0,MAX(Calc!$AE$290*(1+IF(Calc!$Y$291&lt;='财富模型'!$E$11*12,'财富模型'!$E$10,'财富模型'!$E$12)/12)-IF('Calc'!$E$15=1,0,IF(Calc!$Y$291&lt;='财富模型'!$E$11*12,'Calc'!$W$15,'Calc'!$Y$15)),0)))</x:f>
      </x:c>
      <x:c r="AG291" t="n">
        <x:v>270</x:v>
      </x:c>
      <x:c r="AH291" t="str">
        <x:f>IF(Calc!$AG$291&gt;'Calc'!$B$8,"",MAX(Calc!$AH$290*(1+'财富模型'!$E$6/12)+('Calc'!$B$5-'财富模型'!$E$5-(IF('Calc'!$E$16=1,'财富模型'!$E$9,'财富模型'!$M$8+IF(Calc!$AG$291&lt;='财富模型'!$E$11*12,'Calc'!$W$16,'Calc'!$Y$16)-(IF('Calc'!$E$16=1,0,MIN(Calc!$AI$290*(1+'财富模型'!$E$20/12)+'Calc'!$B$6,IF(Calc!$AG$291&lt;='财富模型'!$E$11*12,'Calc'!$W$16,'Calc'!$Y$16))))))),0))</x:f>
      </x:c>
      <x:c r="AI291" t="str">
        <x:f>IF(Calc!$AG$291&gt;'Calc'!$B$8,"",MAX(Calc!$AI$290*(1+'财富模型'!$E$20/12)+'Calc'!$B$6-(IF('Calc'!$E$16=1,0,MIN(Calc!$AI$290*(1+'财富模型'!$E$20/12)+'Calc'!$B$6,IF(Calc!$AG$291&lt;='财富模型'!$E$11*12,'Calc'!$W$16,'Calc'!$Y$16)))),0))</x:f>
      </x:c>
      <x:c r="AJ291" t="str">
        <x:f>IF(Calc!$AG$291&gt;'Calc'!$B$8,"",IF('Calc'!$E$16=1,'财富模型'!$E$9,'财富模型'!$M$8+IF(Calc!$AG$291&lt;='财富模型'!$E$11*12,'Calc'!$W$16,'Calc'!$Y$16)-(IF('Calc'!$E$16=1,0,MIN(Calc!$AI$290*(1+'财富模型'!$E$20/12)+'Calc'!$B$6,IF(Calc!$AG$291&lt;='财富模型'!$E$11*12,'Calc'!$W$16,'Calc'!$Y$16))))))</x:f>
      </x:c>
      <x:c r="AK291" t="str">
        <x:f>IF(Calc!$AG$291&gt;'Calc'!$B$8,"",IF('Calc'!$E$16=1,0,MIN(Calc!$AI$290*(1+'财富模型'!$E$20/12)+'Calc'!$B$6,IF(Calc!$AG$291&lt;='财富模型'!$E$11*12,'Calc'!$W$16,'Calc'!$Y$16))))</x:f>
      </x:c>
      <x:c r="AL291" t="str">
        <x:f>IF(Calc!$AG$291&gt;'Calc'!$B$8,"",'Calc'!$B$5-'财富模型'!$E$5-(IF('Calc'!$E$16=1,'财富模型'!$E$9,'财富模型'!$M$8+IF(Calc!$AG$291&lt;='财富模型'!$E$11*12,'Calc'!$W$16,'Calc'!$Y$16)-(IF('Calc'!$E$16=1,0,MIN(Calc!$AI$290*(1+'财富模型'!$E$20/12)+'Calc'!$B$6,IF(Calc!$AG$291&lt;='财富模型'!$E$11*12,'Calc'!$W$16,'Calc'!$Y$16)))))))</x:f>
      </x:c>
      <x:c r="AM291" t="str">
        <x:f>IF(Calc!$AG$291&gt;'Calc'!$B$8,"",IF('Calc'!$E$16=1,0,MAX(Calc!$AM$290*(1+IF(Calc!$AG$291&lt;='财富模型'!$E$11*12,'财富模型'!$E$10,'财富模型'!$E$12)/12)-IF('Calc'!$E$16=1,0,IF(Calc!$AG$291&lt;='财富模型'!$E$11*12,'Calc'!$W$16,'Calc'!$Y$16)),0)))</x:f>
      </x:c>
      <x:c r="AO291" t="n">
        <x:v>270</x:v>
      </x:c>
      <x:c r="AP291" t="str">
        <x:f>IF(Calc!$AO$291&gt;'Calc'!$B$8,"",MAX(Calc!$AP$290*(1+'财富模型'!$E$6/12)+('Calc'!$B$5-'财富模型'!$E$5-(IF('Calc'!$E$17=1,'财富模型'!$E$9,'财富模型'!$M$9+IF(Calc!$AO$291&lt;='财富模型'!$E$11*12,'Calc'!$W$17,'Calc'!$Y$17)-(IF('Calc'!$E$17=1,0,MIN(Calc!$AQ$290*(1+'财富模型'!$E$20/12)+'Calc'!$B$6,IF(Calc!$AO$291&lt;='财富模型'!$E$11*12,'Calc'!$W$17,'Calc'!$Y$17))))))),0))</x:f>
      </x:c>
      <x:c r="AQ291" t="str">
        <x:f>IF(Calc!$AO$291&gt;'Calc'!$B$8,"",MAX(Calc!$AQ$290*(1+'财富模型'!$E$20/12)+'Calc'!$B$6-(IF('Calc'!$E$17=1,0,MIN(Calc!$AQ$290*(1+'财富模型'!$E$20/12)+'Calc'!$B$6,IF(Calc!$AO$291&lt;='财富模型'!$E$11*12,'Calc'!$W$17,'Calc'!$Y$17)))),0))</x:f>
      </x:c>
      <x:c r="AR291" t="str">
        <x:f>IF(Calc!$AO$291&gt;'Calc'!$B$8,"",IF('Calc'!$E$17=1,'财富模型'!$E$9,'财富模型'!$M$9+IF(Calc!$AO$291&lt;='财富模型'!$E$11*12,'Calc'!$W$17,'Calc'!$Y$17)-(IF('Calc'!$E$17=1,0,MIN(Calc!$AQ$290*(1+'财富模型'!$E$20/12)+'Calc'!$B$6,IF(Calc!$AO$291&lt;='财富模型'!$E$11*12,'Calc'!$W$17,'Calc'!$Y$17))))))</x:f>
      </x:c>
      <x:c r="AS291" t="str">
        <x:f>IF(Calc!$AO$291&gt;'Calc'!$B$8,"",IF('Calc'!$E$17=1,0,MIN(Calc!$AQ$290*(1+'财富模型'!$E$20/12)+'Calc'!$B$6,IF(Calc!$AO$291&lt;='财富模型'!$E$11*12,'Calc'!$W$17,'Calc'!$Y$17))))</x:f>
      </x:c>
      <x:c r="AT291" t="str">
        <x:f>IF(Calc!$AO$291&gt;'Calc'!$B$8,"",'Calc'!$B$5-'财富模型'!$E$5-(IF('Calc'!$E$17=1,'财富模型'!$E$9,'财富模型'!$M$9+IF(Calc!$AO$291&lt;='财富模型'!$E$11*12,'Calc'!$W$17,'Calc'!$Y$17)-(IF('Calc'!$E$17=1,0,MIN(Calc!$AQ$290*(1+'财富模型'!$E$20/12)+'Calc'!$B$6,IF(Calc!$AO$291&lt;='财富模型'!$E$11*12,'Calc'!$W$17,'Calc'!$Y$17)))))))</x:f>
      </x:c>
      <x:c r="AU291" t="str">
        <x:f>IF(Calc!$AO$291&gt;'Calc'!$B$8,"",IF('Calc'!$E$17=1,0,MAX(Calc!$AU$290*(1+IF(Calc!$AO$291&lt;='财富模型'!$E$11*12,'财富模型'!$E$10,'财富模型'!$E$12)/12)-IF('Calc'!$E$17=1,0,IF(Calc!$AO$291&lt;='财富模型'!$E$11*12,'Calc'!$W$17,'Calc'!$Y$17)),0)))</x:f>
      </x:c>
    </x:row>
    <x:row r="292">
      <x:c r="A292" t="n">
        <x:v>271</x:v>
      </x:c>
      <x:c r="B292" t="str">
        <x:f>IF(Calc!$A$292&gt;'Calc'!$B$8,"",MAX(Calc!$B$291*(1+'财富模型'!$E$6/12)+('Calc'!$B$5-'财富模型'!$E$5-(IF('Calc'!$E$12=1,'财富模型'!$E$9,'财富模型'!$M$4+IF(Calc!$A$292&lt;='财富模型'!$E$11*12,'Calc'!$W$12,'Calc'!$Y$12)-(IF('Calc'!$E$12=1,0,MIN(Calc!$C$291*(1+'财富模型'!$E$20/12)+'Calc'!$B$6,IF(Calc!$A$292&lt;='财富模型'!$E$11*12,'Calc'!$W$12,'Calc'!$Y$12))))))),0))</x:f>
      </x:c>
      <x:c r="C292" t="str">
        <x:f>IF(Calc!$A$292&gt;'Calc'!$B$8,"",MAX(Calc!$C$291*(1+'财富模型'!$E$20/12)+'Calc'!$B$6-(IF('Calc'!$E$12=1,0,MIN(Calc!$C$291*(1+'财富模型'!$E$20/12)+'Calc'!$B$6,IF(Calc!$A$292&lt;='财富模型'!$E$11*12,'Calc'!$W$12,'Calc'!$Y$12)))),0))</x:f>
      </x:c>
      <x:c r="D292" t="str">
        <x:f>IF(Calc!$A$292&gt;'Calc'!$B$8,"",IF('Calc'!$E$12=1,'财富模型'!$E$9,'财富模型'!$M$4+IF(Calc!$A$292&lt;='财富模型'!$E$11*12,'Calc'!$W$12,'Calc'!$Y$12)-(IF('Calc'!$E$12=1,0,MIN(Calc!$C$291*(1+'财富模型'!$E$20/12)+'Calc'!$B$6,IF(Calc!$A$292&lt;='财富模型'!$E$11*12,'Calc'!$W$12,'Calc'!$Y$12))))))</x:f>
      </x:c>
      <x:c r="E292" t="str">
        <x:f>IF(Calc!$A$292&gt;'Calc'!$B$8,"",IF('Calc'!$E$12=1,0,MIN(Calc!$C$291*(1+'财富模型'!$E$20/12)+'Calc'!$B$6,IF(Calc!$A$292&lt;='财富模型'!$E$11*12,'Calc'!$W$12,'Calc'!$Y$12))))</x:f>
      </x:c>
      <x:c r="F292" t="str">
        <x:f>IF(Calc!$A$292&gt;'Calc'!$B$8,"",'Calc'!$B$5-'财富模型'!$E$5-(IF('Calc'!$E$12=1,'财富模型'!$E$9,'财富模型'!$M$4+IF(Calc!$A$292&lt;='财富模型'!$E$11*12,'Calc'!$W$12,'Calc'!$Y$12)-(IF('Calc'!$E$12=1,0,MIN(Calc!$C$291*(1+'财富模型'!$E$20/12)+'Calc'!$B$6,IF(Calc!$A$292&lt;='财富模型'!$E$11*12,'Calc'!$W$12,'Calc'!$Y$12)))))))</x:f>
      </x:c>
      <x:c r="G292" t="str">
        <x:f>IF(Calc!$A$292&gt;'Calc'!$B$8,"",IF('Calc'!$E$12=1,0,MAX(Calc!$G$291*(1+IF(Calc!$A$292&lt;='财富模型'!$E$11*12,'财富模型'!$E$10,'财富模型'!$E$12)/12)-IF('Calc'!$E$12=1,0,IF(Calc!$A$292&lt;='财富模型'!$E$11*12,'Calc'!$W$12,'Calc'!$Y$12)),0)))</x:f>
      </x:c>
      <x:c r="I292" t="n">
        <x:v>271</x:v>
      </x:c>
      <x:c r="J292" t="str">
        <x:f>IF(Calc!$I$292&gt;'Calc'!$B$8,"",MAX(Calc!$J$291*(1+'财富模型'!$E$6/12)+('Calc'!$B$5-'财富模型'!$E$5-(IF('Calc'!$E$13=1,'财富模型'!$E$9,'财富模型'!$M$5+IF(Calc!$I$292&lt;='财富模型'!$E$11*12,'Calc'!$W$13,'Calc'!$Y$13)-(IF('Calc'!$E$13=1,0,MIN(Calc!$K$291*(1+'财富模型'!$E$20/12)+'Calc'!$B$6,IF(Calc!$I$292&lt;='财富模型'!$E$11*12,'Calc'!$W$13,'Calc'!$Y$13))))))),0))</x:f>
      </x:c>
      <x:c r="K292" t="str">
        <x:f>IF(Calc!$I$292&gt;'Calc'!$B$8,"",MAX(Calc!$K$291*(1+'财富模型'!$E$20/12)+'Calc'!$B$6-(IF('Calc'!$E$13=1,0,MIN(Calc!$K$291*(1+'财富模型'!$E$20/12)+'Calc'!$B$6,IF(Calc!$I$292&lt;='财富模型'!$E$11*12,'Calc'!$W$13,'Calc'!$Y$13)))),0))</x:f>
      </x:c>
      <x:c r="L292" t="str">
        <x:f>IF(Calc!$I$292&gt;'Calc'!$B$8,"",IF('Calc'!$E$13=1,'财富模型'!$E$9,'财富模型'!$M$5+IF(Calc!$I$292&lt;='财富模型'!$E$11*12,'Calc'!$W$13,'Calc'!$Y$13)-(IF('Calc'!$E$13=1,0,MIN(Calc!$K$291*(1+'财富模型'!$E$20/12)+'Calc'!$B$6,IF(Calc!$I$292&lt;='财富模型'!$E$11*12,'Calc'!$W$13,'Calc'!$Y$13))))))</x:f>
      </x:c>
      <x:c r="M292" t="str">
        <x:f>IF(Calc!$I$292&gt;'Calc'!$B$8,"",IF('Calc'!$E$13=1,0,MIN(Calc!$K$291*(1+'财富模型'!$E$20/12)+'Calc'!$B$6,IF(Calc!$I$292&lt;='财富模型'!$E$11*12,'Calc'!$W$13,'Calc'!$Y$13))))</x:f>
      </x:c>
      <x:c r="N292" t="str">
        <x:f>IF(Calc!$I$292&gt;'Calc'!$B$8,"",'Calc'!$B$5-'财富模型'!$E$5-(IF('Calc'!$E$13=1,'财富模型'!$E$9,'财富模型'!$M$5+IF(Calc!$I$292&lt;='财富模型'!$E$11*12,'Calc'!$W$13,'Calc'!$Y$13)-(IF('Calc'!$E$13=1,0,MIN(Calc!$K$291*(1+'财富模型'!$E$20/12)+'Calc'!$B$6,IF(Calc!$I$292&lt;='财富模型'!$E$11*12,'Calc'!$W$13,'Calc'!$Y$13)))))))</x:f>
      </x:c>
      <x:c r="O292" t="str">
        <x:f>IF(Calc!$I$292&gt;'Calc'!$B$8,"",IF('Calc'!$E$13=1,0,MAX(Calc!$O$291*(1+IF(Calc!$I$292&lt;='财富模型'!$E$11*12,'财富模型'!$E$10,'财富模型'!$E$12)/12)-IF('Calc'!$E$13=1,0,IF(Calc!$I$292&lt;='财富模型'!$E$11*12,'Calc'!$W$13,'Calc'!$Y$13)),0)))</x:f>
      </x:c>
      <x:c r="Q292" t="n">
        <x:v>271</x:v>
      </x:c>
      <x:c r="R292" t="str">
        <x:f>IF(Calc!$Q$292&gt;'Calc'!$B$8,"",MAX(Calc!$R$291*(1+'财富模型'!$E$6/12)+('Calc'!$B$5-'财富模型'!$E$5-(IF('Calc'!$E$14=1,'财富模型'!$E$9,'财富模型'!$M$6+IF(Calc!$Q$292&lt;='财富模型'!$E$11*12,'Calc'!$W$14,'Calc'!$Y$14)-(IF('Calc'!$E$14=1,0,MIN(Calc!$S$291*(1+'财富模型'!$E$20/12)+'Calc'!$B$6,IF(Calc!$Q$292&lt;='财富模型'!$E$11*12,'Calc'!$W$14,'Calc'!$Y$14))))))),0))</x:f>
      </x:c>
      <x:c r="S292" t="str">
        <x:f>IF(Calc!$Q$292&gt;'Calc'!$B$8,"",MAX(Calc!$S$291*(1+'财富模型'!$E$20/12)+'Calc'!$B$6-(IF('Calc'!$E$14=1,0,MIN(Calc!$S$291*(1+'财富模型'!$E$20/12)+'Calc'!$B$6,IF(Calc!$Q$292&lt;='财富模型'!$E$11*12,'Calc'!$W$14,'Calc'!$Y$14)))),0))</x:f>
      </x:c>
      <x:c r="T292" t="str">
        <x:f>IF(Calc!$Q$292&gt;'Calc'!$B$8,"",IF('Calc'!$E$14=1,'财富模型'!$E$9,'财富模型'!$M$6+IF(Calc!$Q$292&lt;='财富模型'!$E$11*12,'Calc'!$W$14,'Calc'!$Y$14)-(IF('Calc'!$E$14=1,0,MIN(Calc!$S$291*(1+'财富模型'!$E$20/12)+'Calc'!$B$6,IF(Calc!$Q$292&lt;='财富模型'!$E$11*12,'Calc'!$W$14,'Calc'!$Y$14))))))</x:f>
      </x:c>
      <x:c r="U292" t="str">
        <x:f>IF(Calc!$Q$292&gt;'Calc'!$B$8,"",IF('Calc'!$E$14=1,0,MIN(Calc!$S$291*(1+'财富模型'!$E$20/12)+'Calc'!$B$6,IF(Calc!$Q$292&lt;='财富模型'!$E$11*12,'Calc'!$W$14,'Calc'!$Y$14))))</x:f>
      </x:c>
      <x:c r="V292" t="str">
        <x:f>IF(Calc!$Q$292&gt;'Calc'!$B$8,"",'Calc'!$B$5-'财富模型'!$E$5-(IF('Calc'!$E$14=1,'财富模型'!$E$9,'财富模型'!$M$6+IF(Calc!$Q$292&lt;='财富模型'!$E$11*12,'Calc'!$W$14,'Calc'!$Y$14)-(IF('Calc'!$E$14=1,0,MIN(Calc!$S$291*(1+'财富模型'!$E$20/12)+'Calc'!$B$6,IF(Calc!$Q$292&lt;='财富模型'!$E$11*12,'Calc'!$W$14,'Calc'!$Y$14)))))))</x:f>
      </x:c>
      <x:c r="W292" t="str">
        <x:f>IF(Calc!$Q$292&gt;'Calc'!$B$8,"",IF('Calc'!$E$14=1,0,MAX(Calc!$W$291*(1+IF(Calc!$Q$292&lt;='财富模型'!$E$11*12,'财富模型'!$E$10,'财富模型'!$E$12)/12)-IF('Calc'!$E$14=1,0,IF(Calc!$Q$292&lt;='财富模型'!$E$11*12,'Calc'!$W$14,'Calc'!$Y$14)),0)))</x:f>
      </x:c>
      <x:c r="Y292" t="n">
        <x:v>271</x:v>
      </x:c>
      <x:c r="Z292" t="str">
        <x:f>IF(Calc!$Y$292&gt;'Calc'!$B$8,"",MAX(Calc!$Z$291*(1+'财富模型'!$E$6/12)+('Calc'!$B$5-'财富模型'!$E$5-(IF('Calc'!$E$15=1,'财富模型'!$E$9,'财富模型'!$M$7+IF(Calc!$Y$292&lt;='财富模型'!$E$11*12,'Calc'!$W$15,'Calc'!$Y$15)-(IF('Calc'!$E$15=1,0,MIN(Calc!$AA$291*(1+'财富模型'!$E$20/12)+'Calc'!$B$6,IF(Calc!$Y$292&lt;='财富模型'!$E$11*12,'Calc'!$W$15,'Calc'!$Y$15))))))),0))</x:f>
      </x:c>
      <x:c r="AA292" t="str">
        <x:f>IF(Calc!$Y$292&gt;'Calc'!$B$8,"",MAX(Calc!$AA$291*(1+'财富模型'!$E$20/12)+'Calc'!$B$6-(IF('Calc'!$E$15=1,0,MIN(Calc!$AA$291*(1+'财富模型'!$E$20/12)+'Calc'!$B$6,IF(Calc!$Y$292&lt;='财富模型'!$E$11*12,'Calc'!$W$15,'Calc'!$Y$15)))),0))</x:f>
      </x:c>
      <x:c r="AB292" t="str">
        <x:f>IF(Calc!$Y$292&gt;'Calc'!$B$8,"",IF('Calc'!$E$15=1,'财富模型'!$E$9,'财富模型'!$M$7+IF(Calc!$Y$292&lt;='财富模型'!$E$11*12,'Calc'!$W$15,'Calc'!$Y$15)-(IF('Calc'!$E$15=1,0,MIN(Calc!$AA$291*(1+'财富模型'!$E$20/12)+'Calc'!$B$6,IF(Calc!$Y$292&lt;='财富模型'!$E$11*12,'Calc'!$W$15,'Calc'!$Y$15))))))</x:f>
      </x:c>
      <x:c r="AC292" t="str">
        <x:f>IF(Calc!$Y$292&gt;'Calc'!$B$8,"",IF('Calc'!$E$15=1,0,MIN(Calc!$AA$291*(1+'财富模型'!$E$20/12)+'Calc'!$B$6,IF(Calc!$Y$292&lt;='财富模型'!$E$11*12,'Calc'!$W$15,'Calc'!$Y$15))))</x:f>
      </x:c>
      <x:c r="AD292" t="str">
        <x:f>IF(Calc!$Y$292&gt;'Calc'!$B$8,"",'Calc'!$B$5-'财富模型'!$E$5-(IF('Calc'!$E$15=1,'财富模型'!$E$9,'财富模型'!$M$7+IF(Calc!$Y$292&lt;='财富模型'!$E$11*12,'Calc'!$W$15,'Calc'!$Y$15)-(IF('Calc'!$E$15=1,0,MIN(Calc!$AA$291*(1+'财富模型'!$E$20/12)+'Calc'!$B$6,IF(Calc!$Y$292&lt;='财富模型'!$E$11*12,'Calc'!$W$15,'Calc'!$Y$15)))))))</x:f>
      </x:c>
      <x:c r="AE292" t="str">
        <x:f>IF(Calc!$Y$292&gt;'Calc'!$B$8,"",IF('Calc'!$E$15=1,0,MAX(Calc!$AE$291*(1+IF(Calc!$Y$292&lt;='财富模型'!$E$11*12,'财富模型'!$E$10,'财富模型'!$E$12)/12)-IF('Calc'!$E$15=1,0,IF(Calc!$Y$292&lt;='财富模型'!$E$11*12,'Calc'!$W$15,'Calc'!$Y$15)),0)))</x:f>
      </x:c>
      <x:c r="AG292" t="n">
        <x:v>271</x:v>
      </x:c>
      <x:c r="AH292" t="str">
        <x:f>IF(Calc!$AG$292&gt;'Calc'!$B$8,"",MAX(Calc!$AH$291*(1+'财富模型'!$E$6/12)+('Calc'!$B$5-'财富模型'!$E$5-(IF('Calc'!$E$16=1,'财富模型'!$E$9,'财富模型'!$M$8+IF(Calc!$AG$292&lt;='财富模型'!$E$11*12,'Calc'!$W$16,'Calc'!$Y$16)-(IF('Calc'!$E$16=1,0,MIN(Calc!$AI$291*(1+'财富模型'!$E$20/12)+'Calc'!$B$6,IF(Calc!$AG$292&lt;='财富模型'!$E$11*12,'Calc'!$W$16,'Calc'!$Y$16))))))),0))</x:f>
      </x:c>
      <x:c r="AI292" t="str">
        <x:f>IF(Calc!$AG$292&gt;'Calc'!$B$8,"",MAX(Calc!$AI$291*(1+'财富模型'!$E$20/12)+'Calc'!$B$6-(IF('Calc'!$E$16=1,0,MIN(Calc!$AI$291*(1+'财富模型'!$E$20/12)+'Calc'!$B$6,IF(Calc!$AG$292&lt;='财富模型'!$E$11*12,'Calc'!$W$16,'Calc'!$Y$16)))),0))</x:f>
      </x:c>
      <x:c r="AJ292" t="str">
        <x:f>IF(Calc!$AG$292&gt;'Calc'!$B$8,"",IF('Calc'!$E$16=1,'财富模型'!$E$9,'财富模型'!$M$8+IF(Calc!$AG$292&lt;='财富模型'!$E$11*12,'Calc'!$W$16,'Calc'!$Y$16)-(IF('Calc'!$E$16=1,0,MIN(Calc!$AI$291*(1+'财富模型'!$E$20/12)+'Calc'!$B$6,IF(Calc!$AG$292&lt;='财富模型'!$E$11*12,'Calc'!$W$16,'Calc'!$Y$16))))))</x:f>
      </x:c>
      <x:c r="AK292" t="str">
        <x:f>IF(Calc!$AG$292&gt;'Calc'!$B$8,"",IF('Calc'!$E$16=1,0,MIN(Calc!$AI$291*(1+'财富模型'!$E$20/12)+'Calc'!$B$6,IF(Calc!$AG$292&lt;='财富模型'!$E$11*12,'Calc'!$W$16,'Calc'!$Y$16))))</x:f>
      </x:c>
      <x:c r="AL292" t="str">
        <x:f>IF(Calc!$AG$292&gt;'Calc'!$B$8,"",'Calc'!$B$5-'财富模型'!$E$5-(IF('Calc'!$E$16=1,'财富模型'!$E$9,'财富模型'!$M$8+IF(Calc!$AG$292&lt;='财富模型'!$E$11*12,'Calc'!$W$16,'Calc'!$Y$16)-(IF('Calc'!$E$16=1,0,MIN(Calc!$AI$291*(1+'财富模型'!$E$20/12)+'Calc'!$B$6,IF(Calc!$AG$292&lt;='财富模型'!$E$11*12,'Calc'!$W$16,'Calc'!$Y$16)))))))</x:f>
      </x:c>
      <x:c r="AM292" t="str">
        <x:f>IF(Calc!$AG$292&gt;'Calc'!$B$8,"",IF('Calc'!$E$16=1,0,MAX(Calc!$AM$291*(1+IF(Calc!$AG$292&lt;='财富模型'!$E$11*12,'财富模型'!$E$10,'财富模型'!$E$12)/12)-IF('Calc'!$E$16=1,0,IF(Calc!$AG$292&lt;='财富模型'!$E$11*12,'Calc'!$W$16,'Calc'!$Y$16)),0)))</x:f>
      </x:c>
      <x:c r="AO292" t="n">
        <x:v>271</x:v>
      </x:c>
      <x:c r="AP292" t="str">
        <x:f>IF(Calc!$AO$292&gt;'Calc'!$B$8,"",MAX(Calc!$AP$291*(1+'财富模型'!$E$6/12)+('Calc'!$B$5-'财富模型'!$E$5-(IF('Calc'!$E$17=1,'财富模型'!$E$9,'财富模型'!$M$9+IF(Calc!$AO$292&lt;='财富模型'!$E$11*12,'Calc'!$W$17,'Calc'!$Y$17)-(IF('Calc'!$E$17=1,0,MIN(Calc!$AQ$291*(1+'财富模型'!$E$20/12)+'Calc'!$B$6,IF(Calc!$AO$292&lt;='财富模型'!$E$11*12,'Calc'!$W$17,'Calc'!$Y$17))))))),0))</x:f>
      </x:c>
      <x:c r="AQ292" t="str">
        <x:f>IF(Calc!$AO$292&gt;'Calc'!$B$8,"",MAX(Calc!$AQ$291*(1+'财富模型'!$E$20/12)+'Calc'!$B$6-(IF('Calc'!$E$17=1,0,MIN(Calc!$AQ$291*(1+'财富模型'!$E$20/12)+'Calc'!$B$6,IF(Calc!$AO$292&lt;='财富模型'!$E$11*12,'Calc'!$W$17,'Calc'!$Y$17)))),0))</x:f>
      </x:c>
      <x:c r="AR292" t="str">
        <x:f>IF(Calc!$AO$292&gt;'Calc'!$B$8,"",IF('Calc'!$E$17=1,'财富模型'!$E$9,'财富模型'!$M$9+IF(Calc!$AO$292&lt;='财富模型'!$E$11*12,'Calc'!$W$17,'Calc'!$Y$17)-(IF('Calc'!$E$17=1,0,MIN(Calc!$AQ$291*(1+'财富模型'!$E$20/12)+'Calc'!$B$6,IF(Calc!$AO$292&lt;='财富模型'!$E$11*12,'Calc'!$W$17,'Calc'!$Y$17))))))</x:f>
      </x:c>
      <x:c r="AS292" t="str">
        <x:f>IF(Calc!$AO$292&gt;'Calc'!$B$8,"",IF('Calc'!$E$17=1,0,MIN(Calc!$AQ$291*(1+'财富模型'!$E$20/12)+'Calc'!$B$6,IF(Calc!$AO$292&lt;='财富模型'!$E$11*12,'Calc'!$W$17,'Calc'!$Y$17))))</x:f>
      </x:c>
      <x:c r="AT292" t="str">
        <x:f>IF(Calc!$AO$292&gt;'Calc'!$B$8,"",'Calc'!$B$5-'财富模型'!$E$5-(IF('Calc'!$E$17=1,'财富模型'!$E$9,'财富模型'!$M$9+IF(Calc!$AO$292&lt;='财富模型'!$E$11*12,'Calc'!$W$17,'Calc'!$Y$17)-(IF('Calc'!$E$17=1,0,MIN(Calc!$AQ$291*(1+'财富模型'!$E$20/12)+'Calc'!$B$6,IF(Calc!$AO$292&lt;='财富模型'!$E$11*12,'Calc'!$W$17,'Calc'!$Y$17)))))))</x:f>
      </x:c>
      <x:c r="AU292" t="str">
        <x:f>IF(Calc!$AO$292&gt;'Calc'!$B$8,"",IF('Calc'!$E$17=1,0,MAX(Calc!$AU$291*(1+IF(Calc!$AO$292&lt;='财富模型'!$E$11*12,'财富模型'!$E$10,'财富模型'!$E$12)/12)-IF('Calc'!$E$17=1,0,IF(Calc!$AO$292&lt;='财富模型'!$E$11*12,'Calc'!$W$17,'Calc'!$Y$17)),0)))</x:f>
      </x:c>
    </x:row>
    <x:row r="293">
      <x:c r="A293" t="n">
        <x:v>272</x:v>
      </x:c>
      <x:c r="B293" t="str">
        <x:f>IF(Calc!$A$293&gt;'Calc'!$B$8,"",MAX(Calc!$B$292*(1+'财富模型'!$E$6/12)+('Calc'!$B$5-'财富模型'!$E$5-(IF('Calc'!$E$12=1,'财富模型'!$E$9,'财富模型'!$M$4+IF(Calc!$A$293&lt;='财富模型'!$E$11*12,'Calc'!$W$12,'Calc'!$Y$12)-(IF('Calc'!$E$12=1,0,MIN(Calc!$C$292*(1+'财富模型'!$E$20/12)+'Calc'!$B$6,IF(Calc!$A$293&lt;='财富模型'!$E$11*12,'Calc'!$W$12,'Calc'!$Y$12))))))),0))</x:f>
      </x:c>
      <x:c r="C293" t="str">
        <x:f>IF(Calc!$A$293&gt;'Calc'!$B$8,"",MAX(Calc!$C$292*(1+'财富模型'!$E$20/12)+'Calc'!$B$6-(IF('Calc'!$E$12=1,0,MIN(Calc!$C$292*(1+'财富模型'!$E$20/12)+'Calc'!$B$6,IF(Calc!$A$293&lt;='财富模型'!$E$11*12,'Calc'!$W$12,'Calc'!$Y$12)))),0))</x:f>
      </x:c>
      <x:c r="D293" t="str">
        <x:f>IF(Calc!$A$293&gt;'Calc'!$B$8,"",IF('Calc'!$E$12=1,'财富模型'!$E$9,'财富模型'!$M$4+IF(Calc!$A$293&lt;='财富模型'!$E$11*12,'Calc'!$W$12,'Calc'!$Y$12)-(IF('Calc'!$E$12=1,0,MIN(Calc!$C$292*(1+'财富模型'!$E$20/12)+'Calc'!$B$6,IF(Calc!$A$293&lt;='财富模型'!$E$11*12,'Calc'!$W$12,'Calc'!$Y$12))))))</x:f>
      </x:c>
      <x:c r="E293" t="str">
        <x:f>IF(Calc!$A$293&gt;'Calc'!$B$8,"",IF('Calc'!$E$12=1,0,MIN(Calc!$C$292*(1+'财富模型'!$E$20/12)+'Calc'!$B$6,IF(Calc!$A$293&lt;='财富模型'!$E$11*12,'Calc'!$W$12,'Calc'!$Y$12))))</x:f>
      </x:c>
      <x:c r="F293" t="str">
        <x:f>IF(Calc!$A$293&gt;'Calc'!$B$8,"",'Calc'!$B$5-'财富模型'!$E$5-(IF('Calc'!$E$12=1,'财富模型'!$E$9,'财富模型'!$M$4+IF(Calc!$A$293&lt;='财富模型'!$E$11*12,'Calc'!$W$12,'Calc'!$Y$12)-(IF('Calc'!$E$12=1,0,MIN(Calc!$C$292*(1+'财富模型'!$E$20/12)+'Calc'!$B$6,IF(Calc!$A$293&lt;='财富模型'!$E$11*12,'Calc'!$W$12,'Calc'!$Y$12)))))))</x:f>
      </x:c>
      <x:c r="G293" t="str">
        <x:f>IF(Calc!$A$293&gt;'Calc'!$B$8,"",IF('Calc'!$E$12=1,0,MAX(Calc!$G$292*(1+IF(Calc!$A$293&lt;='财富模型'!$E$11*12,'财富模型'!$E$10,'财富模型'!$E$12)/12)-IF('Calc'!$E$12=1,0,IF(Calc!$A$293&lt;='财富模型'!$E$11*12,'Calc'!$W$12,'Calc'!$Y$12)),0)))</x:f>
      </x:c>
      <x:c r="I293" t="n">
        <x:v>272</x:v>
      </x:c>
      <x:c r="J293" t="str">
        <x:f>IF(Calc!$I$293&gt;'Calc'!$B$8,"",MAX(Calc!$J$292*(1+'财富模型'!$E$6/12)+('Calc'!$B$5-'财富模型'!$E$5-(IF('Calc'!$E$13=1,'财富模型'!$E$9,'财富模型'!$M$5+IF(Calc!$I$293&lt;='财富模型'!$E$11*12,'Calc'!$W$13,'Calc'!$Y$13)-(IF('Calc'!$E$13=1,0,MIN(Calc!$K$292*(1+'财富模型'!$E$20/12)+'Calc'!$B$6,IF(Calc!$I$293&lt;='财富模型'!$E$11*12,'Calc'!$W$13,'Calc'!$Y$13))))))),0))</x:f>
      </x:c>
      <x:c r="K293" t="str">
        <x:f>IF(Calc!$I$293&gt;'Calc'!$B$8,"",MAX(Calc!$K$292*(1+'财富模型'!$E$20/12)+'Calc'!$B$6-(IF('Calc'!$E$13=1,0,MIN(Calc!$K$292*(1+'财富模型'!$E$20/12)+'Calc'!$B$6,IF(Calc!$I$293&lt;='财富模型'!$E$11*12,'Calc'!$W$13,'Calc'!$Y$13)))),0))</x:f>
      </x:c>
      <x:c r="L293" t="str">
        <x:f>IF(Calc!$I$293&gt;'Calc'!$B$8,"",IF('Calc'!$E$13=1,'财富模型'!$E$9,'财富模型'!$M$5+IF(Calc!$I$293&lt;='财富模型'!$E$11*12,'Calc'!$W$13,'Calc'!$Y$13)-(IF('Calc'!$E$13=1,0,MIN(Calc!$K$292*(1+'财富模型'!$E$20/12)+'Calc'!$B$6,IF(Calc!$I$293&lt;='财富模型'!$E$11*12,'Calc'!$W$13,'Calc'!$Y$13))))))</x:f>
      </x:c>
      <x:c r="M293" t="str">
        <x:f>IF(Calc!$I$293&gt;'Calc'!$B$8,"",IF('Calc'!$E$13=1,0,MIN(Calc!$K$292*(1+'财富模型'!$E$20/12)+'Calc'!$B$6,IF(Calc!$I$293&lt;='财富模型'!$E$11*12,'Calc'!$W$13,'Calc'!$Y$13))))</x:f>
      </x:c>
      <x:c r="N293" t="str">
        <x:f>IF(Calc!$I$293&gt;'Calc'!$B$8,"",'Calc'!$B$5-'财富模型'!$E$5-(IF('Calc'!$E$13=1,'财富模型'!$E$9,'财富模型'!$M$5+IF(Calc!$I$293&lt;='财富模型'!$E$11*12,'Calc'!$W$13,'Calc'!$Y$13)-(IF('Calc'!$E$13=1,0,MIN(Calc!$K$292*(1+'财富模型'!$E$20/12)+'Calc'!$B$6,IF(Calc!$I$293&lt;='财富模型'!$E$11*12,'Calc'!$W$13,'Calc'!$Y$13)))))))</x:f>
      </x:c>
      <x:c r="O293" t="str">
        <x:f>IF(Calc!$I$293&gt;'Calc'!$B$8,"",IF('Calc'!$E$13=1,0,MAX(Calc!$O$292*(1+IF(Calc!$I$293&lt;='财富模型'!$E$11*12,'财富模型'!$E$10,'财富模型'!$E$12)/12)-IF('Calc'!$E$13=1,0,IF(Calc!$I$293&lt;='财富模型'!$E$11*12,'Calc'!$W$13,'Calc'!$Y$13)),0)))</x:f>
      </x:c>
      <x:c r="Q293" t="n">
        <x:v>272</x:v>
      </x:c>
      <x:c r="R293" t="str">
        <x:f>IF(Calc!$Q$293&gt;'Calc'!$B$8,"",MAX(Calc!$R$292*(1+'财富模型'!$E$6/12)+('Calc'!$B$5-'财富模型'!$E$5-(IF('Calc'!$E$14=1,'财富模型'!$E$9,'财富模型'!$M$6+IF(Calc!$Q$293&lt;='财富模型'!$E$11*12,'Calc'!$W$14,'Calc'!$Y$14)-(IF('Calc'!$E$14=1,0,MIN(Calc!$S$292*(1+'财富模型'!$E$20/12)+'Calc'!$B$6,IF(Calc!$Q$293&lt;='财富模型'!$E$11*12,'Calc'!$W$14,'Calc'!$Y$14))))))),0))</x:f>
      </x:c>
      <x:c r="S293" t="str">
        <x:f>IF(Calc!$Q$293&gt;'Calc'!$B$8,"",MAX(Calc!$S$292*(1+'财富模型'!$E$20/12)+'Calc'!$B$6-(IF('Calc'!$E$14=1,0,MIN(Calc!$S$292*(1+'财富模型'!$E$20/12)+'Calc'!$B$6,IF(Calc!$Q$293&lt;='财富模型'!$E$11*12,'Calc'!$W$14,'Calc'!$Y$14)))),0))</x:f>
      </x:c>
      <x:c r="T293" t="str">
        <x:f>IF(Calc!$Q$293&gt;'Calc'!$B$8,"",IF('Calc'!$E$14=1,'财富模型'!$E$9,'财富模型'!$M$6+IF(Calc!$Q$293&lt;='财富模型'!$E$11*12,'Calc'!$W$14,'Calc'!$Y$14)-(IF('Calc'!$E$14=1,0,MIN(Calc!$S$292*(1+'财富模型'!$E$20/12)+'Calc'!$B$6,IF(Calc!$Q$293&lt;='财富模型'!$E$11*12,'Calc'!$W$14,'Calc'!$Y$14))))))</x:f>
      </x:c>
      <x:c r="U293" t="str">
        <x:f>IF(Calc!$Q$293&gt;'Calc'!$B$8,"",IF('Calc'!$E$14=1,0,MIN(Calc!$S$292*(1+'财富模型'!$E$20/12)+'Calc'!$B$6,IF(Calc!$Q$293&lt;='财富模型'!$E$11*12,'Calc'!$W$14,'Calc'!$Y$14))))</x:f>
      </x:c>
      <x:c r="V293" t="str">
        <x:f>IF(Calc!$Q$293&gt;'Calc'!$B$8,"",'Calc'!$B$5-'财富模型'!$E$5-(IF('Calc'!$E$14=1,'财富模型'!$E$9,'财富模型'!$M$6+IF(Calc!$Q$293&lt;='财富模型'!$E$11*12,'Calc'!$W$14,'Calc'!$Y$14)-(IF('Calc'!$E$14=1,0,MIN(Calc!$S$292*(1+'财富模型'!$E$20/12)+'Calc'!$B$6,IF(Calc!$Q$293&lt;='财富模型'!$E$11*12,'Calc'!$W$14,'Calc'!$Y$14)))))))</x:f>
      </x:c>
      <x:c r="W293" t="str">
        <x:f>IF(Calc!$Q$293&gt;'Calc'!$B$8,"",IF('Calc'!$E$14=1,0,MAX(Calc!$W$292*(1+IF(Calc!$Q$293&lt;='财富模型'!$E$11*12,'财富模型'!$E$10,'财富模型'!$E$12)/12)-IF('Calc'!$E$14=1,0,IF(Calc!$Q$293&lt;='财富模型'!$E$11*12,'Calc'!$W$14,'Calc'!$Y$14)),0)))</x:f>
      </x:c>
      <x:c r="Y293" t="n">
        <x:v>272</x:v>
      </x:c>
      <x:c r="Z293" t="str">
        <x:f>IF(Calc!$Y$293&gt;'Calc'!$B$8,"",MAX(Calc!$Z$292*(1+'财富模型'!$E$6/12)+('Calc'!$B$5-'财富模型'!$E$5-(IF('Calc'!$E$15=1,'财富模型'!$E$9,'财富模型'!$M$7+IF(Calc!$Y$293&lt;='财富模型'!$E$11*12,'Calc'!$W$15,'Calc'!$Y$15)-(IF('Calc'!$E$15=1,0,MIN(Calc!$AA$292*(1+'财富模型'!$E$20/12)+'Calc'!$B$6,IF(Calc!$Y$293&lt;='财富模型'!$E$11*12,'Calc'!$W$15,'Calc'!$Y$15))))))),0))</x:f>
      </x:c>
      <x:c r="AA293" t="str">
        <x:f>IF(Calc!$Y$293&gt;'Calc'!$B$8,"",MAX(Calc!$AA$292*(1+'财富模型'!$E$20/12)+'Calc'!$B$6-(IF('Calc'!$E$15=1,0,MIN(Calc!$AA$292*(1+'财富模型'!$E$20/12)+'Calc'!$B$6,IF(Calc!$Y$293&lt;='财富模型'!$E$11*12,'Calc'!$W$15,'Calc'!$Y$15)))),0))</x:f>
      </x:c>
      <x:c r="AB293" t="str">
        <x:f>IF(Calc!$Y$293&gt;'Calc'!$B$8,"",IF('Calc'!$E$15=1,'财富模型'!$E$9,'财富模型'!$M$7+IF(Calc!$Y$293&lt;='财富模型'!$E$11*12,'Calc'!$W$15,'Calc'!$Y$15)-(IF('Calc'!$E$15=1,0,MIN(Calc!$AA$292*(1+'财富模型'!$E$20/12)+'Calc'!$B$6,IF(Calc!$Y$293&lt;='财富模型'!$E$11*12,'Calc'!$W$15,'Calc'!$Y$15))))))</x:f>
      </x:c>
      <x:c r="AC293" t="str">
        <x:f>IF(Calc!$Y$293&gt;'Calc'!$B$8,"",IF('Calc'!$E$15=1,0,MIN(Calc!$AA$292*(1+'财富模型'!$E$20/12)+'Calc'!$B$6,IF(Calc!$Y$293&lt;='财富模型'!$E$11*12,'Calc'!$W$15,'Calc'!$Y$15))))</x:f>
      </x:c>
      <x:c r="AD293" t="str">
        <x:f>IF(Calc!$Y$293&gt;'Calc'!$B$8,"",'Calc'!$B$5-'财富模型'!$E$5-(IF('Calc'!$E$15=1,'财富模型'!$E$9,'财富模型'!$M$7+IF(Calc!$Y$293&lt;='财富模型'!$E$11*12,'Calc'!$W$15,'Calc'!$Y$15)-(IF('Calc'!$E$15=1,0,MIN(Calc!$AA$292*(1+'财富模型'!$E$20/12)+'Calc'!$B$6,IF(Calc!$Y$293&lt;='财富模型'!$E$11*12,'Calc'!$W$15,'Calc'!$Y$15)))))))</x:f>
      </x:c>
      <x:c r="AE293" t="str">
        <x:f>IF(Calc!$Y$293&gt;'Calc'!$B$8,"",IF('Calc'!$E$15=1,0,MAX(Calc!$AE$292*(1+IF(Calc!$Y$293&lt;='财富模型'!$E$11*12,'财富模型'!$E$10,'财富模型'!$E$12)/12)-IF('Calc'!$E$15=1,0,IF(Calc!$Y$293&lt;='财富模型'!$E$11*12,'Calc'!$W$15,'Calc'!$Y$15)),0)))</x:f>
      </x:c>
      <x:c r="AG293" t="n">
        <x:v>272</x:v>
      </x:c>
      <x:c r="AH293" t="str">
        <x:f>IF(Calc!$AG$293&gt;'Calc'!$B$8,"",MAX(Calc!$AH$292*(1+'财富模型'!$E$6/12)+('Calc'!$B$5-'财富模型'!$E$5-(IF('Calc'!$E$16=1,'财富模型'!$E$9,'财富模型'!$M$8+IF(Calc!$AG$293&lt;='财富模型'!$E$11*12,'Calc'!$W$16,'Calc'!$Y$16)-(IF('Calc'!$E$16=1,0,MIN(Calc!$AI$292*(1+'财富模型'!$E$20/12)+'Calc'!$B$6,IF(Calc!$AG$293&lt;='财富模型'!$E$11*12,'Calc'!$W$16,'Calc'!$Y$16))))))),0))</x:f>
      </x:c>
      <x:c r="AI293" t="str">
        <x:f>IF(Calc!$AG$293&gt;'Calc'!$B$8,"",MAX(Calc!$AI$292*(1+'财富模型'!$E$20/12)+'Calc'!$B$6-(IF('Calc'!$E$16=1,0,MIN(Calc!$AI$292*(1+'财富模型'!$E$20/12)+'Calc'!$B$6,IF(Calc!$AG$293&lt;='财富模型'!$E$11*12,'Calc'!$W$16,'Calc'!$Y$16)))),0))</x:f>
      </x:c>
      <x:c r="AJ293" t="str">
        <x:f>IF(Calc!$AG$293&gt;'Calc'!$B$8,"",IF('Calc'!$E$16=1,'财富模型'!$E$9,'财富模型'!$M$8+IF(Calc!$AG$293&lt;='财富模型'!$E$11*12,'Calc'!$W$16,'Calc'!$Y$16)-(IF('Calc'!$E$16=1,0,MIN(Calc!$AI$292*(1+'财富模型'!$E$20/12)+'Calc'!$B$6,IF(Calc!$AG$293&lt;='财富模型'!$E$11*12,'Calc'!$W$16,'Calc'!$Y$16))))))</x:f>
      </x:c>
      <x:c r="AK293" t="str">
        <x:f>IF(Calc!$AG$293&gt;'Calc'!$B$8,"",IF('Calc'!$E$16=1,0,MIN(Calc!$AI$292*(1+'财富模型'!$E$20/12)+'Calc'!$B$6,IF(Calc!$AG$293&lt;='财富模型'!$E$11*12,'Calc'!$W$16,'Calc'!$Y$16))))</x:f>
      </x:c>
      <x:c r="AL293" t="str">
        <x:f>IF(Calc!$AG$293&gt;'Calc'!$B$8,"",'Calc'!$B$5-'财富模型'!$E$5-(IF('Calc'!$E$16=1,'财富模型'!$E$9,'财富模型'!$M$8+IF(Calc!$AG$293&lt;='财富模型'!$E$11*12,'Calc'!$W$16,'Calc'!$Y$16)-(IF('Calc'!$E$16=1,0,MIN(Calc!$AI$292*(1+'财富模型'!$E$20/12)+'Calc'!$B$6,IF(Calc!$AG$293&lt;='财富模型'!$E$11*12,'Calc'!$W$16,'Calc'!$Y$16)))))))</x:f>
      </x:c>
      <x:c r="AM293" t="str">
        <x:f>IF(Calc!$AG$293&gt;'Calc'!$B$8,"",IF('Calc'!$E$16=1,0,MAX(Calc!$AM$292*(1+IF(Calc!$AG$293&lt;='财富模型'!$E$11*12,'财富模型'!$E$10,'财富模型'!$E$12)/12)-IF('Calc'!$E$16=1,0,IF(Calc!$AG$293&lt;='财富模型'!$E$11*12,'Calc'!$W$16,'Calc'!$Y$16)),0)))</x:f>
      </x:c>
      <x:c r="AO293" t="n">
        <x:v>272</x:v>
      </x:c>
      <x:c r="AP293" t="str">
        <x:f>IF(Calc!$AO$293&gt;'Calc'!$B$8,"",MAX(Calc!$AP$292*(1+'财富模型'!$E$6/12)+('Calc'!$B$5-'财富模型'!$E$5-(IF('Calc'!$E$17=1,'财富模型'!$E$9,'财富模型'!$M$9+IF(Calc!$AO$293&lt;='财富模型'!$E$11*12,'Calc'!$W$17,'Calc'!$Y$17)-(IF('Calc'!$E$17=1,0,MIN(Calc!$AQ$292*(1+'财富模型'!$E$20/12)+'Calc'!$B$6,IF(Calc!$AO$293&lt;='财富模型'!$E$11*12,'Calc'!$W$17,'Calc'!$Y$17))))))),0))</x:f>
      </x:c>
      <x:c r="AQ293" t="str">
        <x:f>IF(Calc!$AO$293&gt;'Calc'!$B$8,"",MAX(Calc!$AQ$292*(1+'财富模型'!$E$20/12)+'Calc'!$B$6-(IF('Calc'!$E$17=1,0,MIN(Calc!$AQ$292*(1+'财富模型'!$E$20/12)+'Calc'!$B$6,IF(Calc!$AO$293&lt;='财富模型'!$E$11*12,'Calc'!$W$17,'Calc'!$Y$17)))),0))</x:f>
      </x:c>
      <x:c r="AR293" t="str">
        <x:f>IF(Calc!$AO$293&gt;'Calc'!$B$8,"",IF('Calc'!$E$17=1,'财富模型'!$E$9,'财富模型'!$M$9+IF(Calc!$AO$293&lt;='财富模型'!$E$11*12,'Calc'!$W$17,'Calc'!$Y$17)-(IF('Calc'!$E$17=1,0,MIN(Calc!$AQ$292*(1+'财富模型'!$E$20/12)+'Calc'!$B$6,IF(Calc!$AO$293&lt;='财富模型'!$E$11*12,'Calc'!$W$17,'Calc'!$Y$17))))))</x:f>
      </x:c>
      <x:c r="AS293" t="str">
        <x:f>IF(Calc!$AO$293&gt;'Calc'!$B$8,"",IF('Calc'!$E$17=1,0,MIN(Calc!$AQ$292*(1+'财富模型'!$E$20/12)+'Calc'!$B$6,IF(Calc!$AO$293&lt;='财富模型'!$E$11*12,'Calc'!$W$17,'Calc'!$Y$17))))</x:f>
      </x:c>
      <x:c r="AT293" t="str">
        <x:f>IF(Calc!$AO$293&gt;'Calc'!$B$8,"",'Calc'!$B$5-'财富模型'!$E$5-(IF('Calc'!$E$17=1,'财富模型'!$E$9,'财富模型'!$M$9+IF(Calc!$AO$293&lt;='财富模型'!$E$11*12,'Calc'!$W$17,'Calc'!$Y$17)-(IF('Calc'!$E$17=1,0,MIN(Calc!$AQ$292*(1+'财富模型'!$E$20/12)+'Calc'!$B$6,IF(Calc!$AO$293&lt;='财富模型'!$E$11*12,'Calc'!$W$17,'Calc'!$Y$17)))))))</x:f>
      </x:c>
      <x:c r="AU293" t="str">
        <x:f>IF(Calc!$AO$293&gt;'Calc'!$B$8,"",IF('Calc'!$E$17=1,0,MAX(Calc!$AU$292*(1+IF(Calc!$AO$293&lt;='财富模型'!$E$11*12,'财富模型'!$E$10,'财富模型'!$E$12)/12)-IF('Calc'!$E$17=1,0,IF(Calc!$AO$293&lt;='财富模型'!$E$11*12,'Calc'!$W$17,'Calc'!$Y$17)),0)))</x:f>
      </x:c>
    </x:row>
    <x:row r="294">
      <x:c r="A294" t="n">
        <x:v>273</x:v>
      </x:c>
      <x:c r="B294" t="str">
        <x:f>IF(Calc!$A$294&gt;'Calc'!$B$8,"",MAX(Calc!$B$293*(1+'财富模型'!$E$6/12)+('Calc'!$B$5-'财富模型'!$E$5-(IF('Calc'!$E$12=1,'财富模型'!$E$9,'财富模型'!$M$4+IF(Calc!$A$294&lt;='财富模型'!$E$11*12,'Calc'!$W$12,'Calc'!$Y$12)-(IF('Calc'!$E$12=1,0,MIN(Calc!$C$293*(1+'财富模型'!$E$20/12)+'Calc'!$B$6,IF(Calc!$A$294&lt;='财富模型'!$E$11*12,'Calc'!$W$12,'Calc'!$Y$12))))))),0))</x:f>
      </x:c>
      <x:c r="C294" t="str">
        <x:f>IF(Calc!$A$294&gt;'Calc'!$B$8,"",MAX(Calc!$C$293*(1+'财富模型'!$E$20/12)+'Calc'!$B$6-(IF('Calc'!$E$12=1,0,MIN(Calc!$C$293*(1+'财富模型'!$E$20/12)+'Calc'!$B$6,IF(Calc!$A$294&lt;='财富模型'!$E$11*12,'Calc'!$W$12,'Calc'!$Y$12)))),0))</x:f>
      </x:c>
      <x:c r="D294" t="str">
        <x:f>IF(Calc!$A$294&gt;'Calc'!$B$8,"",IF('Calc'!$E$12=1,'财富模型'!$E$9,'财富模型'!$M$4+IF(Calc!$A$294&lt;='财富模型'!$E$11*12,'Calc'!$W$12,'Calc'!$Y$12)-(IF('Calc'!$E$12=1,0,MIN(Calc!$C$293*(1+'财富模型'!$E$20/12)+'Calc'!$B$6,IF(Calc!$A$294&lt;='财富模型'!$E$11*12,'Calc'!$W$12,'Calc'!$Y$12))))))</x:f>
      </x:c>
      <x:c r="E294" t="str">
        <x:f>IF(Calc!$A$294&gt;'Calc'!$B$8,"",IF('Calc'!$E$12=1,0,MIN(Calc!$C$293*(1+'财富模型'!$E$20/12)+'Calc'!$B$6,IF(Calc!$A$294&lt;='财富模型'!$E$11*12,'Calc'!$W$12,'Calc'!$Y$12))))</x:f>
      </x:c>
      <x:c r="F294" t="str">
        <x:f>IF(Calc!$A$294&gt;'Calc'!$B$8,"",'Calc'!$B$5-'财富模型'!$E$5-(IF('Calc'!$E$12=1,'财富模型'!$E$9,'财富模型'!$M$4+IF(Calc!$A$294&lt;='财富模型'!$E$11*12,'Calc'!$W$12,'Calc'!$Y$12)-(IF('Calc'!$E$12=1,0,MIN(Calc!$C$293*(1+'财富模型'!$E$20/12)+'Calc'!$B$6,IF(Calc!$A$294&lt;='财富模型'!$E$11*12,'Calc'!$W$12,'Calc'!$Y$12)))))))</x:f>
      </x:c>
      <x:c r="G294" t="str">
        <x:f>IF(Calc!$A$294&gt;'Calc'!$B$8,"",IF('Calc'!$E$12=1,0,MAX(Calc!$G$293*(1+IF(Calc!$A$294&lt;='财富模型'!$E$11*12,'财富模型'!$E$10,'财富模型'!$E$12)/12)-IF('Calc'!$E$12=1,0,IF(Calc!$A$294&lt;='财富模型'!$E$11*12,'Calc'!$W$12,'Calc'!$Y$12)),0)))</x:f>
      </x:c>
      <x:c r="I294" t="n">
        <x:v>273</x:v>
      </x:c>
      <x:c r="J294" t="str">
        <x:f>IF(Calc!$I$294&gt;'Calc'!$B$8,"",MAX(Calc!$J$293*(1+'财富模型'!$E$6/12)+('Calc'!$B$5-'财富模型'!$E$5-(IF('Calc'!$E$13=1,'财富模型'!$E$9,'财富模型'!$M$5+IF(Calc!$I$294&lt;='财富模型'!$E$11*12,'Calc'!$W$13,'Calc'!$Y$13)-(IF('Calc'!$E$13=1,0,MIN(Calc!$K$293*(1+'财富模型'!$E$20/12)+'Calc'!$B$6,IF(Calc!$I$294&lt;='财富模型'!$E$11*12,'Calc'!$W$13,'Calc'!$Y$13))))))),0))</x:f>
      </x:c>
      <x:c r="K294" t="str">
        <x:f>IF(Calc!$I$294&gt;'Calc'!$B$8,"",MAX(Calc!$K$293*(1+'财富模型'!$E$20/12)+'Calc'!$B$6-(IF('Calc'!$E$13=1,0,MIN(Calc!$K$293*(1+'财富模型'!$E$20/12)+'Calc'!$B$6,IF(Calc!$I$294&lt;='财富模型'!$E$11*12,'Calc'!$W$13,'Calc'!$Y$13)))),0))</x:f>
      </x:c>
      <x:c r="L294" t="str">
        <x:f>IF(Calc!$I$294&gt;'Calc'!$B$8,"",IF('Calc'!$E$13=1,'财富模型'!$E$9,'财富模型'!$M$5+IF(Calc!$I$294&lt;='财富模型'!$E$11*12,'Calc'!$W$13,'Calc'!$Y$13)-(IF('Calc'!$E$13=1,0,MIN(Calc!$K$293*(1+'财富模型'!$E$20/12)+'Calc'!$B$6,IF(Calc!$I$294&lt;='财富模型'!$E$11*12,'Calc'!$W$13,'Calc'!$Y$13))))))</x:f>
      </x:c>
      <x:c r="M294" t="str">
        <x:f>IF(Calc!$I$294&gt;'Calc'!$B$8,"",IF('Calc'!$E$13=1,0,MIN(Calc!$K$293*(1+'财富模型'!$E$20/12)+'Calc'!$B$6,IF(Calc!$I$294&lt;='财富模型'!$E$11*12,'Calc'!$W$13,'Calc'!$Y$13))))</x:f>
      </x:c>
      <x:c r="N294" t="str">
        <x:f>IF(Calc!$I$294&gt;'Calc'!$B$8,"",'Calc'!$B$5-'财富模型'!$E$5-(IF('Calc'!$E$13=1,'财富模型'!$E$9,'财富模型'!$M$5+IF(Calc!$I$294&lt;='财富模型'!$E$11*12,'Calc'!$W$13,'Calc'!$Y$13)-(IF('Calc'!$E$13=1,0,MIN(Calc!$K$293*(1+'财富模型'!$E$20/12)+'Calc'!$B$6,IF(Calc!$I$294&lt;='财富模型'!$E$11*12,'Calc'!$W$13,'Calc'!$Y$13)))))))</x:f>
      </x:c>
      <x:c r="O294" t="str">
        <x:f>IF(Calc!$I$294&gt;'Calc'!$B$8,"",IF('Calc'!$E$13=1,0,MAX(Calc!$O$293*(1+IF(Calc!$I$294&lt;='财富模型'!$E$11*12,'财富模型'!$E$10,'财富模型'!$E$12)/12)-IF('Calc'!$E$13=1,0,IF(Calc!$I$294&lt;='财富模型'!$E$11*12,'Calc'!$W$13,'Calc'!$Y$13)),0)))</x:f>
      </x:c>
      <x:c r="Q294" t="n">
        <x:v>273</x:v>
      </x:c>
      <x:c r="R294" t="str">
        <x:f>IF(Calc!$Q$294&gt;'Calc'!$B$8,"",MAX(Calc!$R$293*(1+'财富模型'!$E$6/12)+('Calc'!$B$5-'财富模型'!$E$5-(IF('Calc'!$E$14=1,'财富模型'!$E$9,'财富模型'!$M$6+IF(Calc!$Q$294&lt;='财富模型'!$E$11*12,'Calc'!$W$14,'Calc'!$Y$14)-(IF('Calc'!$E$14=1,0,MIN(Calc!$S$293*(1+'财富模型'!$E$20/12)+'Calc'!$B$6,IF(Calc!$Q$294&lt;='财富模型'!$E$11*12,'Calc'!$W$14,'Calc'!$Y$14))))))),0))</x:f>
      </x:c>
      <x:c r="S294" t="str">
        <x:f>IF(Calc!$Q$294&gt;'Calc'!$B$8,"",MAX(Calc!$S$293*(1+'财富模型'!$E$20/12)+'Calc'!$B$6-(IF('Calc'!$E$14=1,0,MIN(Calc!$S$293*(1+'财富模型'!$E$20/12)+'Calc'!$B$6,IF(Calc!$Q$294&lt;='财富模型'!$E$11*12,'Calc'!$W$14,'Calc'!$Y$14)))),0))</x:f>
      </x:c>
      <x:c r="T294" t="str">
        <x:f>IF(Calc!$Q$294&gt;'Calc'!$B$8,"",IF('Calc'!$E$14=1,'财富模型'!$E$9,'财富模型'!$M$6+IF(Calc!$Q$294&lt;='财富模型'!$E$11*12,'Calc'!$W$14,'Calc'!$Y$14)-(IF('Calc'!$E$14=1,0,MIN(Calc!$S$293*(1+'财富模型'!$E$20/12)+'Calc'!$B$6,IF(Calc!$Q$294&lt;='财富模型'!$E$11*12,'Calc'!$W$14,'Calc'!$Y$14))))))</x:f>
      </x:c>
      <x:c r="U294" t="str">
        <x:f>IF(Calc!$Q$294&gt;'Calc'!$B$8,"",IF('Calc'!$E$14=1,0,MIN(Calc!$S$293*(1+'财富模型'!$E$20/12)+'Calc'!$B$6,IF(Calc!$Q$294&lt;='财富模型'!$E$11*12,'Calc'!$W$14,'Calc'!$Y$14))))</x:f>
      </x:c>
      <x:c r="V294" t="str">
        <x:f>IF(Calc!$Q$294&gt;'Calc'!$B$8,"",'Calc'!$B$5-'财富模型'!$E$5-(IF('Calc'!$E$14=1,'财富模型'!$E$9,'财富模型'!$M$6+IF(Calc!$Q$294&lt;='财富模型'!$E$11*12,'Calc'!$W$14,'Calc'!$Y$14)-(IF('Calc'!$E$14=1,0,MIN(Calc!$S$293*(1+'财富模型'!$E$20/12)+'Calc'!$B$6,IF(Calc!$Q$294&lt;='财富模型'!$E$11*12,'Calc'!$W$14,'Calc'!$Y$14)))))))</x:f>
      </x:c>
      <x:c r="W294" t="str">
        <x:f>IF(Calc!$Q$294&gt;'Calc'!$B$8,"",IF('Calc'!$E$14=1,0,MAX(Calc!$W$293*(1+IF(Calc!$Q$294&lt;='财富模型'!$E$11*12,'财富模型'!$E$10,'财富模型'!$E$12)/12)-IF('Calc'!$E$14=1,0,IF(Calc!$Q$294&lt;='财富模型'!$E$11*12,'Calc'!$W$14,'Calc'!$Y$14)),0)))</x:f>
      </x:c>
      <x:c r="Y294" t="n">
        <x:v>273</x:v>
      </x:c>
      <x:c r="Z294" t="str">
        <x:f>IF(Calc!$Y$294&gt;'Calc'!$B$8,"",MAX(Calc!$Z$293*(1+'财富模型'!$E$6/12)+('Calc'!$B$5-'财富模型'!$E$5-(IF('Calc'!$E$15=1,'财富模型'!$E$9,'财富模型'!$M$7+IF(Calc!$Y$294&lt;='财富模型'!$E$11*12,'Calc'!$W$15,'Calc'!$Y$15)-(IF('Calc'!$E$15=1,0,MIN(Calc!$AA$293*(1+'财富模型'!$E$20/12)+'Calc'!$B$6,IF(Calc!$Y$294&lt;='财富模型'!$E$11*12,'Calc'!$W$15,'Calc'!$Y$15))))))),0))</x:f>
      </x:c>
      <x:c r="AA294" t="str">
        <x:f>IF(Calc!$Y$294&gt;'Calc'!$B$8,"",MAX(Calc!$AA$293*(1+'财富模型'!$E$20/12)+'Calc'!$B$6-(IF('Calc'!$E$15=1,0,MIN(Calc!$AA$293*(1+'财富模型'!$E$20/12)+'Calc'!$B$6,IF(Calc!$Y$294&lt;='财富模型'!$E$11*12,'Calc'!$W$15,'Calc'!$Y$15)))),0))</x:f>
      </x:c>
      <x:c r="AB294" t="str">
        <x:f>IF(Calc!$Y$294&gt;'Calc'!$B$8,"",IF('Calc'!$E$15=1,'财富模型'!$E$9,'财富模型'!$M$7+IF(Calc!$Y$294&lt;='财富模型'!$E$11*12,'Calc'!$W$15,'Calc'!$Y$15)-(IF('Calc'!$E$15=1,0,MIN(Calc!$AA$293*(1+'财富模型'!$E$20/12)+'Calc'!$B$6,IF(Calc!$Y$294&lt;='财富模型'!$E$11*12,'Calc'!$W$15,'Calc'!$Y$15))))))</x:f>
      </x:c>
      <x:c r="AC294" t="str">
        <x:f>IF(Calc!$Y$294&gt;'Calc'!$B$8,"",IF('Calc'!$E$15=1,0,MIN(Calc!$AA$293*(1+'财富模型'!$E$20/12)+'Calc'!$B$6,IF(Calc!$Y$294&lt;='财富模型'!$E$11*12,'Calc'!$W$15,'Calc'!$Y$15))))</x:f>
      </x:c>
      <x:c r="AD294" t="str">
        <x:f>IF(Calc!$Y$294&gt;'Calc'!$B$8,"",'Calc'!$B$5-'财富模型'!$E$5-(IF('Calc'!$E$15=1,'财富模型'!$E$9,'财富模型'!$M$7+IF(Calc!$Y$294&lt;='财富模型'!$E$11*12,'Calc'!$W$15,'Calc'!$Y$15)-(IF('Calc'!$E$15=1,0,MIN(Calc!$AA$293*(1+'财富模型'!$E$20/12)+'Calc'!$B$6,IF(Calc!$Y$294&lt;='财富模型'!$E$11*12,'Calc'!$W$15,'Calc'!$Y$15)))))))</x:f>
      </x:c>
      <x:c r="AE294" t="str">
        <x:f>IF(Calc!$Y$294&gt;'Calc'!$B$8,"",IF('Calc'!$E$15=1,0,MAX(Calc!$AE$293*(1+IF(Calc!$Y$294&lt;='财富模型'!$E$11*12,'财富模型'!$E$10,'财富模型'!$E$12)/12)-IF('Calc'!$E$15=1,0,IF(Calc!$Y$294&lt;='财富模型'!$E$11*12,'Calc'!$W$15,'Calc'!$Y$15)),0)))</x:f>
      </x:c>
      <x:c r="AG294" t="n">
        <x:v>273</x:v>
      </x:c>
      <x:c r="AH294" t="str">
        <x:f>IF(Calc!$AG$294&gt;'Calc'!$B$8,"",MAX(Calc!$AH$293*(1+'财富模型'!$E$6/12)+('Calc'!$B$5-'财富模型'!$E$5-(IF('Calc'!$E$16=1,'财富模型'!$E$9,'财富模型'!$M$8+IF(Calc!$AG$294&lt;='财富模型'!$E$11*12,'Calc'!$W$16,'Calc'!$Y$16)-(IF('Calc'!$E$16=1,0,MIN(Calc!$AI$293*(1+'财富模型'!$E$20/12)+'Calc'!$B$6,IF(Calc!$AG$294&lt;='财富模型'!$E$11*12,'Calc'!$W$16,'Calc'!$Y$16))))))),0))</x:f>
      </x:c>
      <x:c r="AI294" t="str">
        <x:f>IF(Calc!$AG$294&gt;'Calc'!$B$8,"",MAX(Calc!$AI$293*(1+'财富模型'!$E$20/12)+'Calc'!$B$6-(IF('Calc'!$E$16=1,0,MIN(Calc!$AI$293*(1+'财富模型'!$E$20/12)+'Calc'!$B$6,IF(Calc!$AG$294&lt;='财富模型'!$E$11*12,'Calc'!$W$16,'Calc'!$Y$16)))),0))</x:f>
      </x:c>
      <x:c r="AJ294" t="str">
        <x:f>IF(Calc!$AG$294&gt;'Calc'!$B$8,"",IF('Calc'!$E$16=1,'财富模型'!$E$9,'财富模型'!$M$8+IF(Calc!$AG$294&lt;='财富模型'!$E$11*12,'Calc'!$W$16,'Calc'!$Y$16)-(IF('Calc'!$E$16=1,0,MIN(Calc!$AI$293*(1+'财富模型'!$E$20/12)+'Calc'!$B$6,IF(Calc!$AG$294&lt;='财富模型'!$E$11*12,'Calc'!$W$16,'Calc'!$Y$16))))))</x:f>
      </x:c>
      <x:c r="AK294" t="str">
        <x:f>IF(Calc!$AG$294&gt;'Calc'!$B$8,"",IF('Calc'!$E$16=1,0,MIN(Calc!$AI$293*(1+'财富模型'!$E$20/12)+'Calc'!$B$6,IF(Calc!$AG$294&lt;='财富模型'!$E$11*12,'Calc'!$W$16,'Calc'!$Y$16))))</x:f>
      </x:c>
      <x:c r="AL294" t="str">
        <x:f>IF(Calc!$AG$294&gt;'Calc'!$B$8,"",'Calc'!$B$5-'财富模型'!$E$5-(IF('Calc'!$E$16=1,'财富模型'!$E$9,'财富模型'!$M$8+IF(Calc!$AG$294&lt;='财富模型'!$E$11*12,'Calc'!$W$16,'Calc'!$Y$16)-(IF('Calc'!$E$16=1,0,MIN(Calc!$AI$293*(1+'财富模型'!$E$20/12)+'Calc'!$B$6,IF(Calc!$AG$294&lt;='财富模型'!$E$11*12,'Calc'!$W$16,'Calc'!$Y$16)))))))</x:f>
      </x:c>
      <x:c r="AM294" t="str">
        <x:f>IF(Calc!$AG$294&gt;'Calc'!$B$8,"",IF('Calc'!$E$16=1,0,MAX(Calc!$AM$293*(1+IF(Calc!$AG$294&lt;='财富模型'!$E$11*12,'财富模型'!$E$10,'财富模型'!$E$12)/12)-IF('Calc'!$E$16=1,0,IF(Calc!$AG$294&lt;='财富模型'!$E$11*12,'Calc'!$W$16,'Calc'!$Y$16)),0)))</x:f>
      </x:c>
      <x:c r="AO294" t="n">
        <x:v>273</x:v>
      </x:c>
      <x:c r="AP294" t="str">
        <x:f>IF(Calc!$AO$294&gt;'Calc'!$B$8,"",MAX(Calc!$AP$293*(1+'财富模型'!$E$6/12)+('Calc'!$B$5-'财富模型'!$E$5-(IF('Calc'!$E$17=1,'财富模型'!$E$9,'财富模型'!$M$9+IF(Calc!$AO$294&lt;='财富模型'!$E$11*12,'Calc'!$W$17,'Calc'!$Y$17)-(IF('Calc'!$E$17=1,0,MIN(Calc!$AQ$293*(1+'财富模型'!$E$20/12)+'Calc'!$B$6,IF(Calc!$AO$294&lt;='财富模型'!$E$11*12,'Calc'!$W$17,'Calc'!$Y$17))))))),0))</x:f>
      </x:c>
      <x:c r="AQ294" t="str">
        <x:f>IF(Calc!$AO$294&gt;'Calc'!$B$8,"",MAX(Calc!$AQ$293*(1+'财富模型'!$E$20/12)+'Calc'!$B$6-(IF('Calc'!$E$17=1,0,MIN(Calc!$AQ$293*(1+'财富模型'!$E$20/12)+'Calc'!$B$6,IF(Calc!$AO$294&lt;='财富模型'!$E$11*12,'Calc'!$W$17,'Calc'!$Y$17)))),0))</x:f>
      </x:c>
      <x:c r="AR294" t="str">
        <x:f>IF(Calc!$AO$294&gt;'Calc'!$B$8,"",IF('Calc'!$E$17=1,'财富模型'!$E$9,'财富模型'!$M$9+IF(Calc!$AO$294&lt;='财富模型'!$E$11*12,'Calc'!$W$17,'Calc'!$Y$17)-(IF('Calc'!$E$17=1,0,MIN(Calc!$AQ$293*(1+'财富模型'!$E$20/12)+'Calc'!$B$6,IF(Calc!$AO$294&lt;='财富模型'!$E$11*12,'Calc'!$W$17,'Calc'!$Y$17))))))</x:f>
      </x:c>
      <x:c r="AS294" t="str">
        <x:f>IF(Calc!$AO$294&gt;'Calc'!$B$8,"",IF('Calc'!$E$17=1,0,MIN(Calc!$AQ$293*(1+'财富模型'!$E$20/12)+'Calc'!$B$6,IF(Calc!$AO$294&lt;='财富模型'!$E$11*12,'Calc'!$W$17,'Calc'!$Y$17))))</x:f>
      </x:c>
      <x:c r="AT294" t="str">
        <x:f>IF(Calc!$AO$294&gt;'Calc'!$B$8,"",'Calc'!$B$5-'财富模型'!$E$5-(IF('Calc'!$E$17=1,'财富模型'!$E$9,'财富模型'!$M$9+IF(Calc!$AO$294&lt;='财富模型'!$E$11*12,'Calc'!$W$17,'Calc'!$Y$17)-(IF('Calc'!$E$17=1,0,MIN(Calc!$AQ$293*(1+'财富模型'!$E$20/12)+'Calc'!$B$6,IF(Calc!$AO$294&lt;='财富模型'!$E$11*12,'Calc'!$W$17,'Calc'!$Y$17)))))))</x:f>
      </x:c>
      <x:c r="AU294" t="str">
        <x:f>IF(Calc!$AO$294&gt;'Calc'!$B$8,"",IF('Calc'!$E$17=1,0,MAX(Calc!$AU$293*(1+IF(Calc!$AO$294&lt;='财富模型'!$E$11*12,'财富模型'!$E$10,'财富模型'!$E$12)/12)-IF('Calc'!$E$17=1,0,IF(Calc!$AO$294&lt;='财富模型'!$E$11*12,'Calc'!$W$17,'Calc'!$Y$17)),0)))</x:f>
      </x:c>
    </x:row>
    <x:row r="295">
      <x:c r="A295" t="n">
        <x:v>274</x:v>
      </x:c>
      <x:c r="B295" t="str">
        <x:f>IF(Calc!$A$295&gt;'Calc'!$B$8,"",MAX(Calc!$B$294*(1+'财富模型'!$E$6/12)+('Calc'!$B$5-'财富模型'!$E$5-(IF('Calc'!$E$12=1,'财富模型'!$E$9,'财富模型'!$M$4+IF(Calc!$A$295&lt;='财富模型'!$E$11*12,'Calc'!$W$12,'Calc'!$Y$12)-(IF('Calc'!$E$12=1,0,MIN(Calc!$C$294*(1+'财富模型'!$E$20/12)+'Calc'!$B$6,IF(Calc!$A$295&lt;='财富模型'!$E$11*12,'Calc'!$W$12,'Calc'!$Y$12))))))),0))</x:f>
      </x:c>
      <x:c r="C295" t="str">
        <x:f>IF(Calc!$A$295&gt;'Calc'!$B$8,"",MAX(Calc!$C$294*(1+'财富模型'!$E$20/12)+'Calc'!$B$6-(IF('Calc'!$E$12=1,0,MIN(Calc!$C$294*(1+'财富模型'!$E$20/12)+'Calc'!$B$6,IF(Calc!$A$295&lt;='财富模型'!$E$11*12,'Calc'!$W$12,'Calc'!$Y$12)))),0))</x:f>
      </x:c>
      <x:c r="D295" t="str">
        <x:f>IF(Calc!$A$295&gt;'Calc'!$B$8,"",IF('Calc'!$E$12=1,'财富模型'!$E$9,'财富模型'!$M$4+IF(Calc!$A$295&lt;='财富模型'!$E$11*12,'Calc'!$W$12,'Calc'!$Y$12)-(IF('Calc'!$E$12=1,0,MIN(Calc!$C$294*(1+'财富模型'!$E$20/12)+'Calc'!$B$6,IF(Calc!$A$295&lt;='财富模型'!$E$11*12,'Calc'!$W$12,'Calc'!$Y$12))))))</x:f>
      </x:c>
      <x:c r="E295" t="str">
        <x:f>IF(Calc!$A$295&gt;'Calc'!$B$8,"",IF('Calc'!$E$12=1,0,MIN(Calc!$C$294*(1+'财富模型'!$E$20/12)+'Calc'!$B$6,IF(Calc!$A$295&lt;='财富模型'!$E$11*12,'Calc'!$W$12,'Calc'!$Y$12))))</x:f>
      </x:c>
      <x:c r="F295" t="str">
        <x:f>IF(Calc!$A$295&gt;'Calc'!$B$8,"",'Calc'!$B$5-'财富模型'!$E$5-(IF('Calc'!$E$12=1,'财富模型'!$E$9,'财富模型'!$M$4+IF(Calc!$A$295&lt;='财富模型'!$E$11*12,'Calc'!$W$12,'Calc'!$Y$12)-(IF('Calc'!$E$12=1,0,MIN(Calc!$C$294*(1+'财富模型'!$E$20/12)+'Calc'!$B$6,IF(Calc!$A$295&lt;='财富模型'!$E$11*12,'Calc'!$W$12,'Calc'!$Y$12)))))))</x:f>
      </x:c>
      <x:c r="G295" t="str">
        <x:f>IF(Calc!$A$295&gt;'Calc'!$B$8,"",IF('Calc'!$E$12=1,0,MAX(Calc!$G$294*(1+IF(Calc!$A$295&lt;='财富模型'!$E$11*12,'财富模型'!$E$10,'财富模型'!$E$12)/12)-IF('Calc'!$E$12=1,0,IF(Calc!$A$295&lt;='财富模型'!$E$11*12,'Calc'!$W$12,'Calc'!$Y$12)),0)))</x:f>
      </x:c>
      <x:c r="I295" t="n">
        <x:v>274</x:v>
      </x:c>
      <x:c r="J295" t="str">
        <x:f>IF(Calc!$I$295&gt;'Calc'!$B$8,"",MAX(Calc!$J$294*(1+'财富模型'!$E$6/12)+('Calc'!$B$5-'财富模型'!$E$5-(IF('Calc'!$E$13=1,'财富模型'!$E$9,'财富模型'!$M$5+IF(Calc!$I$295&lt;='财富模型'!$E$11*12,'Calc'!$W$13,'Calc'!$Y$13)-(IF('Calc'!$E$13=1,0,MIN(Calc!$K$294*(1+'财富模型'!$E$20/12)+'Calc'!$B$6,IF(Calc!$I$295&lt;='财富模型'!$E$11*12,'Calc'!$W$13,'Calc'!$Y$13))))))),0))</x:f>
      </x:c>
      <x:c r="K295" t="str">
        <x:f>IF(Calc!$I$295&gt;'Calc'!$B$8,"",MAX(Calc!$K$294*(1+'财富模型'!$E$20/12)+'Calc'!$B$6-(IF('Calc'!$E$13=1,0,MIN(Calc!$K$294*(1+'财富模型'!$E$20/12)+'Calc'!$B$6,IF(Calc!$I$295&lt;='财富模型'!$E$11*12,'Calc'!$W$13,'Calc'!$Y$13)))),0))</x:f>
      </x:c>
      <x:c r="L295" t="str">
        <x:f>IF(Calc!$I$295&gt;'Calc'!$B$8,"",IF('Calc'!$E$13=1,'财富模型'!$E$9,'财富模型'!$M$5+IF(Calc!$I$295&lt;='财富模型'!$E$11*12,'Calc'!$W$13,'Calc'!$Y$13)-(IF('Calc'!$E$13=1,0,MIN(Calc!$K$294*(1+'财富模型'!$E$20/12)+'Calc'!$B$6,IF(Calc!$I$295&lt;='财富模型'!$E$11*12,'Calc'!$W$13,'Calc'!$Y$13))))))</x:f>
      </x:c>
      <x:c r="M295" t="str">
        <x:f>IF(Calc!$I$295&gt;'Calc'!$B$8,"",IF('Calc'!$E$13=1,0,MIN(Calc!$K$294*(1+'财富模型'!$E$20/12)+'Calc'!$B$6,IF(Calc!$I$295&lt;='财富模型'!$E$11*12,'Calc'!$W$13,'Calc'!$Y$13))))</x:f>
      </x:c>
      <x:c r="N295" t="str">
        <x:f>IF(Calc!$I$295&gt;'Calc'!$B$8,"",'Calc'!$B$5-'财富模型'!$E$5-(IF('Calc'!$E$13=1,'财富模型'!$E$9,'财富模型'!$M$5+IF(Calc!$I$295&lt;='财富模型'!$E$11*12,'Calc'!$W$13,'Calc'!$Y$13)-(IF('Calc'!$E$13=1,0,MIN(Calc!$K$294*(1+'财富模型'!$E$20/12)+'Calc'!$B$6,IF(Calc!$I$295&lt;='财富模型'!$E$11*12,'Calc'!$W$13,'Calc'!$Y$13)))))))</x:f>
      </x:c>
      <x:c r="O295" t="str">
        <x:f>IF(Calc!$I$295&gt;'Calc'!$B$8,"",IF('Calc'!$E$13=1,0,MAX(Calc!$O$294*(1+IF(Calc!$I$295&lt;='财富模型'!$E$11*12,'财富模型'!$E$10,'财富模型'!$E$12)/12)-IF('Calc'!$E$13=1,0,IF(Calc!$I$295&lt;='财富模型'!$E$11*12,'Calc'!$W$13,'Calc'!$Y$13)),0)))</x:f>
      </x:c>
      <x:c r="Q295" t="n">
        <x:v>274</x:v>
      </x:c>
      <x:c r="R295" t="str">
        <x:f>IF(Calc!$Q$295&gt;'Calc'!$B$8,"",MAX(Calc!$R$294*(1+'财富模型'!$E$6/12)+('Calc'!$B$5-'财富模型'!$E$5-(IF('Calc'!$E$14=1,'财富模型'!$E$9,'财富模型'!$M$6+IF(Calc!$Q$295&lt;='财富模型'!$E$11*12,'Calc'!$W$14,'Calc'!$Y$14)-(IF('Calc'!$E$14=1,0,MIN(Calc!$S$294*(1+'财富模型'!$E$20/12)+'Calc'!$B$6,IF(Calc!$Q$295&lt;='财富模型'!$E$11*12,'Calc'!$W$14,'Calc'!$Y$14))))))),0))</x:f>
      </x:c>
      <x:c r="S295" t="str">
        <x:f>IF(Calc!$Q$295&gt;'Calc'!$B$8,"",MAX(Calc!$S$294*(1+'财富模型'!$E$20/12)+'Calc'!$B$6-(IF('Calc'!$E$14=1,0,MIN(Calc!$S$294*(1+'财富模型'!$E$20/12)+'Calc'!$B$6,IF(Calc!$Q$295&lt;='财富模型'!$E$11*12,'Calc'!$W$14,'Calc'!$Y$14)))),0))</x:f>
      </x:c>
      <x:c r="T295" t="str">
        <x:f>IF(Calc!$Q$295&gt;'Calc'!$B$8,"",IF('Calc'!$E$14=1,'财富模型'!$E$9,'财富模型'!$M$6+IF(Calc!$Q$295&lt;='财富模型'!$E$11*12,'Calc'!$W$14,'Calc'!$Y$14)-(IF('Calc'!$E$14=1,0,MIN(Calc!$S$294*(1+'财富模型'!$E$20/12)+'Calc'!$B$6,IF(Calc!$Q$295&lt;='财富模型'!$E$11*12,'Calc'!$W$14,'Calc'!$Y$14))))))</x:f>
      </x:c>
      <x:c r="U295" t="str">
        <x:f>IF(Calc!$Q$295&gt;'Calc'!$B$8,"",IF('Calc'!$E$14=1,0,MIN(Calc!$S$294*(1+'财富模型'!$E$20/12)+'Calc'!$B$6,IF(Calc!$Q$295&lt;='财富模型'!$E$11*12,'Calc'!$W$14,'Calc'!$Y$14))))</x:f>
      </x:c>
      <x:c r="V295" t="str">
        <x:f>IF(Calc!$Q$295&gt;'Calc'!$B$8,"",'Calc'!$B$5-'财富模型'!$E$5-(IF('Calc'!$E$14=1,'财富模型'!$E$9,'财富模型'!$M$6+IF(Calc!$Q$295&lt;='财富模型'!$E$11*12,'Calc'!$W$14,'Calc'!$Y$14)-(IF('Calc'!$E$14=1,0,MIN(Calc!$S$294*(1+'财富模型'!$E$20/12)+'Calc'!$B$6,IF(Calc!$Q$295&lt;='财富模型'!$E$11*12,'Calc'!$W$14,'Calc'!$Y$14)))))))</x:f>
      </x:c>
      <x:c r="W295" t="str">
        <x:f>IF(Calc!$Q$295&gt;'Calc'!$B$8,"",IF('Calc'!$E$14=1,0,MAX(Calc!$W$294*(1+IF(Calc!$Q$295&lt;='财富模型'!$E$11*12,'财富模型'!$E$10,'财富模型'!$E$12)/12)-IF('Calc'!$E$14=1,0,IF(Calc!$Q$295&lt;='财富模型'!$E$11*12,'Calc'!$W$14,'Calc'!$Y$14)),0)))</x:f>
      </x:c>
      <x:c r="Y295" t="n">
        <x:v>274</x:v>
      </x:c>
      <x:c r="Z295" t="str">
        <x:f>IF(Calc!$Y$295&gt;'Calc'!$B$8,"",MAX(Calc!$Z$294*(1+'财富模型'!$E$6/12)+('Calc'!$B$5-'财富模型'!$E$5-(IF('Calc'!$E$15=1,'财富模型'!$E$9,'财富模型'!$M$7+IF(Calc!$Y$295&lt;='财富模型'!$E$11*12,'Calc'!$W$15,'Calc'!$Y$15)-(IF('Calc'!$E$15=1,0,MIN(Calc!$AA$294*(1+'财富模型'!$E$20/12)+'Calc'!$B$6,IF(Calc!$Y$295&lt;='财富模型'!$E$11*12,'Calc'!$W$15,'Calc'!$Y$15))))))),0))</x:f>
      </x:c>
      <x:c r="AA295" t="str">
        <x:f>IF(Calc!$Y$295&gt;'Calc'!$B$8,"",MAX(Calc!$AA$294*(1+'财富模型'!$E$20/12)+'Calc'!$B$6-(IF('Calc'!$E$15=1,0,MIN(Calc!$AA$294*(1+'财富模型'!$E$20/12)+'Calc'!$B$6,IF(Calc!$Y$295&lt;='财富模型'!$E$11*12,'Calc'!$W$15,'Calc'!$Y$15)))),0))</x:f>
      </x:c>
      <x:c r="AB295" t="str">
        <x:f>IF(Calc!$Y$295&gt;'Calc'!$B$8,"",IF('Calc'!$E$15=1,'财富模型'!$E$9,'财富模型'!$M$7+IF(Calc!$Y$295&lt;='财富模型'!$E$11*12,'Calc'!$W$15,'Calc'!$Y$15)-(IF('Calc'!$E$15=1,0,MIN(Calc!$AA$294*(1+'财富模型'!$E$20/12)+'Calc'!$B$6,IF(Calc!$Y$295&lt;='财富模型'!$E$11*12,'Calc'!$W$15,'Calc'!$Y$15))))))</x:f>
      </x:c>
      <x:c r="AC295" t="str">
        <x:f>IF(Calc!$Y$295&gt;'Calc'!$B$8,"",IF('Calc'!$E$15=1,0,MIN(Calc!$AA$294*(1+'财富模型'!$E$20/12)+'Calc'!$B$6,IF(Calc!$Y$295&lt;='财富模型'!$E$11*12,'Calc'!$W$15,'Calc'!$Y$15))))</x:f>
      </x:c>
      <x:c r="AD295" t="str">
        <x:f>IF(Calc!$Y$295&gt;'Calc'!$B$8,"",'Calc'!$B$5-'财富模型'!$E$5-(IF('Calc'!$E$15=1,'财富模型'!$E$9,'财富模型'!$M$7+IF(Calc!$Y$295&lt;='财富模型'!$E$11*12,'Calc'!$W$15,'Calc'!$Y$15)-(IF('Calc'!$E$15=1,0,MIN(Calc!$AA$294*(1+'财富模型'!$E$20/12)+'Calc'!$B$6,IF(Calc!$Y$295&lt;='财富模型'!$E$11*12,'Calc'!$W$15,'Calc'!$Y$15)))))))</x:f>
      </x:c>
      <x:c r="AE295" t="str">
        <x:f>IF(Calc!$Y$295&gt;'Calc'!$B$8,"",IF('Calc'!$E$15=1,0,MAX(Calc!$AE$294*(1+IF(Calc!$Y$295&lt;='财富模型'!$E$11*12,'财富模型'!$E$10,'财富模型'!$E$12)/12)-IF('Calc'!$E$15=1,0,IF(Calc!$Y$295&lt;='财富模型'!$E$11*12,'Calc'!$W$15,'Calc'!$Y$15)),0)))</x:f>
      </x:c>
      <x:c r="AG295" t="n">
        <x:v>274</x:v>
      </x:c>
      <x:c r="AH295" t="str">
        <x:f>IF(Calc!$AG$295&gt;'Calc'!$B$8,"",MAX(Calc!$AH$294*(1+'财富模型'!$E$6/12)+('Calc'!$B$5-'财富模型'!$E$5-(IF('Calc'!$E$16=1,'财富模型'!$E$9,'财富模型'!$M$8+IF(Calc!$AG$295&lt;='财富模型'!$E$11*12,'Calc'!$W$16,'Calc'!$Y$16)-(IF('Calc'!$E$16=1,0,MIN(Calc!$AI$294*(1+'财富模型'!$E$20/12)+'Calc'!$B$6,IF(Calc!$AG$295&lt;='财富模型'!$E$11*12,'Calc'!$W$16,'Calc'!$Y$16))))))),0))</x:f>
      </x:c>
      <x:c r="AI295" t="str">
        <x:f>IF(Calc!$AG$295&gt;'Calc'!$B$8,"",MAX(Calc!$AI$294*(1+'财富模型'!$E$20/12)+'Calc'!$B$6-(IF('Calc'!$E$16=1,0,MIN(Calc!$AI$294*(1+'财富模型'!$E$20/12)+'Calc'!$B$6,IF(Calc!$AG$295&lt;='财富模型'!$E$11*12,'Calc'!$W$16,'Calc'!$Y$16)))),0))</x:f>
      </x:c>
      <x:c r="AJ295" t="str">
        <x:f>IF(Calc!$AG$295&gt;'Calc'!$B$8,"",IF('Calc'!$E$16=1,'财富模型'!$E$9,'财富模型'!$M$8+IF(Calc!$AG$295&lt;='财富模型'!$E$11*12,'Calc'!$W$16,'Calc'!$Y$16)-(IF('Calc'!$E$16=1,0,MIN(Calc!$AI$294*(1+'财富模型'!$E$20/12)+'Calc'!$B$6,IF(Calc!$AG$295&lt;='财富模型'!$E$11*12,'Calc'!$W$16,'Calc'!$Y$16))))))</x:f>
      </x:c>
      <x:c r="AK295" t="str">
        <x:f>IF(Calc!$AG$295&gt;'Calc'!$B$8,"",IF('Calc'!$E$16=1,0,MIN(Calc!$AI$294*(1+'财富模型'!$E$20/12)+'Calc'!$B$6,IF(Calc!$AG$295&lt;='财富模型'!$E$11*12,'Calc'!$W$16,'Calc'!$Y$16))))</x:f>
      </x:c>
      <x:c r="AL295" t="str">
        <x:f>IF(Calc!$AG$295&gt;'Calc'!$B$8,"",'Calc'!$B$5-'财富模型'!$E$5-(IF('Calc'!$E$16=1,'财富模型'!$E$9,'财富模型'!$M$8+IF(Calc!$AG$295&lt;='财富模型'!$E$11*12,'Calc'!$W$16,'Calc'!$Y$16)-(IF('Calc'!$E$16=1,0,MIN(Calc!$AI$294*(1+'财富模型'!$E$20/12)+'Calc'!$B$6,IF(Calc!$AG$295&lt;='财富模型'!$E$11*12,'Calc'!$W$16,'Calc'!$Y$16)))))))</x:f>
      </x:c>
      <x:c r="AM295" t="str">
        <x:f>IF(Calc!$AG$295&gt;'Calc'!$B$8,"",IF('Calc'!$E$16=1,0,MAX(Calc!$AM$294*(1+IF(Calc!$AG$295&lt;='财富模型'!$E$11*12,'财富模型'!$E$10,'财富模型'!$E$12)/12)-IF('Calc'!$E$16=1,0,IF(Calc!$AG$295&lt;='财富模型'!$E$11*12,'Calc'!$W$16,'Calc'!$Y$16)),0)))</x:f>
      </x:c>
      <x:c r="AO295" t="n">
        <x:v>274</x:v>
      </x:c>
      <x:c r="AP295" t="str">
        <x:f>IF(Calc!$AO$295&gt;'Calc'!$B$8,"",MAX(Calc!$AP$294*(1+'财富模型'!$E$6/12)+('Calc'!$B$5-'财富模型'!$E$5-(IF('Calc'!$E$17=1,'财富模型'!$E$9,'财富模型'!$M$9+IF(Calc!$AO$295&lt;='财富模型'!$E$11*12,'Calc'!$W$17,'Calc'!$Y$17)-(IF('Calc'!$E$17=1,0,MIN(Calc!$AQ$294*(1+'财富模型'!$E$20/12)+'Calc'!$B$6,IF(Calc!$AO$295&lt;='财富模型'!$E$11*12,'Calc'!$W$17,'Calc'!$Y$17))))))),0))</x:f>
      </x:c>
      <x:c r="AQ295" t="str">
        <x:f>IF(Calc!$AO$295&gt;'Calc'!$B$8,"",MAX(Calc!$AQ$294*(1+'财富模型'!$E$20/12)+'Calc'!$B$6-(IF('Calc'!$E$17=1,0,MIN(Calc!$AQ$294*(1+'财富模型'!$E$20/12)+'Calc'!$B$6,IF(Calc!$AO$295&lt;='财富模型'!$E$11*12,'Calc'!$W$17,'Calc'!$Y$17)))),0))</x:f>
      </x:c>
      <x:c r="AR295" t="str">
        <x:f>IF(Calc!$AO$295&gt;'Calc'!$B$8,"",IF('Calc'!$E$17=1,'财富模型'!$E$9,'财富模型'!$M$9+IF(Calc!$AO$295&lt;='财富模型'!$E$11*12,'Calc'!$W$17,'Calc'!$Y$17)-(IF('Calc'!$E$17=1,0,MIN(Calc!$AQ$294*(1+'财富模型'!$E$20/12)+'Calc'!$B$6,IF(Calc!$AO$295&lt;='财富模型'!$E$11*12,'Calc'!$W$17,'Calc'!$Y$17))))))</x:f>
      </x:c>
      <x:c r="AS295" t="str">
        <x:f>IF(Calc!$AO$295&gt;'Calc'!$B$8,"",IF('Calc'!$E$17=1,0,MIN(Calc!$AQ$294*(1+'财富模型'!$E$20/12)+'Calc'!$B$6,IF(Calc!$AO$295&lt;='财富模型'!$E$11*12,'Calc'!$W$17,'Calc'!$Y$17))))</x:f>
      </x:c>
      <x:c r="AT295" t="str">
        <x:f>IF(Calc!$AO$295&gt;'Calc'!$B$8,"",'Calc'!$B$5-'财富模型'!$E$5-(IF('Calc'!$E$17=1,'财富模型'!$E$9,'财富模型'!$M$9+IF(Calc!$AO$295&lt;='财富模型'!$E$11*12,'Calc'!$W$17,'Calc'!$Y$17)-(IF('Calc'!$E$17=1,0,MIN(Calc!$AQ$294*(1+'财富模型'!$E$20/12)+'Calc'!$B$6,IF(Calc!$AO$295&lt;='财富模型'!$E$11*12,'Calc'!$W$17,'Calc'!$Y$17)))))))</x:f>
      </x:c>
      <x:c r="AU295" t="str">
        <x:f>IF(Calc!$AO$295&gt;'Calc'!$B$8,"",IF('Calc'!$E$17=1,0,MAX(Calc!$AU$294*(1+IF(Calc!$AO$295&lt;='财富模型'!$E$11*12,'财富模型'!$E$10,'财富模型'!$E$12)/12)-IF('Calc'!$E$17=1,0,IF(Calc!$AO$295&lt;='财富模型'!$E$11*12,'Calc'!$W$17,'Calc'!$Y$17)),0)))</x:f>
      </x:c>
    </x:row>
    <x:row r="296">
      <x:c r="A296" t="n">
        <x:v>275</x:v>
      </x:c>
      <x:c r="B296" t="str">
        <x:f>IF(Calc!$A$296&gt;'Calc'!$B$8,"",MAX(Calc!$B$295*(1+'财富模型'!$E$6/12)+('Calc'!$B$5-'财富模型'!$E$5-(IF('Calc'!$E$12=1,'财富模型'!$E$9,'财富模型'!$M$4+IF(Calc!$A$296&lt;='财富模型'!$E$11*12,'Calc'!$W$12,'Calc'!$Y$12)-(IF('Calc'!$E$12=1,0,MIN(Calc!$C$295*(1+'财富模型'!$E$20/12)+'Calc'!$B$6,IF(Calc!$A$296&lt;='财富模型'!$E$11*12,'Calc'!$W$12,'Calc'!$Y$12))))))),0))</x:f>
      </x:c>
      <x:c r="C296" t="str">
        <x:f>IF(Calc!$A$296&gt;'Calc'!$B$8,"",MAX(Calc!$C$295*(1+'财富模型'!$E$20/12)+'Calc'!$B$6-(IF('Calc'!$E$12=1,0,MIN(Calc!$C$295*(1+'财富模型'!$E$20/12)+'Calc'!$B$6,IF(Calc!$A$296&lt;='财富模型'!$E$11*12,'Calc'!$W$12,'Calc'!$Y$12)))),0))</x:f>
      </x:c>
      <x:c r="D296" t="str">
        <x:f>IF(Calc!$A$296&gt;'Calc'!$B$8,"",IF('Calc'!$E$12=1,'财富模型'!$E$9,'财富模型'!$M$4+IF(Calc!$A$296&lt;='财富模型'!$E$11*12,'Calc'!$W$12,'Calc'!$Y$12)-(IF('Calc'!$E$12=1,0,MIN(Calc!$C$295*(1+'财富模型'!$E$20/12)+'Calc'!$B$6,IF(Calc!$A$296&lt;='财富模型'!$E$11*12,'Calc'!$W$12,'Calc'!$Y$12))))))</x:f>
      </x:c>
      <x:c r="E296" t="str">
        <x:f>IF(Calc!$A$296&gt;'Calc'!$B$8,"",IF('Calc'!$E$12=1,0,MIN(Calc!$C$295*(1+'财富模型'!$E$20/12)+'Calc'!$B$6,IF(Calc!$A$296&lt;='财富模型'!$E$11*12,'Calc'!$W$12,'Calc'!$Y$12))))</x:f>
      </x:c>
      <x:c r="F296" t="str">
        <x:f>IF(Calc!$A$296&gt;'Calc'!$B$8,"",'Calc'!$B$5-'财富模型'!$E$5-(IF('Calc'!$E$12=1,'财富模型'!$E$9,'财富模型'!$M$4+IF(Calc!$A$296&lt;='财富模型'!$E$11*12,'Calc'!$W$12,'Calc'!$Y$12)-(IF('Calc'!$E$12=1,0,MIN(Calc!$C$295*(1+'财富模型'!$E$20/12)+'Calc'!$B$6,IF(Calc!$A$296&lt;='财富模型'!$E$11*12,'Calc'!$W$12,'Calc'!$Y$12)))))))</x:f>
      </x:c>
      <x:c r="G296" t="str">
        <x:f>IF(Calc!$A$296&gt;'Calc'!$B$8,"",IF('Calc'!$E$12=1,0,MAX(Calc!$G$295*(1+IF(Calc!$A$296&lt;='财富模型'!$E$11*12,'财富模型'!$E$10,'财富模型'!$E$12)/12)-IF('Calc'!$E$12=1,0,IF(Calc!$A$296&lt;='财富模型'!$E$11*12,'Calc'!$W$12,'Calc'!$Y$12)),0)))</x:f>
      </x:c>
      <x:c r="I296" t="n">
        <x:v>275</x:v>
      </x:c>
      <x:c r="J296" t="str">
        <x:f>IF(Calc!$I$296&gt;'Calc'!$B$8,"",MAX(Calc!$J$295*(1+'财富模型'!$E$6/12)+('Calc'!$B$5-'财富模型'!$E$5-(IF('Calc'!$E$13=1,'财富模型'!$E$9,'财富模型'!$M$5+IF(Calc!$I$296&lt;='财富模型'!$E$11*12,'Calc'!$W$13,'Calc'!$Y$13)-(IF('Calc'!$E$13=1,0,MIN(Calc!$K$295*(1+'财富模型'!$E$20/12)+'Calc'!$B$6,IF(Calc!$I$296&lt;='财富模型'!$E$11*12,'Calc'!$W$13,'Calc'!$Y$13))))))),0))</x:f>
      </x:c>
      <x:c r="K296" t="str">
        <x:f>IF(Calc!$I$296&gt;'Calc'!$B$8,"",MAX(Calc!$K$295*(1+'财富模型'!$E$20/12)+'Calc'!$B$6-(IF('Calc'!$E$13=1,0,MIN(Calc!$K$295*(1+'财富模型'!$E$20/12)+'Calc'!$B$6,IF(Calc!$I$296&lt;='财富模型'!$E$11*12,'Calc'!$W$13,'Calc'!$Y$13)))),0))</x:f>
      </x:c>
      <x:c r="L296" t="str">
        <x:f>IF(Calc!$I$296&gt;'Calc'!$B$8,"",IF('Calc'!$E$13=1,'财富模型'!$E$9,'财富模型'!$M$5+IF(Calc!$I$296&lt;='财富模型'!$E$11*12,'Calc'!$W$13,'Calc'!$Y$13)-(IF('Calc'!$E$13=1,0,MIN(Calc!$K$295*(1+'财富模型'!$E$20/12)+'Calc'!$B$6,IF(Calc!$I$296&lt;='财富模型'!$E$11*12,'Calc'!$W$13,'Calc'!$Y$13))))))</x:f>
      </x:c>
      <x:c r="M296" t="str">
        <x:f>IF(Calc!$I$296&gt;'Calc'!$B$8,"",IF('Calc'!$E$13=1,0,MIN(Calc!$K$295*(1+'财富模型'!$E$20/12)+'Calc'!$B$6,IF(Calc!$I$296&lt;='财富模型'!$E$11*12,'Calc'!$W$13,'Calc'!$Y$13))))</x:f>
      </x:c>
      <x:c r="N296" t="str">
        <x:f>IF(Calc!$I$296&gt;'Calc'!$B$8,"",'Calc'!$B$5-'财富模型'!$E$5-(IF('Calc'!$E$13=1,'财富模型'!$E$9,'财富模型'!$M$5+IF(Calc!$I$296&lt;='财富模型'!$E$11*12,'Calc'!$W$13,'Calc'!$Y$13)-(IF('Calc'!$E$13=1,0,MIN(Calc!$K$295*(1+'财富模型'!$E$20/12)+'Calc'!$B$6,IF(Calc!$I$296&lt;='财富模型'!$E$11*12,'Calc'!$W$13,'Calc'!$Y$13)))))))</x:f>
      </x:c>
      <x:c r="O296" t="str">
        <x:f>IF(Calc!$I$296&gt;'Calc'!$B$8,"",IF('Calc'!$E$13=1,0,MAX(Calc!$O$295*(1+IF(Calc!$I$296&lt;='财富模型'!$E$11*12,'财富模型'!$E$10,'财富模型'!$E$12)/12)-IF('Calc'!$E$13=1,0,IF(Calc!$I$296&lt;='财富模型'!$E$11*12,'Calc'!$W$13,'Calc'!$Y$13)),0)))</x:f>
      </x:c>
      <x:c r="Q296" t="n">
        <x:v>275</x:v>
      </x:c>
      <x:c r="R296" t="str">
        <x:f>IF(Calc!$Q$296&gt;'Calc'!$B$8,"",MAX(Calc!$R$295*(1+'财富模型'!$E$6/12)+('Calc'!$B$5-'财富模型'!$E$5-(IF('Calc'!$E$14=1,'财富模型'!$E$9,'财富模型'!$M$6+IF(Calc!$Q$296&lt;='财富模型'!$E$11*12,'Calc'!$W$14,'Calc'!$Y$14)-(IF('Calc'!$E$14=1,0,MIN(Calc!$S$295*(1+'财富模型'!$E$20/12)+'Calc'!$B$6,IF(Calc!$Q$296&lt;='财富模型'!$E$11*12,'Calc'!$W$14,'Calc'!$Y$14))))))),0))</x:f>
      </x:c>
      <x:c r="S296" t="str">
        <x:f>IF(Calc!$Q$296&gt;'Calc'!$B$8,"",MAX(Calc!$S$295*(1+'财富模型'!$E$20/12)+'Calc'!$B$6-(IF('Calc'!$E$14=1,0,MIN(Calc!$S$295*(1+'财富模型'!$E$20/12)+'Calc'!$B$6,IF(Calc!$Q$296&lt;='财富模型'!$E$11*12,'Calc'!$W$14,'Calc'!$Y$14)))),0))</x:f>
      </x:c>
      <x:c r="T296" t="str">
        <x:f>IF(Calc!$Q$296&gt;'Calc'!$B$8,"",IF('Calc'!$E$14=1,'财富模型'!$E$9,'财富模型'!$M$6+IF(Calc!$Q$296&lt;='财富模型'!$E$11*12,'Calc'!$W$14,'Calc'!$Y$14)-(IF('Calc'!$E$14=1,0,MIN(Calc!$S$295*(1+'财富模型'!$E$20/12)+'Calc'!$B$6,IF(Calc!$Q$296&lt;='财富模型'!$E$11*12,'Calc'!$W$14,'Calc'!$Y$14))))))</x:f>
      </x:c>
      <x:c r="U296" t="str">
        <x:f>IF(Calc!$Q$296&gt;'Calc'!$B$8,"",IF('Calc'!$E$14=1,0,MIN(Calc!$S$295*(1+'财富模型'!$E$20/12)+'Calc'!$B$6,IF(Calc!$Q$296&lt;='财富模型'!$E$11*12,'Calc'!$W$14,'Calc'!$Y$14))))</x:f>
      </x:c>
      <x:c r="V296" t="str">
        <x:f>IF(Calc!$Q$296&gt;'Calc'!$B$8,"",'Calc'!$B$5-'财富模型'!$E$5-(IF('Calc'!$E$14=1,'财富模型'!$E$9,'财富模型'!$M$6+IF(Calc!$Q$296&lt;='财富模型'!$E$11*12,'Calc'!$W$14,'Calc'!$Y$14)-(IF('Calc'!$E$14=1,0,MIN(Calc!$S$295*(1+'财富模型'!$E$20/12)+'Calc'!$B$6,IF(Calc!$Q$296&lt;='财富模型'!$E$11*12,'Calc'!$W$14,'Calc'!$Y$14)))))))</x:f>
      </x:c>
      <x:c r="W296" t="str">
        <x:f>IF(Calc!$Q$296&gt;'Calc'!$B$8,"",IF('Calc'!$E$14=1,0,MAX(Calc!$W$295*(1+IF(Calc!$Q$296&lt;='财富模型'!$E$11*12,'财富模型'!$E$10,'财富模型'!$E$12)/12)-IF('Calc'!$E$14=1,0,IF(Calc!$Q$296&lt;='财富模型'!$E$11*12,'Calc'!$W$14,'Calc'!$Y$14)),0)))</x:f>
      </x:c>
      <x:c r="Y296" t="n">
        <x:v>275</x:v>
      </x:c>
      <x:c r="Z296" t="str">
        <x:f>IF(Calc!$Y$296&gt;'Calc'!$B$8,"",MAX(Calc!$Z$295*(1+'财富模型'!$E$6/12)+('Calc'!$B$5-'财富模型'!$E$5-(IF('Calc'!$E$15=1,'财富模型'!$E$9,'财富模型'!$M$7+IF(Calc!$Y$296&lt;='财富模型'!$E$11*12,'Calc'!$W$15,'Calc'!$Y$15)-(IF('Calc'!$E$15=1,0,MIN(Calc!$AA$295*(1+'财富模型'!$E$20/12)+'Calc'!$B$6,IF(Calc!$Y$296&lt;='财富模型'!$E$11*12,'Calc'!$W$15,'Calc'!$Y$15))))))),0))</x:f>
      </x:c>
      <x:c r="AA296" t="str">
        <x:f>IF(Calc!$Y$296&gt;'Calc'!$B$8,"",MAX(Calc!$AA$295*(1+'财富模型'!$E$20/12)+'Calc'!$B$6-(IF('Calc'!$E$15=1,0,MIN(Calc!$AA$295*(1+'财富模型'!$E$20/12)+'Calc'!$B$6,IF(Calc!$Y$296&lt;='财富模型'!$E$11*12,'Calc'!$W$15,'Calc'!$Y$15)))),0))</x:f>
      </x:c>
      <x:c r="AB296" t="str">
        <x:f>IF(Calc!$Y$296&gt;'Calc'!$B$8,"",IF('Calc'!$E$15=1,'财富模型'!$E$9,'财富模型'!$M$7+IF(Calc!$Y$296&lt;='财富模型'!$E$11*12,'Calc'!$W$15,'Calc'!$Y$15)-(IF('Calc'!$E$15=1,0,MIN(Calc!$AA$295*(1+'财富模型'!$E$20/12)+'Calc'!$B$6,IF(Calc!$Y$296&lt;='财富模型'!$E$11*12,'Calc'!$W$15,'Calc'!$Y$15))))))</x:f>
      </x:c>
      <x:c r="AC296" t="str">
        <x:f>IF(Calc!$Y$296&gt;'Calc'!$B$8,"",IF('Calc'!$E$15=1,0,MIN(Calc!$AA$295*(1+'财富模型'!$E$20/12)+'Calc'!$B$6,IF(Calc!$Y$296&lt;='财富模型'!$E$11*12,'Calc'!$W$15,'Calc'!$Y$15))))</x:f>
      </x:c>
      <x:c r="AD296" t="str">
        <x:f>IF(Calc!$Y$296&gt;'Calc'!$B$8,"",'Calc'!$B$5-'财富模型'!$E$5-(IF('Calc'!$E$15=1,'财富模型'!$E$9,'财富模型'!$M$7+IF(Calc!$Y$296&lt;='财富模型'!$E$11*12,'Calc'!$W$15,'Calc'!$Y$15)-(IF('Calc'!$E$15=1,0,MIN(Calc!$AA$295*(1+'财富模型'!$E$20/12)+'Calc'!$B$6,IF(Calc!$Y$296&lt;='财富模型'!$E$11*12,'Calc'!$W$15,'Calc'!$Y$15)))))))</x:f>
      </x:c>
      <x:c r="AE296" t="str">
        <x:f>IF(Calc!$Y$296&gt;'Calc'!$B$8,"",IF('Calc'!$E$15=1,0,MAX(Calc!$AE$295*(1+IF(Calc!$Y$296&lt;='财富模型'!$E$11*12,'财富模型'!$E$10,'财富模型'!$E$12)/12)-IF('Calc'!$E$15=1,0,IF(Calc!$Y$296&lt;='财富模型'!$E$11*12,'Calc'!$W$15,'Calc'!$Y$15)),0)))</x:f>
      </x:c>
      <x:c r="AG296" t="n">
        <x:v>275</x:v>
      </x:c>
      <x:c r="AH296" t="str">
        <x:f>IF(Calc!$AG$296&gt;'Calc'!$B$8,"",MAX(Calc!$AH$295*(1+'财富模型'!$E$6/12)+('Calc'!$B$5-'财富模型'!$E$5-(IF('Calc'!$E$16=1,'财富模型'!$E$9,'财富模型'!$M$8+IF(Calc!$AG$296&lt;='财富模型'!$E$11*12,'Calc'!$W$16,'Calc'!$Y$16)-(IF('Calc'!$E$16=1,0,MIN(Calc!$AI$295*(1+'财富模型'!$E$20/12)+'Calc'!$B$6,IF(Calc!$AG$296&lt;='财富模型'!$E$11*12,'Calc'!$W$16,'Calc'!$Y$16))))))),0))</x:f>
      </x:c>
      <x:c r="AI296" t="str">
        <x:f>IF(Calc!$AG$296&gt;'Calc'!$B$8,"",MAX(Calc!$AI$295*(1+'财富模型'!$E$20/12)+'Calc'!$B$6-(IF('Calc'!$E$16=1,0,MIN(Calc!$AI$295*(1+'财富模型'!$E$20/12)+'Calc'!$B$6,IF(Calc!$AG$296&lt;='财富模型'!$E$11*12,'Calc'!$W$16,'Calc'!$Y$16)))),0))</x:f>
      </x:c>
      <x:c r="AJ296" t="str">
        <x:f>IF(Calc!$AG$296&gt;'Calc'!$B$8,"",IF('Calc'!$E$16=1,'财富模型'!$E$9,'财富模型'!$M$8+IF(Calc!$AG$296&lt;='财富模型'!$E$11*12,'Calc'!$W$16,'Calc'!$Y$16)-(IF('Calc'!$E$16=1,0,MIN(Calc!$AI$295*(1+'财富模型'!$E$20/12)+'Calc'!$B$6,IF(Calc!$AG$296&lt;='财富模型'!$E$11*12,'Calc'!$W$16,'Calc'!$Y$16))))))</x:f>
      </x:c>
      <x:c r="AK296" t="str">
        <x:f>IF(Calc!$AG$296&gt;'Calc'!$B$8,"",IF('Calc'!$E$16=1,0,MIN(Calc!$AI$295*(1+'财富模型'!$E$20/12)+'Calc'!$B$6,IF(Calc!$AG$296&lt;='财富模型'!$E$11*12,'Calc'!$W$16,'Calc'!$Y$16))))</x:f>
      </x:c>
      <x:c r="AL296" t="str">
        <x:f>IF(Calc!$AG$296&gt;'Calc'!$B$8,"",'Calc'!$B$5-'财富模型'!$E$5-(IF('Calc'!$E$16=1,'财富模型'!$E$9,'财富模型'!$M$8+IF(Calc!$AG$296&lt;='财富模型'!$E$11*12,'Calc'!$W$16,'Calc'!$Y$16)-(IF('Calc'!$E$16=1,0,MIN(Calc!$AI$295*(1+'财富模型'!$E$20/12)+'Calc'!$B$6,IF(Calc!$AG$296&lt;='财富模型'!$E$11*12,'Calc'!$W$16,'Calc'!$Y$16)))))))</x:f>
      </x:c>
      <x:c r="AM296" t="str">
        <x:f>IF(Calc!$AG$296&gt;'Calc'!$B$8,"",IF('Calc'!$E$16=1,0,MAX(Calc!$AM$295*(1+IF(Calc!$AG$296&lt;='财富模型'!$E$11*12,'财富模型'!$E$10,'财富模型'!$E$12)/12)-IF('Calc'!$E$16=1,0,IF(Calc!$AG$296&lt;='财富模型'!$E$11*12,'Calc'!$W$16,'Calc'!$Y$16)),0)))</x:f>
      </x:c>
      <x:c r="AO296" t="n">
        <x:v>275</x:v>
      </x:c>
      <x:c r="AP296" t="str">
        <x:f>IF(Calc!$AO$296&gt;'Calc'!$B$8,"",MAX(Calc!$AP$295*(1+'财富模型'!$E$6/12)+('Calc'!$B$5-'财富模型'!$E$5-(IF('Calc'!$E$17=1,'财富模型'!$E$9,'财富模型'!$M$9+IF(Calc!$AO$296&lt;='财富模型'!$E$11*12,'Calc'!$W$17,'Calc'!$Y$17)-(IF('Calc'!$E$17=1,0,MIN(Calc!$AQ$295*(1+'财富模型'!$E$20/12)+'Calc'!$B$6,IF(Calc!$AO$296&lt;='财富模型'!$E$11*12,'Calc'!$W$17,'Calc'!$Y$17))))))),0))</x:f>
      </x:c>
      <x:c r="AQ296" t="str">
        <x:f>IF(Calc!$AO$296&gt;'Calc'!$B$8,"",MAX(Calc!$AQ$295*(1+'财富模型'!$E$20/12)+'Calc'!$B$6-(IF('Calc'!$E$17=1,0,MIN(Calc!$AQ$295*(1+'财富模型'!$E$20/12)+'Calc'!$B$6,IF(Calc!$AO$296&lt;='财富模型'!$E$11*12,'Calc'!$W$17,'Calc'!$Y$17)))),0))</x:f>
      </x:c>
      <x:c r="AR296" t="str">
        <x:f>IF(Calc!$AO$296&gt;'Calc'!$B$8,"",IF('Calc'!$E$17=1,'财富模型'!$E$9,'财富模型'!$M$9+IF(Calc!$AO$296&lt;='财富模型'!$E$11*12,'Calc'!$W$17,'Calc'!$Y$17)-(IF('Calc'!$E$17=1,0,MIN(Calc!$AQ$295*(1+'财富模型'!$E$20/12)+'Calc'!$B$6,IF(Calc!$AO$296&lt;='财富模型'!$E$11*12,'Calc'!$W$17,'Calc'!$Y$17))))))</x:f>
      </x:c>
      <x:c r="AS296" t="str">
        <x:f>IF(Calc!$AO$296&gt;'Calc'!$B$8,"",IF('Calc'!$E$17=1,0,MIN(Calc!$AQ$295*(1+'财富模型'!$E$20/12)+'Calc'!$B$6,IF(Calc!$AO$296&lt;='财富模型'!$E$11*12,'Calc'!$W$17,'Calc'!$Y$17))))</x:f>
      </x:c>
      <x:c r="AT296" t="str">
        <x:f>IF(Calc!$AO$296&gt;'Calc'!$B$8,"",'Calc'!$B$5-'财富模型'!$E$5-(IF('Calc'!$E$17=1,'财富模型'!$E$9,'财富模型'!$M$9+IF(Calc!$AO$296&lt;='财富模型'!$E$11*12,'Calc'!$W$17,'Calc'!$Y$17)-(IF('Calc'!$E$17=1,0,MIN(Calc!$AQ$295*(1+'财富模型'!$E$20/12)+'Calc'!$B$6,IF(Calc!$AO$296&lt;='财富模型'!$E$11*12,'Calc'!$W$17,'Calc'!$Y$17)))))))</x:f>
      </x:c>
      <x:c r="AU296" t="str">
        <x:f>IF(Calc!$AO$296&gt;'Calc'!$B$8,"",IF('Calc'!$E$17=1,0,MAX(Calc!$AU$295*(1+IF(Calc!$AO$296&lt;='财富模型'!$E$11*12,'财富模型'!$E$10,'财富模型'!$E$12)/12)-IF('Calc'!$E$17=1,0,IF(Calc!$AO$296&lt;='财富模型'!$E$11*12,'Calc'!$W$17,'Calc'!$Y$17)),0)))</x:f>
      </x:c>
    </x:row>
    <x:row r="297">
      <x:c r="A297" t="n">
        <x:v>276</x:v>
      </x:c>
      <x:c r="B297" t="str">
        <x:f>IF(Calc!$A$297&gt;'Calc'!$B$8,"",MAX(Calc!$B$296*(1+'财富模型'!$E$6/12)+('Calc'!$B$5-'财富模型'!$E$5-(IF('Calc'!$E$12=1,'财富模型'!$E$9,'财富模型'!$M$4+IF(Calc!$A$297&lt;='财富模型'!$E$11*12,'Calc'!$W$12,'Calc'!$Y$12)-(IF('Calc'!$E$12=1,0,MIN(Calc!$C$296*(1+'财富模型'!$E$20/12)+'Calc'!$B$6,IF(Calc!$A$297&lt;='财富模型'!$E$11*12,'Calc'!$W$12,'Calc'!$Y$12))))))),0))</x:f>
      </x:c>
      <x:c r="C297" t="str">
        <x:f>IF(Calc!$A$297&gt;'Calc'!$B$8,"",MAX(Calc!$C$296*(1+'财富模型'!$E$20/12)+'Calc'!$B$6-(IF('Calc'!$E$12=1,0,MIN(Calc!$C$296*(1+'财富模型'!$E$20/12)+'Calc'!$B$6,IF(Calc!$A$297&lt;='财富模型'!$E$11*12,'Calc'!$W$12,'Calc'!$Y$12)))),0))</x:f>
      </x:c>
      <x:c r="D297" t="str">
        <x:f>IF(Calc!$A$297&gt;'Calc'!$B$8,"",IF('Calc'!$E$12=1,'财富模型'!$E$9,'财富模型'!$M$4+IF(Calc!$A$297&lt;='财富模型'!$E$11*12,'Calc'!$W$12,'Calc'!$Y$12)-(IF('Calc'!$E$12=1,0,MIN(Calc!$C$296*(1+'财富模型'!$E$20/12)+'Calc'!$B$6,IF(Calc!$A$297&lt;='财富模型'!$E$11*12,'Calc'!$W$12,'Calc'!$Y$12))))))</x:f>
      </x:c>
      <x:c r="E297" t="str">
        <x:f>IF(Calc!$A$297&gt;'Calc'!$B$8,"",IF('Calc'!$E$12=1,0,MIN(Calc!$C$296*(1+'财富模型'!$E$20/12)+'Calc'!$B$6,IF(Calc!$A$297&lt;='财富模型'!$E$11*12,'Calc'!$W$12,'Calc'!$Y$12))))</x:f>
      </x:c>
      <x:c r="F297" t="str">
        <x:f>IF(Calc!$A$297&gt;'Calc'!$B$8,"",'Calc'!$B$5-'财富模型'!$E$5-(IF('Calc'!$E$12=1,'财富模型'!$E$9,'财富模型'!$M$4+IF(Calc!$A$297&lt;='财富模型'!$E$11*12,'Calc'!$W$12,'Calc'!$Y$12)-(IF('Calc'!$E$12=1,0,MIN(Calc!$C$296*(1+'财富模型'!$E$20/12)+'Calc'!$B$6,IF(Calc!$A$297&lt;='财富模型'!$E$11*12,'Calc'!$W$12,'Calc'!$Y$12)))))))</x:f>
      </x:c>
      <x:c r="G297" t="str">
        <x:f>IF(Calc!$A$297&gt;'Calc'!$B$8,"",IF('Calc'!$E$12=1,0,MAX(Calc!$G$296*(1+IF(Calc!$A$297&lt;='财富模型'!$E$11*12,'财富模型'!$E$10,'财富模型'!$E$12)/12)-IF('Calc'!$E$12=1,0,IF(Calc!$A$297&lt;='财富模型'!$E$11*12,'Calc'!$W$12,'Calc'!$Y$12)),0)))</x:f>
      </x:c>
      <x:c r="I297" t="n">
        <x:v>276</x:v>
      </x:c>
      <x:c r="J297" t="str">
        <x:f>IF(Calc!$I$297&gt;'Calc'!$B$8,"",MAX(Calc!$J$296*(1+'财富模型'!$E$6/12)+('Calc'!$B$5-'财富模型'!$E$5-(IF('Calc'!$E$13=1,'财富模型'!$E$9,'财富模型'!$M$5+IF(Calc!$I$297&lt;='财富模型'!$E$11*12,'Calc'!$W$13,'Calc'!$Y$13)-(IF('Calc'!$E$13=1,0,MIN(Calc!$K$296*(1+'财富模型'!$E$20/12)+'Calc'!$B$6,IF(Calc!$I$297&lt;='财富模型'!$E$11*12,'Calc'!$W$13,'Calc'!$Y$13))))))),0))</x:f>
      </x:c>
      <x:c r="K297" t="str">
        <x:f>IF(Calc!$I$297&gt;'Calc'!$B$8,"",MAX(Calc!$K$296*(1+'财富模型'!$E$20/12)+'Calc'!$B$6-(IF('Calc'!$E$13=1,0,MIN(Calc!$K$296*(1+'财富模型'!$E$20/12)+'Calc'!$B$6,IF(Calc!$I$297&lt;='财富模型'!$E$11*12,'Calc'!$W$13,'Calc'!$Y$13)))),0))</x:f>
      </x:c>
      <x:c r="L297" t="str">
        <x:f>IF(Calc!$I$297&gt;'Calc'!$B$8,"",IF('Calc'!$E$13=1,'财富模型'!$E$9,'财富模型'!$M$5+IF(Calc!$I$297&lt;='财富模型'!$E$11*12,'Calc'!$W$13,'Calc'!$Y$13)-(IF('Calc'!$E$13=1,0,MIN(Calc!$K$296*(1+'财富模型'!$E$20/12)+'Calc'!$B$6,IF(Calc!$I$297&lt;='财富模型'!$E$11*12,'Calc'!$W$13,'Calc'!$Y$13))))))</x:f>
      </x:c>
      <x:c r="M297" t="str">
        <x:f>IF(Calc!$I$297&gt;'Calc'!$B$8,"",IF('Calc'!$E$13=1,0,MIN(Calc!$K$296*(1+'财富模型'!$E$20/12)+'Calc'!$B$6,IF(Calc!$I$297&lt;='财富模型'!$E$11*12,'Calc'!$W$13,'Calc'!$Y$13))))</x:f>
      </x:c>
      <x:c r="N297" t="str">
        <x:f>IF(Calc!$I$297&gt;'Calc'!$B$8,"",'Calc'!$B$5-'财富模型'!$E$5-(IF('Calc'!$E$13=1,'财富模型'!$E$9,'财富模型'!$M$5+IF(Calc!$I$297&lt;='财富模型'!$E$11*12,'Calc'!$W$13,'Calc'!$Y$13)-(IF('Calc'!$E$13=1,0,MIN(Calc!$K$296*(1+'财富模型'!$E$20/12)+'Calc'!$B$6,IF(Calc!$I$297&lt;='财富模型'!$E$11*12,'Calc'!$W$13,'Calc'!$Y$13)))))))</x:f>
      </x:c>
      <x:c r="O297" t="str">
        <x:f>IF(Calc!$I$297&gt;'Calc'!$B$8,"",IF('Calc'!$E$13=1,0,MAX(Calc!$O$296*(1+IF(Calc!$I$297&lt;='财富模型'!$E$11*12,'财富模型'!$E$10,'财富模型'!$E$12)/12)-IF('Calc'!$E$13=1,0,IF(Calc!$I$297&lt;='财富模型'!$E$11*12,'Calc'!$W$13,'Calc'!$Y$13)),0)))</x:f>
      </x:c>
      <x:c r="Q297" t="n">
        <x:v>276</x:v>
      </x:c>
      <x:c r="R297" t="str">
        <x:f>IF(Calc!$Q$297&gt;'Calc'!$B$8,"",MAX(Calc!$R$296*(1+'财富模型'!$E$6/12)+('Calc'!$B$5-'财富模型'!$E$5-(IF('Calc'!$E$14=1,'财富模型'!$E$9,'财富模型'!$M$6+IF(Calc!$Q$297&lt;='财富模型'!$E$11*12,'Calc'!$W$14,'Calc'!$Y$14)-(IF('Calc'!$E$14=1,0,MIN(Calc!$S$296*(1+'财富模型'!$E$20/12)+'Calc'!$B$6,IF(Calc!$Q$297&lt;='财富模型'!$E$11*12,'Calc'!$W$14,'Calc'!$Y$14))))))),0))</x:f>
      </x:c>
      <x:c r="S297" t="str">
        <x:f>IF(Calc!$Q$297&gt;'Calc'!$B$8,"",MAX(Calc!$S$296*(1+'财富模型'!$E$20/12)+'Calc'!$B$6-(IF('Calc'!$E$14=1,0,MIN(Calc!$S$296*(1+'财富模型'!$E$20/12)+'Calc'!$B$6,IF(Calc!$Q$297&lt;='财富模型'!$E$11*12,'Calc'!$W$14,'Calc'!$Y$14)))),0))</x:f>
      </x:c>
      <x:c r="T297" t="str">
        <x:f>IF(Calc!$Q$297&gt;'Calc'!$B$8,"",IF('Calc'!$E$14=1,'财富模型'!$E$9,'财富模型'!$M$6+IF(Calc!$Q$297&lt;='财富模型'!$E$11*12,'Calc'!$W$14,'Calc'!$Y$14)-(IF('Calc'!$E$14=1,0,MIN(Calc!$S$296*(1+'财富模型'!$E$20/12)+'Calc'!$B$6,IF(Calc!$Q$297&lt;='财富模型'!$E$11*12,'Calc'!$W$14,'Calc'!$Y$14))))))</x:f>
      </x:c>
      <x:c r="U297" t="str">
        <x:f>IF(Calc!$Q$297&gt;'Calc'!$B$8,"",IF('Calc'!$E$14=1,0,MIN(Calc!$S$296*(1+'财富模型'!$E$20/12)+'Calc'!$B$6,IF(Calc!$Q$297&lt;='财富模型'!$E$11*12,'Calc'!$W$14,'Calc'!$Y$14))))</x:f>
      </x:c>
      <x:c r="V297" t="str">
        <x:f>IF(Calc!$Q$297&gt;'Calc'!$B$8,"",'Calc'!$B$5-'财富模型'!$E$5-(IF('Calc'!$E$14=1,'财富模型'!$E$9,'财富模型'!$M$6+IF(Calc!$Q$297&lt;='财富模型'!$E$11*12,'Calc'!$W$14,'Calc'!$Y$14)-(IF('Calc'!$E$14=1,0,MIN(Calc!$S$296*(1+'财富模型'!$E$20/12)+'Calc'!$B$6,IF(Calc!$Q$297&lt;='财富模型'!$E$11*12,'Calc'!$W$14,'Calc'!$Y$14)))))))</x:f>
      </x:c>
      <x:c r="W297" t="str">
        <x:f>IF(Calc!$Q$297&gt;'Calc'!$B$8,"",IF('Calc'!$E$14=1,0,MAX(Calc!$W$296*(1+IF(Calc!$Q$297&lt;='财富模型'!$E$11*12,'财富模型'!$E$10,'财富模型'!$E$12)/12)-IF('Calc'!$E$14=1,0,IF(Calc!$Q$297&lt;='财富模型'!$E$11*12,'Calc'!$W$14,'Calc'!$Y$14)),0)))</x:f>
      </x:c>
      <x:c r="Y297" t="n">
        <x:v>276</x:v>
      </x:c>
      <x:c r="Z297" t="str">
        <x:f>IF(Calc!$Y$297&gt;'Calc'!$B$8,"",MAX(Calc!$Z$296*(1+'财富模型'!$E$6/12)+('Calc'!$B$5-'财富模型'!$E$5-(IF('Calc'!$E$15=1,'财富模型'!$E$9,'财富模型'!$M$7+IF(Calc!$Y$297&lt;='财富模型'!$E$11*12,'Calc'!$W$15,'Calc'!$Y$15)-(IF('Calc'!$E$15=1,0,MIN(Calc!$AA$296*(1+'财富模型'!$E$20/12)+'Calc'!$B$6,IF(Calc!$Y$297&lt;='财富模型'!$E$11*12,'Calc'!$W$15,'Calc'!$Y$15))))))),0))</x:f>
      </x:c>
      <x:c r="AA297" t="str">
        <x:f>IF(Calc!$Y$297&gt;'Calc'!$B$8,"",MAX(Calc!$AA$296*(1+'财富模型'!$E$20/12)+'Calc'!$B$6-(IF('Calc'!$E$15=1,0,MIN(Calc!$AA$296*(1+'财富模型'!$E$20/12)+'Calc'!$B$6,IF(Calc!$Y$297&lt;='财富模型'!$E$11*12,'Calc'!$W$15,'Calc'!$Y$15)))),0))</x:f>
      </x:c>
      <x:c r="AB297" t="str">
        <x:f>IF(Calc!$Y$297&gt;'Calc'!$B$8,"",IF('Calc'!$E$15=1,'财富模型'!$E$9,'财富模型'!$M$7+IF(Calc!$Y$297&lt;='财富模型'!$E$11*12,'Calc'!$W$15,'Calc'!$Y$15)-(IF('Calc'!$E$15=1,0,MIN(Calc!$AA$296*(1+'财富模型'!$E$20/12)+'Calc'!$B$6,IF(Calc!$Y$297&lt;='财富模型'!$E$11*12,'Calc'!$W$15,'Calc'!$Y$15))))))</x:f>
      </x:c>
      <x:c r="AC297" t="str">
        <x:f>IF(Calc!$Y$297&gt;'Calc'!$B$8,"",IF('Calc'!$E$15=1,0,MIN(Calc!$AA$296*(1+'财富模型'!$E$20/12)+'Calc'!$B$6,IF(Calc!$Y$297&lt;='财富模型'!$E$11*12,'Calc'!$W$15,'Calc'!$Y$15))))</x:f>
      </x:c>
      <x:c r="AD297" t="str">
        <x:f>IF(Calc!$Y$297&gt;'Calc'!$B$8,"",'Calc'!$B$5-'财富模型'!$E$5-(IF('Calc'!$E$15=1,'财富模型'!$E$9,'财富模型'!$M$7+IF(Calc!$Y$297&lt;='财富模型'!$E$11*12,'Calc'!$W$15,'Calc'!$Y$15)-(IF('Calc'!$E$15=1,0,MIN(Calc!$AA$296*(1+'财富模型'!$E$20/12)+'Calc'!$B$6,IF(Calc!$Y$297&lt;='财富模型'!$E$11*12,'Calc'!$W$15,'Calc'!$Y$15)))))))</x:f>
      </x:c>
      <x:c r="AE297" t="str">
        <x:f>IF(Calc!$Y$297&gt;'Calc'!$B$8,"",IF('Calc'!$E$15=1,0,MAX(Calc!$AE$296*(1+IF(Calc!$Y$297&lt;='财富模型'!$E$11*12,'财富模型'!$E$10,'财富模型'!$E$12)/12)-IF('Calc'!$E$15=1,0,IF(Calc!$Y$297&lt;='财富模型'!$E$11*12,'Calc'!$W$15,'Calc'!$Y$15)),0)))</x:f>
      </x:c>
      <x:c r="AG297" t="n">
        <x:v>276</x:v>
      </x:c>
      <x:c r="AH297" t="str">
        <x:f>IF(Calc!$AG$297&gt;'Calc'!$B$8,"",MAX(Calc!$AH$296*(1+'财富模型'!$E$6/12)+('Calc'!$B$5-'财富模型'!$E$5-(IF('Calc'!$E$16=1,'财富模型'!$E$9,'财富模型'!$M$8+IF(Calc!$AG$297&lt;='财富模型'!$E$11*12,'Calc'!$W$16,'Calc'!$Y$16)-(IF('Calc'!$E$16=1,0,MIN(Calc!$AI$296*(1+'财富模型'!$E$20/12)+'Calc'!$B$6,IF(Calc!$AG$297&lt;='财富模型'!$E$11*12,'Calc'!$W$16,'Calc'!$Y$16))))))),0))</x:f>
      </x:c>
      <x:c r="AI297" t="str">
        <x:f>IF(Calc!$AG$297&gt;'Calc'!$B$8,"",MAX(Calc!$AI$296*(1+'财富模型'!$E$20/12)+'Calc'!$B$6-(IF('Calc'!$E$16=1,0,MIN(Calc!$AI$296*(1+'财富模型'!$E$20/12)+'Calc'!$B$6,IF(Calc!$AG$297&lt;='财富模型'!$E$11*12,'Calc'!$W$16,'Calc'!$Y$16)))),0))</x:f>
      </x:c>
      <x:c r="AJ297" t="str">
        <x:f>IF(Calc!$AG$297&gt;'Calc'!$B$8,"",IF('Calc'!$E$16=1,'财富模型'!$E$9,'财富模型'!$M$8+IF(Calc!$AG$297&lt;='财富模型'!$E$11*12,'Calc'!$W$16,'Calc'!$Y$16)-(IF('Calc'!$E$16=1,0,MIN(Calc!$AI$296*(1+'财富模型'!$E$20/12)+'Calc'!$B$6,IF(Calc!$AG$297&lt;='财富模型'!$E$11*12,'Calc'!$W$16,'Calc'!$Y$16))))))</x:f>
      </x:c>
      <x:c r="AK297" t="str">
        <x:f>IF(Calc!$AG$297&gt;'Calc'!$B$8,"",IF('Calc'!$E$16=1,0,MIN(Calc!$AI$296*(1+'财富模型'!$E$20/12)+'Calc'!$B$6,IF(Calc!$AG$297&lt;='财富模型'!$E$11*12,'Calc'!$W$16,'Calc'!$Y$16))))</x:f>
      </x:c>
      <x:c r="AL297" t="str">
        <x:f>IF(Calc!$AG$297&gt;'Calc'!$B$8,"",'Calc'!$B$5-'财富模型'!$E$5-(IF('Calc'!$E$16=1,'财富模型'!$E$9,'财富模型'!$M$8+IF(Calc!$AG$297&lt;='财富模型'!$E$11*12,'Calc'!$W$16,'Calc'!$Y$16)-(IF('Calc'!$E$16=1,0,MIN(Calc!$AI$296*(1+'财富模型'!$E$20/12)+'Calc'!$B$6,IF(Calc!$AG$297&lt;='财富模型'!$E$11*12,'Calc'!$W$16,'Calc'!$Y$16)))))))</x:f>
      </x:c>
      <x:c r="AM297" t="str">
        <x:f>IF(Calc!$AG$297&gt;'Calc'!$B$8,"",IF('Calc'!$E$16=1,0,MAX(Calc!$AM$296*(1+IF(Calc!$AG$297&lt;='财富模型'!$E$11*12,'财富模型'!$E$10,'财富模型'!$E$12)/12)-IF('Calc'!$E$16=1,0,IF(Calc!$AG$297&lt;='财富模型'!$E$11*12,'Calc'!$W$16,'Calc'!$Y$16)),0)))</x:f>
      </x:c>
      <x:c r="AO297" t="n">
        <x:v>276</x:v>
      </x:c>
      <x:c r="AP297" t="str">
        <x:f>IF(Calc!$AO$297&gt;'Calc'!$B$8,"",MAX(Calc!$AP$296*(1+'财富模型'!$E$6/12)+('Calc'!$B$5-'财富模型'!$E$5-(IF('Calc'!$E$17=1,'财富模型'!$E$9,'财富模型'!$M$9+IF(Calc!$AO$297&lt;='财富模型'!$E$11*12,'Calc'!$W$17,'Calc'!$Y$17)-(IF('Calc'!$E$17=1,0,MIN(Calc!$AQ$296*(1+'财富模型'!$E$20/12)+'Calc'!$B$6,IF(Calc!$AO$297&lt;='财富模型'!$E$11*12,'Calc'!$W$17,'Calc'!$Y$17))))))),0))</x:f>
      </x:c>
      <x:c r="AQ297" t="str">
        <x:f>IF(Calc!$AO$297&gt;'Calc'!$B$8,"",MAX(Calc!$AQ$296*(1+'财富模型'!$E$20/12)+'Calc'!$B$6-(IF('Calc'!$E$17=1,0,MIN(Calc!$AQ$296*(1+'财富模型'!$E$20/12)+'Calc'!$B$6,IF(Calc!$AO$297&lt;='财富模型'!$E$11*12,'Calc'!$W$17,'Calc'!$Y$17)))),0))</x:f>
      </x:c>
      <x:c r="AR297" t="str">
        <x:f>IF(Calc!$AO$297&gt;'Calc'!$B$8,"",IF('Calc'!$E$17=1,'财富模型'!$E$9,'财富模型'!$M$9+IF(Calc!$AO$297&lt;='财富模型'!$E$11*12,'Calc'!$W$17,'Calc'!$Y$17)-(IF('Calc'!$E$17=1,0,MIN(Calc!$AQ$296*(1+'财富模型'!$E$20/12)+'Calc'!$B$6,IF(Calc!$AO$297&lt;='财富模型'!$E$11*12,'Calc'!$W$17,'Calc'!$Y$17))))))</x:f>
      </x:c>
      <x:c r="AS297" t="str">
        <x:f>IF(Calc!$AO$297&gt;'Calc'!$B$8,"",IF('Calc'!$E$17=1,0,MIN(Calc!$AQ$296*(1+'财富模型'!$E$20/12)+'Calc'!$B$6,IF(Calc!$AO$297&lt;='财富模型'!$E$11*12,'Calc'!$W$17,'Calc'!$Y$17))))</x:f>
      </x:c>
      <x:c r="AT297" t="str">
        <x:f>IF(Calc!$AO$297&gt;'Calc'!$B$8,"",'Calc'!$B$5-'财富模型'!$E$5-(IF('Calc'!$E$17=1,'财富模型'!$E$9,'财富模型'!$M$9+IF(Calc!$AO$297&lt;='财富模型'!$E$11*12,'Calc'!$W$17,'Calc'!$Y$17)-(IF('Calc'!$E$17=1,0,MIN(Calc!$AQ$296*(1+'财富模型'!$E$20/12)+'Calc'!$B$6,IF(Calc!$AO$297&lt;='财富模型'!$E$11*12,'Calc'!$W$17,'Calc'!$Y$17)))))))</x:f>
      </x:c>
      <x:c r="AU297" t="str">
        <x:f>IF(Calc!$AO$297&gt;'Calc'!$B$8,"",IF('Calc'!$E$17=1,0,MAX(Calc!$AU$296*(1+IF(Calc!$AO$297&lt;='财富模型'!$E$11*12,'财富模型'!$E$10,'财富模型'!$E$12)/12)-IF('Calc'!$E$17=1,0,IF(Calc!$AO$297&lt;='财富模型'!$E$11*12,'Calc'!$W$17,'Calc'!$Y$17)),0)))</x:f>
      </x:c>
    </x:row>
    <x:row r="298">
      <x:c r="A298" t="n">
        <x:v>277</x:v>
      </x:c>
      <x:c r="B298" t="str">
        <x:f>IF(Calc!$A$298&gt;'Calc'!$B$8,"",MAX(Calc!$B$297*(1+'财富模型'!$E$6/12)+('Calc'!$B$5-'财富模型'!$E$5-(IF('Calc'!$E$12=1,'财富模型'!$E$9,'财富模型'!$M$4+IF(Calc!$A$298&lt;='财富模型'!$E$11*12,'Calc'!$W$12,'Calc'!$Y$12)-(IF('Calc'!$E$12=1,0,MIN(Calc!$C$297*(1+'财富模型'!$E$20/12)+'Calc'!$B$6,IF(Calc!$A$298&lt;='财富模型'!$E$11*12,'Calc'!$W$12,'Calc'!$Y$12))))))),0))</x:f>
      </x:c>
      <x:c r="C298" t="str">
        <x:f>IF(Calc!$A$298&gt;'Calc'!$B$8,"",MAX(Calc!$C$297*(1+'财富模型'!$E$20/12)+'Calc'!$B$6-(IF('Calc'!$E$12=1,0,MIN(Calc!$C$297*(1+'财富模型'!$E$20/12)+'Calc'!$B$6,IF(Calc!$A$298&lt;='财富模型'!$E$11*12,'Calc'!$W$12,'Calc'!$Y$12)))),0))</x:f>
      </x:c>
      <x:c r="D298" t="str">
        <x:f>IF(Calc!$A$298&gt;'Calc'!$B$8,"",IF('Calc'!$E$12=1,'财富模型'!$E$9,'财富模型'!$M$4+IF(Calc!$A$298&lt;='财富模型'!$E$11*12,'Calc'!$W$12,'Calc'!$Y$12)-(IF('Calc'!$E$12=1,0,MIN(Calc!$C$297*(1+'财富模型'!$E$20/12)+'Calc'!$B$6,IF(Calc!$A$298&lt;='财富模型'!$E$11*12,'Calc'!$W$12,'Calc'!$Y$12))))))</x:f>
      </x:c>
      <x:c r="E298" t="str">
        <x:f>IF(Calc!$A$298&gt;'Calc'!$B$8,"",IF('Calc'!$E$12=1,0,MIN(Calc!$C$297*(1+'财富模型'!$E$20/12)+'Calc'!$B$6,IF(Calc!$A$298&lt;='财富模型'!$E$11*12,'Calc'!$W$12,'Calc'!$Y$12))))</x:f>
      </x:c>
      <x:c r="F298" t="str">
        <x:f>IF(Calc!$A$298&gt;'Calc'!$B$8,"",'Calc'!$B$5-'财富模型'!$E$5-(IF('Calc'!$E$12=1,'财富模型'!$E$9,'财富模型'!$M$4+IF(Calc!$A$298&lt;='财富模型'!$E$11*12,'Calc'!$W$12,'Calc'!$Y$12)-(IF('Calc'!$E$12=1,0,MIN(Calc!$C$297*(1+'财富模型'!$E$20/12)+'Calc'!$B$6,IF(Calc!$A$298&lt;='财富模型'!$E$11*12,'Calc'!$W$12,'Calc'!$Y$12)))))))</x:f>
      </x:c>
      <x:c r="G298" t="str">
        <x:f>IF(Calc!$A$298&gt;'Calc'!$B$8,"",IF('Calc'!$E$12=1,0,MAX(Calc!$G$297*(1+IF(Calc!$A$298&lt;='财富模型'!$E$11*12,'财富模型'!$E$10,'财富模型'!$E$12)/12)-IF('Calc'!$E$12=1,0,IF(Calc!$A$298&lt;='财富模型'!$E$11*12,'Calc'!$W$12,'Calc'!$Y$12)),0)))</x:f>
      </x:c>
      <x:c r="I298" t="n">
        <x:v>277</x:v>
      </x:c>
      <x:c r="J298" t="str">
        <x:f>IF(Calc!$I$298&gt;'Calc'!$B$8,"",MAX(Calc!$J$297*(1+'财富模型'!$E$6/12)+('Calc'!$B$5-'财富模型'!$E$5-(IF('Calc'!$E$13=1,'财富模型'!$E$9,'财富模型'!$M$5+IF(Calc!$I$298&lt;='财富模型'!$E$11*12,'Calc'!$W$13,'Calc'!$Y$13)-(IF('Calc'!$E$13=1,0,MIN(Calc!$K$297*(1+'财富模型'!$E$20/12)+'Calc'!$B$6,IF(Calc!$I$298&lt;='财富模型'!$E$11*12,'Calc'!$W$13,'Calc'!$Y$13))))))),0))</x:f>
      </x:c>
      <x:c r="K298" t="str">
        <x:f>IF(Calc!$I$298&gt;'Calc'!$B$8,"",MAX(Calc!$K$297*(1+'财富模型'!$E$20/12)+'Calc'!$B$6-(IF('Calc'!$E$13=1,0,MIN(Calc!$K$297*(1+'财富模型'!$E$20/12)+'Calc'!$B$6,IF(Calc!$I$298&lt;='财富模型'!$E$11*12,'Calc'!$W$13,'Calc'!$Y$13)))),0))</x:f>
      </x:c>
      <x:c r="L298" t="str">
        <x:f>IF(Calc!$I$298&gt;'Calc'!$B$8,"",IF('Calc'!$E$13=1,'财富模型'!$E$9,'财富模型'!$M$5+IF(Calc!$I$298&lt;='财富模型'!$E$11*12,'Calc'!$W$13,'Calc'!$Y$13)-(IF('Calc'!$E$13=1,0,MIN(Calc!$K$297*(1+'财富模型'!$E$20/12)+'Calc'!$B$6,IF(Calc!$I$298&lt;='财富模型'!$E$11*12,'Calc'!$W$13,'Calc'!$Y$13))))))</x:f>
      </x:c>
      <x:c r="M298" t="str">
        <x:f>IF(Calc!$I$298&gt;'Calc'!$B$8,"",IF('Calc'!$E$13=1,0,MIN(Calc!$K$297*(1+'财富模型'!$E$20/12)+'Calc'!$B$6,IF(Calc!$I$298&lt;='财富模型'!$E$11*12,'Calc'!$W$13,'Calc'!$Y$13))))</x:f>
      </x:c>
      <x:c r="N298" t="str">
        <x:f>IF(Calc!$I$298&gt;'Calc'!$B$8,"",'Calc'!$B$5-'财富模型'!$E$5-(IF('Calc'!$E$13=1,'财富模型'!$E$9,'财富模型'!$M$5+IF(Calc!$I$298&lt;='财富模型'!$E$11*12,'Calc'!$W$13,'Calc'!$Y$13)-(IF('Calc'!$E$13=1,0,MIN(Calc!$K$297*(1+'财富模型'!$E$20/12)+'Calc'!$B$6,IF(Calc!$I$298&lt;='财富模型'!$E$11*12,'Calc'!$W$13,'Calc'!$Y$13)))))))</x:f>
      </x:c>
      <x:c r="O298" t="str">
        <x:f>IF(Calc!$I$298&gt;'Calc'!$B$8,"",IF('Calc'!$E$13=1,0,MAX(Calc!$O$297*(1+IF(Calc!$I$298&lt;='财富模型'!$E$11*12,'财富模型'!$E$10,'财富模型'!$E$12)/12)-IF('Calc'!$E$13=1,0,IF(Calc!$I$298&lt;='财富模型'!$E$11*12,'Calc'!$W$13,'Calc'!$Y$13)),0)))</x:f>
      </x:c>
      <x:c r="Q298" t="n">
        <x:v>277</x:v>
      </x:c>
      <x:c r="R298" t="str">
        <x:f>IF(Calc!$Q$298&gt;'Calc'!$B$8,"",MAX(Calc!$R$297*(1+'财富模型'!$E$6/12)+('Calc'!$B$5-'财富模型'!$E$5-(IF('Calc'!$E$14=1,'财富模型'!$E$9,'财富模型'!$M$6+IF(Calc!$Q$298&lt;='财富模型'!$E$11*12,'Calc'!$W$14,'Calc'!$Y$14)-(IF('Calc'!$E$14=1,0,MIN(Calc!$S$297*(1+'财富模型'!$E$20/12)+'Calc'!$B$6,IF(Calc!$Q$298&lt;='财富模型'!$E$11*12,'Calc'!$W$14,'Calc'!$Y$14))))))),0))</x:f>
      </x:c>
      <x:c r="S298" t="str">
        <x:f>IF(Calc!$Q$298&gt;'Calc'!$B$8,"",MAX(Calc!$S$297*(1+'财富模型'!$E$20/12)+'Calc'!$B$6-(IF('Calc'!$E$14=1,0,MIN(Calc!$S$297*(1+'财富模型'!$E$20/12)+'Calc'!$B$6,IF(Calc!$Q$298&lt;='财富模型'!$E$11*12,'Calc'!$W$14,'Calc'!$Y$14)))),0))</x:f>
      </x:c>
      <x:c r="T298" t="str">
        <x:f>IF(Calc!$Q$298&gt;'Calc'!$B$8,"",IF('Calc'!$E$14=1,'财富模型'!$E$9,'财富模型'!$M$6+IF(Calc!$Q$298&lt;='财富模型'!$E$11*12,'Calc'!$W$14,'Calc'!$Y$14)-(IF('Calc'!$E$14=1,0,MIN(Calc!$S$297*(1+'财富模型'!$E$20/12)+'Calc'!$B$6,IF(Calc!$Q$298&lt;='财富模型'!$E$11*12,'Calc'!$W$14,'Calc'!$Y$14))))))</x:f>
      </x:c>
      <x:c r="U298" t="str">
        <x:f>IF(Calc!$Q$298&gt;'Calc'!$B$8,"",IF('Calc'!$E$14=1,0,MIN(Calc!$S$297*(1+'财富模型'!$E$20/12)+'Calc'!$B$6,IF(Calc!$Q$298&lt;='财富模型'!$E$11*12,'Calc'!$W$14,'Calc'!$Y$14))))</x:f>
      </x:c>
      <x:c r="V298" t="str">
        <x:f>IF(Calc!$Q$298&gt;'Calc'!$B$8,"",'Calc'!$B$5-'财富模型'!$E$5-(IF('Calc'!$E$14=1,'财富模型'!$E$9,'财富模型'!$M$6+IF(Calc!$Q$298&lt;='财富模型'!$E$11*12,'Calc'!$W$14,'Calc'!$Y$14)-(IF('Calc'!$E$14=1,0,MIN(Calc!$S$297*(1+'财富模型'!$E$20/12)+'Calc'!$B$6,IF(Calc!$Q$298&lt;='财富模型'!$E$11*12,'Calc'!$W$14,'Calc'!$Y$14)))))))</x:f>
      </x:c>
      <x:c r="W298" t="str">
        <x:f>IF(Calc!$Q$298&gt;'Calc'!$B$8,"",IF('Calc'!$E$14=1,0,MAX(Calc!$W$297*(1+IF(Calc!$Q$298&lt;='财富模型'!$E$11*12,'财富模型'!$E$10,'财富模型'!$E$12)/12)-IF('Calc'!$E$14=1,0,IF(Calc!$Q$298&lt;='财富模型'!$E$11*12,'Calc'!$W$14,'Calc'!$Y$14)),0)))</x:f>
      </x:c>
      <x:c r="Y298" t="n">
        <x:v>277</x:v>
      </x:c>
      <x:c r="Z298" t="str">
        <x:f>IF(Calc!$Y$298&gt;'Calc'!$B$8,"",MAX(Calc!$Z$297*(1+'财富模型'!$E$6/12)+('Calc'!$B$5-'财富模型'!$E$5-(IF('Calc'!$E$15=1,'财富模型'!$E$9,'财富模型'!$M$7+IF(Calc!$Y$298&lt;='财富模型'!$E$11*12,'Calc'!$W$15,'Calc'!$Y$15)-(IF('Calc'!$E$15=1,0,MIN(Calc!$AA$297*(1+'财富模型'!$E$20/12)+'Calc'!$B$6,IF(Calc!$Y$298&lt;='财富模型'!$E$11*12,'Calc'!$W$15,'Calc'!$Y$15))))))),0))</x:f>
      </x:c>
      <x:c r="AA298" t="str">
        <x:f>IF(Calc!$Y$298&gt;'Calc'!$B$8,"",MAX(Calc!$AA$297*(1+'财富模型'!$E$20/12)+'Calc'!$B$6-(IF('Calc'!$E$15=1,0,MIN(Calc!$AA$297*(1+'财富模型'!$E$20/12)+'Calc'!$B$6,IF(Calc!$Y$298&lt;='财富模型'!$E$11*12,'Calc'!$W$15,'Calc'!$Y$15)))),0))</x:f>
      </x:c>
      <x:c r="AB298" t="str">
        <x:f>IF(Calc!$Y$298&gt;'Calc'!$B$8,"",IF('Calc'!$E$15=1,'财富模型'!$E$9,'财富模型'!$M$7+IF(Calc!$Y$298&lt;='财富模型'!$E$11*12,'Calc'!$W$15,'Calc'!$Y$15)-(IF('Calc'!$E$15=1,0,MIN(Calc!$AA$297*(1+'财富模型'!$E$20/12)+'Calc'!$B$6,IF(Calc!$Y$298&lt;='财富模型'!$E$11*12,'Calc'!$W$15,'Calc'!$Y$15))))))</x:f>
      </x:c>
      <x:c r="AC298" t="str">
        <x:f>IF(Calc!$Y$298&gt;'Calc'!$B$8,"",IF('Calc'!$E$15=1,0,MIN(Calc!$AA$297*(1+'财富模型'!$E$20/12)+'Calc'!$B$6,IF(Calc!$Y$298&lt;='财富模型'!$E$11*12,'Calc'!$W$15,'Calc'!$Y$15))))</x:f>
      </x:c>
      <x:c r="AD298" t="str">
        <x:f>IF(Calc!$Y$298&gt;'Calc'!$B$8,"",'Calc'!$B$5-'财富模型'!$E$5-(IF('Calc'!$E$15=1,'财富模型'!$E$9,'财富模型'!$M$7+IF(Calc!$Y$298&lt;='财富模型'!$E$11*12,'Calc'!$W$15,'Calc'!$Y$15)-(IF('Calc'!$E$15=1,0,MIN(Calc!$AA$297*(1+'财富模型'!$E$20/12)+'Calc'!$B$6,IF(Calc!$Y$298&lt;='财富模型'!$E$11*12,'Calc'!$W$15,'Calc'!$Y$15)))))))</x:f>
      </x:c>
      <x:c r="AE298" t="str">
        <x:f>IF(Calc!$Y$298&gt;'Calc'!$B$8,"",IF('Calc'!$E$15=1,0,MAX(Calc!$AE$297*(1+IF(Calc!$Y$298&lt;='财富模型'!$E$11*12,'财富模型'!$E$10,'财富模型'!$E$12)/12)-IF('Calc'!$E$15=1,0,IF(Calc!$Y$298&lt;='财富模型'!$E$11*12,'Calc'!$W$15,'Calc'!$Y$15)),0)))</x:f>
      </x:c>
      <x:c r="AG298" t="n">
        <x:v>277</x:v>
      </x:c>
      <x:c r="AH298" t="str">
        <x:f>IF(Calc!$AG$298&gt;'Calc'!$B$8,"",MAX(Calc!$AH$297*(1+'财富模型'!$E$6/12)+('Calc'!$B$5-'财富模型'!$E$5-(IF('Calc'!$E$16=1,'财富模型'!$E$9,'财富模型'!$M$8+IF(Calc!$AG$298&lt;='财富模型'!$E$11*12,'Calc'!$W$16,'Calc'!$Y$16)-(IF('Calc'!$E$16=1,0,MIN(Calc!$AI$297*(1+'财富模型'!$E$20/12)+'Calc'!$B$6,IF(Calc!$AG$298&lt;='财富模型'!$E$11*12,'Calc'!$W$16,'Calc'!$Y$16))))))),0))</x:f>
      </x:c>
      <x:c r="AI298" t="str">
        <x:f>IF(Calc!$AG$298&gt;'Calc'!$B$8,"",MAX(Calc!$AI$297*(1+'财富模型'!$E$20/12)+'Calc'!$B$6-(IF('Calc'!$E$16=1,0,MIN(Calc!$AI$297*(1+'财富模型'!$E$20/12)+'Calc'!$B$6,IF(Calc!$AG$298&lt;='财富模型'!$E$11*12,'Calc'!$W$16,'Calc'!$Y$16)))),0))</x:f>
      </x:c>
      <x:c r="AJ298" t="str">
        <x:f>IF(Calc!$AG$298&gt;'Calc'!$B$8,"",IF('Calc'!$E$16=1,'财富模型'!$E$9,'财富模型'!$M$8+IF(Calc!$AG$298&lt;='财富模型'!$E$11*12,'Calc'!$W$16,'Calc'!$Y$16)-(IF('Calc'!$E$16=1,0,MIN(Calc!$AI$297*(1+'财富模型'!$E$20/12)+'Calc'!$B$6,IF(Calc!$AG$298&lt;='财富模型'!$E$11*12,'Calc'!$W$16,'Calc'!$Y$16))))))</x:f>
      </x:c>
      <x:c r="AK298" t="str">
        <x:f>IF(Calc!$AG$298&gt;'Calc'!$B$8,"",IF('Calc'!$E$16=1,0,MIN(Calc!$AI$297*(1+'财富模型'!$E$20/12)+'Calc'!$B$6,IF(Calc!$AG$298&lt;='财富模型'!$E$11*12,'Calc'!$W$16,'Calc'!$Y$16))))</x:f>
      </x:c>
      <x:c r="AL298" t="str">
        <x:f>IF(Calc!$AG$298&gt;'Calc'!$B$8,"",'Calc'!$B$5-'财富模型'!$E$5-(IF('Calc'!$E$16=1,'财富模型'!$E$9,'财富模型'!$M$8+IF(Calc!$AG$298&lt;='财富模型'!$E$11*12,'Calc'!$W$16,'Calc'!$Y$16)-(IF('Calc'!$E$16=1,0,MIN(Calc!$AI$297*(1+'财富模型'!$E$20/12)+'Calc'!$B$6,IF(Calc!$AG$298&lt;='财富模型'!$E$11*12,'Calc'!$W$16,'Calc'!$Y$16)))))))</x:f>
      </x:c>
      <x:c r="AM298" t="str">
        <x:f>IF(Calc!$AG$298&gt;'Calc'!$B$8,"",IF('Calc'!$E$16=1,0,MAX(Calc!$AM$297*(1+IF(Calc!$AG$298&lt;='财富模型'!$E$11*12,'财富模型'!$E$10,'财富模型'!$E$12)/12)-IF('Calc'!$E$16=1,0,IF(Calc!$AG$298&lt;='财富模型'!$E$11*12,'Calc'!$W$16,'Calc'!$Y$16)),0)))</x:f>
      </x:c>
      <x:c r="AO298" t="n">
        <x:v>277</x:v>
      </x:c>
      <x:c r="AP298" t="str">
        <x:f>IF(Calc!$AO$298&gt;'Calc'!$B$8,"",MAX(Calc!$AP$297*(1+'财富模型'!$E$6/12)+('Calc'!$B$5-'财富模型'!$E$5-(IF('Calc'!$E$17=1,'财富模型'!$E$9,'财富模型'!$M$9+IF(Calc!$AO$298&lt;='财富模型'!$E$11*12,'Calc'!$W$17,'Calc'!$Y$17)-(IF('Calc'!$E$17=1,0,MIN(Calc!$AQ$297*(1+'财富模型'!$E$20/12)+'Calc'!$B$6,IF(Calc!$AO$298&lt;='财富模型'!$E$11*12,'Calc'!$W$17,'Calc'!$Y$17))))))),0))</x:f>
      </x:c>
      <x:c r="AQ298" t="str">
        <x:f>IF(Calc!$AO$298&gt;'Calc'!$B$8,"",MAX(Calc!$AQ$297*(1+'财富模型'!$E$20/12)+'Calc'!$B$6-(IF('Calc'!$E$17=1,0,MIN(Calc!$AQ$297*(1+'财富模型'!$E$20/12)+'Calc'!$B$6,IF(Calc!$AO$298&lt;='财富模型'!$E$11*12,'Calc'!$W$17,'Calc'!$Y$17)))),0))</x:f>
      </x:c>
      <x:c r="AR298" t="str">
        <x:f>IF(Calc!$AO$298&gt;'Calc'!$B$8,"",IF('Calc'!$E$17=1,'财富模型'!$E$9,'财富模型'!$M$9+IF(Calc!$AO$298&lt;='财富模型'!$E$11*12,'Calc'!$W$17,'Calc'!$Y$17)-(IF('Calc'!$E$17=1,0,MIN(Calc!$AQ$297*(1+'财富模型'!$E$20/12)+'Calc'!$B$6,IF(Calc!$AO$298&lt;='财富模型'!$E$11*12,'Calc'!$W$17,'Calc'!$Y$17))))))</x:f>
      </x:c>
      <x:c r="AS298" t="str">
        <x:f>IF(Calc!$AO$298&gt;'Calc'!$B$8,"",IF('Calc'!$E$17=1,0,MIN(Calc!$AQ$297*(1+'财富模型'!$E$20/12)+'Calc'!$B$6,IF(Calc!$AO$298&lt;='财富模型'!$E$11*12,'Calc'!$W$17,'Calc'!$Y$17))))</x:f>
      </x:c>
      <x:c r="AT298" t="str">
        <x:f>IF(Calc!$AO$298&gt;'Calc'!$B$8,"",'Calc'!$B$5-'财富模型'!$E$5-(IF('Calc'!$E$17=1,'财富模型'!$E$9,'财富模型'!$M$9+IF(Calc!$AO$298&lt;='财富模型'!$E$11*12,'Calc'!$W$17,'Calc'!$Y$17)-(IF('Calc'!$E$17=1,0,MIN(Calc!$AQ$297*(1+'财富模型'!$E$20/12)+'Calc'!$B$6,IF(Calc!$AO$298&lt;='财富模型'!$E$11*12,'Calc'!$W$17,'Calc'!$Y$17)))))))</x:f>
      </x:c>
      <x:c r="AU298" t="str">
        <x:f>IF(Calc!$AO$298&gt;'Calc'!$B$8,"",IF('Calc'!$E$17=1,0,MAX(Calc!$AU$297*(1+IF(Calc!$AO$298&lt;='财富模型'!$E$11*12,'财富模型'!$E$10,'财富模型'!$E$12)/12)-IF('Calc'!$E$17=1,0,IF(Calc!$AO$298&lt;='财富模型'!$E$11*12,'Calc'!$W$17,'Calc'!$Y$17)),0)))</x:f>
      </x:c>
    </x:row>
    <x:row r="299">
      <x:c r="A299" t="n">
        <x:v>278</x:v>
      </x:c>
      <x:c r="B299" t="str">
        <x:f>IF(Calc!$A$299&gt;'Calc'!$B$8,"",MAX(Calc!$B$298*(1+'财富模型'!$E$6/12)+('Calc'!$B$5-'财富模型'!$E$5-(IF('Calc'!$E$12=1,'财富模型'!$E$9,'财富模型'!$M$4+IF(Calc!$A$299&lt;='财富模型'!$E$11*12,'Calc'!$W$12,'Calc'!$Y$12)-(IF('Calc'!$E$12=1,0,MIN(Calc!$C$298*(1+'财富模型'!$E$20/12)+'Calc'!$B$6,IF(Calc!$A$299&lt;='财富模型'!$E$11*12,'Calc'!$W$12,'Calc'!$Y$12))))))),0))</x:f>
      </x:c>
      <x:c r="C299" t="str">
        <x:f>IF(Calc!$A$299&gt;'Calc'!$B$8,"",MAX(Calc!$C$298*(1+'财富模型'!$E$20/12)+'Calc'!$B$6-(IF('Calc'!$E$12=1,0,MIN(Calc!$C$298*(1+'财富模型'!$E$20/12)+'Calc'!$B$6,IF(Calc!$A$299&lt;='财富模型'!$E$11*12,'Calc'!$W$12,'Calc'!$Y$12)))),0))</x:f>
      </x:c>
      <x:c r="D299" t="str">
        <x:f>IF(Calc!$A$299&gt;'Calc'!$B$8,"",IF('Calc'!$E$12=1,'财富模型'!$E$9,'财富模型'!$M$4+IF(Calc!$A$299&lt;='财富模型'!$E$11*12,'Calc'!$W$12,'Calc'!$Y$12)-(IF('Calc'!$E$12=1,0,MIN(Calc!$C$298*(1+'财富模型'!$E$20/12)+'Calc'!$B$6,IF(Calc!$A$299&lt;='财富模型'!$E$11*12,'Calc'!$W$12,'Calc'!$Y$12))))))</x:f>
      </x:c>
      <x:c r="E299" t="str">
        <x:f>IF(Calc!$A$299&gt;'Calc'!$B$8,"",IF('Calc'!$E$12=1,0,MIN(Calc!$C$298*(1+'财富模型'!$E$20/12)+'Calc'!$B$6,IF(Calc!$A$299&lt;='财富模型'!$E$11*12,'Calc'!$W$12,'Calc'!$Y$12))))</x:f>
      </x:c>
      <x:c r="F299" t="str">
        <x:f>IF(Calc!$A$299&gt;'Calc'!$B$8,"",'Calc'!$B$5-'财富模型'!$E$5-(IF('Calc'!$E$12=1,'财富模型'!$E$9,'财富模型'!$M$4+IF(Calc!$A$299&lt;='财富模型'!$E$11*12,'Calc'!$W$12,'Calc'!$Y$12)-(IF('Calc'!$E$12=1,0,MIN(Calc!$C$298*(1+'财富模型'!$E$20/12)+'Calc'!$B$6,IF(Calc!$A$299&lt;='财富模型'!$E$11*12,'Calc'!$W$12,'Calc'!$Y$12)))))))</x:f>
      </x:c>
      <x:c r="G299" t="str">
        <x:f>IF(Calc!$A$299&gt;'Calc'!$B$8,"",IF('Calc'!$E$12=1,0,MAX(Calc!$G$298*(1+IF(Calc!$A$299&lt;='财富模型'!$E$11*12,'财富模型'!$E$10,'财富模型'!$E$12)/12)-IF('Calc'!$E$12=1,0,IF(Calc!$A$299&lt;='财富模型'!$E$11*12,'Calc'!$W$12,'Calc'!$Y$12)),0)))</x:f>
      </x:c>
      <x:c r="I299" t="n">
        <x:v>278</x:v>
      </x:c>
      <x:c r="J299" t="str">
        <x:f>IF(Calc!$I$299&gt;'Calc'!$B$8,"",MAX(Calc!$J$298*(1+'财富模型'!$E$6/12)+('Calc'!$B$5-'财富模型'!$E$5-(IF('Calc'!$E$13=1,'财富模型'!$E$9,'财富模型'!$M$5+IF(Calc!$I$299&lt;='财富模型'!$E$11*12,'Calc'!$W$13,'Calc'!$Y$13)-(IF('Calc'!$E$13=1,0,MIN(Calc!$K$298*(1+'财富模型'!$E$20/12)+'Calc'!$B$6,IF(Calc!$I$299&lt;='财富模型'!$E$11*12,'Calc'!$W$13,'Calc'!$Y$13))))))),0))</x:f>
      </x:c>
      <x:c r="K299" t="str">
        <x:f>IF(Calc!$I$299&gt;'Calc'!$B$8,"",MAX(Calc!$K$298*(1+'财富模型'!$E$20/12)+'Calc'!$B$6-(IF('Calc'!$E$13=1,0,MIN(Calc!$K$298*(1+'财富模型'!$E$20/12)+'Calc'!$B$6,IF(Calc!$I$299&lt;='财富模型'!$E$11*12,'Calc'!$W$13,'Calc'!$Y$13)))),0))</x:f>
      </x:c>
      <x:c r="L299" t="str">
        <x:f>IF(Calc!$I$299&gt;'Calc'!$B$8,"",IF('Calc'!$E$13=1,'财富模型'!$E$9,'财富模型'!$M$5+IF(Calc!$I$299&lt;='财富模型'!$E$11*12,'Calc'!$W$13,'Calc'!$Y$13)-(IF('Calc'!$E$13=1,0,MIN(Calc!$K$298*(1+'财富模型'!$E$20/12)+'Calc'!$B$6,IF(Calc!$I$299&lt;='财富模型'!$E$11*12,'Calc'!$W$13,'Calc'!$Y$13))))))</x:f>
      </x:c>
      <x:c r="M299" t="str">
        <x:f>IF(Calc!$I$299&gt;'Calc'!$B$8,"",IF('Calc'!$E$13=1,0,MIN(Calc!$K$298*(1+'财富模型'!$E$20/12)+'Calc'!$B$6,IF(Calc!$I$299&lt;='财富模型'!$E$11*12,'Calc'!$W$13,'Calc'!$Y$13))))</x:f>
      </x:c>
      <x:c r="N299" t="str">
        <x:f>IF(Calc!$I$299&gt;'Calc'!$B$8,"",'Calc'!$B$5-'财富模型'!$E$5-(IF('Calc'!$E$13=1,'财富模型'!$E$9,'财富模型'!$M$5+IF(Calc!$I$299&lt;='财富模型'!$E$11*12,'Calc'!$W$13,'Calc'!$Y$13)-(IF('Calc'!$E$13=1,0,MIN(Calc!$K$298*(1+'财富模型'!$E$20/12)+'Calc'!$B$6,IF(Calc!$I$299&lt;='财富模型'!$E$11*12,'Calc'!$W$13,'Calc'!$Y$13)))))))</x:f>
      </x:c>
      <x:c r="O299" t="str">
        <x:f>IF(Calc!$I$299&gt;'Calc'!$B$8,"",IF('Calc'!$E$13=1,0,MAX(Calc!$O$298*(1+IF(Calc!$I$299&lt;='财富模型'!$E$11*12,'财富模型'!$E$10,'财富模型'!$E$12)/12)-IF('Calc'!$E$13=1,0,IF(Calc!$I$299&lt;='财富模型'!$E$11*12,'Calc'!$W$13,'Calc'!$Y$13)),0)))</x:f>
      </x:c>
      <x:c r="Q299" t="n">
        <x:v>278</x:v>
      </x:c>
      <x:c r="R299" t="str">
        <x:f>IF(Calc!$Q$299&gt;'Calc'!$B$8,"",MAX(Calc!$R$298*(1+'财富模型'!$E$6/12)+('Calc'!$B$5-'财富模型'!$E$5-(IF('Calc'!$E$14=1,'财富模型'!$E$9,'财富模型'!$M$6+IF(Calc!$Q$299&lt;='财富模型'!$E$11*12,'Calc'!$W$14,'Calc'!$Y$14)-(IF('Calc'!$E$14=1,0,MIN(Calc!$S$298*(1+'财富模型'!$E$20/12)+'Calc'!$B$6,IF(Calc!$Q$299&lt;='财富模型'!$E$11*12,'Calc'!$W$14,'Calc'!$Y$14))))))),0))</x:f>
      </x:c>
      <x:c r="S299" t="str">
        <x:f>IF(Calc!$Q$299&gt;'Calc'!$B$8,"",MAX(Calc!$S$298*(1+'财富模型'!$E$20/12)+'Calc'!$B$6-(IF('Calc'!$E$14=1,0,MIN(Calc!$S$298*(1+'财富模型'!$E$20/12)+'Calc'!$B$6,IF(Calc!$Q$299&lt;='财富模型'!$E$11*12,'Calc'!$W$14,'Calc'!$Y$14)))),0))</x:f>
      </x:c>
      <x:c r="T299" t="str">
        <x:f>IF(Calc!$Q$299&gt;'Calc'!$B$8,"",IF('Calc'!$E$14=1,'财富模型'!$E$9,'财富模型'!$M$6+IF(Calc!$Q$299&lt;='财富模型'!$E$11*12,'Calc'!$W$14,'Calc'!$Y$14)-(IF('Calc'!$E$14=1,0,MIN(Calc!$S$298*(1+'财富模型'!$E$20/12)+'Calc'!$B$6,IF(Calc!$Q$299&lt;='财富模型'!$E$11*12,'Calc'!$W$14,'Calc'!$Y$14))))))</x:f>
      </x:c>
      <x:c r="U299" t="str">
        <x:f>IF(Calc!$Q$299&gt;'Calc'!$B$8,"",IF('Calc'!$E$14=1,0,MIN(Calc!$S$298*(1+'财富模型'!$E$20/12)+'Calc'!$B$6,IF(Calc!$Q$299&lt;='财富模型'!$E$11*12,'Calc'!$W$14,'Calc'!$Y$14))))</x:f>
      </x:c>
      <x:c r="V299" t="str">
        <x:f>IF(Calc!$Q$299&gt;'Calc'!$B$8,"",'Calc'!$B$5-'财富模型'!$E$5-(IF('Calc'!$E$14=1,'财富模型'!$E$9,'财富模型'!$M$6+IF(Calc!$Q$299&lt;='财富模型'!$E$11*12,'Calc'!$W$14,'Calc'!$Y$14)-(IF('Calc'!$E$14=1,0,MIN(Calc!$S$298*(1+'财富模型'!$E$20/12)+'Calc'!$B$6,IF(Calc!$Q$299&lt;='财富模型'!$E$11*12,'Calc'!$W$14,'Calc'!$Y$14)))))))</x:f>
      </x:c>
      <x:c r="W299" t="str">
        <x:f>IF(Calc!$Q$299&gt;'Calc'!$B$8,"",IF('Calc'!$E$14=1,0,MAX(Calc!$W$298*(1+IF(Calc!$Q$299&lt;='财富模型'!$E$11*12,'财富模型'!$E$10,'财富模型'!$E$12)/12)-IF('Calc'!$E$14=1,0,IF(Calc!$Q$299&lt;='财富模型'!$E$11*12,'Calc'!$W$14,'Calc'!$Y$14)),0)))</x:f>
      </x:c>
      <x:c r="Y299" t="n">
        <x:v>278</x:v>
      </x:c>
      <x:c r="Z299" t="str">
        <x:f>IF(Calc!$Y$299&gt;'Calc'!$B$8,"",MAX(Calc!$Z$298*(1+'财富模型'!$E$6/12)+('Calc'!$B$5-'财富模型'!$E$5-(IF('Calc'!$E$15=1,'财富模型'!$E$9,'财富模型'!$M$7+IF(Calc!$Y$299&lt;='财富模型'!$E$11*12,'Calc'!$W$15,'Calc'!$Y$15)-(IF('Calc'!$E$15=1,0,MIN(Calc!$AA$298*(1+'财富模型'!$E$20/12)+'Calc'!$B$6,IF(Calc!$Y$299&lt;='财富模型'!$E$11*12,'Calc'!$W$15,'Calc'!$Y$15))))))),0))</x:f>
      </x:c>
      <x:c r="AA299" t="str">
        <x:f>IF(Calc!$Y$299&gt;'Calc'!$B$8,"",MAX(Calc!$AA$298*(1+'财富模型'!$E$20/12)+'Calc'!$B$6-(IF('Calc'!$E$15=1,0,MIN(Calc!$AA$298*(1+'财富模型'!$E$20/12)+'Calc'!$B$6,IF(Calc!$Y$299&lt;='财富模型'!$E$11*12,'Calc'!$W$15,'Calc'!$Y$15)))),0))</x:f>
      </x:c>
      <x:c r="AB299" t="str">
        <x:f>IF(Calc!$Y$299&gt;'Calc'!$B$8,"",IF('Calc'!$E$15=1,'财富模型'!$E$9,'财富模型'!$M$7+IF(Calc!$Y$299&lt;='财富模型'!$E$11*12,'Calc'!$W$15,'Calc'!$Y$15)-(IF('Calc'!$E$15=1,0,MIN(Calc!$AA$298*(1+'财富模型'!$E$20/12)+'Calc'!$B$6,IF(Calc!$Y$299&lt;='财富模型'!$E$11*12,'Calc'!$W$15,'Calc'!$Y$15))))))</x:f>
      </x:c>
      <x:c r="AC299" t="str">
        <x:f>IF(Calc!$Y$299&gt;'Calc'!$B$8,"",IF('Calc'!$E$15=1,0,MIN(Calc!$AA$298*(1+'财富模型'!$E$20/12)+'Calc'!$B$6,IF(Calc!$Y$299&lt;='财富模型'!$E$11*12,'Calc'!$W$15,'Calc'!$Y$15))))</x:f>
      </x:c>
      <x:c r="AD299" t="str">
        <x:f>IF(Calc!$Y$299&gt;'Calc'!$B$8,"",'Calc'!$B$5-'财富模型'!$E$5-(IF('Calc'!$E$15=1,'财富模型'!$E$9,'财富模型'!$M$7+IF(Calc!$Y$299&lt;='财富模型'!$E$11*12,'Calc'!$W$15,'Calc'!$Y$15)-(IF('Calc'!$E$15=1,0,MIN(Calc!$AA$298*(1+'财富模型'!$E$20/12)+'Calc'!$B$6,IF(Calc!$Y$299&lt;='财富模型'!$E$11*12,'Calc'!$W$15,'Calc'!$Y$15)))))))</x:f>
      </x:c>
      <x:c r="AE299" t="str">
        <x:f>IF(Calc!$Y$299&gt;'Calc'!$B$8,"",IF('Calc'!$E$15=1,0,MAX(Calc!$AE$298*(1+IF(Calc!$Y$299&lt;='财富模型'!$E$11*12,'财富模型'!$E$10,'财富模型'!$E$12)/12)-IF('Calc'!$E$15=1,0,IF(Calc!$Y$299&lt;='财富模型'!$E$11*12,'Calc'!$W$15,'Calc'!$Y$15)),0)))</x:f>
      </x:c>
      <x:c r="AG299" t="n">
        <x:v>278</x:v>
      </x:c>
      <x:c r="AH299" t="str">
        <x:f>IF(Calc!$AG$299&gt;'Calc'!$B$8,"",MAX(Calc!$AH$298*(1+'财富模型'!$E$6/12)+('Calc'!$B$5-'财富模型'!$E$5-(IF('Calc'!$E$16=1,'财富模型'!$E$9,'财富模型'!$M$8+IF(Calc!$AG$299&lt;='财富模型'!$E$11*12,'Calc'!$W$16,'Calc'!$Y$16)-(IF('Calc'!$E$16=1,0,MIN(Calc!$AI$298*(1+'财富模型'!$E$20/12)+'Calc'!$B$6,IF(Calc!$AG$299&lt;='财富模型'!$E$11*12,'Calc'!$W$16,'Calc'!$Y$16))))))),0))</x:f>
      </x:c>
      <x:c r="AI299" t="str">
        <x:f>IF(Calc!$AG$299&gt;'Calc'!$B$8,"",MAX(Calc!$AI$298*(1+'财富模型'!$E$20/12)+'Calc'!$B$6-(IF('Calc'!$E$16=1,0,MIN(Calc!$AI$298*(1+'财富模型'!$E$20/12)+'Calc'!$B$6,IF(Calc!$AG$299&lt;='财富模型'!$E$11*12,'Calc'!$W$16,'Calc'!$Y$16)))),0))</x:f>
      </x:c>
      <x:c r="AJ299" t="str">
        <x:f>IF(Calc!$AG$299&gt;'Calc'!$B$8,"",IF('Calc'!$E$16=1,'财富模型'!$E$9,'财富模型'!$M$8+IF(Calc!$AG$299&lt;='财富模型'!$E$11*12,'Calc'!$W$16,'Calc'!$Y$16)-(IF('Calc'!$E$16=1,0,MIN(Calc!$AI$298*(1+'财富模型'!$E$20/12)+'Calc'!$B$6,IF(Calc!$AG$299&lt;='财富模型'!$E$11*12,'Calc'!$W$16,'Calc'!$Y$16))))))</x:f>
      </x:c>
      <x:c r="AK299" t="str">
        <x:f>IF(Calc!$AG$299&gt;'Calc'!$B$8,"",IF('Calc'!$E$16=1,0,MIN(Calc!$AI$298*(1+'财富模型'!$E$20/12)+'Calc'!$B$6,IF(Calc!$AG$299&lt;='财富模型'!$E$11*12,'Calc'!$W$16,'Calc'!$Y$16))))</x:f>
      </x:c>
      <x:c r="AL299" t="str">
        <x:f>IF(Calc!$AG$299&gt;'Calc'!$B$8,"",'Calc'!$B$5-'财富模型'!$E$5-(IF('Calc'!$E$16=1,'财富模型'!$E$9,'财富模型'!$M$8+IF(Calc!$AG$299&lt;='财富模型'!$E$11*12,'Calc'!$W$16,'Calc'!$Y$16)-(IF('Calc'!$E$16=1,0,MIN(Calc!$AI$298*(1+'财富模型'!$E$20/12)+'Calc'!$B$6,IF(Calc!$AG$299&lt;='财富模型'!$E$11*12,'Calc'!$W$16,'Calc'!$Y$16)))))))</x:f>
      </x:c>
      <x:c r="AM299" t="str">
        <x:f>IF(Calc!$AG$299&gt;'Calc'!$B$8,"",IF('Calc'!$E$16=1,0,MAX(Calc!$AM$298*(1+IF(Calc!$AG$299&lt;='财富模型'!$E$11*12,'财富模型'!$E$10,'财富模型'!$E$12)/12)-IF('Calc'!$E$16=1,0,IF(Calc!$AG$299&lt;='财富模型'!$E$11*12,'Calc'!$W$16,'Calc'!$Y$16)),0)))</x:f>
      </x:c>
      <x:c r="AO299" t="n">
        <x:v>278</x:v>
      </x:c>
      <x:c r="AP299" t="str">
        <x:f>IF(Calc!$AO$299&gt;'Calc'!$B$8,"",MAX(Calc!$AP$298*(1+'财富模型'!$E$6/12)+('Calc'!$B$5-'财富模型'!$E$5-(IF('Calc'!$E$17=1,'财富模型'!$E$9,'财富模型'!$M$9+IF(Calc!$AO$299&lt;='财富模型'!$E$11*12,'Calc'!$W$17,'Calc'!$Y$17)-(IF('Calc'!$E$17=1,0,MIN(Calc!$AQ$298*(1+'财富模型'!$E$20/12)+'Calc'!$B$6,IF(Calc!$AO$299&lt;='财富模型'!$E$11*12,'Calc'!$W$17,'Calc'!$Y$17))))))),0))</x:f>
      </x:c>
      <x:c r="AQ299" t="str">
        <x:f>IF(Calc!$AO$299&gt;'Calc'!$B$8,"",MAX(Calc!$AQ$298*(1+'财富模型'!$E$20/12)+'Calc'!$B$6-(IF('Calc'!$E$17=1,0,MIN(Calc!$AQ$298*(1+'财富模型'!$E$20/12)+'Calc'!$B$6,IF(Calc!$AO$299&lt;='财富模型'!$E$11*12,'Calc'!$W$17,'Calc'!$Y$17)))),0))</x:f>
      </x:c>
      <x:c r="AR299" t="str">
        <x:f>IF(Calc!$AO$299&gt;'Calc'!$B$8,"",IF('Calc'!$E$17=1,'财富模型'!$E$9,'财富模型'!$M$9+IF(Calc!$AO$299&lt;='财富模型'!$E$11*12,'Calc'!$W$17,'Calc'!$Y$17)-(IF('Calc'!$E$17=1,0,MIN(Calc!$AQ$298*(1+'财富模型'!$E$20/12)+'Calc'!$B$6,IF(Calc!$AO$299&lt;='财富模型'!$E$11*12,'Calc'!$W$17,'Calc'!$Y$17))))))</x:f>
      </x:c>
      <x:c r="AS299" t="str">
        <x:f>IF(Calc!$AO$299&gt;'Calc'!$B$8,"",IF('Calc'!$E$17=1,0,MIN(Calc!$AQ$298*(1+'财富模型'!$E$20/12)+'Calc'!$B$6,IF(Calc!$AO$299&lt;='财富模型'!$E$11*12,'Calc'!$W$17,'Calc'!$Y$17))))</x:f>
      </x:c>
      <x:c r="AT299" t="str">
        <x:f>IF(Calc!$AO$299&gt;'Calc'!$B$8,"",'Calc'!$B$5-'财富模型'!$E$5-(IF('Calc'!$E$17=1,'财富模型'!$E$9,'财富模型'!$M$9+IF(Calc!$AO$299&lt;='财富模型'!$E$11*12,'Calc'!$W$17,'Calc'!$Y$17)-(IF('Calc'!$E$17=1,0,MIN(Calc!$AQ$298*(1+'财富模型'!$E$20/12)+'Calc'!$B$6,IF(Calc!$AO$299&lt;='财富模型'!$E$11*12,'Calc'!$W$17,'Calc'!$Y$17)))))))</x:f>
      </x:c>
      <x:c r="AU299" t="str">
        <x:f>IF(Calc!$AO$299&gt;'Calc'!$B$8,"",IF('Calc'!$E$17=1,0,MAX(Calc!$AU$298*(1+IF(Calc!$AO$299&lt;='财富模型'!$E$11*12,'财富模型'!$E$10,'财富模型'!$E$12)/12)-IF('Calc'!$E$17=1,0,IF(Calc!$AO$299&lt;='财富模型'!$E$11*12,'Calc'!$W$17,'Calc'!$Y$17)),0)))</x:f>
      </x:c>
    </x:row>
    <x:row r="300">
      <x:c r="A300" t="n">
        <x:v>279</x:v>
      </x:c>
      <x:c r="B300" t="str">
        <x:f>IF(Calc!$A$300&gt;'Calc'!$B$8,"",MAX(Calc!$B$299*(1+'财富模型'!$E$6/12)+('Calc'!$B$5-'财富模型'!$E$5-(IF('Calc'!$E$12=1,'财富模型'!$E$9,'财富模型'!$M$4+IF(Calc!$A$300&lt;='财富模型'!$E$11*12,'Calc'!$W$12,'Calc'!$Y$12)-(IF('Calc'!$E$12=1,0,MIN(Calc!$C$299*(1+'财富模型'!$E$20/12)+'Calc'!$B$6,IF(Calc!$A$300&lt;='财富模型'!$E$11*12,'Calc'!$W$12,'Calc'!$Y$12))))))),0))</x:f>
      </x:c>
      <x:c r="C300" t="str">
        <x:f>IF(Calc!$A$300&gt;'Calc'!$B$8,"",MAX(Calc!$C$299*(1+'财富模型'!$E$20/12)+'Calc'!$B$6-(IF('Calc'!$E$12=1,0,MIN(Calc!$C$299*(1+'财富模型'!$E$20/12)+'Calc'!$B$6,IF(Calc!$A$300&lt;='财富模型'!$E$11*12,'Calc'!$W$12,'Calc'!$Y$12)))),0))</x:f>
      </x:c>
      <x:c r="D300" t="str">
        <x:f>IF(Calc!$A$300&gt;'Calc'!$B$8,"",IF('Calc'!$E$12=1,'财富模型'!$E$9,'财富模型'!$M$4+IF(Calc!$A$300&lt;='财富模型'!$E$11*12,'Calc'!$W$12,'Calc'!$Y$12)-(IF('Calc'!$E$12=1,0,MIN(Calc!$C$299*(1+'财富模型'!$E$20/12)+'Calc'!$B$6,IF(Calc!$A$300&lt;='财富模型'!$E$11*12,'Calc'!$W$12,'Calc'!$Y$12))))))</x:f>
      </x:c>
      <x:c r="E300" t="str">
        <x:f>IF(Calc!$A$300&gt;'Calc'!$B$8,"",IF('Calc'!$E$12=1,0,MIN(Calc!$C$299*(1+'财富模型'!$E$20/12)+'Calc'!$B$6,IF(Calc!$A$300&lt;='财富模型'!$E$11*12,'Calc'!$W$12,'Calc'!$Y$12))))</x:f>
      </x:c>
      <x:c r="F300" t="str">
        <x:f>IF(Calc!$A$300&gt;'Calc'!$B$8,"",'Calc'!$B$5-'财富模型'!$E$5-(IF('Calc'!$E$12=1,'财富模型'!$E$9,'财富模型'!$M$4+IF(Calc!$A$300&lt;='财富模型'!$E$11*12,'Calc'!$W$12,'Calc'!$Y$12)-(IF('Calc'!$E$12=1,0,MIN(Calc!$C$299*(1+'财富模型'!$E$20/12)+'Calc'!$B$6,IF(Calc!$A$300&lt;='财富模型'!$E$11*12,'Calc'!$W$12,'Calc'!$Y$12)))))))</x:f>
      </x:c>
      <x:c r="G300" t="str">
        <x:f>IF(Calc!$A$300&gt;'Calc'!$B$8,"",IF('Calc'!$E$12=1,0,MAX(Calc!$G$299*(1+IF(Calc!$A$300&lt;='财富模型'!$E$11*12,'财富模型'!$E$10,'财富模型'!$E$12)/12)-IF('Calc'!$E$12=1,0,IF(Calc!$A$300&lt;='财富模型'!$E$11*12,'Calc'!$W$12,'Calc'!$Y$12)),0)))</x:f>
      </x:c>
      <x:c r="I300" t="n">
        <x:v>279</x:v>
      </x:c>
      <x:c r="J300" t="str">
        <x:f>IF(Calc!$I$300&gt;'Calc'!$B$8,"",MAX(Calc!$J$299*(1+'财富模型'!$E$6/12)+('Calc'!$B$5-'财富模型'!$E$5-(IF('Calc'!$E$13=1,'财富模型'!$E$9,'财富模型'!$M$5+IF(Calc!$I$300&lt;='财富模型'!$E$11*12,'Calc'!$W$13,'Calc'!$Y$13)-(IF('Calc'!$E$13=1,0,MIN(Calc!$K$299*(1+'财富模型'!$E$20/12)+'Calc'!$B$6,IF(Calc!$I$300&lt;='财富模型'!$E$11*12,'Calc'!$W$13,'Calc'!$Y$13))))))),0))</x:f>
      </x:c>
      <x:c r="K300" t="str">
        <x:f>IF(Calc!$I$300&gt;'Calc'!$B$8,"",MAX(Calc!$K$299*(1+'财富模型'!$E$20/12)+'Calc'!$B$6-(IF('Calc'!$E$13=1,0,MIN(Calc!$K$299*(1+'财富模型'!$E$20/12)+'Calc'!$B$6,IF(Calc!$I$300&lt;='财富模型'!$E$11*12,'Calc'!$W$13,'Calc'!$Y$13)))),0))</x:f>
      </x:c>
      <x:c r="L300" t="str">
        <x:f>IF(Calc!$I$300&gt;'Calc'!$B$8,"",IF('Calc'!$E$13=1,'财富模型'!$E$9,'财富模型'!$M$5+IF(Calc!$I$300&lt;='财富模型'!$E$11*12,'Calc'!$W$13,'Calc'!$Y$13)-(IF('Calc'!$E$13=1,0,MIN(Calc!$K$299*(1+'财富模型'!$E$20/12)+'Calc'!$B$6,IF(Calc!$I$300&lt;='财富模型'!$E$11*12,'Calc'!$W$13,'Calc'!$Y$13))))))</x:f>
      </x:c>
      <x:c r="M300" t="str">
        <x:f>IF(Calc!$I$300&gt;'Calc'!$B$8,"",IF('Calc'!$E$13=1,0,MIN(Calc!$K$299*(1+'财富模型'!$E$20/12)+'Calc'!$B$6,IF(Calc!$I$300&lt;='财富模型'!$E$11*12,'Calc'!$W$13,'Calc'!$Y$13))))</x:f>
      </x:c>
      <x:c r="N300" t="str">
        <x:f>IF(Calc!$I$300&gt;'Calc'!$B$8,"",'Calc'!$B$5-'财富模型'!$E$5-(IF('Calc'!$E$13=1,'财富模型'!$E$9,'财富模型'!$M$5+IF(Calc!$I$300&lt;='财富模型'!$E$11*12,'Calc'!$W$13,'Calc'!$Y$13)-(IF('Calc'!$E$13=1,0,MIN(Calc!$K$299*(1+'财富模型'!$E$20/12)+'Calc'!$B$6,IF(Calc!$I$300&lt;='财富模型'!$E$11*12,'Calc'!$W$13,'Calc'!$Y$13)))))))</x:f>
      </x:c>
      <x:c r="O300" t="str">
        <x:f>IF(Calc!$I$300&gt;'Calc'!$B$8,"",IF('Calc'!$E$13=1,0,MAX(Calc!$O$299*(1+IF(Calc!$I$300&lt;='财富模型'!$E$11*12,'财富模型'!$E$10,'财富模型'!$E$12)/12)-IF('Calc'!$E$13=1,0,IF(Calc!$I$300&lt;='财富模型'!$E$11*12,'Calc'!$W$13,'Calc'!$Y$13)),0)))</x:f>
      </x:c>
      <x:c r="Q300" t="n">
        <x:v>279</x:v>
      </x:c>
      <x:c r="R300" t="str">
        <x:f>IF(Calc!$Q$300&gt;'Calc'!$B$8,"",MAX(Calc!$R$299*(1+'财富模型'!$E$6/12)+('Calc'!$B$5-'财富模型'!$E$5-(IF('Calc'!$E$14=1,'财富模型'!$E$9,'财富模型'!$M$6+IF(Calc!$Q$300&lt;='财富模型'!$E$11*12,'Calc'!$W$14,'Calc'!$Y$14)-(IF('Calc'!$E$14=1,0,MIN(Calc!$S$299*(1+'财富模型'!$E$20/12)+'Calc'!$B$6,IF(Calc!$Q$300&lt;='财富模型'!$E$11*12,'Calc'!$W$14,'Calc'!$Y$14))))))),0))</x:f>
      </x:c>
      <x:c r="S300" t="str">
        <x:f>IF(Calc!$Q$300&gt;'Calc'!$B$8,"",MAX(Calc!$S$299*(1+'财富模型'!$E$20/12)+'Calc'!$B$6-(IF('Calc'!$E$14=1,0,MIN(Calc!$S$299*(1+'财富模型'!$E$20/12)+'Calc'!$B$6,IF(Calc!$Q$300&lt;='财富模型'!$E$11*12,'Calc'!$W$14,'Calc'!$Y$14)))),0))</x:f>
      </x:c>
      <x:c r="T300" t="str">
        <x:f>IF(Calc!$Q$300&gt;'Calc'!$B$8,"",IF('Calc'!$E$14=1,'财富模型'!$E$9,'财富模型'!$M$6+IF(Calc!$Q$300&lt;='财富模型'!$E$11*12,'Calc'!$W$14,'Calc'!$Y$14)-(IF('Calc'!$E$14=1,0,MIN(Calc!$S$299*(1+'财富模型'!$E$20/12)+'Calc'!$B$6,IF(Calc!$Q$300&lt;='财富模型'!$E$11*12,'Calc'!$W$14,'Calc'!$Y$14))))))</x:f>
      </x:c>
      <x:c r="U300" t="str">
        <x:f>IF(Calc!$Q$300&gt;'Calc'!$B$8,"",IF('Calc'!$E$14=1,0,MIN(Calc!$S$299*(1+'财富模型'!$E$20/12)+'Calc'!$B$6,IF(Calc!$Q$300&lt;='财富模型'!$E$11*12,'Calc'!$W$14,'Calc'!$Y$14))))</x:f>
      </x:c>
      <x:c r="V300" t="str">
        <x:f>IF(Calc!$Q$300&gt;'Calc'!$B$8,"",'Calc'!$B$5-'财富模型'!$E$5-(IF('Calc'!$E$14=1,'财富模型'!$E$9,'财富模型'!$M$6+IF(Calc!$Q$300&lt;='财富模型'!$E$11*12,'Calc'!$W$14,'Calc'!$Y$14)-(IF('Calc'!$E$14=1,0,MIN(Calc!$S$299*(1+'财富模型'!$E$20/12)+'Calc'!$B$6,IF(Calc!$Q$300&lt;='财富模型'!$E$11*12,'Calc'!$W$14,'Calc'!$Y$14)))))))</x:f>
      </x:c>
      <x:c r="W300" t="str">
        <x:f>IF(Calc!$Q$300&gt;'Calc'!$B$8,"",IF('Calc'!$E$14=1,0,MAX(Calc!$W$299*(1+IF(Calc!$Q$300&lt;='财富模型'!$E$11*12,'财富模型'!$E$10,'财富模型'!$E$12)/12)-IF('Calc'!$E$14=1,0,IF(Calc!$Q$300&lt;='财富模型'!$E$11*12,'Calc'!$W$14,'Calc'!$Y$14)),0)))</x:f>
      </x:c>
      <x:c r="Y300" t="n">
        <x:v>279</x:v>
      </x:c>
      <x:c r="Z300" t="str">
        <x:f>IF(Calc!$Y$300&gt;'Calc'!$B$8,"",MAX(Calc!$Z$299*(1+'财富模型'!$E$6/12)+('Calc'!$B$5-'财富模型'!$E$5-(IF('Calc'!$E$15=1,'财富模型'!$E$9,'财富模型'!$M$7+IF(Calc!$Y$300&lt;='财富模型'!$E$11*12,'Calc'!$W$15,'Calc'!$Y$15)-(IF('Calc'!$E$15=1,0,MIN(Calc!$AA$299*(1+'财富模型'!$E$20/12)+'Calc'!$B$6,IF(Calc!$Y$300&lt;='财富模型'!$E$11*12,'Calc'!$W$15,'Calc'!$Y$15))))))),0))</x:f>
      </x:c>
      <x:c r="AA300" t="str">
        <x:f>IF(Calc!$Y$300&gt;'Calc'!$B$8,"",MAX(Calc!$AA$299*(1+'财富模型'!$E$20/12)+'Calc'!$B$6-(IF('Calc'!$E$15=1,0,MIN(Calc!$AA$299*(1+'财富模型'!$E$20/12)+'Calc'!$B$6,IF(Calc!$Y$300&lt;='财富模型'!$E$11*12,'Calc'!$W$15,'Calc'!$Y$15)))),0))</x:f>
      </x:c>
      <x:c r="AB300" t="str">
        <x:f>IF(Calc!$Y$300&gt;'Calc'!$B$8,"",IF('Calc'!$E$15=1,'财富模型'!$E$9,'财富模型'!$M$7+IF(Calc!$Y$300&lt;='财富模型'!$E$11*12,'Calc'!$W$15,'Calc'!$Y$15)-(IF('Calc'!$E$15=1,0,MIN(Calc!$AA$299*(1+'财富模型'!$E$20/12)+'Calc'!$B$6,IF(Calc!$Y$300&lt;='财富模型'!$E$11*12,'Calc'!$W$15,'Calc'!$Y$15))))))</x:f>
      </x:c>
      <x:c r="AC300" t="str">
        <x:f>IF(Calc!$Y$300&gt;'Calc'!$B$8,"",IF('Calc'!$E$15=1,0,MIN(Calc!$AA$299*(1+'财富模型'!$E$20/12)+'Calc'!$B$6,IF(Calc!$Y$300&lt;='财富模型'!$E$11*12,'Calc'!$W$15,'Calc'!$Y$15))))</x:f>
      </x:c>
      <x:c r="AD300" t="str">
        <x:f>IF(Calc!$Y$300&gt;'Calc'!$B$8,"",'Calc'!$B$5-'财富模型'!$E$5-(IF('Calc'!$E$15=1,'财富模型'!$E$9,'财富模型'!$M$7+IF(Calc!$Y$300&lt;='财富模型'!$E$11*12,'Calc'!$W$15,'Calc'!$Y$15)-(IF('Calc'!$E$15=1,0,MIN(Calc!$AA$299*(1+'财富模型'!$E$20/12)+'Calc'!$B$6,IF(Calc!$Y$300&lt;='财富模型'!$E$11*12,'Calc'!$W$15,'Calc'!$Y$15)))))))</x:f>
      </x:c>
      <x:c r="AE300" t="str">
        <x:f>IF(Calc!$Y$300&gt;'Calc'!$B$8,"",IF('Calc'!$E$15=1,0,MAX(Calc!$AE$299*(1+IF(Calc!$Y$300&lt;='财富模型'!$E$11*12,'财富模型'!$E$10,'财富模型'!$E$12)/12)-IF('Calc'!$E$15=1,0,IF(Calc!$Y$300&lt;='财富模型'!$E$11*12,'Calc'!$W$15,'Calc'!$Y$15)),0)))</x:f>
      </x:c>
      <x:c r="AG300" t="n">
        <x:v>279</x:v>
      </x:c>
      <x:c r="AH300" t="str">
        <x:f>IF(Calc!$AG$300&gt;'Calc'!$B$8,"",MAX(Calc!$AH$299*(1+'财富模型'!$E$6/12)+('Calc'!$B$5-'财富模型'!$E$5-(IF('Calc'!$E$16=1,'财富模型'!$E$9,'财富模型'!$M$8+IF(Calc!$AG$300&lt;='财富模型'!$E$11*12,'Calc'!$W$16,'Calc'!$Y$16)-(IF('Calc'!$E$16=1,0,MIN(Calc!$AI$299*(1+'财富模型'!$E$20/12)+'Calc'!$B$6,IF(Calc!$AG$300&lt;='财富模型'!$E$11*12,'Calc'!$W$16,'Calc'!$Y$16))))))),0))</x:f>
      </x:c>
      <x:c r="AI300" t="str">
        <x:f>IF(Calc!$AG$300&gt;'Calc'!$B$8,"",MAX(Calc!$AI$299*(1+'财富模型'!$E$20/12)+'Calc'!$B$6-(IF('Calc'!$E$16=1,0,MIN(Calc!$AI$299*(1+'财富模型'!$E$20/12)+'Calc'!$B$6,IF(Calc!$AG$300&lt;='财富模型'!$E$11*12,'Calc'!$W$16,'Calc'!$Y$16)))),0))</x:f>
      </x:c>
      <x:c r="AJ300" t="str">
        <x:f>IF(Calc!$AG$300&gt;'Calc'!$B$8,"",IF('Calc'!$E$16=1,'财富模型'!$E$9,'财富模型'!$M$8+IF(Calc!$AG$300&lt;='财富模型'!$E$11*12,'Calc'!$W$16,'Calc'!$Y$16)-(IF('Calc'!$E$16=1,0,MIN(Calc!$AI$299*(1+'财富模型'!$E$20/12)+'Calc'!$B$6,IF(Calc!$AG$300&lt;='财富模型'!$E$11*12,'Calc'!$W$16,'Calc'!$Y$16))))))</x:f>
      </x:c>
      <x:c r="AK300" t="str">
        <x:f>IF(Calc!$AG$300&gt;'Calc'!$B$8,"",IF('Calc'!$E$16=1,0,MIN(Calc!$AI$299*(1+'财富模型'!$E$20/12)+'Calc'!$B$6,IF(Calc!$AG$300&lt;='财富模型'!$E$11*12,'Calc'!$W$16,'Calc'!$Y$16))))</x:f>
      </x:c>
      <x:c r="AL300" t="str">
        <x:f>IF(Calc!$AG$300&gt;'Calc'!$B$8,"",'Calc'!$B$5-'财富模型'!$E$5-(IF('Calc'!$E$16=1,'财富模型'!$E$9,'财富模型'!$M$8+IF(Calc!$AG$300&lt;='财富模型'!$E$11*12,'Calc'!$W$16,'Calc'!$Y$16)-(IF('Calc'!$E$16=1,0,MIN(Calc!$AI$299*(1+'财富模型'!$E$20/12)+'Calc'!$B$6,IF(Calc!$AG$300&lt;='财富模型'!$E$11*12,'Calc'!$W$16,'Calc'!$Y$16)))))))</x:f>
      </x:c>
      <x:c r="AM300" t="str">
        <x:f>IF(Calc!$AG$300&gt;'Calc'!$B$8,"",IF('Calc'!$E$16=1,0,MAX(Calc!$AM$299*(1+IF(Calc!$AG$300&lt;='财富模型'!$E$11*12,'财富模型'!$E$10,'财富模型'!$E$12)/12)-IF('Calc'!$E$16=1,0,IF(Calc!$AG$300&lt;='财富模型'!$E$11*12,'Calc'!$W$16,'Calc'!$Y$16)),0)))</x:f>
      </x:c>
      <x:c r="AO300" t="n">
        <x:v>279</x:v>
      </x:c>
      <x:c r="AP300" t="str">
        <x:f>IF(Calc!$AO$300&gt;'Calc'!$B$8,"",MAX(Calc!$AP$299*(1+'财富模型'!$E$6/12)+('Calc'!$B$5-'财富模型'!$E$5-(IF('Calc'!$E$17=1,'财富模型'!$E$9,'财富模型'!$M$9+IF(Calc!$AO$300&lt;='财富模型'!$E$11*12,'Calc'!$W$17,'Calc'!$Y$17)-(IF('Calc'!$E$17=1,0,MIN(Calc!$AQ$299*(1+'财富模型'!$E$20/12)+'Calc'!$B$6,IF(Calc!$AO$300&lt;='财富模型'!$E$11*12,'Calc'!$W$17,'Calc'!$Y$17))))))),0))</x:f>
      </x:c>
      <x:c r="AQ300" t="str">
        <x:f>IF(Calc!$AO$300&gt;'Calc'!$B$8,"",MAX(Calc!$AQ$299*(1+'财富模型'!$E$20/12)+'Calc'!$B$6-(IF('Calc'!$E$17=1,0,MIN(Calc!$AQ$299*(1+'财富模型'!$E$20/12)+'Calc'!$B$6,IF(Calc!$AO$300&lt;='财富模型'!$E$11*12,'Calc'!$W$17,'Calc'!$Y$17)))),0))</x:f>
      </x:c>
      <x:c r="AR300" t="str">
        <x:f>IF(Calc!$AO$300&gt;'Calc'!$B$8,"",IF('Calc'!$E$17=1,'财富模型'!$E$9,'财富模型'!$M$9+IF(Calc!$AO$300&lt;='财富模型'!$E$11*12,'Calc'!$W$17,'Calc'!$Y$17)-(IF('Calc'!$E$17=1,0,MIN(Calc!$AQ$299*(1+'财富模型'!$E$20/12)+'Calc'!$B$6,IF(Calc!$AO$300&lt;='财富模型'!$E$11*12,'Calc'!$W$17,'Calc'!$Y$17))))))</x:f>
      </x:c>
      <x:c r="AS300" t="str">
        <x:f>IF(Calc!$AO$300&gt;'Calc'!$B$8,"",IF('Calc'!$E$17=1,0,MIN(Calc!$AQ$299*(1+'财富模型'!$E$20/12)+'Calc'!$B$6,IF(Calc!$AO$300&lt;='财富模型'!$E$11*12,'Calc'!$W$17,'Calc'!$Y$17))))</x:f>
      </x:c>
      <x:c r="AT300" t="str">
        <x:f>IF(Calc!$AO$300&gt;'Calc'!$B$8,"",'Calc'!$B$5-'财富模型'!$E$5-(IF('Calc'!$E$17=1,'财富模型'!$E$9,'财富模型'!$M$9+IF(Calc!$AO$300&lt;='财富模型'!$E$11*12,'Calc'!$W$17,'Calc'!$Y$17)-(IF('Calc'!$E$17=1,0,MIN(Calc!$AQ$299*(1+'财富模型'!$E$20/12)+'Calc'!$B$6,IF(Calc!$AO$300&lt;='财富模型'!$E$11*12,'Calc'!$W$17,'Calc'!$Y$17)))))))</x:f>
      </x:c>
      <x:c r="AU300" t="str">
        <x:f>IF(Calc!$AO$300&gt;'Calc'!$B$8,"",IF('Calc'!$E$17=1,0,MAX(Calc!$AU$299*(1+IF(Calc!$AO$300&lt;='财富模型'!$E$11*12,'财富模型'!$E$10,'财富模型'!$E$12)/12)-IF('Calc'!$E$17=1,0,IF(Calc!$AO$300&lt;='财富模型'!$E$11*12,'Calc'!$W$17,'Calc'!$Y$17)),0)))</x:f>
      </x:c>
    </x:row>
    <x:row r="301">
      <x:c r="A301" t="n">
        <x:v>280</x:v>
      </x:c>
      <x:c r="B301" t="str">
        <x:f>IF(Calc!$A$301&gt;'Calc'!$B$8,"",MAX(Calc!$B$300*(1+'财富模型'!$E$6/12)+('Calc'!$B$5-'财富模型'!$E$5-(IF('Calc'!$E$12=1,'财富模型'!$E$9,'财富模型'!$M$4+IF(Calc!$A$301&lt;='财富模型'!$E$11*12,'Calc'!$W$12,'Calc'!$Y$12)-(IF('Calc'!$E$12=1,0,MIN(Calc!$C$300*(1+'财富模型'!$E$20/12)+'Calc'!$B$6,IF(Calc!$A$301&lt;='财富模型'!$E$11*12,'Calc'!$W$12,'Calc'!$Y$12))))))),0))</x:f>
      </x:c>
      <x:c r="C301" t="str">
        <x:f>IF(Calc!$A$301&gt;'Calc'!$B$8,"",MAX(Calc!$C$300*(1+'财富模型'!$E$20/12)+'Calc'!$B$6-(IF('Calc'!$E$12=1,0,MIN(Calc!$C$300*(1+'财富模型'!$E$20/12)+'Calc'!$B$6,IF(Calc!$A$301&lt;='财富模型'!$E$11*12,'Calc'!$W$12,'Calc'!$Y$12)))),0))</x:f>
      </x:c>
      <x:c r="D301" t="str">
        <x:f>IF(Calc!$A$301&gt;'Calc'!$B$8,"",IF('Calc'!$E$12=1,'财富模型'!$E$9,'财富模型'!$M$4+IF(Calc!$A$301&lt;='财富模型'!$E$11*12,'Calc'!$W$12,'Calc'!$Y$12)-(IF('Calc'!$E$12=1,0,MIN(Calc!$C$300*(1+'财富模型'!$E$20/12)+'Calc'!$B$6,IF(Calc!$A$301&lt;='财富模型'!$E$11*12,'Calc'!$W$12,'Calc'!$Y$12))))))</x:f>
      </x:c>
      <x:c r="E301" t="str">
        <x:f>IF(Calc!$A$301&gt;'Calc'!$B$8,"",IF('Calc'!$E$12=1,0,MIN(Calc!$C$300*(1+'财富模型'!$E$20/12)+'Calc'!$B$6,IF(Calc!$A$301&lt;='财富模型'!$E$11*12,'Calc'!$W$12,'Calc'!$Y$12))))</x:f>
      </x:c>
      <x:c r="F301" t="str">
        <x:f>IF(Calc!$A$301&gt;'Calc'!$B$8,"",'Calc'!$B$5-'财富模型'!$E$5-(IF('Calc'!$E$12=1,'财富模型'!$E$9,'财富模型'!$M$4+IF(Calc!$A$301&lt;='财富模型'!$E$11*12,'Calc'!$W$12,'Calc'!$Y$12)-(IF('Calc'!$E$12=1,0,MIN(Calc!$C$300*(1+'财富模型'!$E$20/12)+'Calc'!$B$6,IF(Calc!$A$301&lt;='财富模型'!$E$11*12,'Calc'!$W$12,'Calc'!$Y$12)))))))</x:f>
      </x:c>
      <x:c r="G301" t="str">
        <x:f>IF(Calc!$A$301&gt;'Calc'!$B$8,"",IF('Calc'!$E$12=1,0,MAX(Calc!$G$300*(1+IF(Calc!$A$301&lt;='财富模型'!$E$11*12,'财富模型'!$E$10,'财富模型'!$E$12)/12)-IF('Calc'!$E$12=1,0,IF(Calc!$A$301&lt;='财富模型'!$E$11*12,'Calc'!$W$12,'Calc'!$Y$12)),0)))</x:f>
      </x:c>
      <x:c r="I301" t="n">
        <x:v>280</x:v>
      </x:c>
      <x:c r="J301" t="str">
        <x:f>IF(Calc!$I$301&gt;'Calc'!$B$8,"",MAX(Calc!$J$300*(1+'财富模型'!$E$6/12)+('Calc'!$B$5-'财富模型'!$E$5-(IF('Calc'!$E$13=1,'财富模型'!$E$9,'财富模型'!$M$5+IF(Calc!$I$301&lt;='财富模型'!$E$11*12,'Calc'!$W$13,'Calc'!$Y$13)-(IF('Calc'!$E$13=1,0,MIN(Calc!$K$300*(1+'财富模型'!$E$20/12)+'Calc'!$B$6,IF(Calc!$I$301&lt;='财富模型'!$E$11*12,'Calc'!$W$13,'Calc'!$Y$13))))))),0))</x:f>
      </x:c>
      <x:c r="K301" t="str">
        <x:f>IF(Calc!$I$301&gt;'Calc'!$B$8,"",MAX(Calc!$K$300*(1+'财富模型'!$E$20/12)+'Calc'!$B$6-(IF('Calc'!$E$13=1,0,MIN(Calc!$K$300*(1+'财富模型'!$E$20/12)+'Calc'!$B$6,IF(Calc!$I$301&lt;='财富模型'!$E$11*12,'Calc'!$W$13,'Calc'!$Y$13)))),0))</x:f>
      </x:c>
      <x:c r="L301" t="str">
        <x:f>IF(Calc!$I$301&gt;'Calc'!$B$8,"",IF('Calc'!$E$13=1,'财富模型'!$E$9,'财富模型'!$M$5+IF(Calc!$I$301&lt;='财富模型'!$E$11*12,'Calc'!$W$13,'Calc'!$Y$13)-(IF('Calc'!$E$13=1,0,MIN(Calc!$K$300*(1+'财富模型'!$E$20/12)+'Calc'!$B$6,IF(Calc!$I$301&lt;='财富模型'!$E$11*12,'Calc'!$W$13,'Calc'!$Y$13))))))</x:f>
      </x:c>
      <x:c r="M301" t="str">
        <x:f>IF(Calc!$I$301&gt;'Calc'!$B$8,"",IF('Calc'!$E$13=1,0,MIN(Calc!$K$300*(1+'财富模型'!$E$20/12)+'Calc'!$B$6,IF(Calc!$I$301&lt;='财富模型'!$E$11*12,'Calc'!$W$13,'Calc'!$Y$13))))</x:f>
      </x:c>
      <x:c r="N301" t="str">
        <x:f>IF(Calc!$I$301&gt;'Calc'!$B$8,"",'Calc'!$B$5-'财富模型'!$E$5-(IF('Calc'!$E$13=1,'财富模型'!$E$9,'财富模型'!$M$5+IF(Calc!$I$301&lt;='财富模型'!$E$11*12,'Calc'!$W$13,'Calc'!$Y$13)-(IF('Calc'!$E$13=1,0,MIN(Calc!$K$300*(1+'财富模型'!$E$20/12)+'Calc'!$B$6,IF(Calc!$I$301&lt;='财富模型'!$E$11*12,'Calc'!$W$13,'Calc'!$Y$13)))))))</x:f>
      </x:c>
      <x:c r="O301" t="str">
        <x:f>IF(Calc!$I$301&gt;'Calc'!$B$8,"",IF('Calc'!$E$13=1,0,MAX(Calc!$O$300*(1+IF(Calc!$I$301&lt;='财富模型'!$E$11*12,'财富模型'!$E$10,'财富模型'!$E$12)/12)-IF('Calc'!$E$13=1,0,IF(Calc!$I$301&lt;='财富模型'!$E$11*12,'Calc'!$W$13,'Calc'!$Y$13)),0)))</x:f>
      </x:c>
      <x:c r="Q301" t="n">
        <x:v>280</x:v>
      </x:c>
      <x:c r="R301" t="str">
        <x:f>IF(Calc!$Q$301&gt;'Calc'!$B$8,"",MAX(Calc!$R$300*(1+'财富模型'!$E$6/12)+('Calc'!$B$5-'财富模型'!$E$5-(IF('Calc'!$E$14=1,'财富模型'!$E$9,'财富模型'!$M$6+IF(Calc!$Q$301&lt;='财富模型'!$E$11*12,'Calc'!$W$14,'Calc'!$Y$14)-(IF('Calc'!$E$14=1,0,MIN(Calc!$S$300*(1+'财富模型'!$E$20/12)+'Calc'!$B$6,IF(Calc!$Q$301&lt;='财富模型'!$E$11*12,'Calc'!$W$14,'Calc'!$Y$14))))))),0))</x:f>
      </x:c>
      <x:c r="S301" t="str">
        <x:f>IF(Calc!$Q$301&gt;'Calc'!$B$8,"",MAX(Calc!$S$300*(1+'财富模型'!$E$20/12)+'Calc'!$B$6-(IF('Calc'!$E$14=1,0,MIN(Calc!$S$300*(1+'财富模型'!$E$20/12)+'Calc'!$B$6,IF(Calc!$Q$301&lt;='财富模型'!$E$11*12,'Calc'!$W$14,'Calc'!$Y$14)))),0))</x:f>
      </x:c>
      <x:c r="T301" t="str">
        <x:f>IF(Calc!$Q$301&gt;'Calc'!$B$8,"",IF('Calc'!$E$14=1,'财富模型'!$E$9,'财富模型'!$M$6+IF(Calc!$Q$301&lt;='财富模型'!$E$11*12,'Calc'!$W$14,'Calc'!$Y$14)-(IF('Calc'!$E$14=1,0,MIN(Calc!$S$300*(1+'财富模型'!$E$20/12)+'Calc'!$B$6,IF(Calc!$Q$301&lt;='财富模型'!$E$11*12,'Calc'!$W$14,'Calc'!$Y$14))))))</x:f>
      </x:c>
      <x:c r="U301" t="str">
        <x:f>IF(Calc!$Q$301&gt;'Calc'!$B$8,"",IF('Calc'!$E$14=1,0,MIN(Calc!$S$300*(1+'财富模型'!$E$20/12)+'Calc'!$B$6,IF(Calc!$Q$301&lt;='财富模型'!$E$11*12,'Calc'!$W$14,'Calc'!$Y$14))))</x:f>
      </x:c>
      <x:c r="V301" t="str">
        <x:f>IF(Calc!$Q$301&gt;'Calc'!$B$8,"",'Calc'!$B$5-'财富模型'!$E$5-(IF('Calc'!$E$14=1,'财富模型'!$E$9,'财富模型'!$M$6+IF(Calc!$Q$301&lt;='财富模型'!$E$11*12,'Calc'!$W$14,'Calc'!$Y$14)-(IF('Calc'!$E$14=1,0,MIN(Calc!$S$300*(1+'财富模型'!$E$20/12)+'Calc'!$B$6,IF(Calc!$Q$301&lt;='财富模型'!$E$11*12,'Calc'!$W$14,'Calc'!$Y$14)))))))</x:f>
      </x:c>
      <x:c r="W301" t="str">
        <x:f>IF(Calc!$Q$301&gt;'Calc'!$B$8,"",IF('Calc'!$E$14=1,0,MAX(Calc!$W$300*(1+IF(Calc!$Q$301&lt;='财富模型'!$E$11*12,'财富模型'!$E$10,'财富模型'!$E$12)/12)-IF('Calc'!$E$14=1,0,IF(Calc!$Q$301&lt;='财富模型'!$E$11*12,'Calc'!$W$14,'Calc'!$Y$14)),0)))</x:f>
      </x:c>
      <x:c r="Y301" t="n">
        <x:v>280</x:v>
      </x:c>
      <x:c r="Z301" t="str">
        <x:f>IF(Calc!$Y$301&gt;'Calc'!$B$8,"",MAX(Calc!$Z$300*(1+'财富模型'!$E$6/12)+('Calc'!$B$5-'财富模型'!$E$5-(IF('Calc'!$E$15=1,'财富模型'!$E$9,'财富模型'!$M$7+IF(Calc!$Y$301&lt;='财富模型'!$E$11*12,'Calc'!$W$15,'Calc'!$Y$15)-(IF('Calc'!$E$15=1,0,MIN(Calc!$AA$300*(1+'财富模型'!$E$20/12)+'Calc'!$B$6,IF(Calc!$Y$301&lt;='财富模型'!$E$11*12,'Calc'!$W$15,'Calc'!$Y$15))))))),0))</x:f>
      </x:c>
      <x:c r="AA301" t="str">
        <x:f>IF(Calc!$Y$301&gt;'Calc'!$B$8,"",MAX(Calc!$AA$300*(1+'财富模型'!$E$20/12)+'Calc'!$B$6-(IF('Calc'!$E$15=1,0,MIN(Calc!$AA$300*(1+'财富模型'!$E$20/12)+'Calc'!$B$6,IF(Calc!$Y$301&lt;='财富模型'!$E$11*12,'Calc'!$W$15,'Calc'!$Y$15)))),0))</x:f>
      </x:c>
      <x:c r="AB301" t="str">
        <x:f>IF(Calc!$Y$301&gt;'Calc'!$B$8,"",IF('Calc'!$E$15=1,'财富模型'!$E$9,'财富模型'!$M$7+IF(Calc!$Y$301&lt;='财富模型'!$E$11*12,'Calc'!$W$15,'Calc'!$Y$15)-(IF('Calc'!$E$15=1,0,MIN(Calc!$AA$300*(1+'财富模型'!$E$20/12)+'Calc'!$B$6,IF(Calc!$Y$301&lt;='财富模型'!$E$11*12,'Calc'!$W$15,'Calc'!$Y$15))))))</x:f>
      </x:c>
      <x:c r="AC301" t="str">
        <x:f>IF(Calc!$Y$301&gt;'Calc'!$B$8,"",IF('Calc'!$E$15=1,0,MIN(Calc!$AA$300*(1+'财富模型'!$E$20/12)+'Calc'!$B$6,IF(Calc!$Y$301&lt;='财富模型'!$E$11*12,'Calc'!$W$15,'Calc'!$Y$15))))</x:f>
      </x:c>
      <x:c r="AD301" t="str">
        <x:f>IF(Calc!$Y$301&gt;'Calc'!$B$8,"",'Calc'!$B$5-'财富模型'!$E$5-(IF('Calc'!$E$15=1,'财富模型'!$E$9,'财富模型'!$M$7+IF(Calc!$Y$301&lt;='财富模型'!$E$11*12,'Calc'!$W$15,'Calc'!$Y$15)-(IF('Calc'!$E$15=1,0,MIN(Calc!$AA$300*(1+'财富模型'!$E$20/12)+'Calc'!$B$6,IF(Calc!$Y$301&lt;='财富模型'!$E$11*12,'Calc'!$W$15,'Calc'!$Y$15)))))))</x:f>
      </x:c>
      <x:c r="AE301" t="str">
        <x:f>IF(Calc!$Y$301&gt;'Calc'!$B$8,"",IF('Calc'!$E$15=1,0,MAX(Calc!$AE$300*(1+IF(Calc!$Y$301&lt;='财富模型'!$E$11*12,'财富模型'!$E$10,'财富模型'!$E$12)/12)-IF('Calc'!$E$15=1,0,IF(Calc!$Y$301&lt;='财富模型'!$E$11*12,'Calc'!$W$15,'Calc'!$Y$15)),0)))</x:f>
      </x:c>
      <x:c r="AG301" t="n">
        <x:v>280</x:v>
      </x:c>
      <x:c r="AH301" t="str">
        <x:f>IF(Calc!$AG$301&gt;'Calc'!$B$8,"",MAX(Calc!$AH$300*(1+'财富模型'!$E$6/12)+('Calc'!$B$5-'财富模型'!$E$5-(IF('Calc'!$E$16=1,'财富模型'!$E$9,'财富模型'!$M$8+IF(Calc!$AG$301&lt;='财富模型'!$E$11*12,'Calc'!$W$16,'Calc'!$Y$16)-(IF('Calc'!$E$16=1,0,MIN(Calc!$AI$300*(1+'财富模型'!$E$20/12)+'Calc'!$B$6,IF(Calc!$AG$301&lt;='财富模型'!$E$11*12,'Calc'!$W$16,'Calc'!$Y$16))))))),0))</x:f>
      </x:c>
      <x:c r="AI301" t="str">
        <x:f>IF(Calc!$AG$301&gt;'Calc'!$B$8,"",MAX(Calc!$AI$300*(1+'财富模型'!$E$20/12)+'Calc'!$B$6-(IF('Calc'!$E$16=1,0,MIN(Calc!$AI$300*(1+'财富模型'!$E$20/12)+'Calc'!$B$6,IF(Calc!$AG$301&lt;='财富模型'!$E$11*12,'Calc'!$W$16,'Calc'!$Y$16)))),0))</x:f>
      </x:c>
      <x:c r="AJ301" t="str">
        <x:f>IF(Calc!$AG$301&gt;'Calc'!$B$8,"",IF('Calc'!$E$16=1,'财富模型'!$E$9,'财富模型'!$M$8+IF(Calc!$AG$301&lt;='财富模型'!$E$11*12,'Calc'!$W$16,'Calc'!$Y$16)-(IF('Calc'!$E$16=1,0,MIN(Calc!$AI$300*(1+'财富模型'!$E$20/12)+'Calc'!$B$6,IF(Calc!$AG$301&lt;='财富模型'!$E$11*12,'Calc'!$W$16,'Calc'!$Y$16))))))</x:f>
      </x:c>
      <x:c r="AK301" t="str">
        <x:f>IF(Calc!$AG$301&gt;'Calc'!$B$8,"",IF('Calc'!$E$16=1,0,MIN(Calc!$AI$300*(1+'财富模型'!$E$20/12)+'Calc'!$B$6,IF(Calc!$AG$301&lt;='财富模型'!$E$11*12,'Calc'!$W$16,'Calc'!$Y$16))))</x:f>
      </x:c>
      <x:c r="AL301" t="str">
        <x:f>IF(Calc!$AG$301&gt;'Calc'!$B$8,"",'Calc'!$B$5-'财富模型'!$E$5-(IF('Calc'!$E$16=1,'财富模型'!$E$9,'财富模型'!$M$8+IF(Calc!$AG$301&lt;='财富模型'!$E$11*12,'Calc'!$W$16,'Calc'!$Y$16)-(IF('Calc'!$E$16=1,0,MIN(Calc!$AI$300*(1+'财富模型'!$E$20/12)+'Calc'!$B$6,IF(Calc!$AG$301&lt;='财富模型'!$E$11*12,'Calc'!$W$16,'Calc'!$Y$16)))))))</x:f>
      </x:c>
      <x:c r="AM301" t="str">
        <x:f>IF(Calc!$AG$301&gt;'Calc'!$B$8,"",IF('Calc'!$E$16=1,0,MAX(Calc!$AM$300*(1+IF(Calc!$AG$301&lt;='财富模型'!$E$11*12,'财富模型'!$E$10,'财富模型'!$E$12)/12)-IF('Calc'!$E$16=1,0,IF(Calc!$AG$301&lt;='财富模型'!$E$11*12,'Calc'!$W$16,'Calc'!$Y$16)),0)))</x:f>
      </x:c>
      <x:c r="AO301" t="n">
        <x:v>280</x:v>
      </x:c>
      <x:c r="AP301" t="str">
        <x:f>IF(Calc!$AO$301&gt;'Calc'!$B$8,"",MAX(Calc!$AP$300*(1+'财富模型'!$E$6/12)+('Calc'!$B$5-'财富模型'!$E$5-(IF('Calc'!$E$17=1,'财富模型'!$E$9,'财富模型'!$M$9+IF(Calc!$AO$301&lt;='财富模型'!$E$11*12,'Calc'!$W$17,'Calc'!$Y$17)-(IF('Calc'!$E$17=1,0,MIN(Calc!$AQ$300*(1+'财富模型'!$E$20/12)+'Calc'!$B$6,IF(Calc!$AO$301&lt;='财富模型'!$E$11*12,'Calc'!$W$17,'Calc'!$Y$17))))))),0))</x:f>
      </x:c>
      <x:c r="AQ301" t="str">
        <x:f>IF(Calc!$AO$301&gt;'Calc'!$B$8,"",MAX(Calc!$AQ$300*(1+'财富模型'!$E$20/12)+'Calc'!$B$6-(IF('Calc'!$E$17=1,0,MIN(Calc!$AQ$300*(1+'财富模型'!$E$20/12)+'Calc'!$B$6,IF(Calc!$AO$301&lt;='财富模型'!$E$11*12,'Calc'!$W$17,'Calc'!$Y$17)))),0))</x:f>
      </x:c>
      <x:c r="AR301" t="str">
        <x:f>IF(Calc!$AO$301&gt;'Calc'!$B$8,"",IF('Calc'!$E$17=1,'财富模型'!$E$9,'财富模型'!$M$9+IF(Calc!$AO$301&lt;='财富模型'!$E$11*12,'Calc'!$W$17,'Calc'!$Y$17)-(IF('Calc'!$E$17=1,0,MIN(Calc!$AQ$300*(1+'财富模型'!$E$20/12)+'Calc'!$B$6,IF(Calc!$AO$301&lt;='财富模型'!$E$11*12,'Calc'!$W$17,'Calc'!$Y$17))))))</x:f>
      </x:c>
      <x:c r="AS301" t="str">
        <x:f>IF(Calc!$AO$301&gt;'Calc'!$B$8,"",IF('Calc'!$E$17=1,0,MIN(Calc!$AQ$300*(1+'财富模型'!$E$20/12)+'Calc'!$B$6,IF(Calc!$AO$301&lt;='财富模型'!$E$11*12,'Calc'!$W$17,'Calc'!$Y$17))))</x:f>
      </x:c>
      <x:c r="AT301" t="str">
        <x:f>IF(Calc!$AO$301&gt;'Calc'!$B$8,"",'Calc'!$B$5-'财富模型'!$E$5-(IF('Calc'!$E$17=1,'财富模型'!$E$9,'财富模型'!$M$9+IF(Calc!$AO$301&lt;='财富模型'!$E$11*12,'Calc'!$W$17,'Calc'!$Y$17)-(IF('Calc'!$E$17=1,0,MIN(Calc!$AQ$300*(1+'财富模型'!$E$20/12)+'Calc'!$B$6,IF(Calc!$AO$301&lt;='财富模型'!$E$11*12,'Calc'!$W$17,'Calc'!$Y$17)))))))</x:f>
      </x:c>
      <x:c r="AU301" t="str">
        <x:f>IF(Calc!$AO$301&gt;'Calc'!$B$8,"",IF('Calc'!$E$17=1,0,MAX(Calc!$AU$300*(1+IF(Calc!$AO$301&lt;='财富模型'!$E$11*12,'财富模型'!$E$10,'财富模型'!$E$12)/12)-IF('Calc'!$E$17=1,0,IF(Calc!$AO$301&lt;='财富模型'!$E$11*12,'Calc'!$W$17,'Calc'!$Y$17)),0)))</x:f>
      </x:c>
    </x:row>
    <x:row r="302">
      <x:c r="A302" t="n">
        <x:v>281</x:v>
      </x:c>
      <x:c r="B302" t="str">
        <x:f>IF(Calc!$A$302&gt;'Calc'!$B$8,"",MAX(Calc!$B$301*(1+'财富模型'!$E$6/12)+('Calc'!$B$5-'财富模型'!$E$5-(IF('Calc'!$E$12=1,'财富模型'!$E$9,'财富模型'!$M$4+IF(Calc!$A$302&lt;='财富模型'!$E$11*12,'Calc'!$W$12,'Calc'!$Y$12)-(IF('Calc'!$E$12=1,0,MIN(Calc!$C$301*(1+'财富模型'!$E$20/12)+'Calc'!$B$6,IF(Calc!$A$302&lt;='财富模型'!$E$11*12,'Calc'!$W$12,'Calc'!$Y$12))))))),0))</x:f>
      </x:c>
      <x:c r="C302" t="str">
        <x:f>IF(Calc!$A$302&gt;'Calc'!$B$8,"",MAX(Calc!$C$301*(1+'财富模型'!$E$20/12)+'Calc'!$B$6-(IF('Calc'!$E$12=1,0,MIN(Calc!$C$301*(1+'财富模型'!$E$20/12)+'Calc'!$B$6,IF(Calc!$A$302&lt;='财富模型'!$E$11*12,'Calc'!$W$12,'Calc'!$Y$12)))),0))</x:f>
      </x:c>
      <x:c r="D302" t="str">
        <x:f>IF(Calc!$A$302&gt;'Calc'!$B$8,"",IF('Calc'!$E$12=1,'财富模型'!$E$9,'财富模型'!$M$4+IF(Calc!$A$302&lt;='财富模型'!$E$11*12,'Calc'!$W$12,'Calc'!$Y$12)-(IF('Calc'!$E$12=1,0,MIN(Calc!$C$301*(1+'财富模型'!$E$20/12)+'Calc'!$B$6,IF(Calc!$A$302&lt;='财富模型'!$E$11*12,'Calc'!$W$12,'Calc'!$Y$12))))))</x:f>
      </x:c>
      <x:c r="E302" t="str">
        <x:f>IF(Calc!$A$302&gt;'Calc'!$B$8,"",IF('Calc'!$E$12=1,0,MIN(Calc!$C$301*(1+'财富模型'!$E$20/12)+'Calc'!$B$6,IF(Calc!$A$302&lt;='财富模型'!$E$11*12,'Calc'!$W$12,'Calc'!$Y$12))))</x:f>
      </x:c>
      <x:c r="F302" t="str">
        <x:f>IF(Calc!$A$302&gt;'Calc'!$B$8,"",'Calc'!$B$5-'财富模型'!$E$5-(IF('Calc'!$E$12=1,'财富模型'!$E$9,'财富模型'!$M$4+IF(Calc!$A$302&lt;='财富模型'!$E$11*12,'Calc'!$W$12,'Calc'!$Y$12)-(IF('Calc'!$E$12=1,0,MIN(Calc!$C$301*(1+'财富模型'!$E$20/12)+'Calc'!$B$6,IF(Calc!$A$302&lt;='财富模型'!$E$11*12,'Calc'!$W$12,'Calc'!$Y$12)))))))</x:f>
      </x:c>
      <x:c r="G302" t="str">
        <x:f>IF(Calc!$A$302&gt;'Calc'!$B$8,"",IF('Calc'!$E$12=1,0,MAX(Calc!$G$301*(1+IF(Calc!$A$302&lt;='财富模型'!$E$11*12,'财富模型'!$E$10,'财富模型'!$E$12)/12)-IF('Calc'!$E$12=1,0,IF(Calc!$A$302&lt;='财富模型'!$E$11*12,'Calc'!$W$12,'Calc'!$Y$12)),0)))</x:f>
      </x:c>
      <x:c r="I302" t="n">
        <x:v>281</x:v>
      </x:c>
      <x:c r="J302" t="str">
        <x:f>IF(Calc!$I$302&gt;'Calc'!$B$8,"",MAX(Calc!$J$301*(1+'财富模型'!$E$6/12)+('Calc'!$B$5-'财富模型'!$E$5-(IF('Calc'!$E$13=1,'财富模型'!$E$9,'财富模型'!$M$5+IF(Calc!$I$302&lt;='财富模型'!$E$11*12,'Calc'!$W$13,'Calc'!$Y$13)-(IF('Calc'!$E$13=1,0,MIN(Calc!$K$301*(1+'财富模型'!$E$20/12)+'Calc'!$B$6,IF(Calc!$I$302&lt;='财富模型'!$E$11*12,'Calc'!$W$13,'Calc'!$Y$13))))))),0))</x:f>
      </x:c>
      <x:c r="K302" t="str">
        <x:f>IF(Calc!$I$302&gt;'Calc'!$B$8,"",MAX(Calc!$K$301*(1+'财富模型'!$E$20/12)+'Calc'!$B$6-(IF('Calc'!$E$13=1,0,MIN(Calc!$K$301*(1+'财富模型'!$E$20/12)+'Calc'!$B$6,IF(Calc!$I$302&lt;='财富模型'!$E$11*12,'Calc'!$W$13,'Calc'!$Y$13)))),0))</x:f>
      </x:c>
      <x:c r="L302" t="str">
        <x:f>IF(Calc!$I$302&gt;'Calc'!$B$8,"",IF('Calc'!$E$13=1,'财富模型'!$E$9,'财富模型'!$M$5+IF(Calc!$I$302&lt;='财富模型'!$E$11*12,'Calc'!$W$13,'Calc'!$Y$13)-(IF('Calc'!$E$13=1,0,MIN(Calc!$K$301*(1+'财富模型'!$E$20/12)+'Calc'!$B$6,IF(Calc!$I$302&lt;='财富模型'!$E$11*12,'Calc'!$W$13,'Calc'!$Y$13))))))</x:f>
      </x:c>
      <x:c r="M302" t="str">
        <x:f>IF(Calc!$I$302&gt;'Calc'!$B$8,"",IF('Calc'!$E$13=1,0,MIN(Calc!$K$301*(1+'财富模型'!$E$20/12)+'Calc'!$B$6,IF(Calc!$I$302&lt;='财富模型'!$E$11*12,'Calc'!$W$13,'Calc'!$Y$13))))</x:f>
      </x:c>
      <x:c r="N302" t="str">
        <x:f>IF(Calc!$I$302&gt;'Calc'!$B$8,"",'Calc'!$B$5-'财富模型'!$E$5-(IF('Calc'!$E$13=1,'财富模型'!$E$9,'财富模型'!$M$5+IF(Calc!$I$302&lt;='财富模型'!$E$11*12,'Calc'!$W$13,'Calc'!$Y$13)-(IF('Calc'!$E$13=1,0,MIN(Calc!$K$301*(1+'财富模型'!$E$20/12)+'Calc'!$B$6,IF(Calc!$I$302&lt;='财富模型'!$E$11*12,'Calc'!$W$13,'Calc'!$Y$13)))))))</x:f>
      </x:c>
      <x:c r="O302" t="str">
        <x:f>IF(Calc!$I$302&gt;'Calc'!$B$8,"",IF('Calc'!$E$13=1,0,MAX(Calc!$O$301*(1+IF(Calc!$I$302&lt;='财富模型'!$E$11*12,'财富模型'!$E$10,'财富模型'!$E$12)/12)-IF('Calc'!$E$13=1,0,IF(Calc!$I$302&lt;='财富模型'!$E$11*12,'Calc'!$W$13,'Calc'!$Y$13)),0)))</x:f>
      </x:c>
      <x:c r="Q302" t="n">
        <x:v>281</x:v>
      </x:c>
      <x:c r="R302" t="str">
        <x:f>IF(Calc!$Q$302&gt;'Calc'!$B$8,"",MAX(Calc!$R$301*(1+'财富模型'!$E$6/12)+('Calc'!$B$5-'财富模型'!$E$5-(IF('Calc'!$E$14=1,'财富模型'!$E$9,'财富模型'!$M$6+IF(Calc!$Q$302&lt;='财富模型'!$E$11*12,'Calc'!$W$14,'Calc'!$Y$14)-(IF('Calc'!$E$14=1,0,MIN(Calc!$S$301*(1+'财富模型'!$E$20/12)+'Calc'!$B$6,IF(Calc!$Q$302&lt;='财富模型'!$E$11*12,'Calc'!$W$14,'Calc'!$Y$14))))))),0))</x:f>
      </x:c>
      <x:c r="S302" t="str">
        <x:f>IF(Calc!$Q$302&gt;'Calc'!$B$8,"",MAX(Calc!$S$301*(1+'财富模型'!$E$20/12)+'Calc'!$B$6-(IF('Calc'!$E$14=1,0,MIN(Calc!$S$301*(1+'财富模型'!$E$20/12)+'Calc'!$B$6,IF(Calc!$Q$302&lt;='财富模型'!$E$11*12,'Calc'!$W$14,'Calc'!$Y$14)))),0))</x:f>
      </x:c>
      <x:c r="T302" t="str">
        <x:f>IF(Calc!$Q$302&gt;'Calc'!$B$8,"",IF('Calc'!$E$14=1,'财富模型'!$E$9,'财富模型'!$M$6+IF(Calc!$Q$302&lt;='财富模型'!$E$11*12,'Calc'!$W$14,'Calc'!$Y$14)-(IF('Calc'!$E$14=1,0,MIN(Calc!$S$301*(1+'财富模型'!$E$20/12)+'Calc'!$B$6,IF(Calc!$Q$302&lt;='财富模型'!$E$11*12,'Calc'!$W$14,'Calc'!$Y$14))))))</x:f>
      </x:c>
      <x:c r="U302" t="str">
        <x:f>IF(Calc!$Q$302&gt;'Calc'!$B$8,"",IF('Calc'!$E$14=1,0,MIN(Calc!$S$301*(1+'财富模型'!$E$20/12)+'Calc'!$B$6,IF(Calc!$Q$302&lt;='财富模型'!$E$11*12,'Calc'!$W$14,'Calc'!$Y$14))))</x:f>
      </x:c>
      <x:c r="V302" t="str">
        <x:f>IF(Calc!$Q$302&gt;'Calc'!$B$8,"",'Calc'!$B$5-'财富模型'!$E$5-(IF('Calc'!$E$14=1,'财富模型'!$E$9,'财富模型'!$M$6+IF(Calc!$Q$302&lt;='财富模型'!$E$11*12,'Calc'!$W$14,'Calc'!$Y$14)-(IF('Calc'!$E$14=1,0,MIN(Calc!$S$301*(1+'财富模型'!$E$20/12)+'Calc'!$B$6,IF(Calc!$Q$302&lt;='财富模型'!$E$11*12,'Calc'!$W$14,'Calc'!$Y$14)))))))</x:f>
      </x:c>
      <x:c r="W302" t="str">
        <x:f>IF(Calc!$Q$302&gt;'Calc'!$B$8,"",IF('Calc'!$E$14=1,0,MAX(Calc!$W$301*(1+IF(Calc!$Q$302&lt;='财富模型'!$E$11*12,'财富模型'!$E$10,'财富模型'!$E$12)/12)-IF('Calc'!$E$14=1,0,IF(Calc!$Q$302&lt;='财富模型'!$E$11*12,'Calc'!$W$14,'Calc'!$Y$14)),0)))</x:f>
      </x:c>
      <x:c r="Y302" t="n">
        <x:v>281</x:v>
      </x:c>
      <x:c r="Z302" t="str">
        <x:f>IF(Calc!$Y$302&gt;'Calc'!$B$8,"",MAX(Calc!$Z$301*(1+'财富模型'!$E$6/12)+('Calc'!$B$5-'财富模型'!$E$5-(IF('Calc'!$E$15=1,'财富模型'!$E$9,'财富模型'!$M$7+IF(Calc!$Y$302&lt;='财富模型'!$E$11*12,'Calc'!$W$15,'Calc'!$Y$15)-(IF('Calc'!$E$15=1,0,MIN(Calc!$AA$301*(1+'财富模型'!$E$20/12)+'Calc'!$B$6,IF(Calc!$Y$302&lt;='财富模型'!$E$11*12,'Calc'!$W$15,'Calc'!$Y$15))))))),0))</x:f>
      </x:c>
      <x:c r="AA302" t="str">
        <x:f>IF(Calc!$Y$302&gt;'Calc'!$B$8,"",MAX(Calc!$AA$301*(1+'财富模型'!$E$20/12)+'Calc'!$B$6-(IF('Calc'!$E$15=1,0,MIN(Calc!$AA$301*(1+'财富模型'!$E$20/12)+'Calc'!$B$6,IF(Calc!$Y$302&lt;='财富模型'!$E$11*12,'Calc'!$W$15,'Calc'!$Y$15)))),0))</x:f>
      </x:c>
      <x:c r="AB302" t="str">
        <x:f>IF(Calc!$Y$302&gt;'Calc'!$B$8,"",IF('Calc'!$E$15=1,'财富模型'!$E$9,'财富模型'!$M$7+IF(Calc!$Y$302&lt;='财富模型'!$E$11*12,'Calc'!$W$15,'Calc'!$Y$15)-(IF('Calc'!$E$15=1,0,MIN(Calc!$AA$301*(1+'财富模型'!$E$20/12)+'Calc'!$B$6,IF(Calc!$Y$302&lt;='财富模型'!$E$11*12,'Calc'!$W$15,'Calc'!$Y$15))))))</x:f>
      </x:c>
      <x:c r="AC302" t="str">
        <x:f>IF(Calc!$Y$302&gt;'Calc'!$B$8,"",IF('Calc'!$E$15=1,0,MIN(Calc!$AA$301*(1+'财富模型'!$E$20/12)+'Calc'!$B$6,IF(Calc!$Y$302&lt;='财富模型'!$E$11*12,'Calc'!$W$15,'Calc'!$Y$15))))</x:f>
      </x:c>
      <x:c r="AD302" t="str">
        <x:f>IF(Calc!$Y$302&gt;'Calc'!$B$8,"",'Calc'!$B$5-'财富模型'!$E$5-(IF('Calc'!$E$15=1,'财富模型'!$E$9,'财富模型'!$M$7+IF(Calc!$Y$302&lt;='财富模型'!$E$11*12,'Calc'!$W$15,'Calc'!$Y$15)-(IF('Calc'!$E$15=1,0,MIN(Calc!$AA$301*(1+'财富模型'!$E$20/12)+'Calc'!$B$6,IF(Calc!$Y$302&lt;='财富模型'!$E$11*12,'Calc'!$W$15,'Calc'!$Y$15)))))))</x:f>
      </x:c>
      <x:c r="AE302" t="str">
        <x:f>IF(Calc!$Y$302&gt;'Calc'!$B$8,"",IF('Calc'!$E$15=1,0,MAX(Calc!$AE$301*(1+IF(Calc!$Y$302&lt;='财富模型'!$E$11*12,'财富模型'!$E$10,'财富模型'!$E$12)/12)-IF('Calc'!$E$15=1,0,IF(Calc!$Y$302&lt;='财富模型'!$E$11*12,'Calc'!$W$15,'Calc'!$Y$15)),0)))</x:f>
      </x:c>
      <x:c r="AG302" t="n">
        <x:v>281</x:v>
      </x:c>
      <x:c r="AH302" t="str">
        <x:f>IF(Calc!$AG$302&gt;'Calc'!$B$8,"",MAX(Calc!$AH$301*(1+'财富模型'!$E$6/12)+('Calc'!$B$5-'财富模型'!$E$5-(IF('Calc'!$E$16=1,'财富模型'!$E$9,'财富模型'!$M$8+IF(Calc!$AG$302&lt;='财富模型'!$E$11*12,'Calc'!$W$16,'Calc'!$Y$16)-(IF('Calc'!$E$16=1,0,MIN(Calc!$AI$301*(1+'财富模型'!$E$20/12)+'Calc'!$B$6,IF(Calc!$AG$302&lt;='财富模型'!$E$11*12,'Calc'!$W$16,'Calc'!$Y$16))))))),0))</x:f>
      </x:c>
      <x:c r="AI302" t="str">
        <x:f>IF(Calc!$AG$302&gt;'Calc'!$B$8,"",MAX(Calc!$AI$301*(1+'财富模型'!$E$20/12)+'Calc'!$B$6-(IF('Calc'!$E$16=1,0,MIN(Calc!$AI$301*(1+'财富模型'!$E$20/12)+'Calc'!$B$6,IF(Calc!$AG$302&lt;='财富模型'!$E$11*12,'Calc'!$W$16,'Calc'!$Y$16)))),0))</x:f>
      </x:c>
      <x:c r="AJ302" t="str">
        <x:f>IF(Calc!$AG$302&gt;'Calc'!$B$8,"",IF('Calc'!$E$16=1,'财富模型'!$E$9,'财富模型'!$M$8+IF(Calc!$AG$302&lt;='财富模型'!$E$11*12,'Calc'!$W$16,'Calc'!$Y$16)-(IF('Calc'!$E$16=1,0,MIN(Calc!$AI$301*(1+'财富模型'!$E$20/12)+'Calc'!$B$6,IF(Calc!$AG$302&lt;='财富模型'!$E$11*12,'Calc'!$W$16,'Calc'!$Y$16))))))</x:f>
      </x:c>
      <x:c r="AK302" t="str">
        <x:f>IF(Calc!$AG$302&gt;'Calc'!$B$8,"",IF('Calc'!$E$16=1,0,MIN(Calc!$AI$301*(1+'财富模型'!$E$20/12)+'Calc'!$B$6,IF(Calc!$AG$302&lt;='财富模型'!$E$11*12,'Calc'!$W$16,'Calc'!$Y$16))))</x:f>
      </x:c>
      <x:c r="AL302" t="str">
        <x:f>IF(Calc!$AG$302&gt;'Calc'!$B$8,"",'Calc'!$B$5-'财富模型'!$E$5-(IF('Calc'!$E$16=1,'财富模型'!$E$9,'财富模型'!$M$8+IF(Calc!$AG$302&lt;='财富模型'!$E$11*12,'Calc'!$W$16,'Calc'!$Y$16)-(IF('Calc'!$E$16=1,0,MIN(Calc!$AI$301*(1+'财富模型'!$E$20/12)+'Calc'!$B$6,IF(Calc!$AG$302&lt;='财富模型'!$E$11*12,'Calc'!$W$16,'Calc'!$Y$16)))))))</x:f>
      </x:c>
      <x:c r="AM302" t="str">
        <x:f>IF(Calc!$AG$302&gt;'Calc'!$B$8,"",IF('Calc'!$E$16=1,0,MAX(Calc!$AM$301*(1+IF(Calc!$AG$302&lt;='财富模型'!$E$11*12,'财富模型'!$E$10,'财富模型'!$E$12)/12)-IF('Calc'!$E$16=1,0,IF(Calc!$AG$302&lt;='财富模型'!$E$11*12,'Calc'!$W$16,'Calc'!$Y$16)),0)))</x:f>
      </x:c>
      <x:c r="AO302" t="n">
        <x:v>281</x:v>
      </x:c>
      <x:c r="AP302" t="str">
        <x:f>IF(Calc!$AO$302&gt;'Calc'!$B$8,"",MAX(Calc!$AP$301*(1+'财富模型'!$E$6/12)+('Calc'!$B$5-'财富模型'!$E$5-(IF('Calc'!$E$17=1,'财富模型'!$E$9,'财富模型'!$M$9+IF(Calc!$AO$302&lt;='财富模型'!$E$11*12,'Calc'!$W$17,'Calc'!$Y$17)-(IF('Calc'!$E$17=1,0,MIN(Calc!$AQ$301*(1+'财富模型'!$E$20/12)+'Calc'!$B$6,IF(Calc!$AO$302&lt;='财富模型'!$E$11*12,'Calc'!$W$17,'Calc'!$Y$17))))))),0))</x:f>
      </x:c>
      <x:c r="AQ302" t="str">
        <x:f>IF(Calc!$AO$302&gt;'Calc'!$B$8,"",MAX(Calc!$AQ$301*(1+'财富模型'!$E$20/12)+'Calc'!$B$6-(IF('Calc'!$E$17=1,0,MIN(Calc!$AQ$301*(1+'财富模型'!$E$20/12)+'Calc'!$B$6,IF(Calc!$AO$302&lt;='财富模型'!$E$11*12,'Calc'!$W$17,'Calc'!$Y$17)))),0))</x:f>
      </x:c>
      <x:c r="AR302" t="str">
        <x:f>IF(Calc!$AO$302&gt;'Calc'!$B$8,"",IF('Calc'!$E$17=1,'财富模型'!$E$9,'财富模型'!$M$9+IF(Calc!$AO$302&lt;='财富模型'!$E$11*12,'Calc'!$W$17,'Calc'!$Y$17)-(IF('Calc'!$E$17=1,0,MIN(Calc!$AQ$301*(1+'财富模型'!$E$20/12)+'Calc'!$B$6,IF(Calc!$AO$302&lt;='财富模型'!$E$11*12,'Calc'!$W$17,'Calc'!$Y$17))))))</x:f>
      </x:c>
      <x:c r="AS302" t="str">
        <x:f>IF(Calc!$AO$302&gt;'Calc'!$B$8,"",IF('Calc'!$E$17=1,0,MIN(Calc!$AQ$301*(1+'财富模型'!$E$20/12)+'Calc'!$B$6,IF(Calc!$AO$302&lt;='财富模型'!$E$11*12,'Calc'!$W$17,'Calc'!$Y$17))))</x:f>
      </x:c>
      <x:c r="AT302" t="str">
        <x:f>IF(Calc!$AO$302&gt;'Calc'!$B$8,"",'Calc'!$B$5-'财富模型'!$E$5-(IF('Calc'!$E$17=1,'财富模型'!$E$9,'财富模型'!$M$9+IF(Calc!$AO$302&lt;='财富模型'!$E$11*12,'Calc'!$W$17,'Calc'!$Y$17)-(IF('Calc'!$E$17=1,0,MIN(Calc!$AQ$301*(1+'财富模型'!$E$20/12)+'Calc'!$B$6,IF(Calc!$AO$302&lt;='财富模型'!$E$11*12,'Calc'!$W$17,'Calc'!$Y$17)))))))</x:f>
      </x:c>
      <x:c r="AU302" t="str">
        <x:f>IF(Calc!$AO$302&gt;'Calc'!$B$8,"",IF('Calc'!$E$17=1,0,MAX(Calc!$AU$301*(1+IF(Calc!$AO$302&lt;='财富模型'!$E$11*12,'财富模型'!$E$10,'财富模型'!$E$12)/12)-IF('Calc'!$E$17=1,0,IF(Calc!$AO$302&lt;='财富模型'!$E$11*12,'Calc'!$W$17,'Calc'!$Y$17)),0)))</x:f>
      </x:c>
    </x:row>
    <x:row r="303">
      <x:c r="A303" t="n">
        <x:v>282</x:v>
      </x:c>
      <x:c r="B303" t="str">
        <x:f>IF(Calc!$A$303&gt;'Calc'!$B$8,"",MAX(Calc!$B$302*(1+'财富模型'!$E$6/12)+('Calc'!$B$5-'财富模型'!$E$5-(IF('Calc'!$E$12=1,'财富模型'!$E$9,'财富模型'!$M$4+IF(Calc!$A$303&lt;='财富模型'!$E$11*12,'Calc'!$W$12,'Calc'!$Y$12)-(IF('Calc'!$E$12=1,0,MIN(Calc!$C$302*(1+'财富模型'!$E$20/12)+'Calc'!$B$6,IF(Calc!$A$303&lt;='财富模型'!$E$11*12,'Calc'!$W$12,'Calc'!$Y$12))))))),0))</x:f>
      </x:c>
      <x:c r="C303" t="str">
        <x:f>IF(Calc!$A$303&gt;'Calc'!$B$8,"",MAX(Calc!$C$302*(1+'财富模型'!$E$20/12)+'Calc'!$B$6-(IF('Calc'!$E$12=1,0,MIN(Calc!$C$302*(1+'财富模型'!$E$20/12)+'Calc'!$B$6,IF(Calc!$A$303&lt;='财富模型'!$E$11*12,'Calc'!$W$12,'Calc'!$Y$12)))),0))</x:f>
      </x:c>
      <x:c r="D303" t="str">
        <x:f>IF(Calc!$A$303&gt;'Calc'!$B$8,"",IF('Calc'!$E$12=1,'财富模型'!$E$9,'财富模型'!$M$4+IF(Calc!$A$303&lt;='财富模型'!$E$11*12,'Calc'!$W$12,'Calc'!$Y$12)-(IF('Calc'!$E$12=1,0,MIN(Calc!$C$302*(1+'财富模型'!$E$20/12)+'Calc'!$B$6,IF(Calc!$A$303&lt;='财富模型'!$E$11*12,'Calc'!$W$12,'Calc'!$Y$12))))))</x:f>
      </x:c>
      <x:c r="E303" t="str">
        <x:f>IF(Calc!$A$303&gt;'Calc'!$B$8,"",IF('Calc'!$E$12=1,0,MIN(Calc!$C$302*(1+'财富模型'!$E$20/12)+'Calc'!$B$6,IF(Calc!$A$303&lt;='财富模型'!$E$11*12,'Calc'!$W$12,'Calc'!$Y$12))))</x:f>
      </x:c>
      <x:c r="F303" t="str">
        <x:f>IF(Calc!$A$303&gt;'Calc'!$B$8,"",'Calc'!$B$5-'财富模型'!$E$5-(IF('Calc'!$E$12=1,'财富模型'!$E$9,'财富模型'!$M$4+IF(Calc!$A$303&lt;='财富模型'!$E$11*12,'Calc'!$W$12,'Calc'!$Y$12)-(IF('Calc'!$E$12=1,0,MIN(Calc!$C$302*(1+'财富模型'!$E$20/12)+'Calc'!$B$6,IF(Calc!$A$303&lt;='财富模型'!$E$11*12,'Calc'!$W$12,'Calc'!$Y$12)))))))</x:f>
      </x:c>
      <x:c r="G303" t="str">
        <x:f>IF(Calc!$A$303&gt;'Calc'!$B$8,"",IF('Calc'!$E$12=1,0,MAX(Calc!$G$302*(1+IF(Calc!$A$303&lt;='财富模型'!$E$11*12,'财富模型'!$E$10,'财富模型'!$E$12)/12)-IF('Calc'!$E$12=1,0,IF(Calc!$A$303&lt;='财富模型'!$E$11*12,'Calc'!$W$12,'Calc'!$Y$12)),0)))</x:f>
      </x:c>
      <x:c r="I303" t="n">
        <x:v>282</x:v>
      </x:c>
      <x:c r="J303" t="str">
        <x:f>IF(Calc!$I$303&gt;'Calc'!$B$8,"",MAX(Calc!$J$302*(1+'财富模型'!$E$6/12)+('Calc'!$B$5-'财富模型'!$E$5-(IF('Calc'!$E$13=1,'财富模型'!$E$9,'财富模型'!$M$5+IF(Calc!$I$303&lt;='财富模型'!$E$11*12,'Calc'!$W$13,'Calc'!$Y$13)-(IF('Calc'!$E$13=1,0,MIN(Calc!$K$302*(1+'财富模型'!$E$20/12)+'Calc'!$B$6,IF(Calc!$I$303&lt;='财富模型'!$E$11*12,'Calc'!$W$13,'Calc'!$Y$13))))))),0))</x:f>
      </x:c>
      <x:c r="K303" t="str">
        <x:f>IF(Calc!$I$303&gt;'Calc'!$B$8,"",MAX(Calc!$K$302*(1+'财富模型'!$E$20/12)+'Calc'!$B$6-(IF('Calc'!$E$13=1,0,MIN(Calc!$K$302*(1+'财富模型'!$E$20/12)+'Calc'!$B$6,IF(Calc!$I$303&lt;='财富模型'!$E$11*12,'Calc'!$W$13,'Calc'!$Y$13)))),0))</x:f>
      </x:c>
      <x:c r="L303" t="str">
        <x:f>IF(Calc!$I$303&gt;'Calc'!$B$8,"",IF('Calc'!$E$13=1,'财富模型'!$E$9,'财富模型'!$M$5+IF(Calc!$I$303&lt;='财富模型'!$E$11*12,'Calc'!$W$13,'Calc'!$Y$13)-(IF('Calc'!$E$13=1,0,MIN(Calc!$K$302*(1+'财富模型'!$E$20/12)+'Calc'!$B$6,IF(Calc!$I$303&lt;='财富模型'!$E$11*12,'Calc'!$W$13,'Calc'!$Y$13))))))</x:f>
      </x:c>
      <x:c r="M303" t="str">
        <x:f>IF(Calc!$I$303&gt;'Calc'!$B$8,"",IF('Calc'!$E$13=1,0,MIN(Calc!$K$302*(1+'财富模型'!$E$20/12)+'Calc'!$B$6,IF(Calc!$I$303&lt;='财富模型'!$E$11*12,'Calc'!$W$13,'Calc'!$Y$13))))</x:f>
      </x:c>
      <x:c r="N303" t="str">
        <x:f>IF(Calc!$I$303&gt;'Calc'!$B$8,"",'Calc'!$B$5-'财富模型'!$E$5-(IF('Calc'!$E$13=1,'财富模型'!$E$9,'财富模型'!$M$5+IF(Calc!$I$303&lt;='财富模型'!$E$11*12,'Calc'!$W$13,'Calc'!$Y$13)-(IF('Calc'!$E$13=1,0,MIN(Calc!$K$302*(1+'财富模型'!$E$20/12)+'Calc'!$B$6,IF(Calc!$I$303&lt;='财富模型'!$E$11*12,'Calc'!$W$13,'Calc'!$Y$13)))))))</x:f>
      </x:c>
      <x:c r="O303" t="str">
        <x:f>IF(Calc!$I$303&gt;'Calc'!$B$8,"",IF('Calc'!$E$13=1,0,MAX(Calc!$O$302*(1+IF(Calc!$I$303&lt;='财富模型'!$E$11*12,'财富模型'!$E$10,'财富模型'!$E$12)/12)-IF('Calc'!$E$13=1,0,IF(Calc!$I$303&lt;='财富模型'!$E$11*12,'Calc'!$W$13,'Calc'!$Y$13)),0)))</x:f>
      </x:c>
      <x:c r="Q303" t="n">
        <x:v>282</x:v>
      </x:c>
      <x:c r="R303" t="str">
        <x:f>IF(Calc!$Q$303&gt;'Calc'!$B$8,"",MAX(Calc!$R$302*(1+'财富模型'!$E$6/12)+('Calc'!$B$5-'财富模型'!$E$5-(IF('Calc'!$E$14=1,'财富模型'!$E$9,'财富模型'!$M$6+IF(Calc!$Q$303&lt;='财富模型'!$E$11*12,'Calc'!$W$14,'Calc'!$Y$14)-(IF('Calc'!$E$14=1,0,MIN(Calc!$S$302*(1+'财富模型'!$E$20/12)+'Calc'!$B$6,IF(Calc!$Q$303&lt;='财富模型'!$E$11*12,'Calc'!$W$14,'Calc'!$Y$14))))))),0))</x:f>
      </x:c>
      <x:c r="S303" t="str">
        <x:f>IF(Calc!$Q$303&gt;'Calc'!$B$8,"",MAX(Calc!$S$302*(1+'财富模型'!$E$20/12)+'Calc'!$B$6-(IF('Calc'!$E$14=1,0,MIN(Calc!$S$302*(1+'财富模型'!$E$20/12)+'Calc'!$B$6,IF(Calc!$Q$303&lt;='财富模型'!$E$11*12,'Calc'!$W$14,'Calc'!$Y$14)))),0))</x:f>
      </x:c>
      <x:c r="T303" t="str">
        <x:f>IF(Calc!$Q$303&gt;'Calc'!$B$8,"",IF('Calc'!$E$14=1,'财富模型'!$E$9,'财富模型'!$M$6+IF(Calc!$Q$303&lt;='财富模型'!$E$11*12,'Calc'!$W$14,'Calc'!$Y$14)-(IF('Calc'!$E$14=1,0,MIN(Calc!$S$302*(1+'财富模型'!$E$20/12)+'Calc'!$B$6,IF(Calc!$Q$303&lt;='财富模型'!$E$11*12,'Calc'!$W$14,'Calc'!$Y$14))))))</x:f>
      </x:c>
      <x:c r="U303" t="str">
        <x:f>IF(Calc!$Q$303&gt;'Calc'!$B$8,"",IF('Calc'!$E$14=1,0,MIN(Calc!$S$302*(1+'财富模型'!$E$20/12)+'Calc'!$B$6,IF(Calc!$Q$303&lt;='财富模型'!$E$11*12,'Calc'!$W$14,'Calc'!$Y$14))))</x:f>
      </x:c>
      <x:c r="V303" t="str">
        <x:f>IF(Calc!$Q$303&gt;'Calc'!$B$8,"",'Calc'!$B$5-'财富模型'!$E$5-(IF('Calc'!$E$14=1,'财富模型'!$E$9,'财富模型'!$M$6+IF(Calc!$Q$303&lt;='财富模型'!$E$11*12,'Calc'!$W$14,'Calc'!$Y$14)-(IF('Calc'!$E$14=1,0,MIN(Calc!$S$302*(1+'财富模型'!$E$20/12)+'Calc'!$B$6,IF(Calc!$Q$303&lt;='财富模型'!$E$11*12,'Calc'!$W$14,'Calc'!$Y$14)))))))</x:f>
      </x:c>
      <x:c r="W303" t="str">
        <x:f>IF(Calc!$Q$303&gt;'Calc'!$B$8,"",IF('Calc'!$E$14=1,0,MAX(Calc!$W$302*(1+IF(Calc!$Q$303&lt;='财富模型'!$E$11*12,'财富模型'!$E$10,'财富模型'!$E$12)/12)-IF('Calc'!$E$14=1,0,IF(Calc!$Q$303&lt;='财富模型'!$E$11*12,'Calc'!$W$14,'Calc'!$Y$14)),0)))</x:f>
      </x:c>
      <x:c r="Y303" t="n">
        <x:v>282</x:v>
      </x:c>
      <x:c r="Z303" t="str">
        <x:f>IF(Calc!$Y$303&gt;'Calc'!$B$8,"",MAX(Calc!$Z$302*(1+'财富模型'!$E$6/12)+('Calc'!$B$5-'财富模型'!$E$5-(IF('Calc'!$E$15=1,'财富模型'!$E$9,'财富模型'!$M$7+IF(Calc!$Y$303&lt;='财富模型'!$E$11*12,'Calc'!$W$15,'Calc'!$Y$15)-(IF('Calc'!$E$15=1,0,MIN(Calc!$AA$302*(1+'财富模型'!$E$20/12)+'Calc'!$B$6,IF(Calc!$Y$303&lt;='财富模型'!$E$11*12,'Calc'!$W$15,'Calc'!$Y$15))))))),0))</x:f>
      </x:c>
      <x:c r="AA303" t="str">
        <x:f>IF(Calc!$Y$303&gt;'Calc'!$B$8,"",MAX(Calc!$AA$302*(1+'财富模型'!$E$20/12)+'Calc'!$B$6-(IF('Calc'!$E$15=1,0,MIN(Calc!$AA$302*(1+'财富模型'!$E$20/12)+'Calc'!$B$6,IF(Calc!$Y$303&lt;='财富模型'!$E$11*12,'Calc'!$W$15,'Calc'!$Y$15)))),0))</x:f>
      </x:c>
      <x:c r="AB303" t="str">
        <x:f>IF(Calc!$Y$303&gt;'Calc'!$B$8,"",IF('Calc'!$E$15=1,'财富模型'!$E$9,'财富模型'!$M$7+IF(Calc!$Y$303&lt;='财富模型'!$E$11*12,'Calc'!$W$15,'Calc'!$Y$15)-(IF('Calc'!$E$15=1,0,MIN(Calc!$AA$302*(1+'财富模型'!$E$20/12)+'Calc'!$B$6,IF(Calc!$Y$303&lt;='财富模型'!$E$11*12,'Calc'!$W$15,'Calc'!$Y$15))))))</x:f>
      </x:c>
      <x:c r="AC303" t="str">
        <x:f>IF(Calc!$Y$303&gt;'Calc'!$B$8,"",IF('Calc'!$E$15=1,0,MIN(Calc!$AA$302*(1+'财富模型'!$E$20/12)+'Calc'!$B$6,IF(Calc!$Y$303&lt;='财富模型'!$E$11*12,'Calc'!$W$15,'Calc'!$Y$15))))</x:f>
      </x:c>
      <x:c r="AD303" t="str">
        <x:f>IF(Calc!$Y$303&gt;'Calc'!$B$8,"",'Calc'!$B$5-'财富模型'!$E$5-(IF('Calc'!$E$15=1,'财富模型'!$E$9,'财富模型'!$M$7+IF(Calc!$Y$303&lt;='财富模型'!$E$11*12,'Calc'!$W$15,'Calc'!$Y$15)-(IF('Calc'!$E$15=1,0,MIN(Calc!$AA$302*(1+'财富模型'!$E$20/12)+'Calc'!$B$6,IF(Calc!$Y$303&lt;='财富模型'!$E$11*12,'Calc'!$W$15,'Calc'!$Y$15)))))))</x:f>
      </x:c>
      <x:c r="AE303" t="str">
        <x:f>IF(Calc!$Y$303&gt;'Calc'!$B$8,"",IF('Calc'!$E$15=1,0,MAX(Calc!$AE$302*(1+IF(Calc!$Y$303&lt;='财富模型'!$E$11*12,'财富模型'!$E$10,'财富模型'!$E$12)/12)-IF('Calc'!$E$15=1,0,IF(Calc!$Y$303&lt;='财富模型'!$E$11*12,'Calc'!$W$15,'Calc'!$Y$15)),0)))</x:f>
      </x:c>
      <x:c r="AG303" t="n">
        <x:v>282</x:v>
      </x:c>
      <x:c r="AH303" t="str">
        <x:f>IF(Calc!$AG$303&gt;'Calc'!$B$8,"",MAX(Calc!$AH$302*(1+'财富模型'!$E$6/12)+('Calc'!$B$5-'财富模型'!$E$5-(IF('Calc'!$E$16=1,'财富模型'!$E$9,'财富模型'!$M$8+IF(Calc!$AG$303&lt;='财富模型'!$E$11*12,'Calc'!$W$16,'Calc'!$Y$16)-(IF('Calc'!$E$16=1,0,MIN(Calc!$AI$302*(1+'财富模型'!$E$20/12)+'Calc'!$B$6,IF(Calc!$AG$303&lt;='财富模型'!$E$11*12,'Calc'!$W$16,'Calc'!$Y$16))))))),0))</x:f>
      </x:c>
      <x:c r="AI303" t="str">
        <x:f>IF(Calc!$AG$303&gt;'Calc'!$B$8,"",MAX(Calc!$AI$302*(1+'财富模型'!$E$20/12)+'Calc'!$B$6-(IF('Calc'!$E$16=1,0,MIN(Calc!$AI$302*(1+'财富模型'!$E$20/12)+'Calc'!$B$6,IF(Calc!$AG$303&lt;='财富模型'!$E$11*12,'Calc'!$W$16,'Calc'!$Y$16)))),0))</x:f>
      </x:c>
      <x:c r="AJ303" t="str">
        <x:f>IF(Calc!$AG$303&gt;'Calc'!$B$8,"",IF('Calc'!$E$16=1,'财富模型'!$E$9,'财富模型'!$M$8+IF(Calc!$AG$303&lt;='财富模型'!$E$11*12,'Calc'!$W$16,'Calc'!$Y$16)-(IF('Calc'!$E$16=1,0,MIN(Calc!$AI$302*(1+'财富模型'!$E$20/12)+'Calc'!$B$6,IF(Calc!$AG$303&lt;='财富模型'!$E$11*12,'Calc'!$W$16,'Calc'!$Y$16))))))</x:f>
      </x:c>
      <x:c r="AK303" t="str">
        <x:f>IF(Calc!$AG$303&gt;'Calc'!$B$8,"",IF('Calc'!$E$16=1,0,MIN(Calc!$AI$302*(1+'财富模型'!$E$20/12)+'Calc'!$B$6,IF(Calc!$AG$303&lt;='财富模型'!$E$11*12,'Calc'!$W$16,'Calc'!$Y$16))))</x:f>
      </x:c>
      <x:c r="AL303" t="str">
        <x:f>IF(Calc!$AG$303&gt;'Calc'!$B$8,"",'Calc'!$B$5-'财富模型'!$E$5-(IF('Calc'!$E$16=1,'财富模型'!$E$9,'财富模型'!$M$8+IF(Calc!$AG$303&lt;='财富模型'!$E$11*12,'Calc'!$W$16,'Calc'!$Y$16)-(IF('Calc'!$E$16=1,0,MIN(Calc!$AI$302*(1+'财富模型'!$E$20/12)+'Calc'!$B$6,IF(Calc!$AG$303&lt;='财富模型'!$E$11*12,'Calc'!$W$16,'Calc'!$Y$16)))))))</x:f>
      </x:c>
      <x:c r="AM303" t="str">
        <x:f>IF(Calc!$AG$303&gt;'Calc'!$B$8,"",IF('Calc'!$E$16=1,0,MAX(Calc!$AM$302*(1+IF(Calc!$AG$303&lt;='财富模型'!$E$11*12,'财富模型'!$E$10,'财富模型'!$E$12)/12)-IF('Calc'!$E$16=1,0,IF(Calc!$AG$303&lt;='财富模型'!$E$11*12,'Calc'!$W$16,'Calc'!$Y$16)),0)))</x:f>
      </x:c>
      <x:c r="AO303" t="n">
        <x:v>282</x:v>
      </x:c>
      <x:c r="AP303" t="str">
        <x:f>IF(Calc!$AO$303&gt;'Calc'!$B$8,"",MAX(Calc!$AP$302*(1+'财富模型'!$E$6/12)+('Calc'!$B$5-'财富模型'!$E$5-(IF('Calc'!$E$17=1,'财富模型'!$E$9,'财富模型'!$M$9+IF(Calc!$AO$303&lt;='财富模型'!$E$11*12,'Calc'!$W$17,'Calc'!$Y$17)-(IF('Calc'!$E$17=1,0,MIN(Calc!$AQ$302*(1+'财富模型'!$E$20/12)+'Calc'!$B$6,IF(Calc!$AO$303&lt;='财富模型'!$E$11*12,'Calc'!$W$17,'Calc'!$Y$17))))))),0))</x:f>
      </x:c>
      <x:c r="AQ303" t="str">
        <x:f>IF(Calc!$AO$303&gt;'Calc'!$B$8,"",MAX(Calc!$AQ$302*(1+'财富模型'!$E$20/12)+'Calc'!$B$6-(IF('Calc'!$E$17=1,0,MIN(Calc!$AQ$302*(1+'财富模型'!$E$20/12)+'Calc'!$B$6,IF(Calc!$AO$303&lt;='财富模型'!$E$11*12,'Calc'!$W$17,'Calc'!$Y$17)))),0))</x:f>
      </x:c>
      <x:c r="AR303" t="str">
        <x:f>IF(Calc!$AO$303&gt;'Calc'!$B$8,"",IF('Calc'!$E$17=1,'财富模型'!$E$9,'财富模型'!$M$9+IF(Calc!$AO$303&lt;='财富模型'!$E$11*12,'Calc'!$W$17,'Calc'!$Y$17)-(IF('Calc'!$E$17=1,0,MIN(Calc!$AQ$302*(1+'财富模型'!$E$20/12)+'Calc'!$B$6,IF(Calc!$AO$303&lt;='财富模型'!$E$11*12,'Calc'!$W$17,'Calc'!$Y$17))))))</x:f>
      </x:c>
      <x:c r="AS303" t="str">
        <x:f>IF(Calc!$AO$303&gt;'Calc'!$B$8,"",IF('Calc'!$E$17=1,0,MIN(Calc!$AQ$302*(1+'财富模型'!$E$20/12)+'Calc'!$B$6,IF(Calc!$AO$303&lt;='财富模型'!$E$11*12,'Calc'!$W$17,'Calc'!$Y$17))))</x:f>
      </x:c>
      <x:c r="AT303" t="str">
        <x:f>IF(Calc!$AO$303&gt;'Calc'!$B$8,"",'Calc'!$B$5-'财富模型'!$E$5-(IF('Calc'!$E$17=1,'财富模型'!$E$9,'财富模型'!$M$9+IF(Calc!$AO$303&lt;='财富模型'!$E$11*12,'Calc'!$W$17,'Calc'!$Y$17)-(IF('Calc'!$E$17=1,0,MIN(Calc!$AQ$302*(1+'财富模型'!$E$20/12)+'Calc'!$B$6,IF(Calc!$AO$303&lt;='财富模型'!$E$11*12,'Calc'!$W$17,'Calc'!$Y$17)))))))</x:f>
      </x:c>
      <x:c r="AU303" t="str">
        <x:f>IF(Calc!$AO$303&gt;'Calc'!$B$8,"",IF('Calc'!$E$17=1,0,MAX(Calc!$AU$302*(1+IF(Calc!$AO$303&lt;='财富模型'!$E$11*12,'财富模型'!$E$10,'财富模型'!$E$12)/12)-IF('Calc'!$E$17=1,0,IF(Calc!$AO$303&lt;='财富模型'!$E$11*12,'Calc'!$W$17,'Calc'!$Y$17)),0)))</x:f>
      </x:c>
    </x:row>
    <x:row r="304">
      <x:c r="A304" t="n">
        <x:v>283</x:v>
      </x:c>
      <x:c r="B304" t="str">
        <x:f>IF(Calc!$A$304&gt;'Calc'!$B$8,"",MAX(Calc!$B$303*(1+'财富模型'!$E$6/12)+('Calc'!$B$5-'财富模型'!$E$5-(IF('Calc'!$E$12=1,'财富模型'!$E$9,'财富模型'!$M$4+IF(Calc!$A$304&lt;='财富模型'!$E$11*12,'Calc'!$W$12,'Calc'!$Y$12)-(IF('Calc'!$E$12=1,0,MIN(Calc!$C$303*(1+'财富模型'!$E$20/12)+'Calc'!$B$6,IF(Calc!$A$304&lt;='财富模型'!$E$11*12,'Calc'!$W$12,'Calc'!$Y$12))))))),0))</x:f>
      </x:c>
      <x:c r="C304" t="str">
        <x:f>IF(Calc!$A$304&gt;'Calc'!$B$8,"",MAX(Calc!$C$303*(1+'财富模型'!$E$20/12)+'Calc'!$B$6-(IF('Calc'!$E$12=1,0,MIN(Calc!$C$303*(1+'财富模型'!$E$20/12)+'Calc'!$B$6,IF(Calc!$A$304&lt;='财富模型'!$E$11*12,'Calc'!$W$12,'Calc'!$Y$12)))),0))</x:f>
      </x:c>
      <x:c r="D304" t="str">
        <x:f>IF(Calc!$A$304&gt;'Calc'!$B$8,"",IF('Calc'!$E$12=1,'财富模型'!$E$9,'财富模型'!$M$4+IF(Calc!$A$304&lt;='财富模型'!$E$11*12,'Calc'!$W$12,'Calc'!$Y$12)-(IF('Calc'!$E$12=1,0,MIN(Calc!$C$303*(1+'财富模型'!$E$20/12)+'Calc'!$B$6,IF(Calc!$A$304&lt;='财富模型'!$E$11*12,'Calc'!$W$12,'Calc'!$Y$12))))))</x:f>
      </x:c>
      <x:c r="E304" t="str">
        <x:f>IF(Calc!$A$304&gt;'Calc'!$B$8,"",IF('Calc'!$E$12=1,0,MIN(Calc!$C$303*(1+'财富模型'!$E$20/12)+'Calc'!$B$6,IF(Calc!$A$304&lt;='财富模型'!$E$11*12,'Calc'!$W$12,'Calc'!$Y$12))))</x:f>
      </x:c>
      <x:c r="F304" t="str">
        <x:f>IF(Calc!$A$304&gt;'Calc'!$B$8,"",'Calc'!$B$5-'财富模型'!$E$5-(IF('Calc'!$E$12=1,'财富模型'!$E$9,'财富模型'!$M$4+IF(Calc!$A$304&lt;='财富模型'!$E$11*12,'Calc'!$W$12,'Calc'!$Y$12)-(IF('Calc'!$E$12=1,0,MIN(Calc!$C$303*(1+'财富模型'!$E$20/12)+'Calc'!$B$6,IF(Calc!$A$304&lt;='财富模型'!$E$11*12,'Calc'!$W$12,'Calc'!$Y$12)))))))</x:f>
      </x:c>
      <x:c r="G304" t="str">
        <x:f>IF(Calc!$A$304&gt;'Calc'!$B$8,"",IF('Calc'!$E$12=1,0,MAX(Calc!$G$303*(1+IF(Calc!$A$304&lt;='财富模型'!$E$11*12,'财富模型'!$E$10,'财富模型'!$E$12)/12)-IF('Calc'!$E$12=1,0,IF(Calc!$A$304&lt;='财富模型'!$E$11*12,'Calc'!$W$12,'Calc'!$Y$12)),0)))</x:f>
      </x:c>
      <x:c r="I304" t="n">
        <x:v>283</x:v>
      </x:c>
      <x:c r="J304" t="str">
        <x:f>IF(Calc!$I$304&gt;'Calc'!$B$8,"",MAX(Calc!$J$303*(1+'财富模型'!$E$6/12)+('Calc'!$B$5-'财富模型'!$E$5-(IF('Calc'!$E$13=1,'财富模型'!$E$9,'财富模型'!$M$5+IF(Calc!$I$304&lt;='财富模型'!$E$11*12,'Calc'!$W$13,'Calc'!$Y$13)-(IF('Calc'!$E$13=1,0,MIN(Calc!$K$303*(1+'财富模型'!$E$20/12)+'Calc'!$B$6,IF(Calc!$I$304&lt;='财富模型'!$E$11*12,'Calc'!$W$13,'Calc'!$Y$13))))))),0))</x:f>
      </x:c>
      <x:c r="K304" t="str">
        <x:f>IF(Calc!$I$304&gt;'Calc'!$B$8,"",MAX(Calc!$K$303*(1+'财富模型'!$E$20/12)+'Calc'!$B$6-(IF('Calc'!$E$13=1,0,MIN(Calc!$K$303*(1+'财富模型'!$E$20/12)+'Calc'!$B$6,IF(Calc!$I$304&lt;='财富模型'!$E$11*12,'Calc'!$W$13,'Calc'!$Y$13)))),0))</x:f>
      </x:c>
      <x:c r="L304" t="str">
        <x:f>IF(Calc!$I$304&gt;'Calc'!$B$8,"",IF('Calc'!$E$13=1,'财富模型'!$E$9,'财富模型'!$M$5+IF(Calc!$I$304&lt;='财富模型'!$E$11*12,'Calc'!$W$13,'Calc'!$Y$13)-(IF('Calc'!$E$13=1,0,MIN(Calc!$K$303*(1+'财富模型'!$E$20/12)+'Calc'!$B$6,IF(Calc!$I$304&lt;='财富模型'!$E$11*12,'Calc'!$W$13,'Calc'!$Y$13))))))</x:f>
      </x:c>
      <x:c r="M304" t="str">
        <x:f>IF(Calc!$I$304&gt;'Calc'!$B$8,"",IF('Calc'!$E$13=1,0,MIN(Calc!$K$303*(1+'财富模型'!$E$20/12)+'Calc'!$B$6,IF(Calc!$I$304&lt;='财富模型'!$E$11*12,'Calc'!$W$13,'Calc'!$Y$13))))</x:f>
      </x:c>
      <x:c r="N304" t="str">
        <x:f>IF(Calc!$I$304&gt;'Calc'!$B$8,"",'Calc'!$B$5-'财富模型'!$E$5-(IF('Calc'!$E$13=1,'财富模型'!$E$9,'财富模型'!$M$5+IF(Calc!$I$304&lt;='财富模型'!$E$11*12,'Calc'!$W$13,'Calc'!$Y$13)-(IF('Calc'!$E$13=1,0,MIN(Calc!$K$303*(1+'财富模型'!$E$20/12)+'Calc'!$B$6,IF(Calc!$I$304&lt;='财富模型'!$E$11*12,'Calc'!$W$13,'Calc'!$Y$13)))))))</x:f>
      </x:c>
      <x:c r="O304" t="str">
        <x:f>IF(Calc!$I$304&gt;'Calc'!$B$8,"",IF('Calc'!$E$13=1,0,MAX(Calc!$O$303*(1+IF(Calc!$I$304&lt;='财富模型'!$E$11*12,'财富模型'!$E$10,'财富模型'!$E$12)/12)-IF('Calc'!$E$13=1,0,IF(Calc!$I$304&lt;='财富模型'!$E$11*12,'Calc'!$W$13,'Calc'!$Y$13)),0)))</x:f>
      </x:c>
      <x:c r="Q304" t="n">
        <x:v>283</x:v>
      </x:c>
      <x:c r="R304" t="str">
        <x:f>IF(Calc!$Q$304&gt;'Calc'!$B$8,"",MAX(Calc!$R$303*(1+'财富模型'!$E$6/12)+('Calc'!$B$5-'财富模型'!$E$5-(IF('Calc'!$E$14=1,'财富模型'!$E$9,'财富模型'!$M$6+IF(Calc!$Q$304&lt;='财富模型'!$E$11*12,'Calc'!$W$14,'Calc'!$Y$14)-(IF('Calc'!$E$14=1,0,MIN(Calc!$S$303*(1+'财富模型'!$E$20/12)+'Calc'!$B$6,IF(Calc!$Q$304&lt;='财富模型'!$E$11*12,'Calc'!$W$14,'Calc'!$Y$14))))))),0))</x:f>
      </x:c>
      <x:c r="S304" t="str">
        <x:f>IF(Calc!$Q$304&gt;'Calc'!$B$8,"",MAX(Calc!$S$303*(1+'财富模型'!$E$20/12)+'Calc'!$B$6-(IF('Calc'!$E$14=1,0,MIN(Calc!$S$303*(1+'财富模型'!$E$20/12)+'Calc'!$B$6,IF(Calc!$Q$304&lt;='财富模型'!$E$11*12,'Calc'!$W$14,'Calc'!$Y$14)))),0))</x:f>
      </x:c>
      <x:c r="T304" t="str">
        <x:f>IF(Calc!$Q$304&gt;'Calc'!$B$8,"",IF('Calc'!$E$14=1,'财富模型'!$E$9,'财富模型'!$M$6+IF(Calc!$Q$304&lt;='财富模型'!$E$11*12,'Calc'!$W$14,'Calc'!$Y$14)-(IF('Calc'!$E$14=1,0,MIN(Calc!$S$303*(1+'财富模型'!$E$20/12)+'Calc'!$B$6,IF(Calc!$Q$304&lt;='财富模型'!$E$11*12,'Calc'!$W$14,'Calc'!$Y$14))))))</x:f>
      </x:c>
      <x:c r="U304" t="str">
        <x:f>IF(Calc!$Q$304&gt;'Calc'!$B$8,"",IF('Calc'!$E$14=1,0,MIN(Calc!$S$303*(1+'财富模型'!$E$20/12)+'Calc'!$B$6,IF(Calc!$Q$304&lt;='财富模型'!$E$11*12,'Calc'!$W$14,'Calc'!$Y$14))))</x:f>
      </x:c>
      <x:c r="V304" t="str">
        <x:f>IF(Calc!$Q$304&gt;'Calc'!$B$8,"",'Calc'!$B$5-'财富模型'!$E$5-(IF('Calc'!$E$14=1,'财富模型'!$E$9,'财富模型'!$M$6+IF(Calc!$Q$304&lt;='财富模型'!$E$11*12,'Calc'!$W$14,'Calc'!$Y$14)-(IF('Calc'!$E$14=1,0,MIN(Calc!$S$303*(1+'财富模型'!$E$20/12)+'Calc'!$B$6,IF(Calc!$Q$304&lt;='财富模型'!$E$11*12,'Calc'!$W$14,'Calc'!$Y$14)))))))</x:f>
      </x:c>
      <x:c r="W304" t="str">
        <x:f>IF(Calc!$Q$304&gt;'Calc'!$B$8,"",IF('Calc'!$E$14=1,0,MAX(Calc!$W$303*(1+IF(Calc!$Q$304&lt;='财富模型'!$E$11*12,'财富模型'!$E$10,'财富模型'!$E$12)/12)-IF('Calc'!$E$14=1,0,IF(Calc!$Q$304&lt;='财富模型'!$E$11*12,'Calc'!$W$14,'Calc'!$Y$14)),0)))</x:f>
      </x:c>
      <x:c r="Y304" t="n">
        <x:v>283</x:v>
      </x:c>
      <x:c r="Z304" t="str">
        <x:f>IF(Calc!$Y$304&gt;'Calc'!$B$8,"",MAX(Calc!$Z$303*(1+'财富模型'!$E$6/12)+('Calc'!$B$5-'财富模型'!$E$5-(IF('Calc'!$E$15=1,'财富模型'!$E$9,'财富模型'!$M$7+IF(Calc!$Y$304&lt;='财富模型'!$E$11*12,'Calc'!$W$15,'Calc'!$Y$15)-(IF('Calc'!$E$15=1,0,MIN(Calc!$AA$303*(1+'财富模型'!$E$20/12)+'Calc'!$B$6,IF(Calc!$Y$304&lt;='财富模型'!$E$11*12,'Calc'!$W$15,'Calc'!$Y$15))))))),0))</x:f>
      </x:c>
      <x:c r="AA304" t="str">
        <x:f>IF(Calc!$Y$304&gt;'Calc'!$B$8,"",MAX(Calc!$AA$303*(1+'财富模型'!$E$20/12)+'Calc'!$B$6-(IF('Calc'!$E$15=1,0,MIN(Calc!$AA$303*(1+'财富模型'!$E$20/12)+'Calc'!$B$6,IF(Calc!$Y$304&lt;='财富模型'!$E$11*12,'Calc'!$W$15,'Calc'!$Y$15)))),0))</x:f>
      </x:c>
      <x:c r="AB304" t="str">
        <x:f>IF(Calc!$Y$304&gt;'Calc'!$B$8,"",IF('Calc'!$E$15=1,'财富模型'!$E$9,'财富模型'!$M$7+IF(Calc!$Y$304&lt;='财富模型'!$E$11*12,'Calc'!$W$15,'Calc'!$Y$15)-(IF('Calc'!$E$15=1,0,MIN(Calc!$AA$303*(1+'财富模型'!$E$20/12)+'Calc'!$B$6,IF(Calc!$Y$304&lt;='财富模型'!$E$11*12,'Calc'!$W$15,'Calc'!$Y$15))))))</x:f>
      </x:c>
      <x:c r="AC304" t="str">
        <x:f>IF(Calc!$Y$304&gt;'Calc'!$B$8,"",IF('Calc'!$E$15=1,0,MIN(Calc!$AA$303*(1+'财富模型'!$E$20/12)+'Calc'!$B$6,IF(Calc!$Y$304&lt;='财富模型'!$E$11*12,'Calc'!$W$15,'Calc'!$Y$15))))</x:f>
      </x:c>
      <x:c r="AD304" t="str">
        <x:f>IF(Calc!$Y$304&gt;'Calc'!$B$8,"",'Calc'!$B$5-'财富模型'!$E$5-(IF('Calc'!$E$15=1,'财富模型'!$E$9,'财富模型'!$M$7+IF(Calc!$Y$304&lt;='财富模型'!$E$11*12,'Calc'!$W$15,'Calc'!$Y$15)-(IF('Calc'!$E$15=1,0,MIN(Calc!$AA$303*(1+'财富模型'!$E$20/12)+'Calc'!$B$6,IF(Calc!$Y$304&lt;='财富模型'!$E$11*12,'Calc'!$W$15,'Calc'!$Y$15)))))))</x:f>
      </x:c>
      <x:c r="AE304" t="str">
        <x:f>IF(Calc!$Y$304&gt;'Calc'!$B$8,"",IF('Calc'!$E$15=1,0,MAX(Calc!$AE$303*(1+IF(Calc!$Y$304&lt;='财富模型'!$E$11*12,'财富模型'!$E$10,'财富模型'!$E$12)/12)-IF('Calc'!$E$15=1,0,IF(Calc!$Y$304&lt;='财富模型'!$E$11*12,'Calc'!$W$15,'Calc'!$Y$15)),0)))</x:f>
      </x:c>
      <x:c r="AG304" t="n">
        <x:v>283</x:v>
      </x:c>
      <x:c r="AH304" t="str">
        <x:f>IF(Calc!$AG$304&gt;'Calc'!$B$8,"",MAX(Calc!$AH$303*(1+'财富模型'!$E$6/12)+('Calc'!$B$5-'财富模型'!$E$5-(IF('Calc'!$E$16=1,'财富模型'!$E$9,'财富模型'!$M$8+IF(Calc!$AG$304&lt;='财富模型'!$E$11*12,'Calc'!$W$16,'Calc'!$Y$16)-(IF('Calc'!$E$16=1,0,MIN(Calc!$AI$303*(1+'财富模型'!$E$20/12)+'Calc'!$B$6,IF(Calc!$AG$304&lt;='财富模型'!$E$11*12,'Calc'!$W$16,'Calc'!$Y$16))))))),0))</x:f>
      </x:c>
      <x:c r="AI304" t="str">
        <x:f>IF(Calc!$AG$304&gt;'Calc'!$B$8,"",MAX(Calc!$AI$303*(1+'财富模型'!$E$20/12)+'Calc'!$B$6-(IF('Calc'!$E$16=1,0,MIN(Calc!$AI$303*(1+'财富模型'!$E$20/12)+'Calc'!$B$6,IF(Calc!$AG$304&lt;='财富模型'!$E$11*12,'Calc'!$W$16,'Calc'!$Y$16)))),0))</x:f>
      </x:c>
      <x:c r="AJ304" t="str">
        <x:f>IF(Calc!$AG$304&gt;'Calc'!$B$8,"",IF('Calc'!$E$16=1,'财富模型'!$E$9,'财富模型'!$M$8+IF(Calc!$AG$304&lt;='财富模型'!$E$11*12,'Calc'!$W$16,'Calc'!$Y$16)-(IF('Calc'!$E$16=1,0,MIN(Calc!$AI$303*(1+'财富模型'!$E$20/12)+'Calc'!$B$6,IF(Calc!$AG$304&lt;='财富模型'!$E$11*12,'Calc'!$W$16,'Calc'!$Y$16))))))</x:f>
      </x:c>
      <x:c r="AK304" t="str">
        <x:f>IF(Calc!$AG$304&gt;'Calc'!$B$8,"",IF('Calc'!$E$16=1,0,MIN(Calc!$AI$303*(1+'财富模型'!$E$20/12)+'Calc'!$B$6,IF(Calc!$AG$304&lt;='财富模型'!$E$11*12,'Calc'!$W$16,'Calc'!$Y$16))))</x:f>
      </x:c>
      <x:c r="AL304" t="str">
        <x:f>IF(Calc!$AG$304&gt;'Calc'!$B$8,"",'Calc'!$B$5-'财富模型'!$E$5-(IF('Calc'!$E$16=1,'财富模型'!$E$9,'财富模型'!$M$8+IF(Calc!$AG$304&lt;='财富模型'!$E$11*12,'Calc'!$W$16,'Calc'!$Y$16)-(IF('Calc'!$E$16=1,0,MIN(Calc!$AI$303*(1+'财富模型'!$E$20/12)+'Calc'!$B$6,IF(Calc!$AG$304&lt;='财富模型'!$E$11*12,'Calc'!$W$16,'Calc'!$Y$16)))))))</x:f>
      </x:c>
      <x:c r="AM304" t="str">
        <x:f>IF(Calc!$AG$304&gt;'Calc'!$B$8,"",IF('Calc'!$E$16=1,0,MAX(Calc!$AM$303*(1+IF(Calc!$AG$304&lt;='财富模型'!$E$11*12,'财富模型'!$E$10,'财富模型'!$E$12)/12)-IF('Calc'!$E$16=1,0,IF(Calc!$AG$304&lt;='财富模型'!$E$11*12,'Calc'!$W$16,'Calc'!$Y$16)),0)))</x:f>
      </x:c>
      <x:c r="AO304" t="n">
        <x:v>283</x:v>
      </x:c>
      <x:c r="AP304" t="str">
        <x:f>IF(Calc!$AO$304&gt;'Calc'!$B$8,"",MAX(Calc!$AP$303*(1+'财富模型'!$E$6/12)+('Calc'!$B$5-'财富模型'!$E$5-(IF('Calc'!$E$17=1,'财富模型'!$E$9,'财富模型'!$M$9+IF(Calc!$AO$304&lt;='财富模型'!$E$11*12,'Calc'!$W$17,'Calc'!$Y$17)-(IF('Calc'!$E$17=1,0,MIN(Calc!$AQ$303*(1+'财富模型'!$E$20/12)+'Calc'!$B$6,IF(Calc!$AO$304&lt;='财富模型'!$E$11*12,'Calc'!$W$17,'Calc'!$Y$17))))))),0))</x:f>
      </x:c>
      <x:c r="AQ304" t="str">
        <x:f>IF(Calc!$AO$304&gt;'Calc'!$B$8,"",MAX(Calc!$AQ$303*(1+'财富模型'!$E$20/12)+'Calc'!$B$6-(IF('Calc'!$E$17=1,0,MIN(Calc!$AQ$303*(1+'财富模型'!$E$20/12)+'Calc'!$B$6,IF(Calc!$AO$304&lt;='财富模型'!$E$11*12,'Calc'!$W$17,'Calc'!$Y$17)))),0))</x:f>
      </x:c>
      <x:c r="AR304" t="str">
        <x:f>IF(Calc!$AO$304&gt;'Calc'!$B$8,"",IF('Calc'!$E$17=1,'财富模型'!$E$9,'财富模型'!$M$9+IF(Calc!$AO$304&lt;='财富模型'!$E$11*12,'Calc'!$W$17,'Calc'!$Y$17)-(IF('Calc'!$E$17=1,0,MIN(Calc!$AQ$303*(1+'财富模型'!$E$20/12)+'Calc'!$B$6,IF(Calc!$AO$304&lt;='财富模型'!$E$11*12,'Calc'!$W$17,'Calc'!$Y$17))))))</x:f>
      </x:c>
      <x:c r="AS304" t="str">
        <x:f>IF(Calc!$AO$304&gt;'Calc'!$B$8,"",IF('Calc'!$E$17=1,0,MIN(Calc!$AQ$303*(1+'财富模型'!$E$20/12)+'Calc'!$B$6,IF(Calc!$AO$304&lt;='财富模型'!$E$11*12,'Calc'!$W$17,'Calc'!$Y$17))))</x:f>
      </x:c>
      <x:c r="AT304" t="str">
        <x:f>IF(Calc!$AO$304&gt;'Calc'!$B$8,"",'Calc'!$B$5-'财富模型'!$E$5-(IF('Calc'!$E$17=1,'财富模型'!$E$9,'财富模型'!$M$9+IF(Calc!$AO$304&lt;='财富模型'!$E$11*12,'Calc'!$W$17,'Calc'!$Y$17)-(IF('Calc'!$E$17=1,0,MIN(Calc!$AQ$303*(1+'财富模型'!$E$20/12)+'Calc'!$B$6,IF(Calc!$AO$304&lt;='财富模型'!$E$11*12,'Calc'!$W$17,'Calc'!$Y$17)))))))</x:f>
      </x:c>
      <x:c r="AU304" t="str">
        <x:f>IF(Calc!$AO$304&gt;'Calc'!$B$8,"",IF('Calc'!$E$17=1,0,MAX(Calc!$AU$303*(1+IF(Calc!$AO$304&lt;='财富模型'!$E$11*12,'财富模型'!$E$10,'财富模型'!$E$12)/12)-IF('Calc'!$E$17=1,0,IF(Calc!$AO$304&lt;='财富模型'!$E$11*12,'Calc'!$W$17,'Calc'!$Y$17)),0)))</x:f>
      </x:c>
    </x:row>
    <x:row r="305">
      <x:c r="A305" t="n">
        <x:v>284</x:v>
      </x:c>
      <x:c r="B305" t="str">
        <x:f>IF(Calc!$A$305&gt;'Calc'!$B$8,"",MAX(Calc!$B$304*(1+'财富模型'!$E$6/12)+('Calc'!$B$5-'财富模型'!$E$5-(IF('Calc'!$E$12=1,'财富模型'!$E$9,'财富模型'!$M$4+IF(Calc!$A$305&lt;='财富模型'!$E$11*12,'Calc'!$W$12,'Calc'!$Y$12)-(IF('Calc'!$E$12=1,0,MIN(Calc!$C$304*(1+'财富模型'!$E$20/12)+'Calc'!$B$6,IF(Calc!$A$305&lt;='财富模型'!$E$11*12,'Calc'!$W$12,'Calc'!$Y$12))))))),0))</x:f>
      </x:c>
      <x:c r="C305" t="str">
        <x:f>IF(Calc!$A$305&gt;'Calc'!$B$8,"",MAX(Calc!$C$304*(1+'财富模型'!$E$20/12)+'Calc'!$B$6-(IF('Calc'!$E$12=1,0,MIN(Calc!$C$304*(1+'财富模型'!$E$20/12)+'Calc'!$B$6,IF(Calc!$A$305&lt;='财富模型'!$E$11*12,'Calc'!$W$12,'Calc'!$Y$12)))),0))</x:f>
      </x:c>
      <x:c r="D305" t="str">
        <x:f>IF(Calc!$A$305&gt;'Calc'!$B$8,"",IF('Calc'!$E$12=1,'财富模型'!$E$9,'财富模型'!$M$4+IF(Calc!$A$305&lt;='财富模型'!$E$11*12,'Calc'!$W$12,'Calc'!$Y$12)-(IF('Calc'!$E$12=1,0,MIN(Calc!$C$304*(1+'财富模型'!$E$20/12)+'Calc'!$B$6,IF(Calc!$A$305&lt;='财富模型'!$E$11*12,'Calc'!$W$12,'Calc'!$Y$12))))))</x:f>
      </x:c>
      <x:c r="E305" t="str">
        <x:f>IF(Calc!$A$305&gt;'Calc'!$B$8,"",IF('Calc'!$E$12=1,0,MIN(Calc!$C$304*(1+'财富模型'!$E$20/12)+'Calc'!$B$6,IF(Calc!$A$305&lt;='财富模型'!$E$11*12,'Calc'!$W$12,'Calc'!$Y$12))))</x:f>
      </x:c>
      <x:c r="F305" t="str">
        <x:f>IF(Calc!$A$305&gt;'Calc'!$B$8,"",'Calc'!$B$5-'财富模型'!$E$5-(IF('Calc'!$E$12=1,'财富模型'!$E$9,'财富模型'!$M$4+IF(Calc!$A$305&lt;='财富模型'!$E$11*12,'Calc'!$W$12,'Calc'!$Y$12)-(IF('Calc'!$E$12=1,0,MIN(Calc!$C$304*(1+'财富模型'!$E$20/12)+'Calc'!$B$6,IF(Calc!$A$305&lt;='财富模型'!$E$11*12,'Calc'!$W$12,'Calc'!$Y$12)))))))</x:f>
      </x:c>
      <x:c r="G305" t="str">
        <x:f>IF(Calc!$A$305&gt;'Calc'!$B$8,"",IF('Calc'!$E$12=1,0,MAX(Calc!$G$304*(1+IF(Calc!$A$305&lt;='财富模型'!$E$11*12,'财富模型'!$E$10,'财富模型'!$E$12)/12)-IF('Calc'!$E$12=1,0,IF(Calc!$A$305&lt;='财富模型'!$E$11*12,'Calc'!$W$12,'Calc'!$Y$12)),0)))</x:f>
      </x:c>
      <x:c r="I305" t="n">
        <x:v>284</x:v>
      </x:c>
      <x:c r="J305" t="str">
        <x:f>IF(Calc!$I$305&gt;'Calc'!$B$8,"",MAX(Calc!$J$304*(1+'财富模型'!$E$6/12)+('Calc'!$B$5-'财富模型'!$E$5-(IF('Calc'!$E$13=1,'财富模型'!$E$9,'财富模型'!$M$5+IF(Calc!$I$305&lt;='财富模型'!$E$11*12,'Calc'!$W$13,'Calc'!$Y$13)-(IF('Calc'!$E$13=1,0,MIN(Calc!$K$304*(1+'财富模型'!$E$20/12)+'Calc'!$B$6,IF(Calc!$I$305&lt;='财富模型'!$E$11*12,'Calc'!$W$13,'Calc'!$Y$13))))))),0))</x:f>
      </x:c>
      <x:c r="K305" t="str">
        <x:f>IF(Calc!$I$305&gt;'Calc'!$B$8,"",MAX(Calc!$K$304*(1+'财富模型'!$E$20/12)+'Calc'!$B$6-(IF('Calc'!$E$13=1,0,MIN(Calc!$K$304*(1+'财富模型'!$E$20/12)+'Calc'!$B$6,IF(Calc!$I$305&lt;='财富模型'!$E$11*12,'Calc'!$W$13,'Calc'!$Y$13)))),0))</x:f>
      </x:c>
      <x:c r="L305" t="str">
        <x:f>IF(Calc!$I$305&gt;'Calc'!$B$8,"",IF('Calc'!$E$13=1,'财富模型'!$E$9,'财富模型'!$M$5+IF(Calc!$I$305&lt;='财富模型'!$E$11*12,'Calc'!$W$13,'Calc'!$Y$13)-(IF('Calc'!$E$13=1,0,MIN(Calc!$K$304*(1+'财富模型'!$E$20/12)+'Calc'!$B$6,IF(Calc!$I$305&lt;='财富模型'!$E$11*12,'Calc'!$W$13,'Calc'!$Y$13))))))</x:f>
      </x:c>
      <x:c r="M305" t="str">
        <x:f>IF(Calc!$I$305&gt;'Calc'!$B$8,"",IF('Calc'!$E$13=1,0,MIN(Calc!$K$304*(1+'财富模型'!$E$20/12)+'Calc'!$B$6,IF(Calc!$I$305&lt;='财富模型'!$E$11*12,'Calc'!$W$13,'Calc'!$Y$13))))</x:f>
      </x:c>
      <x:c r="N305" t="str">
        <x:f>IF(Calc!$I$305&gt;'Calc'!$B$8,"",'Calc'!$B$5-'财富模型'!$E$5-(IF('Calc'!$E$13=1,'财富模型'!$E$9,'财富模型'!$M$5+IF(Calc!$I$305&lt;='财富模型'!$E$11*12,'Calc'!$W$13,'Calc'!$Y$13)-(IF('Calc'!$E$13=1,0,MIN(Calc!$K$304*(1+'财富模型'!$E$20/12)+'Calc'!$B$6,IF(Calc!$I$305&lt;='财富模型'!$E$11*12,'Calc'!$W$13,'Calc'!$Y$13)))))))</x:f>
      </x:c>
      <x:c r="O305" t="str">
        <x:f>IF(Calc!$I$305&gt;'Calc'!$B$8,"",IF('Calc'!$E$13=1,0,MAX(Calc!$O$304*(1+IF(Calc!$I$305&lt;='财富模型'!$E$11*12,'财富模型'!$E$10,'财富模型'!$E$12)/12)-IF('Calc'!$E$13=1,0,IF(Calc!$I$305&lt;='财富模型'!$E$11*12,'Calc'!$W$13,'Calc'!$Y$13)),0)))</x:f>
      </x:c>
      <x:c r="Q305" t="n">
        <x:v>284</x:v>
      </x:c>
      <x:c r="R305" t="str">
        <x:f>IF(Calc!$Q$305&gt;'Calc'!$B$8,"",MAX(Calc!$R$304*(1+'财富模型'!$E$6/12)+('Calc'!$B$5-'财富模型'!$E$5-(IF('Calc'!$E$14=1,'财富模型'!$E$9,'财富模型'!$M$6+IF(Calc!$Q$305&lt;='财富模型'!$E$11*12,'Calc'!$W$14,'Calc'!$Y$14)-(IF('Calc'!$E$14=1,0,MIN(Calc!$S$304*(1+'财富模型'!$E$20/12)+'Calc'!$B$6,IF(Calc!$Q$305&lt;='财富模型'!$E$11*12,'Calc'!$W$14,'Calc'!$Y$14))))))),0))</x:f>
      </x:c>
      <x:c r="S305" t="str">
        <x:f>IF(Calc!$Q$305&gt;'Calc'!$B$8,"",MAX(Calc!$S$304*(1+'财富模型'!$E$20/12)+'Calc'!$B$6-(IF('Calc'!$E$14=1,0,MIN(Calc!$S$304*(1+'财富模型'!$E$20/12)+'Calc'!$B$6,IF(Calc!$Q$305&lt;='财富模型'!$E$11*12,'Calc'!$W$14,'Calc'!$Y$14)))),0))</x:f>
      </x:c>
      <x:c r="T305" t="str">
        <x:f>IF(Calc!$Q$305&gt;'Calc'!$B$8,"",IF('Calc'!$E$14=1,'财富模型'!$E$9,'财富模型'!$M$6+IF(Calc!$Q$305&lt;='财富模型'!$E$11*12,'Calc'!$W$14,'Calc'!$Y$14)-(IF('Calc'!$E$14=1,0,MIN(Calc!$S$304*(1+'财富模型'!$E$20/12)+'Calc'!$B$6,IF(Calc!$Q$305&lt;='财富模型'!$E$11*12,'Calc'!$W$14,'Calc'!$Y$14))))))</x:f>
      </x:c>
      <x:c r="U305" t="str">
        <x:f>IF(Calc!$Q$305&gt;'Calc'!$B$8,"",IF('Calc'!$E$14=1,0,MIN(Calc!$S$304*(1+'财富模型'!$E$20/12)+'Calc'!$B$6,IF(Calc!$Q$305&lt;='财富模型'!$E$11*12,'Calc'!$W$14,'Calc'!$Y$14))))</x:f>
      </x:c>
      <x:c r="V305" t="str">
        <x:f>IF(Calc!$Q$305&gt;'Calc'!$B$8,"",'Calc'!$B$5-'财富模型'!$E$5-(IF('Calc'!$E$14=1,'财富模型'!$E$9,'财富模型'!$M$6+IF(Calc!$Q$305&lt;='财富模型'!$E$11*12,'Calc'!$W$14,'Calc'!$Y$14)-(IF('Calc'!$E$14=1,0,MIN(Calc!$S$304*(1+'财富模型'!$E$20/12)+'Calc'!$B$6,IF(Calc!$Q$305&lt;='财富模型'!$E$11*12,'Calc'!$W$14,'Calc'!$Y$14)))))))</x:f>
      </x:c>
      <x:c r="W305" t="str">
        <x:f>IF(Calc!$Q$305&gt;'Calc'!$B$8,"",IF('Calc'!$E$14=1,0,MAX(Calc!$W$304*(1+IF(Calc!$Q$305&lt;='财富模型'!$E$11*12,'财富模型'!$E$10,'财富模型'!$E$12)/12)-IF('Calc'!$E$14=1,0,IF(Calc!$Q$305&lt;='财富模型'!$E$11*12,'Calc'!$W$14,'Calc'!$Y$14)),0)))</x:f>
      </x:c>
      <x:c r="Y305" t="n">
        <x:v>284</x:v>
      </x:c>
      <x:c r="Z305" t="str">
        <x:f>IF(Calc!$Y$305&gt;'Calc'!$B$8,"",MAX(Calc!$Z$304*(1+'财富模型'!$E$6/12)+('Calc'!$B$5-'财富模型'!$E$5-(IF('Calc'!$E$15=1,'财富模型'!$E$9,'财富模型'!$M$7+IF(Calc!$Y$305&lt;='财富模型'!$E$11*12,'Calc'!$W$15,'Calc'!$Y$15)-(IF('Calc'!$E$15=1,0,MIN(Calc!$AA$304*(1+'财富模型'!$E$20/12)+'Calc'!$B$6,IF(Calc!$Y$305&lt;='财富模型'!$E$11*12,'Calc'!$W$15,'Calc'!$Y$15))))))),0))</x:f>
      </x:c>
      <x:c r="AA305" t="str">
        <x:f>IF(Calc!$Y$305&gt;'Calc'!$B$8,"",MAX(Calc!$AA$304*(1+'财富模型'!$E$20/12)+'Calc'!$B$6-(IF('Calc'!$E$15=1,0,MIN(Calc!$AA$304*(1+'财富模型'!$E$20/12)+'Calc'!$B$6,IF(Calc!$Y$305&lt;='财富模型'!$E$11*12,'Calc'!$W$15,'Calc'!$Y$15)))),0))</x:f>
      </x:c>
      <x:c r="AB305" t="str">
        <x:f>IF(Calc!$Y$305&gt;'Calc'!$B$8,"",IF('Calc'!$E$15=1,'财富模型'!$E$9,'财富模型'!$M$7+IF(Calc!$Y$305&lt;='财富模型'!$E$11*12,'Calc'!$W$15,'Calc'!$Y$15)-(IF('Calc'!$E$15=1,0,MIN(Calc!$AA$304*(1+'财富模型'!$E$20/12)+'Calc'!$B$6,IF(Calc!$Y$305&lt;='财富模型'!$E$11*12,'Calc'!$W$15,'Calc'!$Y$15))))))</x:f>
      </x:c>
      <x:c r="AC305" t="str">
        <x:f>IF(Calc!$Y$305&gt;'Calc'!$B$8,"",IF('Calc'!$E$15=1,0,MIN(Calc!$AA$304*(1+'财富模型'!$E$20/12)+'Calc'!$B$6,IF(Calc!$Y$305&lt;='财富模型'!$E$11*12,'Calc'!$W$15,'Calc'!$Y$15))))</x:f>
      </x:c>
      <x:c r="AD305" t="str">
        <x:f>IF(Calc!$Y$305&gt;'Calc'!$B$8,"",'Calc'!$B$5-'财富模型'!$E$5-(IF('Calc'!$E$15=1,'财富模型'!$E$9,'财富模型'!$M$7+IF(Calc!$Y$305&lt;='财富模型'!$E$11*12,'Calc'!$W$15,'Calc'!$Y$15)-(IF('Calc'!$E$15=1,0,MIN(Calc!$AA$304*(1+'财富模型'!$E$20/12)+'Calc'!$B$6,IF(Calc!$Y$305&lt;='财富模型'!$E$11*12,'Calc'!$W$15,'Calc'!$Y$15)))))))</x:f>
      </x:c>
      <x:c r="AE305" t="str">
        <x:f>IF(Calc!$Y$305&gt;'Calc'!$B$8,"",IF('Calc'!$E$15=1,0,MAX(Calc!$AE$304*(1+IF(Calc!$Y$305&lt;='财富模型'!$E$11*12,'财富模型'!$E$10,'财富模型'!$E$12)/12)-IF('Calc'!$E$15=1,0,IF(Calc!$Y$305&lt;='财富模型'!$E$11*12,'Calc'!$W$15,'Calc'!$Y$15)),0)))</x:f>
      </x:c>
      <x:c r="AG305" t="n">
        <x:v>284</x:v>
      </x:c>
      <x:c r="AH305" t="str">
        <x:f>IF(Calc!$AG$305&gt;'Calc'!$B$8,"",MAX(Calc!$AH$304*(1+'财富模型'!$E$6/12)+('Calc'!$B$5-'财富模型'!$E$5-(IF('Calc'!$E$16=1,'财富模型'!$E$9,'财富模型'!$M$8+IF(Calc!$AG$305&lt;='财富模型'!$E$11*12,'Calc'!$W$16,'Calc'!$Y$16)-(IF('Calc'!$E$16=1,0,MIN(Calc!$AI$304*(1+'财富模型'!$E$20/12)+'Calc'!$B$6,IF(Calc!$AG$305&lt;='财富模型'!$E$11*12,'Calc'!$W$16,'Calc'!$Y$16))))))),0))</x:f>
      </x:c>
      <x:c r="AI305" t="str">
        <x:f>IF(Calc!$AG$305&gt;'Calc'!$B$8,"",MAX(Calc!$AI$304*(1+'财富模型'!$E$20/12)+'Calc'!$B$6-(IF('Calc'!$E$16=1,0,MIN(Calc!$AI$304*(1+'财富模型'!$E$20/12)+'Calc'!$B$6,IF(Calc!$AG$305&lt;='财富模型'!$E$11*12,'Calc'!$W$16,'Calc'!$Y$16)))),0))</x:f>
      </x:c>
      <x:c r="AJ305" t="str">
        <x:f>IF(Calc!$AG$305&gt;'Calc'!$B$8,"",IF('Calc'!$E$16=1,'财富模型'!$E$9,'财富模型'!$M$8+IF(Calc!$AG$305&lt;='财富模型'!$E$11*12,'Calc'!$W$16,'Calc'!$Y$16)-(IF('Calc'!$E$16=1,0,MIN(Calc!$AI$304*(1+'财富模型'!$E$20/12)+'Calc'!$B$6,IF(Calc!$AG$305&lt;='财富模型'!$E$11*12,'Calc'!$W$16,'Calc'!$Y$16))))))</x:f>
      </x:c>
      <x:c r="AK305" t="str">
        <x:f>IF(Calc!$AG$305&gt;'Calc'!$B$8,"",IF('Calc'!$E$16=1,0,MIN(Calc!$AI$304*(1+'财富模型'!$E$20/12)+'Calc'!$B$6,IF(Calc!$AG$305&lt;='财富模型'!$E$11*12,'Calc'!$W$16,'Calc'!$Y$16))))</x:f>
      </x:c>
      <x:c r="AL305" t="str">
        <x:f>IF(Calc!$AG$305&gt;'Calc'!$B$8,"",'Calc'!$B$5-'财富模型'!$E$5-(IF('Calc'!$E$16=1,'财富模型'!$E$9,'财富模型'!$M$8+IF(Calc!$AG$305&lt;='财富模型'!$E$11*12,'Calc'!$W$16,'Calc'!$Y$16)-(IF('Calc'!$E$16=1,0,MIN(Calc!$AI$304*(1+'财富模型'!$E$20/12)+'Calc'!$B$6,IF(Calc!$AG$305&lt;='财富模型'!$E$11*12,'Calc'!$W$16,'Calc'!$Y$16)))))))</x:f>
      </x:c>
      <x:c r="AM305" t="str">
        <x:f>IF(Calc!$AG$305&gt;'Calc'!$B$8,"",IF('Calc'!$E$16=1,0,MAX(Calc!$AM$304*(1+IF(Calc!$AG$305&lt;='财富模型'!$E$11*12,'财富模型'!$E$10,'财富模型'!$E$12)/12)-IF('Calc'!$E$16=1,0,IF(Calc!$AG$305&lt;='财富模型'!$E$11*12,'Calc'!$W$16,'Calc'!$Y$16)),0)))</x:f>
      </x:c>
      <x:c r="AO305" t="n">
        <x:v>284</x:v>
      </x:c>
      <x:c r="AP305" t="str">
        <x:f>IF(Calc!$AO$305&gt;'Calc'!$B$8,"",MAX(Calc!$AP$304*(1+'财富模型'!$E$6/12)+('Calc'!$B$5-'财富模型'!$E$5-(IF('Calc'!$E$17=1,'财富模型'!$E$9,'财富模型'!$M$9+IF(Calc!$AO$305&lt;='财富模型'!$E$11*12,'Calc'!$W$17,'Calc'!$Y$17)-(IF('Calc'!$E$17=1,0,MIN(Calc!$AQ$304*(1+'财富模型'!$E$20/12)+'Calc'!$B$6,IF(Calc!$AO$305&lt;='财富模型'!$E$11*12,'Calc'!$W$17,'Calc'!$Y$17))))))),0))</x:f>
      </x:c>
      <x:c r="AQ305" t="str">
        <x:f>IF(Calc!$AO$305&gt;'Calc'!$B$8,"",MAX(Calc!$AQ$304*(1+'财富模型'!$E$20/12)+'Calc'!$B$6-(IF('Calc'!$E$17=1,0,MIN(Calc!$AQ$304*(1+'财富模型'!$E$20/12)+'Calc'!$B$6,IF(Calc!$AO$305&lt;='财富模型'!$E$11*12,'Calc'!$W$17,'Calc'!$Y$17)))),0))</x:f>
      </x:c>
      <x:c r="AR305" t="str">
        <x:f>IF(Calc!$AO$305&gt;'Calc'!$B$8,"",IF('Calc'!$E$17=1,'财富模型'!$E$9,'财富模型'!$M$9+IF(Calc!$AO$305&lt;='财富模型'!$E$11*12,'Calc'!$W$17,'Calc'!$Y$17)-(IF('Calc'!$E$17=1,0,MIN(Calc!$AQ$304*(1+'财富模型'!$E$20/12)+'Calc'!$B$6,IF(Calc!$AO$305&lt;='财富模型'!$E$11*12,'Calc'!$W$17,'Calc'!$Y$17))))))</x:f>
      </x:c>
      <x:c r="AS305" t="str">
        <x:f>IF(Calc!$AO$305&gt;'Calc'!$B$8,"",IF('Calc'!$E$17=1,0,MIN(Calc!$AQ$304*(1+'财富模型'!$E$20/12)+'Calc'!$B$6,IF(Calc!$AO$305&lt;='财富模型'!$E$11*12,'Calc'!$W$17,'Calc'!$Y$17))))</x:f>
      </x:c>
      <x:c r="AT305" t="str">
        <x:f>IF(Calc!$AO$305&gt;'Calc'!$B$8,"",'Calc'!$B$5-'财富模型'!$E$5-(IF('Calc'!$E$17=1,'财富模型'!$E$9,'财富模型'!$M$9+IF(Calc!$AO$305&lt;='财富模型'!$E$11*12,'Calc'!$W$17,'Calc'!$Y$17)-(IF('Calc'!$E$17=1,0,MIN(Calc!$AQ$304*(1+'财富模型'!$E$20/12)+'Calc'!$B$6,IF(Calc!$AO$305&lt;='财富模型'!$E$11*12,'Calc'!$W$17,'Calc'!$Y$17)))))))</x:f>
      </x:c>
      <x:c r="AU305" t="str">
        <x:f>IF(Calc!$AO$305&gt;'Calc'!$B$8,"",IF('Calc'!$E$17=1,0,MAX(Calc!$AU$304*(1+IF(Calc!$AO$305&lt;='财富模型'!$E$11*12,'财富模型'!$E$10,'财富模型'!$E$12)/12)-IF('Calc'!$E$17=1,0,IF(Calc!$AO$305&lt;='财富模型'!$E$11*12,'Calc'!$W$17,'Calc'!$Y$17)),0)))</x:f>
      </x:c>
    </x:row>
    <x:row r="306">
      <x:c r="A306" t="n">
        <x:v>285</x:v>
      </x:c>
      <x:c r="B306" t="str">
        <x:f>IF(Calc!$A$306&gt;'Calc'!$B$8,"",MAX(Calc!$B$305*(1+'财富模型'!$E$6/12)+('Calc'!$B$5-'财富模型'!$E$5-(IF('Calc'!$E$12=1,'财富模型'!$E$9,'财富模型'!$M$4+IF(Calc!$A$306&lt;='财富模型'!$E$11*12,'Calc'!$W$12,'Calc'!$Y$12)-(IF('Calc'!$E$12=1,0,MIN(Calc!$C$305*(1+'财富模型'!$E$20/12)+'Calc'!$B$6,IF(Calc!$A$306&lt;='财富模型'!$E$11*12,'Calc'!$W$12,'Calc'!$Y$12))))))),0))</x:f>
      </x:c>
      <x:c r="C306" t="str">
        <x:f>IF(Calc!$A$306&gt;'Calc'!$B$8,"",MAX(Calc!$C$305*(1+'财富模型'!$E$20/12)+'Calc'!$B$6-(IF('Calc'!$E$12=1,0,MIN(Calc!$C$305*(1+'财富模型'!$E$20/12)+'Calc'!$B$6,IF(Calc!$A$306&lt;='财富模型'!$E$11*12,'Calc'!$W$12,'Calc'!$Y$12)))),0))</x:f>
      </x:c>
      <x:c r="D306" t="str">
        <x:f>IF(Calc!$A$306&gt;'Calc'!$B$8,"",IF('Calc'!$E$12=1,'财富模型'!$E$9,'财富模型'!$M$4+IF(Calc!$A$306&lt;='财富模型'!$E$11*12,'Calc'!$W$12,'Calc'!$Y$12)-(IF('Calc'!$E$12=1,0,MIN(Calc!$C$305*(1+'财富模型'!$E$20/12)+'Calc'!$B$6,IF(Calc!$A$306&lt;='财富模型'!$E$11*12,'Calc'!$W$12,'Calc'!$Y$12))))))</x:f>
      </x:c>
      <x:c r="E306" t="str">
        <x:f>IF(Calc!$A$306&gt;'Calc'!$B$8,"",IF('Calc'!$E$12=1,0,MIN(Calc!$C$305*(1+'财富模型'!$E$20/12)+'Calc'!$B$6,IF(Calc!$A$306&lt;='财富模型'!$E$11*12,'Calc'!$W$12,'Calc'!$Y$12))))</x:f>
      </x:c>
      <x:c r="F306" t="str">
        <x:f>IF(Calc!$A$306&gt;'Calc'!$B$8,"",'Calc'!$B$5-'财富模型'!$E$5-(IF('Calc'!$E$12=1,'财富模型'!$E$9,'财富模型'!$M$4+IF(Calc!$A$306&lt;='财富模型'!$E$11*12,'Calc'!$W$12,'Calc'!$Y$12)-(IF('Calc'!$E$12=1,0,MIN(Calc!$C$305*(1+'财富模型'!$E$20/12)+'Calc'!$B$6,IF(Calc!$A$306&lt;='财富模型'!$E$11*12,'Calc'!$W$12,'Calc'!$Y$12)))))))</x:f>
      </x:c>
      <x:c r="G306" t="str">
        <x:f>IF(Calc!$A$306&gt;'Calc'!$B$8,"",IF('Calc'!$E$12=1,0,MAX(Calc!$G$305*(1+IF(Calc!$A$306&lt;='财富模型'!$E$11*12,'财富模型'!$E$10,'财富模型'!$E$12)/12)-IF('Calc'!$E$12=1,0,IF(Calc!$A$306&lt;='财富模型'!$E$11*12,'Calc'!$W$12,'Calc'!$Y$12)),0)))</x:f>
      </x:c>
      <x:c r="I306" t="n">
        <x:v>285</x:v>
      </x:c>
      <x:c r="J306" t="str">
        <x:f>IF(Calc!$I$306&gt;'Calc'!$B$8,"",MAX(Calc!$J$305*(1+'财富模型'!$E$6/12)+('Calc'!$B$5-'财富模型'!$E$5-(IF('Calc'!$E$13=1,'财富模型'!$E$9,'财富模型'!$M$5+IF(Calc!$I$306&lt;='财富模型'!$E$11*12,'Calc'!$W$13,'Calc'!$Y$13)-(IF('Calc'!$E$13=1,0,MIN(Calc!$K$305*(1+'财富模型'!$E$20/12)+'Calc'!$B$6,IF(Calc!$I$306&lt;='财富模型'!$E$11*12,'Calc'!$W$13,'Calc'!$Y$13))))))),0))</x:f>
      </x:c>
      <x:c r="K306" t="str">
        <x:f>IF(Calc!$I$306&gt;'Calc'!$B$8,"",MAX(Calc!$K$305*(1+'财富模型'!$E$20/12)+'Calc'!$B$6-(IF('Calc'!$E$13=1,0,MIN(Calc!$K$305*(1+'财富模型'!$E$20/12)+'Calc'!$B$6,IF(Calc!$I$306&lt;='财富模型'!$E$11*12,'Calc'!$W$13,'Calc'!$Y$13)))),0))</x:f>
      </x:c>
      <x:c r="L306" t="str">
        <x:f>IF(Calc!$I$306&gt;'Calc'!$B$8,"",IF('Calc'!$E$13=1,'财富模型'!$E$9,'财富模型'!$M$5+IF(Calc!$I$306&lt;='财富模型'!$E$11*12,'Calc'!$W$13,'Calc'!$Y$13)-(IF('Calc'!$E$13=1,0,MIN(Calc!$K$305*(1+'财富模型'!$E$20/12)+'Calc'!$B$6,IF(Calc!$I$306&lt;='财富模型'!$E$11*12,'Calc'!$W$13,'Calc'!$Y$13))))))</x:f>
      </x:c>
      <x:c r="M306" t="str">
        <x:f>IF(Calc!$I$306&gt;'Calc'!$B$8,"",IF('Calc'!$E$13=1,0,MIN(Calc!$K$305*(1+'财富模型'!$E$20/12)+'Calc'!$B$6,IF(Calc!$I$306&lt;='财富模型'!$E$11*12,'Calc'!$W$13,'Calc'!$Y$13))))</x:f>
      </x:c>
      <x:c r="N306" t="str">
        <x:f>IF(Calc!$I$306&gt;'Calc'!$B$8,"",'Calc'!$B$5-'财富模型'!$E$5-(IF('Calc'!$E$13=1,'财富模型'!$E$9,'财富模型'!$M$5+IF(Calc!$I$306&lt;='财富模型'!$E$11*12,'Calc'!$W$13,'Calc'!$Y$13)-(IF('Calc'!$E$13=1,0,MIN(Calc!$K$305*(1+'财富模型'!$E$20/12)+'Calc'!$B$6,IF(Calc!$I$306&lt;='财富模型'!$E$11*12,'Calc'!$W$13,'Calc'!$Y$13)))))))</x:f>
      </x:c>
      <x:c r="O306" t="str">
        <x:f>IF(Calc!$I$306&gt;'Calc'!$B$8,"",IF('Calc'!$E$13=1,0,MAX(Calc!$O$305*(1+IF(Calc!$I$306&lt;='财富模型'!$E$11*12,'财富模型'!$E$10,'财富模型'!$E$12)/12)-IF('Calc'!$E$13=1,0,IF(Calc!$I$306&lt;='财富模型'!$E$11*12,'Calc'!$W$13,'Calc'!$Y$13)),0)))</x:f>
      </x:c>
      <x:c r="Q306" t="n">
        <x:v>285</x:v>
      </x:c>
      <x:c r="R306" t="str">
        <x:f>IF(Calc!$Q$306&gt;'Calc'!$B$8,"",MAX(Calc!$R$305*(1+'财富模型'!$E$6/12)+('Calc'!$B$5-'财富模型'!$E$5-(IF('Calc'!$E$14=1,'财富模型'!$E$9,'财富模型'!$M$6+IF(Calc!$Q$306&lt;='财富模型'!$E$11*12,'Calc'!$W$14,'Calc'!$Y$14)-(IF('Calc'!$E$14=1,0,MIN(Calc!$S$305*(1+'财富模型'!$E$20/12)+'Calc'!$B$6,IF(Calc!$Q$306&lt;='财富模型'!$E$11*12,'Calc'!$W$14,'Calc'!$Y$14))))))),0))</x:f>
      </x:c>
      <x:c r="S306" t="str">
        <x:f>IF(Calc!$Q$306&gt;'Calc'!$B$8,"",MAX(Calc!$S$305*(1+'财富模型'!$E$20/12)+'Calc'!$B$6-(IF('Calc'!$E$14=1,0,MIN(Calc!$S$305*(1+'财富模型'!$E$20/12)+'Calc'!$B$6,IF(Calc!$Q$306&lt;='财富模型'!$E$11*12,'Calc'!$W$14,'Calc'!$Y$14)))),0))</x:f>
      </x:c>
      <x:c r="T306" t="str">
        <x:f>IF(Calc!$Q$306&gt;'Calc'!$B$8,"",IF('Calc'!$E$14=1,'财富模型'!$E$9,'财富模型'!$M$6+IF(Calc!$Q$306&lt;='财富模型'!$E$11*12,'Calc'!$W$14,'Calc'!$Y$14)-(IF('Calc'!$E$14=1,0,MIN(Calc!$S$305*(1+'财富模型'!$E$20/12)+'Calc'!$B$6,IF(Calc!$Q$306&lt;='财富模型'!$E$11*12,'Calc'!$W$14,'Calc'!$Y$14))))))</x:f>
      </x:c>
      <x:c r="U306" t="str">
        <x:f>IF(Calc!$Q$306&gt;'Calc'!$B$8,"",IF('Calc'!$E$14=1,0,MIN(Calc!$S$305*(1+'财富模型'!$E$20/12)+'Calc'!$B$6,IF(Calc!$Q$306&lt;='财富模型'!$E$11*12,'Calc'!$W$14,'Calc'!$Y$14))))</x:f>
      </x:c>
      <x:c r="V306" t="str">
        <x:f>IF(Calc!$Q$306&gt;'Calc'!$B$8,"",'Calc'!$B$5-'财富模型'!$E$5-(IF('Calc'!$E$14=1,'财富模型'!$E$9,'财富模型'!$M$6+IF(Calc!$Q$306&lt;='财富模型'!$E$11*12,'Calc'!$W$14,'Calc'!$Y$14)-(IF('Calc'!$E$14=1,0,MIN(Calc!$S$305*(1+'财富模型'!$E$20/12)+'Calc'!$B$6,IF(Calc!$Q$306&lt;='财富模型'!$E$11*12,'Calc'!$W$14,'Calc'!$Y$14)))))))</x:f>
      </x:c>
      <x:c r="W306" t="str">
        <x:f>IF(Calc!$Q$306&gt;'Calc'!$B$8,"",IF('Calc'!$E$14=1,0,MAX(Calc!$W$305*(1+IF(Calc!$Q$306&lt;='财富模型'!$E$11*12,'财富模型'!$E$10,'财富模型'!$E$12)/12)-IF('Calc'!$E$14=1,0,IF(Calc!$Q$306&lt;='财富模型'!$E$11*12,'Calc'!$W$14,'Calc'!$Y$14)),0)))</x:f>
      </x:c>
      <x:c r="Y306" t="n">
        <x:v>285</x:v>
      </x:c>
      <x:c r="Z306" t="str">
        <x:f>IF(Calc!$Y$306&gt;'Calc'!$B$8,"",MAX(Calc!$Z$305*(1+'财富模型'!$E$6/12)+('Calc'!$B$5-'财富模型'!$E$5-(IF('Calc'!$E$15=1,'财富模型'!$E$9,'财富模型'!$M$7+IF(Calc!$Y$306&lt;='财富模型'!$E$11*12,'Calc'!$W$15,'Calc'!$Y$15)-(IF('Calc'!$E$15=1,0,MIN(Calc!$AA$305*(1+'财富模型'!$E$20/12)+'Calc'!$B$6,IF(Calc!$Y$306&lt;='财富模型'!$E$11*12,'Calc'!$W$15,'Calc'!$Y$15))))))),0))</x:f>
      </x:c>
      <x:c r="AA306" t="str">
        <x:f>IF(Calc!$Y$306&gt;'Calc'!$B$8,"",MAX(Calc!$AA$305*(1+'财富模型'!$E$20/12)+'Calc'!$B$6-(IF('Calc'!$E$15=1,0,MIN(Calc!$AA$305*(1+'财富模型'!$E$20/12)+'Calc'!$B$6,IF(Calc!$Y$306&lt;='财富模型'!$E$11*12,'Calc'!$W$15,'Calc'!$Y$15)))),0))</x:f>
      </x:c>
      <x:c r="AB306" t="str">
        <x:f>IF(Calc!$Y$306&gt;'Calc'!$B$8,"",IF('Calc'!$E$15=1,'财富模型'!$E$9,'财富模型'!$M$7+IF(Calc!$Y$306&lt;='财富模型'!$E$11*12,'Calc'!$W$15,'Calc'!$Y$15)-(IF('Calc'!$E$15=1,0,MIN(Calc!$AA$305*(1+'财富模型'!$E$20/12)+'Calc'!$B$6,IF(Calc!$Y$306&lt;='财富模型'!$E$11*12,'Calc'!$W$15,'Calc'!$Y$15))))))</x:f>
      </x:c>
      <x:c r="AC306" t="str">
        <x:f>IF(Calc!$Y$306&gt;'Calc'!$B$8,"",IF('Calc'!$E$15=1,0,MIN(Calc!$AA$305*(1+'财富模型'!$E$20/12)+'Calc'!$B$6,IF(Calc!$Y$306&lt;='财富模型'!$E$11*12,'Calc'!$W$15,'Calc'!$Y$15))))</x:f>
      </x:c>
      <x:c r="AD306" t="str">
        <x:f>IF(Calc!$Y$306&gt;'Calc'!$B$8,"",'Calc'!$B$5-'财富模型'!$E$5-(IF('Calc'!$E$15=1,'财富模型'!$E$9,'财富模型'!$M$7+IF(Calc!$Y$306&lt;='财富模型'!$E$11*12,'Calc'!$W$15,'Calc'!$Y$15)-(IF('Calc'!$E$15=1,0,MIN(Calc!$AA$305*(1+'财富模型'!$E$20/12)+'Calc'!$B$6,IF(Calc!$Y$306&lt;='财富模型'!$E$11*12,'Calc'!$W$15,'Calc'!$Y$15)))))))</x:f>
      </x:c>
      <x:c r="AE306" t="str">
        <x:f>IF(Calc!$Y$306&gt;'Calc'!$B$8,"",IF('Calc'!$E$15=1,0,MAX(Calc!$AE$305*(1+IF(Calc!$Y$306&lt;='财富模型'!$E$11*12,'财富模型'!$E$10,'财富模型'!$E$12)/12)-IF('Calc'!$E$15=1,0,IF(Calc!$Y$306&lt;='财富模型'!$E$11*12,'Calc'!$W$15,'Calc'!$Y$15)),0)))</x:f>
      </x:c>
      <x:c r="AG306" t="n">
        <x:v>285</x:v>
      </x:c>
      <x:c r="AH306" t="str">
        <x:f>IF(Calc!$AG$306&gt;'Calc'!$B$8,"",MAX(Calc!$AH$305*(1+'财富模型'!$E$6/12)+('Calc'!$B$5-'财富模型'!$E$5-(IF('Calc'!$E$16=1,'财富模型'!$E$9,'财富模型'!$M$8+IF(Calc!$AG$306&lt;='财富模型'!$E$11*12,'Calc'!$W$16,'Calc'!$Y$16)-(IF('Calc'!$E$16=1,0,MIN(Calc!$AI$305*(1+'财富模型'!$E$20/12)+'Calc'!$B$6,IF(Calc!$AG$306&lt;='财富模型'!$E$11*12,'Calc'!$W$16,'Calc'!$Y$16))))))),0))</x:f>
      </x:c>
      <x:c r="AI306" t="str">
        <x:f>IF(Calc!$AG$306&gt;'Calc'!$B$8,"",MAX(Calc!$AI$305*(1+'财富模型'!$E$20/12)+'Calc'!$B$6-(IF('Calc'!$E$16=1,0,MIN(Calc!$AI$305*(1+'财富模型'!$E$20/12)+'Calc'!$B$6,IF(Calc!$AG$306&lt;='财富模型'!$E$11*12,'Calc'!$W$16,'Calc'!$Y$16)))),0))</x:f>
      </x:c>
      <x:c r="AJ306" t="str">
        <x:f>IF(Calc!$AG$306&gt;'Calc'!$B$8,"",IF('Calc'!$E$16=1,'财富模型'!$E$9,'财富模型'!$M$8+IF(Calc!$AG$306&lt;='财富模型'!$E$11*12,'Calc'!$W$16,'Calc'!$Y$16)-(IF('Calc'!$E$16=1,0,MIN(Calc!$AI$305*(1+'财富模型'!$E$20/12)+'Calc'!$B$6,IF(Calc!$AG$306&lt;='财富模型'!$E$11*12,'Calc'!$W$16,'Calc'!$Y$16))))))</x:f>
      </x:c>
      <x:c r="AK306" t="str">
        <x:f>IF(Calc!$AG$306&gt;'Calc'!$B$8,"",IF('Calc'!$E$16=1,0,MIN(Calc!$AI$305*(1+'财富模型'!$E$20/12)+'Calc'!$B$6,IF(Calc!$AG$306&lt;='财富模型'!$E$11*12,'Calc'!$W$16,'Calc'!$Y$16))))</x:f>
      </x:c>
      <x:c r="AL306" t="str">
        <x:f>IF(Calc!$AG$306&gt;'Calc'!$B$8,"",'Calc'!$B$5-'财富模型'!$E$5-(IF('Calc'!$E$16=1,'财富模型'!$E$9,'财富模型'!$M$8+IF(Calc!$AG$306&lt;='财富模型'!$E$11*12,'Calc'!$W$16,'Calc'!$Y$16)-(IF('Calc'!$E$16=1,0,MIN(Calc!$AI$305*(1+'财富模型'!$E$20/12)+'Calc'!$B$6,IF(Calc!$AG$306&lt;='财富模型'!$E$11*12,'Calc'!$W$16,'Calc'!$Y$16)))))))</x:f>
      </x:c>
      <x:c r="AM306" t="str">
        <x:f>IF(Calc!$AG$306&gt;'Calc'!$B$8,"",IF('Calc'!$E$16=1,0,MAX(Calc!$AM$305*(1+IF(Calc!$AG$306&lt;='财富模型'!$E$11*12,'财富模型'!$E$10,'财富模型'!$E$12)/12)-IF('Calc'!$E$16=1,0,IF(Calc!$AG$306&lt;='财富模型'!$E$11*12,'Calc'!$W$16,'Calc'!$Y$16)),0)))</x:f>
      </x:c>
      <x:c r="AO306" t="n">
        <x:v>285</x:v>
      </x:c>
      <x:c r="AP306" t="str">
        <x:f>IF(Calc!$AO$306&gt;'Calc'!$B$8,"",MAX(Calc!$AP$305*(1+'财富模型'!$E$6/12)+('Calc'!$B$5-'财富模型'!$E$5-(IF('Calc'!$E$17=1,'财富模型'!$E$9,'财富模型'!$M$9+IF(Calc!$AO$306&lt;='财富模型'!$E$11*12,'Calc'!$W$17,'Calc'!$Y$17)-(IF('Calc'!$E$17=1,0,MIN(Calc!$AQ$305*(1+'财富模型'!$E$20/12)+'Calc'!$B$6,IF(Calc!$AO$306&lt;='财富模型'!$E$11*12,'Calc'!$W$17,'Calc'!$Y$17))))))),0))</x:f>
      </x:c>
      <x:c r="AQ306" t="str">
        <x:f>IF(Calc!$AO$306&gt;'Calc'!$B$8,"",MAX(Calc!$AQ$305*(1+'财富模型'!$E$20/12)+'Calc'!$B$6-(IF('Calc'!$E$17=1,0,MIN(Calc!$AQ$305*(1+'财富模型'!$E$20/12)+'Calc'!$B$6,IF(Calc!$AO$306&lt;='财富模型'!$E$11*12,'Calc'!$W$17,'Calc'!$Y$17)))),0))</x:f>
      </x:c>
      <x:c r="AR306" t="str">
        <x:f>IF(Calc!$AO$306&gt;'Calc'!$B$8,"",IF('Calc'!$E$17=1,'财富模型'!$E$9,'财富模型'!$M$9+IF(Calc!$AO$306&lt;='财富模型'!$E$11*12,'Calc'!$W$17,'Calc'!$Y$17)-(IF('Calc'!$E$17=1,0,MIN(Calc!$AQ$305*(1+'财富模型'!$E$20/12)+'Calc'!$B$6,IF(Calc!$AO$306&lt;='财富模型'!$E$11*12,'Calc'!$W$17,'Calc'!$Y$17))))))</x:f>
      </x:c>
      <x:c r="AS306" t="str">
        <x:f>IF(Calc!$AO$306&gt;'Calc'!$B$8,"",IF('Calc'!$E$17=1,0,MIN(Calc!$AQ$305*(1+'财富模型'!$E$20/12)+'Calc'!$B$6,IF(Calc!$AO$306&lt;='财富模型'!$E$11*12,'Calc'!$W$17,'Calc'!$Y$17))))</x:f>
      </x:c>
      <x:c r="AT306" t="str">
        <x:f>IF(Calc!$AO$306&gt;'Calc'!$B$8,"",'Calc'!$B$5-'财富模型'!$E$5-(IF('Calc'!$E$17=1,'财富模型'!$E$9,'财富模型'!$M$9+IF(Calc!$AO$306&lt;='财富模型'!$E$11*12,'Calc'!$W$17,'Calc'!$Y$17)-(IF('Calc'!$E$17=1,0,MIN(Calc!$AQ$305*(1+'财富模型'!$E$20/12)+'Calc'!$B$6,IF(Calc!$AO$306&lt;='财富模型'!$E$11*12,'Calc'!$W$17,'Calc'!$Y$17)))))))</x:f>
      </x:c>
      <x:c r="AU306" t="str">
        <x:f>IF(Calc!$AO$306&gt;'Calc'!$B$8,"",IF('Calc'!$E$17=1,0,MAX(Calc!$AU$305*(1+IF(Calc!$AO$306&lt;='财富模型'!$E$11*12,'财富模型'!$E$10,'财富模型'!$E$12)/12)-IF('Calc'!$E$17=1,0,IF(Calc!$AO$306&lt;='财富模型'!$E$11*12,'Calc'!$W$17,'Calc'!$Y$17)),0)))</x:f>
      </x:c>
    </x:row>
    <x:row r="307">
      <x:c r="A307" t="n">
        <x:v>286</x:v>
      </x:c>
      <x:c r="B307" t="str">
        <x:f>IF(Calc!$A$307&gt;'Calc'!$B$8,"",MAX(Calc!$B$306*(1+'财富模型'!$E$6/12)+('Calc'!$B$5-'财富模型'!$E$5-(IF('Calc'!$E$12=1,'财富模型'!$E$9,'财富模型'!$M$4+IF(Calc!$A$307&lt;='财富模型'!$E$11*12,'Calc'!$W$12,'Calc'!$Y$12)-(IF('Calc'!$E$12=1,0,MIN(Calc!$C$306*(1+'财富模型'!$E$20/12)+'Calc'!$B$6,IF(Calc!$A$307&lt;='财富模型'!$E$11*12,'Calc'!$W$12,'Calc'!$Y$12))))))),0))</x:f>
      </x:c>
      <x:c r="C307" t="str">
        <x:f>IF(Calc!$A$307&gt;'Calc'!$B$8,"",MAX(Calc!$C$306*(1+'财富模型'!$E$20/12)+'Calc'!$B$6-(IF('Calc'!$E$12=1,0,MIN(Calc!$C$306*(1+'财富模型'!$E$20/12)+'Calc'!$B$6,IF(Calc!$A$307&lt;='财富模型'!$E$11*12,'Calc'!$W$12,'Calc'!$Y$12)))),0))</x:f>
      </x:c>
      <x:c r="D307" t="str">
        <x:f>IF(Calc!$A$307&gt;'Calc'!$B$8,"",IF('Calc'!$E$12=1,'财富模型'!$E$9,'财富模型'!$M$4+IF(Calc!$A$307&lt;='财富模型'!$E$11*12,'Calc'!$W$12,'Calc'!$Y$12)-(IF('Calc'!$E$12=1,0,MIN(Calc!$C$306*(1+'财富模型'!$E$20/12)+'Calc'!$B$6,IF(Calc!$A$307&lt;='财富模型'!$E$11*12,'Calc'!$W$12,'Calc'!$Y$12))))))</x:f>
      </x:c>
      <x:c r="E307" t="str">
        <x:f>IF(Calc!$A$307&gt;'Calc'!$B$8,"",IF('Calc'!$E$12=1,0,MIN(Calc!$C$306*(1+'财富模型'!$E$20/12)+'Calc'!$B$6,IF(Calc!$A$307&lt;='财富模型'!$E$11*12,'Calc'!$W$12,'Calc'!$Y$12))))</x:f>
      </x:c>
      <x:c r="F307" t="str">
        <x:f>IF(Calc!$A$307&gt;'Calc'!$B$8,"",'Calc'!$B$5-'财富模型'!$E$5-(IF('Calc'!$E$12=1,'财富模型'!$E$9,'财富模型'!$M$4+IF(Calc!$A$307&lt;='财富模型'!$E$11*12,'Calc'!$W$12,'Calc'!$Y$12)-(IF('Calc'!$E$12=1,0,MIN(Calc!$C$306*(1+'财富模型'!$E$20/12)+'Calc'!$B$6,IF(Calc!$A$307&lt;='财富模型'!$E$11*12,'Calc'!$W$12,'Calc'!$Y$12)))))))</x:f>
      </x:c>
      <x:c r="G307" t="str">
        <x:f>IF(Calc!$A$307&gt;'Calc'!$B$8,"",IF('Calc'!$E$12=1,0,MAX(Calc!$G$306*(1+IF(Calc!$A$307&lt;='财富模型'!$E$11*12,'财富模型'!$E$10,'财富模型'!$E$12)/12)-IF('Calc'!$E$12=1,0,IF(Calc!$A$307&lt;='财富模型'!$E$11*12,'Calc'!$W$12,'Calc'!$Y$12)),0)))</x:f>
      </x:c>
      <x:c r="I307" t="n">
        <x:v>286</x:v>
      </x:c>
      <x:c r="J307" t="str">
        <x:f>IF(Calc!$I$307&gt;'Calc'!$B$8,"",MAX(Calc!$J$306*(1+'财富模型'!$E$6/12)+('Calc'!$B$5-'财富模型'!$E$5-(IF('Calc'!$E$13=1,'财富模型'!$E$9,'财富模型'!$M$5+IF(Calc!$I$307&lt;='财富模型'!$E$11*12,'Calc'!$W$13,'Calc'!$Y$13)-(IF('Calc'!$E$13=1,0,MIN(Calc!$K$306*(1+'财富模型'!$E$20/12)+'Calc'!$B$6,IF(Calc!$I$307&lt;='财富模型'!$E$11*12,'Calc'!$W$13,'Calc'!$Y$13))))))),0))</x:f>
      </x:c>
      <x:c r="K307" t="str">
        <x:f>IF(Calc!$I$307&gt;'Calc'!$B$8,"",MAX(Calc!$K$306*(1+'财富模型'!$E$20/12)+'Calc'!$B$6-(IF('Calc'!$E$13=1,0,MIN(Calc!$K$306*(1+'财富模型'!$E$20/12)+'Calc'!$B$6,IF(Calc!$I$307&lt;='财富模型'!$E$11*12,'Calc'!$W$13,'Calc'!$Y$13)))),0))</x:f>
      </x:c>
      <x:c r="L307" t="str">
        <x:f>IF(Calc!$I$307&gt;'Calc'!$B$8,"",IF('Calc'!$E$13=1,'财富模型'!$E$9,'财富模型'!$M$5+IF(Calc!$I$307&lt;='财富模型'!$E$11*12,'Calc'!$W$13,'Calc'!$Y$13)-(IF('Calc'!$E$13=1,0,MIN(Calc!$K$306*(1+'财富模型'!$E$20/12)+'Calc'!$B$6,IF(Calc!$I$307&lt;='财富模型'!$E$11*12,'Calc'!$W$13,'Calc'!$Y$13))))))</x:f>
      </x:c>
      <x:c r="M307" t="str">
        <x:f>IF(Calc!$I$307&gt;'Calc'!$B$8,"",IF('Calc'!$E$13=1,0,MIN(Calc!$K$306*(1+'财富模型'!$E$20/12)+'Calc'!$B$6,IF(Calc!$I$307&lt;='财富模型'!$E$11*12,'Calc'!$W$13,'Calc'!$Y$13))))</x:f>
      </x:c>
      <x:c r="N307" t="str">
        <x:f>IF(Calc!$I$307&gt;'Calc'!$B$8,"",'Calc'!$B$5-'财富模型'!$E$5-(IF('Calc'!$E$13=1,'财富模型'!$E$9,'财富模型'!$M$5+IF(Calc!$I$307&lt;='财富模型'!$E$11*12,'Calc'!$W$13,'Calc'!$Y$13)-(IF('Calc'!$E$13=1,0,MIN(Calc!$K$306*(1+'财富模型'!$E$20/12)+'Calc'!$B$6,IF(Calc!$I$307&lt;='财富模型'!$E$11*12,'Calc'!$W$13,'Calc'!$Y$13)))))))</x:f>
      </x:c>
      <x:c r="O307" t="str">
        <x:f>IF(Calc!$I$307&gt;'Calc'!$B$8,"",IF('Calc'!$E$13=1,0,MAX(Calc!$O$306*(1+IF(Calc!$I$307&lt;='财富模型'!$E$11*12,'财富模型'!$E$10,'财富模型'!$E$12)/12)-IF('Calc'!$E$13=1,0,IF(Calc!$I$307&lt;='财富模型'!$E$11*12,'Calc'!$W$13,'Calc'!$Y$13)),0)))</x:f>
      </x:c>
      <x:c r="Q307" t="n">
        <x:v>286</x:v>
      </x:c>
      <x:c r="R307" t="str">
        <x:f>IF(Calc!$Q$307&gt;'Calc'!$B$8,"",MAX(Calc!$R$306*(1+'财富模型'!$E$6/12)+('Calc'!$B$5-'财富模型'!$E$5-(IF('Calc'!$E$14=1,'财富模型'!$E$9,'财富模型'!$M$6+IF(Calc!$Q$307&lt;='财富模型'!$E$11*12,'Calc'!$W$14,'Calc'!$Y$14)-(IF('Calc'!$E$14=1,0,MIN(Calc!$S$306*(1+'财富模型'!$E$20/12)+'Calc'!$B$6,IF(Calc!$Q$307&lt;='财富模型'!$E$11*12,'Calc'!$W$14,'Calc'!$Y$14))))))),0))</x:f>
      </x:c>
      <x:c r="S307" t="str">
        <x:f>IF(Calc!$Q$307&gt;'Calc'!$B$8,"",MAX(Calc!$S$306*(1+'财富模型'!$E$20/12)+'Calc'!$B$6-(IF('Calc'!$E$14=1,0,MIN(Calc!$S$306*(1+'财富模型'!$E$20/12)+'Calc'!$B$6,IF(Calc!$Q$307&lt;='财富模型'!$E$11*12,'Calc'!$W$14,'Calc'!$Y$14)))),0))</x:f>
      </x:c>
      <x:c r="T307" t="str">
        <x:f>IF(Calc!$Q$307&gt;'Calc'!$B$8,"",IF('Calc'!$E$14=1,'财富模型'!$E$9,'财富模型'!$M$6+IF(Calc!$Q$307&lt;='财富模型'!$E$11*12,'Calc'!$W$14,'Calc'!$Y$14)-(IF('Calc'!$E$14=1,0,MIN(Calc!$S$306*(1+'财富模型'!$E$20/12)+'Calc'!$B$6,IF(Calc!$Q$307&lt;='财富模型'!$E$11*12,'Calc'!$W$14,'Calc'!$Y$14))))))</x:f>
      </x:c>
      <x:c r="U307" t="str">
        <x:f>IF(Calc!$Q$307&gt;'Calc'!$B$8,"",IF('Calc'!$E$14=1,0,MIN(Calc!$S$306*(1+'财富模型'!$E$20/12)+'Calc'!$B$6,IF(Calc!$Q$307&lt;='财富模型'!$E$11*12,'Calc'!$W$14,'Calc'!$Y$14))))</x:f>
      </x:c>
      <x:c r="V307" t="str">
        <x:f>IF(Calc!$Q$307&gt;'Calc'!$B$8,"",'Calc'!$B$5-'财富模型'!$E$5-(IF('Calc'!$E$14=1,'财富模型'!$E$9,'财富模型'!$M$6+IF(Calc!$Q$307&lt;='财富模型'!$E$11*12,'Calc'!$W$14,'Calc'!$Y$14)-(IF('Calc'!$E$14=1,0,MIN(Calc!$S$306*(1+'财富模型'!$E$20/12)+'Calc'!$B$6,IF(Calc!$Q$307&lt;='财富模型'!$E$11*12,'Calc'!$W$14,'Calc'!$Y$14)))))))</x:f>
      </x:c>
      <x:c r="W307" t="str">
        <x:f>IF(Calc!$Q$307&gt;'Calc'!$B$8,"",IF('Calc'!$E$14=1,0,MAX(Calc!$W$306*(1+IF(Calc!$Q$307&lt;='财富模型'!$E$11*12,'财富模型'!$E$10,'财富模型'!$E$12)/12)-IF('Calc'!$E$14=1,0,IF(Calc!$Q$307&lt;='财富模型'!$E$11*12,'Calc'!$W$14,'Calc'!$Y$14)),0)))</x:f>
      </x:c>
      <x:c r="Y307" t="n">
        <x:v>286</x:v>
      </x:c>
      <x:c r="Z307" t="str">
        <x:f>IF(Calc!$Y$307&gt;'Calc'!$B$8,"",MAX(Calc!$Z$306*(1+'财富模型'!$E$6/12)+('Calc'!$B$5-'财富模型'!$E$5-(IF('Calc'!$E$15=1,'财富模型'!$E$9,'财富模型'!$M$7+IF(Calc!$Y$307&lt;='财富模型'!$E$11*12,'Calc'!$W$15,'Calc'!$Y$15)-(IF('Calc'!$E$15=1,0,MIN(Calc!$AA$306*(1+'财富模型'!$E$20/12)+'Calc'!$B$6,IF(Calc!$Y$307&lt;='财富模型'!$E$11*12,'Calc'!$W$15,'Calc'!$Y$15))))))),0))</x:f>
      </x:c>
      <x:c r="AA307" t="str">
        <x:f>IF(Calc!$Y$307&gt;'Calc'!$B$8,"",MAX(Calc!$AA$306*(1+'财富模型'!$E$20/12)+'Calc'!$B$6-(IF('Calc'!$E$15=1,0,MIN(Calc!$AA$306*(1+'财富模型'!$E$20/12)+'Calc'!$B$6,IF(Calc!$Y$307&lt;='财富模型'!$E$11*12,'Calc'!$W$15,'Calc'!$Y$15)))),0))</x:f>
      </x:c>
      <x:c r="AB307" t="str">
        <x:f>IF(Calc!$Y$307&gt;'Calc'!$B$8,"",IF('Calc'!$E$15=1,'财富模型'!$E$9,'财富模型'!$M$7+IF(Calc!$Y$307&lt;='财富模型'!$E$11*12,'Calc'!$W$15,'Calc'!$Y$15)-(IF('Calc'!$E$15=1,0,MIN(Calc!$AA$306*(1+'财富模型'!$E$20/12)+'Calc'!$B$6,IF(Calc!$Y$307&lt;='财富模型'!$E$11*12,'Calc'!$W$15,'Calc'!$Y$15))))))</x:f>
      </x:c>
      <x:c r="AC307" t="str">
        <x:f>IF(Calc!$Y$307&gt;'Calc'!$B$8,"",IF('Calc'!$E$15=1,0,MIN(Calc!$AA$306*(1+'财富模型'!$E$20/12)+'Calc'!$B$6,IF(Calc!$Y$307&lt;='财富模型'!$E$11*12,'Calc'!$W$15,'Calc'!$Y$15))))</x:f>
      </x:c>
      <x:c r="AD307" t="str">
        <x:f>IF(Calc!$Y$307&gt;'Calc'!$B$8,"",'Calc'!$B$5-'财富模型'!$E$5-(IF('Calc'!$E$15=1,'财富模型'!$E$9,'财富模型'!$M$7+IF(Calc!$Y$307&lt;='财富模型'!$E$11*12,'Calc'!$W$15,'Calc'!$Y$15)-(IF('Calc'!$E$15=1,0,MIN(Calc!$AA$306*(1+'财富模型'!$E$20/12)+'Calc'!$B$6,IF(Calc!$Y$307&lt;='财富模型'!$E$11*12,'Calc'!$W$15,'Calc'!$Y$15)))))))</x:f>
      </x:c>
      <x:c r="AE307" t="str">
        <x:f>IF(Calc!$Y$307&gt;'Calc'!$B$8,"",IF('Calc'!$E$15=1,0,MAX(Calc!$AE$306*(1+IF(Calc!$Y$307&lt;='财富模型'!$E$11*12,'财富模型'!$E$10,'财富模型'!$E$12)/12)-IF('Calc'!$E$15=1,0,IF(Calc!$Y$307&lt;='财富模型'!$E$11*12,'Calc'!$W$15,'Calc'!$Y$15)),0)))</x:f>
      </x:c>
      <x:c r="AG307" t="n">
        <x:v>286</x:v>
      </x:c>
      <x:c r="AH307" t="str">
        <x:f>IF(Calc!$AG$307&gt;'Calc'!$B$8,"",MAX(Calc!$AH$306*(1+'财富模型'!$E$6/12)+('Calc'!$B$5-'财富模型'!$E$5-(IF('Calc'!$E$16=1,'财富模型'!$E$9,'财富模型'!$M$8+IF(Calc!$AG$307&lt;='财富模型'!$E$11*12,'Calc'!$W$16,'Calc'!$Y$16)-(IF('Calc'!$E$16=1,0,MIN(Calc!$AI$306*(1+'财富模型'!$E$20/12)+'Calc'!$B$6,IF(Calc!$AG$307&lt;='财富模型'!$E$11*12,'Calc'!$W$16,'Calc'!$Y$16))))))),0))</x:f>
      </x:c>
      <x:c r="AI307" t="str">
        <x:f>IF(Calc!$AG$307&gt;'Calc'!$B$8,"",MAX(Calc!$AI$306*(1+'财富模型'!$E$20/12)+'Calc'!$B$6-(IF('Calc'!$E$16=1,0,MIN(Calc!$AI$306*(1+'财富模型'!$E$20/12)+'Calc'!$B$6,IF(Calc!$AG$307&lt;='财富模型'!$E$11*12,'Calc'!$W$16,'Calc'!$Y$16)))),0))</x:f>
      </x:c>
      <x:c r="AJ307" t="str">
        <x:f>IF(Calc!$AG$307&gt;'Calc'!$B$8,"",IF('Calc'!$E$16=1,'财富模型'!$E$9,'财富模型'!$M$8+IF(Calc!$AG$307&lt;='财富模型'!$E$11*12,'Calc'!$W$16,'Calc'!$Y$16)-(IF('Calc'!$E$16=1,0,MIN(Calc!$AI$306*(1+'财富模型'!$E$20/12)+'Calc'!$B$6,IF(Calc!$AG$307&lt;='财富模型'!$E$11*12,'Calc'!$W$16,'Calc'!$Y$16))))))</x:f>
      </x:c>
      <x:c r="AK307" t="str">
        <x:f>IF(Calc!$AG$307&gt;'Calc'!$B$8,"",IF('Calc'!$E$16=1,0,MIN(Calc!$AI$306*(1+'财富模型'!$E$20/12)+'Calc'!$B$6,IF(Calc!$AG$307&lt;='财富模型'!$E$11*12,'Calc'!$W$16,'Calc'!$Y$16))))</x:f>
      </x:c>
      <x:c r="AL307" t="str">
        <x:f>IF(Calc!$AG$307&gt;'Calc'!$B$8,"",'Calc'!$B$5-'财富模型'!$E$5-(IF('Calc'!$E$16=1,'财富模型'!$E$9,'财富模型'!$M$8+IF(Calc!$AG$307&lt;='财富模型'!$E$11*12,'Calc'!$W$16,'Calc'!$Y$16)-(IF('Calc'!$E$16=1,0,MIN(Calc!$AI$306*(1+'财富模型'!$E$20/12)+'Calc'!$B$6,IF(Calc!$AG$307&lt;='财富模型'!$E$11*12,'Calc'!$W$16,'Calc'!$Y$16)))))))</x:f>
      </x:c>
      <x:c r="AM307" t="str">
        <x:f>IF(Calc!$AG$307&gt;'Calc'!$B$8,"",IF('Calc'!$E$16=1,0,MAX(Calc!$AM$306*(1+IF(Calc!$AG$307&lt;='财富模型'!$E$11*12,'财富模型'!$E$10,'财富模型'!$E$12)/12)-IF('Calc'!$E$16=1,0,IF(Calc!$AG$307&lt;='财富模型'!$E$11*12,'Calc'!$W$16,'Calc'!$Y$16)),0)))</x:f>
      </x:c>
      <x:c r="AO307" t="n">
        <x:v>286</x:v>
      </x:c>
      <x:c r="AP307" t="str">
        <x:f>IF(Calc!$AO$307&gt;'Calc'!$B$8,"",MAX(Calc!$AP$306*(1+'财富模型'!$E$6/12)+('Calc'!$B$5-'财富模型'!$E$5-(IF('Calc'!$E$17=1,'财富模型'!$E$9,'财富模型'!$M$9+IF(Calc!$AO$307&lt;='财富模型'!$E$11*12,'Calc'!$W$17,'Calc'!$Y$17)-(IF('Calc'!$E$17=1,0,MIN(Calc!$AQ$306*(1+'财富模型'!$E$20/12)+'Calc'!$B$6,IF(Calc!$AO$307&lt;='财富模型'!$E$11*12,'Calc'!$W$17,'Calc'!$Y$17))))))),0))</x:f>
      </x:c>
      <x:c r="AQ307" t="str">
        <x:f>IF(Calc!$AO$307&gt;'Calc'!$B$8,"",MAX(Calc!$AQ$306*(1+'财富模型'!$E$20/12)+'Calc'!$B$6-(IF('Calc'!$E$17=1,0,MIN(Calc!$AQ$306*(1+'财富模型'!$E$20/12)+'Calc'!$B$6,IF(Calc!$AO$307&lt;='财富模型'!$E$11*12,'Calc'!$W$17,'Calc'!$Y$17)))),0))</x:f>
      </x:c>
      <x:c r="AR307" t="str">
        <x:f>IF(Calc!$AO$307&gt;'Calc'!$B$8,"",IF('Calc'!$E$17=1,'财富模型'!$E$9,'财富模型'!$M$9+IF(Calc!$AO$307&lt;='财富模型'!$E$11*12,'Calc'!$W$17,'Calc'!$Y$17)-(IF('Calc'!$E$17=1,0,MIN(Calc!$AQ$306*(1+'财富模型'!$E$20/12)+'Calc'!$B$6,IF(Calc!$AO$307&lt;='财富模型'!$E$11*12,'Calc'!$W$17,'Calc'!$Y$17))))))</x:f>
      </x:c>
      <x:c r="AS307" t="str">
        <x:f>IF(Calc!$AO$307&gt;'Calc'!$B$8,"",IF('Calc'!$E$17=1,0,MIN(Calc!$AQ$306*(1+'财富模型'!$E$20/12)+'Calc'!$B$6,IF(Calc!$AO$307&lt;='财富模型'!$E$11*12,'Calc'!$W$17,'Calc'!$Y$17))))</x:f>
      </x:c>
      <x:c r="AT307" t="str">
        <x:f>IF(Calc!$AO$307&gt;'Calc'!$B$8,"",'Calc'!$B$5-'财富模型'!$E$5-(IF('Calc'!$E$17=1,'财富模型'!$E$9,'财富模型'!$M$9+IF(Calc!$AO$307&lt;='财富模型'!$E$11*12,'Calc'!$W$17,'Calc'!$Y$17)-(IF('Calc'!$E$17=1,0,MIN(Calc!$AQ$306*(1+'财富模型'!$E$20/12)+'Calc'!$B$6,IF(Calc!$AO$307&lt;='财富模型'!$E$11*12,'Calc'!$W$17,'Calc'!$Y$17)))))))</x:f>
      </x:c>
      <x:c r="AU307" t="str">
        <x:f>IF(Calc!$AO$307&gt;'Calc'!$B$8,"",IF('Calc'!$E$17=1,0,MAX(Calc!$AU$306*(1+IF(Calc!$AO$307&lt;='财富模型'!$E$11*12,'财富模型'!$E$10,'财富模型'!$E$12)/12)-IF('Calc'!$E$17=1,0,IF(Calc!$AO$307&lt;='财富模型'!$E$11*12,'Calc'!$W$17,'Calc'!$Y$17)),0)))</x:f>
      </x:c>
    </x:row>
    <x:row r="308">
      <x:c r="A308" t="n">
        <x:v>287</x:v>
      </x:c>
      <x:c r="B308" t="str">
        <x:f>IF(Calc!$A$308&gt;'Calc'!$B$8,"",MAX(Calc!$B$307*(1+'财富模型'!$E$6/12)+('Calc'!$B$5-'财富模型'!$E$5-(IF('Calc'!$E$12=1,'财富模型'!$E$9,'财富模型'!$M$4+IF(Calc!$A$308&lt;='财富模型'!$E$11*12,'Calc'!$W$12,'Calc'!$Y$12)-(IF('Calc'!$E$12=1,0,MIN(Calc!$C$307*(1+'财富模型'!$E$20/12)+'Calc'!$B$6,IF(Calc!$A$308&lt;='财富模型'!$E$11*12,'Calc'!$W$12,'Calc'!$Y$12))))))),0))</x:f>
      </x:c>
      <x:c r="C308" t="str">
        <x:f>IF(Calc!$A$308&gt;'Calc'!$B$8,"",MAX(Calc!$C$307*(1+'财富模型'!$E$20/12)+'Calc'!$B$6-(IF('Calc'!$E$12=1,0,MIN(Calc!$C$307*(1+'财富模型'!$E$20/12)+'Calc'!$B$6,IF(Calc!$A$308&lt;='财富模型'!$E$11*12,'Calc'!$W$12,'Calc'!$Y$12)))),0))</x:f>
      </x:c>
      <x:c r="D308" t="str">
        <x:f>IF(Calc!$A$308&gt;'Calc'!$B$8,"",IF('Calc'!$E$12=1,'财富模型'!$E$9,'财富模型'!$M$4+IF(Calc!$A$308&lt;='财富模型'!$E$11*12,'Calc'!$W$12,'Calc'!$Y$12)-(IF('Calc'!$E$12=1,0,MIN(Calc!$C$307*(1+'财富模型'!$E$20/12)+'Calc'!$B$6,IF(Calc!$A$308&lt;='财富模型'!$E$11*12,'Calc'!$W$12,'Calc'!$Y$12))))))</x:f>
      </x:c>
      <x:c r="E308" t="str">
        <x:f>IF(Calc!$A$308&gt;'Calc'!$B$8,"",IF('Calc'!$E$12=1,0,MIN(Calc!$C$307*(1+'财富模型'!$E$20/12)+'Calc'!$B$6,IF(Calc!$A$308&lt;='财富模型'!$E$11*12,'Calc'!$W$12,'Calc'!$Y$12))))</x:f>
      </x:c>
      <x:c r="F308" t="str">
        <x:f>IF(Calc!$A$308&gt;'Calc'!$B$8,"",'Calc'!$B$5-'财富模型'!$E$5-(IF('Calc'!$E$12=1,'财富模型'!$E$9,'财富模型'!$M$4+IF(Calc!$A$308&lt;='财富模型'!$E$11*12,'Calc'!$W$12,'Calc'!$Y$12)-(IF('Calc'!$E$12=1,0,MIN(Calc!$C$307*(1+'财富模型'!$E$20/12)+'Calc'!$B$6,IF(Calc!$A$308&lt;='财富模型'!$E$11*12,'Calc'!$W$12,'Calc'!$Y$12)))))))</x:f>
      </x:c>
      <x:c r="G308" t="str">
        <x:f>IF(Calc!$A$308&gt;'Calc'!$B$8,"",IF('Calc'!$E$12=1,0,MAX(Calc!$G$307*(1+IF(Calc!$A$308&lt;='财富模型'!$E$11*12,'财富模型'!$E$10,'财富模型'!$E$12)/12)-IF('Calc'!$E$12=1,0,IF(Calc!$A$308&lt;='财富模型'!$E$11*12,'Calc'!$W$12,'Calc'!$Y$12)),0)))</x:f>
      </x:c>
      <x:c r="I308" t="n">
        <x:v>287</x:v>
      </x:c>
      <x:c r="J308" t="str">
        <x:f>IF(Calc!$I$308&gt;'Calc'!$B$8,"",MAX(Calc!$J$307*(1+'财富模型'!$E$6/12)+('Calc'!$B$5-'财富模型'!$E$5-(IF('Calc'!$E$13=1,'财富模型'!$E$9,'财富模型'!$M$5+IF(Calc!$I$308&lt;='财富模型'!$E$11*12,'Calc'!$W$13,'Calc'!$Y$13)-(IF('Calc'!$E$13=1,0,MIN(Calc!$K$307*(1+'财富模型'!$E$20/12)+'Calc'!$B$6,IF(Calc!$I$308&lt;='财富模型'!$E$11*12,'Calc'!$W$13,'Calc'!$Y$13))))))),0))</x:f>
      </x:c>
      <x:c r="K308" t="str">
        <x:f>IF(Calc!$I$308&gt;'Calc'!$B$8,"",MAX(Calc!$K$307*(1+'财富模型'!$E$20/12)+'Calc'!$B$6-(IF('Calc'!$E$13=1,0,MIN(Calc!$K$307*(1+'财富模型'!$E$20/12)+'Calc'!$B$6,IF(Calc!$I$308&lt;='财富模型'!$E$11*12,'Calc'!$W$13,'Calc'!$Y$13)))),0))</x:f>
      </x:c>
      <x:c r="L308" t="str">
        <x:f>IF(Calc!$I$308&gt;'Calc'!$B$8,"",IF('Calc'!$E$13=1,'财富模型'!$E$9,'财富模型'!$M$5+IF(Calc!$I$308&lt;='财富模型'!$E$11*12,'Calc'!$W$13,'Calc'!$Y$13)-(IF('Calc'!$E$13=1,0,MIN(Calc!$K$307*(1+'财富模型'!$E$20/12)+'Calc'!$B$6,IF(Calc!$I$308&lt;='财富模型'!$E$11*12,'Calc'!$W$13,'Calc'!$Y$13))))))</x:f>
      </x:c>
      <x:c r="M308" t="str">
        <x:f>IF(Calc!$I$308&gt;'Calc'!$B$8,"",IF('Calc'!$E$13=1,0,MIN(Calc!$K$307*(1+'财富模型'!$E$20/12)+'Calc'!$B$6,IF(Calc!$I$308&lt;='财富模型'!$E$11*12,'Calc'!$W$13,'Calc'!$Y$13))))</x:f>
      </x:c>
      <x:c r="N308" t="str">
        <x:f>IF(Calc!$I$308&gt;'Calc'!$B$8,"",'Calc'!$B$5-'财富模型'!$E$5-(IF('Calc'!$E$13=1,'财富模型'!$E$9,'财富模型'!$M$5+IF(Calc!$I$308&lt;='财富模型'!$E$11*12,'Calc'!$W$13,'Calc'!$Y$13)-(IF('Calc'!$E$13=1,0,MIN(Calc!$K$307*(1+'财富模型'!$E$20/12)+'Calc'!$B$6,IF(Calc!$I$308&lt;='财富模型'!$E$11*12,'Calc'!$W$13,'Calc'!$Y$13)))))))</x:f>
      </x:c>
      <x:c r="O308" t="str">
        <x:f>IF(Calc!$I$308&gt;'Calc'!$B$8,"",IF('Calc'!$E$13=1,0,MAX(Calc!$O$307*(1+IF(Calc!$I$308&lt;='财富模型'!$E$11*12,'财富模型'!$E$10,'财富模型'!$E$12)/12)-IF('Calc'!$E$13=1,0,IF(Calc!$I$308&lt;='财富模型'!$E$11*12,'Calc'!$W$13,'Calc'!$Y$13)),0)))</x:f>
      </x:c>
      <x:c r="Q308" t="n">
        <x:v>287</x:v>
      </x:c>
      <x:c r="R308" t="str">
        <x:f>IF(Calc!$Q$308&gt;'Calc'!$B$8,"",MAX(Calc!$R$307*(1+'财富模型'!$E$6/12)+('Calc'!$B$5-'财富模型'!$E$5-(IF('Calc'!$E$14=1,'财富模型'!$E$9,'财富模型'!$M$6+IF(Calc!$Q$308&lt;='财富模型'!$E$11*12,'Calc'!$W$14,'Calc'!$Y$14)-(IF('Calc'!$E$14=1,0,MIN(Calc!$S$307*(1+'财富模型'!$E$20/12)+'Calc'!$B$6,IF(Calc!$Q$308&lt;='财富模型'!$E$11*12,'Calc'!$W$14,'Calc'!$Y$14))))))),0))</x:f>
      </x:c>
      <x:c r="S308" t="str">
        <x:f>IF(Calc!$Q$308&gt;'Calc'!$B$8,"",MAX(Calc!$S$307*(1+'财富模型'!$E$20/12)+'Calc'!$B$6-(IF('Calc'!$E$14=1,0,MIN(Calc!$S$307*(1+'财富模型'!$E$20/12)+'Calc'!$B$6,IF(Calc!$Q$308&lt;='财富模型'!$E$11*12,'Calc'!$W$14,'Calc'!$Y$14)))),0))</x:f>
      </x:c>
      <x:c r="T308" t="str">
        <x:f>IF(Calc!$Q$308&gt;'Calc'!$B$8,"",IF('Calc'!$E$14=1,'财富模型'!$E$9,'财富模型'!$M$6+IF(Calc!$Q$308&lt;='财富模型'!$E$11*12,'Calc'!$W$14,'Calc'!$Y$14)-(IF('Calc'!$E$14=1,0,MIN(Calc!$S$307*(1+'财富模型'!$E$20/12)+'Calc'!$B$6,IF(Calc!$Q$308&lt;='财富模型'!$E$11*12,'Calc'!$W$14,'Calc'!$Y$14))))))</x:f>
      </x:c>
      <x:c r="U308" t="str">
        <x:f>IF(Calc!$Q$308&gt;'Calc'!$B$8,"",IF('Calc'!$E$14=1,0,MIN(Calc!$S$307*(1+'财富模型'!$E$20/12)+'Calc'!$B$6,IF(Calc!$Q$308&lt;='财富模型'!$E$11*12,'Calc'!$W$14,'Calc'!$Y$14))))</x:f>
      </x:c>
      <x:c r="V308" t="str">
        <x:f>IF(Calc!$Q$308&gt;'Calc'!$B$8,"",'Calc'!$B$5-'财富模型'!$E$5-(IF('Calc'!$E$14=1,'财富模型'!$E$9,'财富模型'!$M$6+IF(Calc!$Q$308&lt;='财富模型'!$E$11*12,'Calc'!$W$14,'Calc'!$Y$14)-(IF('Calc'!$E$14=1,0,MIN(Calc!$S$307*(1+'财富模型'!$E$20/12)+'Calc'!$B$6,IF(Calc!$Q$308&lt;='财富模型'!$E$11*12,'Calc'!$W$14,'Calc'!$Y$14)))))))</x:f>
      </x:c>
      <x:c r="W308" t="str">
        <x:f>IF(Calc!$Q$308&gt;'Calc'!$B$8,"",IF('Calc'!$E$14=1,0,MAX(Calc!$W$307*(1+IF(Calc!$Q$308&lt;='财富模型'!$E$11*12,'财富模型'!$E$10,'财富模型'!$E$12)/12)-IF('Calc'!$E$14=1,0,IF(Calc!$Q$308&lt;='财富模型'!$E$11*12,'Calc'!$W$14,'Calc'!$Y$14)),0)))</x:f>
      </x:c>
      <x:c r="Y308" t="n">
        <x:v>287</x:v>
      </x:c>
      <x:c r="Z308" t="str">
        <x:f>IF(Calc!$Y$308&gt;'Calc'!$B$8,"",MAX(Calc!$Z$307*(1+'财富模型'!$E$6/12)+('Calc'!$B$5-'财富模型'!$E$5-(IF('Calc'!$E$15=1,'财富模型'!$E$9,'财富模型'!$M$7+IF(Calc!$Y$308&lt;='财富模型'!$E$11*12,'Calc'!$W$15,'Calc'!$Y$15)-(IF('Calc'!$E$15=1,0,MIN(Calc!$AA$307*(1+'财富模型'!$E$20/12)+'Calc'!$B$6,IF(Calc!$Y$308&lt;='财富模型'!$E$11*12,'Calc'!$W$15,'Calc'!$Y$15))))))),0))</x:f>
      </x:c>
      <x:c r="AA308" t="str">
        <x:f>IF(Calc!$Y$308&gt;'Calc'!$B$8,"",MAX(Calc!$AA$307*(1+'财富模型'!$E$20/12)+'Calc'!$B$6-(IF('Calc'!$E$15=1,0,MIN(Calc!$AA$307*(1+'财富模型'!$E$20/12)+'Calc'!$B$6,IF(Calc!$Y$308&lt;='财富模型'!$E$11*12,'Calc'!$W$15,'Calc'!$Y$15)))),0))</x:f>
      </x:c>
      <x:c r="AB308" t="str">
        <x:f>IF(Calc!$Y$308&gt;'Calc'!$B$8,"",IF('Calc'!$E$15=1,'财富模型'!$E$9,'财富模型'!$M$7+IF(Calc!$Y$308&lt;='财富模型'!$E$11*12,'Calc'!$W$15,'Calc'!$Y$15)-(IF('Calc'!$E$15=1,0,MIN(Calc!$AA$307*(1+'财富模型'!$E$20/12)+'Calc'!$B$6,IF(Calc!$Y$308&lt;='财富模型'!$E$11*12,'Calc'!$W$15,'Calc'!$Y$15))))))</x:f>
      </x:c>
      <x:c r="AC308" t="str">
        <x:f>IF(Calc!$Y$308&gt;'Calc'!$B$8,"",IF('Calc'!$E$15=1,0,MIN(Calc!$AA$307*(1+'财富模型'!$E$20/12)+'Calc'!$B$6,IF(Calc!$Y$308&lt;='财富模型'!$E$11*12,'Calc'!$W$15,'Calc'!$Y$15))))</x:f>
      </x:c>
      <x:c r="AD308" t="str">
        <x:f>IF(Calc!$Y$308&gt;'Calc'!$B$8,"",'Calc'!$B$5-'财富模型'!$E$5-(IF('Calc'!$E$15=1,'财富模型'!$E$9,'财富模型'!$M$7+IF(Calc!$Y$308&lt;='财富模型'!$E$11*12,'Calc'!$W$15,'Calc'!$Y$15)-(IF('Calc'!$E$15=1,0,MIN(Calc!$AA$307*(1+'财富模型'!$E$20/12)+'Calc'!$B$6,IF(Calc!$Y$308&lt;='财富模型'!$E$11*12,'Calc'!$W$15,'Calc'!$Y$15)))))))</x:f>
      </x:c>
      <x:c r="AE308" t="str">
        <x:f>IF(Calc!$Y$308&gt;'Calc'!$B$8,"",IF('Calc'!$E$15=1,0,MAX(Calc!$AE$307*(1+IF(Calc!$Y$308&lt;='财富模型'!$E$11*12,'财富模型'!$E$10,'财富模型'!$E$12)/12)-IF('Calc'!$E$15=1,0,IF(Calc!$Y$308&lt;='财富模型'!$E$11*12,'Calc'!$W$15,'Calc'!$Y$15)),0)))</x:f>
      </x:c>
      <x:c r="AG308" t="n">
        <x:v>287</x:v>
      </x:c>
      <x:c r="AH308" t="str">
        <x:f>IF(Calc!$AG$308&gt;'Calc'!$B$8,"",MAX(Calc!$AH$307*(1+'财富模型'!$E$6/12)+('Calc'!$B$5-'财富模型'!$E$5-(IF('Calc'!$E$16=1,'财富模型'!$E$9,'财富模型'!$M$8+IF(Calc!$AG$308&lt;='财富模型'!$E$11*12,'Calc'!$W$16,'Calc'!$Y$16)-(IF('Calc'!$E$16=1,0,MIN(Calc!$AI$307*(1+'财富模型'!$E$20/12)+'Calc'!$B$6,IF(Calc!$AG$308&lt;='财富模型'!$E$11*12,'Calc'!$W$16,'Calc'!$Y$16))))))),0))</x:f>
      </x:c>
      <x:c r="AI308" t="str">
        <x:f>IF(Calc!$AG$308&gt;'Calc'!$B$8,"",MAX(Calc!$AI$307*(1+'财富模型'!$E$20/12)+'Calc'!$B$6-(IF('Calc'!$E$16=1,0,MIN(Calc!$AI$307*(1+'财富模型'!$E$20/12)+'Calc'!$B$6,IF(Calc!$AG$308&lt;='财富模型'!$E$11*12,'Calc'!$W$16,'Calc'!$Y$16)))),0))</x:f>
      </x:c>
      <x:c r="AJ308" t="str">
        <x:f>IF(Calc!$AG$308&gt;'Calc'!$B$8,"",IF('Calc'!$E$16=1,'财富模型'!$E$9,'财富模型'!$M$8+IF(Calc!$AG$308&lt;='财富模型'!$E$11*12,'Calc'!$W$16,'Calc'!$Y$16)-(IF('Calc'!$E$16=1,0,MIN(Calc!$AI$307*(1+'财富模型'!$E$20/12)+'Calc'!$B$6,IF(Calc!$AG$308&lt;='财富模型'!$E$11*12,'Calc'!$W$16,'Calc'!$Y$16))))))</x:f>
      </x:c>
      <x:c r="AK308" t="str">
        <x:f>IF(Calc!$AG$308&gt;'Calc'!$B$8,"",IF('Calc'!$E$16=1,0,MIN(Calc!$AI$307*(1+'财富模型'!$E$20/12)+'Calc'!$B$6,IF(Calc!$AG$308&lt;='财富模型'!$E$11*12,'Calc'!$W$16,'Calc'!$Y$16))))</x:f>
      </x:c>
      <x:c r="AL308" t="str">
        <x:f>IF(Calc!$AG$308&gt;'Calc'!$B$8,"",'Calc'!$B$5-'财富模型'!$E$5-(IF('Calc'!$E$16=1,'财富模型'!$E$9,'财富模型'!$M$8+IF(Calc!$AG$308&lt;='财富模型'!$E$11*12,'Calc'!$W$16,'Calc'!$Y$16)-(IF('Calc'!$E$16=1,0,MIN(Calc!$AI$307*(1+'财富模型'!$E$20/12)+'Calc'!$B$6,IF(Calc!$AG$308&lt;='财富模型'!$E$11*12,'Calc'!$W$16,'Calc'!$Y$16)))))))</x:f>
      </x:c>
      <x:c r="AM308" t="str">
        <x:f>IF(Calc!$AG$308&gt;'Calc'!$B$8,"",IF('Calc'!$E$16=1,0,MAX(Calc!$AM$307*(1+IF(Calc!$AG$308&lt;='财富模型'!$E$11*12,'财富模型'!$E$10,'财富模型'!$E$12)/12)-IF('Calc'!$E$16=1,0,IF(Calc!$AG$308&lt;='财富模型'!$E$11*12,'Calc'!$W$16,'Calc'!$Y$16)),0)))</x:f>
      </x:c>
      <x:c r="AO308" t="n">
        <x:v>287</x:v>
      </x:c>
      <x:c r="AP308" t="str">
        <x:f>IF(Calc!$AO$308&gt;'Calc'!$B$8,"",MAX(Calc!$AP$307*(1+'财富模型'!$E$6/12)+('Calc'!$B$5-'财富模型'!$E$5-(IF('Calc'!$E$17=1,'财富模型'!$E$9,'财富模型'!$M$9+IF(Calc!$AO$308&lt;='财富模型'!$E$11*12,'Calc'!$W$17,'Calc'!$Y$17)-(IF('Calc'!$E$17=1,0,MIN(Calc!$AQ$307*(1+'财富模型'!$E$20/12)+'Calc'!$B$6,IF(Calc!$AO$308&lt;='财富模型'!$E$11*12,'Calc'!$W$17,'Calc'!$Y$17))))))),0))</x:f>
      </x:c>
      <x:c r="AQ308" t="str">
        <x:f>IF(Calc!$AO$308&gt;'Calc'!$B$8,"",MAX(Calc!$AQ$307*(1+'财富模型'!$E$20/12)+'Calc'!$B$6-(IF('Calc'!$E$17=1,0,MIN(Calc!$AQ$307*(1+'财富模型'!$E$20/12)+'Calc'!$B$6,IF(Calc!$AO$308&lt;='财富模型'!$E$11*12,'Calc'!$W$17,'Calc'!$Y$17)))),0))</x:f>
      </x:c>
      <x:c r="AR308" t="str">
        <x:f>IF(Calc!$AO$308&gt;'Calc'!$B$8,"",IF('Calc'!$E$17=1,'财富模型'!$E$9,'财富模型'!$M$9+IF(Calc!$AO$308&lt;='财富模型'!$E$11*12,'Calc'!$W$17,'Calc'!$Y$17)-(IF('Calc'!$E$17=1,0,MIN(Calc!$AQ$307*(1+'财富模型'!$E$20/12)+'Calc'!$B$6,IF(Calc!$AO$308&lt;='财富模型'!$E$11*12,'Calc'!$W$17,'Calc'!$Y$17))))))</x:f>
      </x:c>
      <x:c r="AS308" t="str">
        <x:f>IF(Calc!$AO$308&gt;'Calc'!$B$8,"",IF('Calc'!$E$17=1,0,MIN(Calc!$AQ$307*(1+'财富模型'!$E$20/12)+'Calc'!$B$6,IF(Calc!$AO$308&lt;='财富模型'!$E$11*12,'Calc'!$W$17,'Calc'!$Y$17))))</x:f>
      </x:c>
      <x:c r="AT308" t="str">
        <x:f>IF(Calc!$AO$308&gt;'Calc'!$B$8,"",'Calc'!$B$5-'财富模型'!$E$5-(IF('Calc'!$E$17=1,'财富模型'!$E$9,'财富模型'!$M$9+IF(Calc!$AO$308&lt;='财富模型'!$E$11*12,'Calc'!$W$17,'Calc'!$Y$17)-(IF('Calc'!$E$17=1,0,MIN(Calc!$AQ$307*(1+'财富模型'!$E$20/12)+'Calc'!$B$6,IF(Calc!$AO$308&lt;='财富模型'!$E$11*12,'Calc'!$W$17,'Calc'!$Y$17)))))))</x:f>
      </x:c>
      <x:c r="AU308" t="str">
        <x:f>IF(Calc!$AO$308&gt;'Calc'!$B$8,"",IF('Calc'!$E$17=1,0,MAX(Calc!$AU$307*(1+IF(Calc!$AO$308&lt;='财富模型'!$E$11*12,'财富模型'!$E$10,'财富模型'!$E$12)/12)-IF('Calc'!$E$17=1,0,IF(Calc!$AO$308&lt;='财富模型'!$E$11*12,'Calc'!$W$17,'Calc'!$Y$17)),0)))</x:f>
      </x:c>
    </x:row>
    <x:row r="309">
      <x:c r="A309" t="n">
        <x:v>288</x:v>
      </x:c>
      <x:c r="B309" t="str">
        <x:f>IF(Calc!$A$309&gt;'Calc'!$B$8,"",MAX(Calc!$B$308*(1+'财富模型'!$E$6/12)+('Calc'!$B$5-'财富模型'!$E$5-(IF('Calc'!$E$12=1,'财富模型'!$E$9,'财富模型'!$M$4+IF(Calc!$A$309&lt;='财富模型'!$E$11*12,'Calc'!$W$12,'Calc'!$Y$12)-(IF('Calc'!$E$12=1,0,MIN(Calc!$C$308*(1+'财富模型'!$E$20/12)+'Calc'!$B$6,IF(Calc!$A$309&lt;='财富模型'!$E$11*12,'Calc'!$W$12,'Calc'!$Y$12))))))),0))</x:f>
      </x:c>
      <x:c r="C309" t="str">
        <x:f>IF(Calc!$A$309&gt;'Calc'!$B$8,"",MAX(Calc!$C$308*(1+'财富模型'!$E$20/12)+'Calc'!$B$6-(IF('Calc'!$E$12=1,0,MIN(Calc!$C$308*(1+'财富模型'!$E$20/12)+'Calc'!$B$6,IF(Calc!$A$309&lt;='财富模型'!$E$11*12,'Calc'!$W$12,'Calc'!$Y$12)))),0))</x:f>
      </x:c>
      <x:c r="D309" t="str">
        <x:f>IF(Calc!$A$309&gt;'Calc'!$B$8,"",IF('Calc'!$E$12=1,'财富模型'!$E$9,'财富模型'!$M$4+IF(Calc!$A$309&lt;='财富模型'!$E$11*12,'Calc'!$W$12,'Calc'!$Y$12)-(IF('Calc'!$E$12=1,0,MIN(Calc!$C$308*(1+'财富模型'!$E$20/12)+'Calc'!$B$6,IF(Calc!$A$309&lt;='财富模型'!$E$11*12,'Calc'!$W$12,'Calc'!$Y$12))))))</x:f>
      </x:c>
      <x:c r="E309" t="str">
        <x:f>IF(Calc!$A$309&gt;'Calc'!$B$8,"",IF('Calc'!$E$12=1,0,MIN(Calc!$C$308*(1+'财富模型'!$E$20/12)+'Calc'!$B$6,IF(Calc!$A$309&lt;='财富模型'!$E$11*12,'Calc'!$W$12,'Calc'!$Y$12))))</x:f>
      </x:c>
      <x:c r="F309" t="str">
        <x:f>IF(Calc!$A$309&gt;'Calc'!$B$8,"",'Calc'!$B$5-'财富模型'!$E$5-(IF('Calc'!$E$12=1,'财富模型'!$E$9,'财富模型'!$M$4+IF(Calc!$A$309&lt;='财富模型'!$E$11*12,'Calc'!$W$12,'Calc'!$Y$12)-(IF('Calc'!$E$12=1,0,MIN(Calc!$C$308*(1+'财富模型'!$E$20/12)+'Calc'!$B$6,IF(Calc!$A$309&lt;='财富模型'!$E$11*12,'Calc'!$W$12,'Calc'!$Y$12)))))))</x:f>
      </x:c>
      <x:c r="G309" t="str">
        <x:f>IF(Calc!$A$309&gt;'Calc'!$B$8,"",IF('Calc'!$E$12=1,0,MAX(Calc!$G$308*(1+IF(Calc!$A$309&lt;='财富模型'!$E$11*12,'财富模型'!$E$10,'财富模型'!$E$12)/12)-IF('Calc'!$E$12=1,0,IF(Calc!$A$309&lt;='财富模型'!$E$11*12,'Calc'!$W$12,'Calc'!$Y$12)),0)))</x:f>
      </x:c>
      <x:c r="I309" t="n">
        <x:v>288</x:v>
      </x:c>
      <x:c r="J309" t="str">
        <x:f>IF(Calc!$I$309&gt;'Calc'!$B$8,"",MAX(Calc!$J$308*(1+'财富模型'!$E$6/12)+('Calc'!$B$5-'财富模型'!$E$5-(IF('Calc'!$E$13=1,'财富模型'!$E$9,'财富模型'!$M$5+IF(Calc!$I$309&lt;='财富模型'!$E$11*12,'Calc'!$W$13,'Calc'!$Y$13)-(IF('Calc'!$E$13=1,0,MIN(Calc!$K$308*(1+'财富模型'!$E$20/12)+'Calc'!$B$6,IF(Calc!$I$309&lt;='财富模型'!$E$11*12,'Calc'!$W$13,'Calc'!$Y$13))))))),0))</x:f>
      </x:c>
      <x:c r="K309" t="str">
        <x:f>IF(Calc!$I$309&gt;'Calc'!$B$8,"",MAX(Calc!$K$308*(1+'财富模型'!$E$20/12)+'Calc'!$B$6-(IF('Calc'!$E$13=1,0,MIN(Calc!$K$308*(1+'财富模型'!$E$20/12)+'Calc'!$B$6,IF(Calc!$I$309&lt;='财富模型'!$E$11*12,'Calc'!$W$13,'Calc'!$Y$13)))),0))</x:f>
      </x:c>
      <x:c r="L309" t="str">
        <x:f>IF(Calc!$I$309&gt;'Calc'!$B$8,"",IF('Calc'!$E$13=1,'财富模型'!$E$9,'财富模型'!$M$5+IF(Calc!$I$309&lt;='财富模型'!$E$11*12,'Calc'!$W$13,'Calc'!$Y$13)-(IF('Calc'!$E$13=1,0,MIN(Calc!$K$308*(1+'财富模型'!$E$20/12)+'Calc'!$B$6,IF(Calc!$I$309&lt;='财富模型'!$E$11*12,'Calc'!$W$13,'Calc'!$Y$13))))))</x:f>
      </x:c>
      <x:c r="M309" t="str">
        <x:f>IF(Calc!$I$309&gt;'Calc'!$B$8,"",IF('Calc'!$E$13=1,0,MIN(Calc!$K$308*(1+'财富模型'!$E$20/12)+'Calc'!$B$6,IF(Calc!$I$309&lt;='财富模型'!$E$11*12,'Calc'!$W$13,'Calc'!$Y$13))))</x:f>
      </x:c>
      <x:c r="N309" t="str">
        <x:f>IF(Calc!$I$309&gt;'Calc'!$B$8,"",'Calc'!$B$5-'财富模型'!$E$5-(IF('Calc'!$E$13=1,'财富模型'!$E$9,'财富模型'!$M$5+IF(Calc!$I$309&lt;='财富模型'!$E$11*12,'Calc'!$W$13,'Calc'!$Y$13)-(IF('Calc'!$E$13=1,0,MIN(Calc!$K$308*(1+'财富模型'!$E$20/12)+'Calc'!$B$6,IF(Calc!$I$309&lt;='财富模型'!$E$11*12,'Calc'!$W$13,'Calc'!$Y$13)))))))</x:f>
      </x:c>
      <x:c r="O309" t="str">
        <x:f>IF(Calc!$I$309&gt;'Calc'!$B$8,"",IF('Calc'!$E$13=1,0,MAX(Calc!$O$308*(1+IF(Calc!$I$309&lt;='财富模型'!$E$11*12,'财富模型'!$E$10,'财富模型'!$E$12)/12)-IF('Calc'!$E$13=1,0,IF(Calc!$I$309&lt;='财富模型'!$E$11*12,'Calc'!$W$13,'Calc'!$Y$13)),0)))</x:f>
      </x:c>
      <x:c r="Q309" t="n">
        <x:v>288</x:v>
      </x:c>
      <x:c r="R309" t="str">
        <x:f>IF(Calc!$Q$309&gt;'Calc'!$B$8,"",MAX(Calc!$R$308*(1+'财富模型'!$E$6/12)+('Calc'!$B$5-'财富模型'!$E$5-(IF('Calc'!$E$14=1,'财富模型'!$E$9,'财富模型'!$M$6+IF(Calc!$Q$309&lt;='财富模型'!$E$11*12,'Calc'!$W$14,'Calc'!$Y$14)-(IF('Calc'!$E$14=1,0,MIN(Calc!$S$308*(1+'财富模型'!$E$20/12)+'Calc'!$B$6,IF(Calc!$Q$309&lt;='财富模型'!$E$11*12,'Calc'!$W$14,'Calc'!$Y$14))))))),0))</x:f>
      </x:c>
      <x:c r="S309" t="str">
        <x:f>IF(Calc!$Q$309&gt;'Calc'!$B$8,"",MAX(Calc!$S$308*(1+'财富模型'!$E$20/12)+'Calc'!$B$6-(IF('Calc'!$E$14=1,0,MIN(Calc!$S$308*(1+'财富模型'!$E$20/12)+'Calc'!$B$6,IF(Calc!$Q$309&lt;='财富模型'!$E$11*12,'Calc'!$W$14,'Calc'!$Y$14)))),0))</x:f>
      </x:c>
      <x:c r="T309" t="str">
        <x:f>IF(Calc!$Q$309&gt;'Calc'!$B$8,"",IF('Calc'!$E$14=1,'财富模型'!$E$9,'财富模型'!$M$6+IF(Calc!$Q$309&lt;='财富模型'!$E$11*12,'Calc'!$W$14,'Calc'!$Y$14)-(IF('Calc'!$E$14=1,0,MIN(Calc!$S$308*(1+'财富模型'!$E$20/12)+'Calc'!$B$6,IF(Calc!$Q$309&lt;='财富模型'!$E$11*12,'Calc'!$W$14,'Calc'!$Y$14))))))</x:f>
      </x:c>
      <x:c r="U309" t="str">
        <x:f>IF(Calc!$Q$309&gt;'Calc'!$B$8,"",IF('Calc'!$E$14=1,0,MIN(Calc!$S$308*(1+'财富模型'!$E$20/12)+'Calc'!$B$6,IF(Calc!$Q$309&lt;='财富模型'!$E$11*12,'Calc'!$W$14,'Calc'!$Y$14))))</x:f>
      </x:c>
      <x:c r="V309" t="str">
        <x:f>IF(Calc!$Q$309&gt;'Calc'!$B$8,"",'Calc'!$B$5-'财富模型'!$E$5-(IF('Calc'!$E$14=1,'财富模型'!$E$9,'财富模型'!$M$6+IF(Calc!$Q$309&lt;='财富模型'!$E$11*12,'Calc'!$W$14,'Calc'!$Y$14)-(IF('Calc'!$E$14=1,0,MIN(Calc!$S$308*(1+'财富模型'!$E$20/12)+'Calc'!$B$6,IF(Calc!$Q$309&lt;='财富模型'!$E$11*12,'Calc'!$W$14,'Calc'!$Y$14)))))))</x:f>
      </x:c>
      <x:c r="W309" t="str">
        <x:f>IF(Calc!$Q$309&gt;'Calc'!$B$8,"",IF('Calc'!$E$14=1,0,MAX(Calc!$W$308*(1+IF(Calc!$Q$309&lt;='财富模型'!$E$11*12,'财富模型'!$E$10,'财富模型'!$E$12)/12)-IF('Calc'!$E$14=1,0,IF(Calc!$Q$309&lt;='财富模型'!$E$11*12,'Calc'!$W$14,'Calc'!$Y$14)),0)))</x:f>
      </x:c>
      <x:c r="Y309" t="n">
        <x:v>288</x:v>
      </x:c>
      <x:c r="Z309" t="str">
        <x:f>IF(Calc!$Y$309&gt;'Calc'!$B$8,"",MAX(Calc!$Z$308*(1+'财富模型'!$E$6/12)+('Calc'!$B$5-'财富模型'!$E$5-(IF('Calc'!$E$15=1,'财富模型'!$E$9,'财富模型'!$M$7+IF(Calc!$Y$309&lt;='财富模型'!$E$11*12,'Calc'!$W$15,'Calc'!$Y$15)-(IF('Calc'!$E$15=1,0,MIN(Calc!$AA$308*(1+'财富模型'!$E$20/12)+'Calc'!$B$6,IF(Calc!$Y$309&lt;='财富模型'!$E$11*12,'Calc'!$W$15,'Calc'!$Y$15))))))),0))</x:f>
      </x:c>
      <x:c r="AA309" t="str">
        <x:f>IF(Calc!$Y$309&gt;'Calc'!$B$8,"",MAX(Calc!$AA$308*(1+'财富模型'!$E$20/12)+'Calc'!$B$6-(IF('Calc'!$E$15=1,0,MIN(Calc!$AA$308*(1+'财富模型'!$E$20/12)+'Calc'!$B$6,IF(Calc!$Y$309&lt;='财富模型'!$E$11*12,'Calc'!$W$15,'Calc'!$Y$15)))),0))</x:f>
      </x:c>
      <x:c r="AB309" t="str">
        <x:f>IF(Calc!$Y$309&gt;'Calc'!$B$8,"",IF('Calc'!$E$15=1,'财富模型'!$E$9,'财富模型'!$M$7+IF(Calc!$Y$309&lt;='财富模型'!$E$11*12,'Calc'!$W$15,'Calc'!$Y$15)-(IF('Calc'!$E$15=1,0,MIN(Calc!$AA$308*(1+'财富模型'!$E$20/12)+'Calc'!$B$6,IF(Calc!$Y$309&lt;='财富模型'!$E$11*12,'Calc'!$W$15,'Calc'!$Y$15))))))</x:f>
      </x:c>
      <x:c r="AC309" t="str">
        <x:f>IF(Calc!$Y$309&gt;'Calc'!$B$8,"",IF('Calc'!$E$15=1,0,MIN(Calc!$AA$308*(1+'财富模型'!$E$20/12)+'Calc'!$B$6,IF(Calc!$Y$309&lt;='财富模型'!$E$11*12,'Calc'!$W$15,'Calc'!$Y$15))))</x:f>
      </x:c>
      <x:c r="AD309" t="str">
        <x:f>IF(Calc!$Y$309&gt;'Calc'!$B$8,"",'Calc'!$B$5-'财富模型'!$E$5-(IF('Calc'!$E$15=1,'财富模型'!$E$9,'财富模型'!$M$7+IF(Calc!$Y$309&lt;='财富模型'!$E$11*12,'Calc'!$W$15,'Calc'!$Y$15)-(IF('Calc'!$E$15=1,0,MIN(Calc!$AA$308*(1+'财富模型'!$E$20/12)+'Calc'!$B$6,IF(Calc!$Y$309&lt;='财富模型'!$E$11*12,'Calc'!$W$15,'Calc'!$Y$15)))))))</x:f>
      </x:c>
      <x:c r="AE309" t="str">
        <x:f>IF(Calc!$Y$309&gt;'Calc'!$B$8,"",IF('Calc'!$E$15=1,0,MAX(Calc!$AE$308*(1+IF(Calc!$Y$309&lt;='财富模型'!$E$11*12,'财富模型'!$E$10,'财富模型'!$E$12)/12)-IF('Calc'!$E$15=1,0,IF(Calc!$Y$309&lt;='财富模型'!$E$11*12,'Calc'!$W$15,'Calc'!$Y$15)),0)))</x:f>
      </x:c>
      <x:c r="AG309" t="n">
        <x:v>288</x:v>
      </x:c>
      <x:c r="AH309" t="str">
        <x:f>IF(Calc!$AG$309&gt;'Calc'!$B$8,"",MAX(Calc!$AH$308*(1+'财富模型'!$E$6/12)+('Calc'!$B$5-'财富模型'!$E$5-(IF('Calc'!$E$16=1,'财富模型'!$E$9,'财富模型'!$M$8+IF(Calc!$AG$309&lt;='财富模型'!$E$11*12,'Calc'!$W$16,'Calc'!$Y$16)-(IF('Calc'!$E$16=1,0,MIN(Calc!$AI$308*(1+'财富模型'!$E$20/12)+'Calc'!$B$6,IF(Calc!$AG$309&lt;='财富模型'!$E$11*12,'Calc'!$W$16,'Calc'!$Y$16))))))),0))</x:f>
      </x:c>
      <x:c r="AI309" t="str">
        <x:f>IF(Calc!$AG$309&gt;'Calc'!$B$8,"",MAX(Calc!$AI$308*(1+'财富模型'!$E$20/12)+'Calc'!$B$6-(IF('Calc'!$E$16=1,0,MIN(Calc!$AI$308*(1+'财富模型'!$E$20/12)+'Calc'!$B$6,IF(Calc!$AG$309&lt;='财富模型'!$E$11*12,'Calc'!$W$16,'Calc'!$Y$16)))),0))</x:f>
      </x:c>
      <x:c r="AJ309" t="str">
        <x:f>IF(Calc!$AG$309&gt;'Calc'!$B$8,"",IF('Calc'!$E$16=1,'财富模型'!$E$9,'财富模型'!$M$8+IF(Calc!$AG$309&lt;='财富模型'!$E$11*12,'Calc'!$W$16,'Calc'!$Y$16)-(IF('Calc'!$E$16=1,0,MIN(Calc!$AI$308*(1+'财富模型'!$E$20/12)+'Calc'!$B$6,IF(Calc!$AG$309&lt;='财富模型'!$E$11*12,'Calc'!$W$16,'Calc'!$Y$16))))))</x:f>
      </x:c>
      <x:c r="AK309" t="str">
        <x:f>IF(Calc!$AG$309&gt;'Calc'!$B$8,"",IF('Calc'!$E$16=1,0,MIN(Calc!$AI$308*(1+'财富模型'!$E$20/12)+'Calc'!$B$6,IF(Calc!$AG$309&lt;='财富模型'!$E$11*12,'Calc'!$W$16,'Calc'!$Y$16))))</x:f>
      </x:c>
      <x:c r="AL309" t="str">
        <x:f>IF(Calc!$AG$309&gt;'Calc'!$B$8,"",'Calc'!$B$5-'财富模型'!$E$5-(IF('Calc'!$E$16=1,'财富模型'!$E$9,'财富模型'!$M$8+IF(Calc!$AG$309&lt;='财富模型'!$E$11*12,'Calc'!$W$16,'Calc'!$Y$16)-(IF('Calc'!$E$16=1,0,MIN(Calc!$AI$308*(1+'财富模型'!$E$20/12)+'Calc'!$B$6,IF(Calc!$AG$309&lt;='财富模型'!$E$11*12,'Calc'!$W$16,'Calc'!$Y$16)))))))</x:f>
      </x:c>
      <x:c r="AM309" t="str">
        <x:f>IF(Calc!$AG$309&gt;'Calc'!$B$8,"",IF('Calc'!$E$16=1,0,MAX(Calc!$AM$308*(1+IF(Calc!$AG$309&lt;='财富模型'!$E$11*12,'财富模型'!$E$10,'财富模型'!$E$12)/12)-IF('Calc'!$E$16=1,0,IF(Calc!$AG$309&lt;='财富模型'!$E$11*12,'Calc'!$W$16,'Calc'!$Y$16)),0)))</x:f>
      </x:c>
      <x:c r="AO309" t="n">
        <x:v>288</x:v>
      </x:c>
      <x:c r="AP309" t="str">
        <x:f>IF(Calc!$AO$309&gt;'Calc'!$B$8,"",MAX(Calc!$AP$308*(1+'财富模型'!$E$6/12)+('Calc'!$B$5-'财富模型'!$E$5-(IF('Calc'!$E$17=1,'财富模型'!$E$9,'财富模型'!$M$9+IF(Calc!$AO$309&lt;='财富模型'!$E$11*12,'Calc'!$W$17,'Calc'!$Y$17)-(IF('Calc'!$E$17=1,0,MIN(Calc!$AQ$308*(1+'财富模型'!$E$20/12)+'Calc'!$B$6,IF(Calc!$AO$309&lt;='财富模型'!$E$11*12,'Calc'!$W$17,'Calc'!$Y$17))))))),0))</x:f>
      </x:c>
      <x:c r="AQ309" t="str">
        <x:f>IF(Calc!$AO$309&gt;'Calc'!$B$8,"",MAX(Calc!$AQ$308*(1+'财富模型'!$E$20/12)+'Calc'!$B$6-(IF('Calc'!$E$17=1,0,MIN(Calc!$AQ$308*(1+'财富模型'!$E$20/12)+'Calc'!$B$6,IF(Calc!$AO$309&lt;='财富模型'!$E$11*12,'Calc'!$W$17,'Calc'!$Y$17)))),0))</x:f>
      </x:c>
      <x:c r="AR309" t="str">
        <x:f>IF(Calc!$AO$309&gt;'Calc'!$B$8,"",IF('Calc'!$E$17=1,'财富模型'!$E$9,'财富模型'!$M$9+IF(Calc!$AO$309&lt;='财富模型'!$E$11*12,'Calc'!$W$17,'Calc'!$Y$17)-(IF('Calc'!$E$17=1,0,MIN(Calc!$AQ$308*(1+'财富模型'!$E$20/12)+'Calc'!$B$6,IF(Calc!$AO$309&lt;='财富模型'!$E$11*12,'Calc'!$W$17,'Calc'!$Y$17))))))</x:f>
      </x:c>
      <x:c r="AS309" t="str">
        <x:f>IF(Calc!$AO$309&gt;'Calc'!$B$8,"",IF('Calc'!$E$17=1,0,MIN(Calc!$AQ$308*(1+'财富模型'!$E$20/12)+'Calc'!$B$6,IF(Calc!$AO$309&lt;='财富模型'!$E$11*12,'Calc'!$W$17,'Calc'!$Y$17))))</x:f>
      </x:c>
      <x:c r="AT309" t="str">
        <x:f>IF(Calc!$AO$309&gt;'Calc'!$B$8,"",'Calc'!$B$5-'财富模型'!$E$5-(IF('Calc'!$E$17=1,'财富模型'!$E$9,'财富模型'!$M$9+IF(Calc!$AO$309&lt;='财富模型'!$E$11*12,'Calc'!$W$17,'Calc'!$Y$17)-(IF('Calc'!$E$17=1,0,MIN(Calc!$AQ$308*(1+'财富模型'!$E$20/12)+'Calc'!$B$6,IF(Calc!$AO$309&lt;='财富模型'!$E$11*12,'Calc'!$W$17,'Calc'!$Y$17)))))))</x:f>
      </x:c>
      <x:c r="AU309" t="str">
        <x:f>IF(Calc!$AO$309&gt;'Calc'!$B$8,"",IF('Calc'!$E$17=1,0,MAX(Calc!$AU$308*(1+IF(Calc!$AO$309&lt;='财富模型'!$E$11*12,'财富模型'!$E$10,'财富模型'!$E$12)/12)-IF('Calc'!$E$17=1,0,IF(Calc!$AO$309&lt;='财富模型'!$E$11*12,'Calc'!$W$17,'Calc'!$Y$17)),0)))</x:f>
      </x:c>
    </x:row>
    <x:row r="310">
      <x:c r="A310" t="n">
        <x:v>289</x:v>
      </x:c>
      <x:c r="B310" t="str">
        <x:f>IF(Calc!$A$310&gt;'Calc'!$B$8,"",MAX(Calc!$B$309*(1+'财富模型'!$E$6/12)+('Calc'!$B$5-'财富模型'!$E$5-(IF('Calc'!$E$12=1,'财富模型'!$E$9,'财富模型'!$M$4+IF(Calc!$A$310&lt;='财富模型'!$E$11*12,'Calc'!$W$12,'Calc'!$Y$12)-(IF('Calc'!$E$12=1,0,MIN(Calc!$C$309*(1+'财富模型'!$E$20/12)+'Calc'!$B$6,IF(Calc!$A$310&lt;='财富模型'!$E$11*12,'Calc'!$W$12,'Calc'!$Y$12))))))),0))</x:f>
      </x:c>
      <x:c r="C310" t="str">
        <x:f>IF(Calc!$A$310&gt;'Calc'!$B$8,"",MAX(Calc!$C$309*(1+'财富模型'!$E$20/12)+'Calc'!$B$6-(IF('Calc'!$E$12=1,0,MIN(Calc!$C$309*(1+'财富模型'!$E$20/12)+'Calc'!$B$6,IF(Calc!$A$310&lt;='财富模型'!$E$11*12,'Calc'!$W$12,'Calc'!$Y$12)))),0))</x:f>
      </x:c>
      <x:c r="D310" t="str">
        <x:f>IF(Calc!$A$310&gt;'Calc'!$B$8,"",IF('Calc'!$E$12=1,'财富模型'!$E$9,'财富模型'!$M$4+IF(Calc!$A$310&lt;='财富模型'!$E$11*12,'Calc'!$W$12,'Calc'!$Y$12)-(IF('Calc'!$E$12=1,0,MIN(Calc!$C$309*(1+'财富模型'!$E$20/12)+'Calc'!$B$6,IF(Calc!$A$310&lt;='财富模型'!$E$11*12,'Calc'!$W$12,'Calc'!$Y$12))))))</x:f>
      </x:c>
      <x:c r="E310" t="str">
        <x:f>IF(Calc!$A$310&gt;'Calc'!$B$8,"",IF('Calc'!$E$12=1,0,MIN(Calc!$C$309*(1+'财富模型'!$E$20/12)+'Calc'!$B$6,IF(Calc!$A$310&lt;='财富模型'!$E$11*12,'Calc'!$W$12,'Calc'!$Y$12))))</x:f>
      </x:c>
      <x:c r="F310" t="str">
        <x:f>IF(Calc!$A$310&gt;'Calc'!$B$8,"",'Calc'!$B$5-'财富模型'!$E$5-(IF('Calc'!$E$12=1,'财富模型'!$E$9,'财富模型'!$M$4+IF(Calc!$A$310&lt;='财富模型'!$E$11*12,'Calc'!$W$12,'Calc'!$Y$12)-(IF('Calc'!$E$12=1,0,MIN(Calc!$C$309*(1+'财富模型'!$E$20/12)+'Calc'!$B$6,IF(Calc!$A$310&lt;='财富模型'!$E$11*12,'Calc'!$W$12,'Calc'!$Y$12)))))))</x:f>
      </x:c>
      <x:c r="G310" t="str">
        <x:f>IF(Calc!$A$310&gt;'Calc'!$B$8,"",IF('Calc'!$E$12=1,0,MAX(Calc!$G$309*(1+IF(Calc!$A$310&lt;='财富模型'!$E$11*12,'财富模型'!$E$10,'财富模型'!$E$12)/12)-IF('Calc'!$E$12=1,0,IF(Calc!$A$310&lt;='财富模型'!$E$11*12,'Calc'!$W$12,'Calc'!$Y$12)),0)))</x:f>
      </x:c>
      <x:c r="I310" t="n">
        <x:v>289</x:v>
      </x:c>
      <x:c r="J310" t="str">
        <x:f>IF(Calc!$I$310&gt;'Calc'!$B$8,"",MAX(Calc!$J$309*(1+'财富模型'!$E$6/12)+('Calc'!$B$5-'财富模型'!$E$5-(IF('Calc'!$E$13=1,'财富模型'!$E$9,'财富模型'!$M$5+IF(Calc!$I$310&lt;='财富模型'!$E$11*12,'Calc'!$W$13,'Calc'!$Y$13)-(IF('Calc'!$E$13=1,0,MIN(Calc!$K$309*(1+'财富模型'!$E$20/12)+'Calc'!$B$6,IF(Calc!$I$310&lt;='财富模型'!$E$11*12,'Calc'!$W$13,'Calc'!$Y$13))))))),0))</x:f>
      </x:c>
      <x:c r="K310" t="str">
        <x:f>IF(Calc!$I$310&gt;'Calc'!$B$8,"",MAX(Calc!$K$309*(1+'财富模型'!$E$20/12)+'Calc'!$B$6-(IF('Calc'!$E$13=1,0,MIN(Calc!$K$309*(1+'财富模型'!$E$20/12)+'Calc'!$B$6,IF(Calc!$I$310&lt;='财富模型'!$E$11*12,'Calc'!$W$13,'Calc'!$Y$13)))),0))</x:f>
      </x:c>
      <x:c r="L310" t="str">
        <x:f>IF(Calc!$I$310&gt;'Calc'!$B$8,"",IF('Calc'!$E$13=1,'财富模型'!$E$9,'财富模型'!$M$5+IF(Calc!$I$310&lt;='财富模型'!$E$11*12,'Calc'!$W$13,'Calc'!$Y$13)-(IF('Calc'!$E$13=1,0,MIN(Calc!$K$309*(1+'财富模型'!$E$20/12)+'Calc'!$B$6,IF(Calc!$I$310&lt;='财富模型'!$E$11*12,'Calc'!$W$13,'Calc'!$Y$13))))))</x:f>
      </x:c>
      <x:c r="M310" t="str">
        <x:f>IF(Calc!$I$310&gt;'Calc'!$B$8,"",IF('Calc'!$E$13=1,0,MIN(Calc!$K$309*(1+'财富模型'!$E$20/12)+'Calc'!$B$6,IF(Calc!$I$310&lt;='财富模型'!$E$11*12,'Calc'!$W$13,'Calc'!$Y$13))))</x:f>
      </x:c>
      <x:c r="N310" t="str">
        <x:f>IF(Calc!$I$310&gt;'Calc'!$B$8,"",'Calc'!$B$5-'财富模型'!$E$5-(IF('Calc'!$E$13=1,'财富模型'!$E$9,'财富模型'!$M$5+IF(Calc!$I$310&lt;='财富模型'!$E$11*12,'Calc'!$W$13,'Calc'!$Y$13)-(IF('Calc'!$E$13=1,0,MIN(Calc!$K$309*(1+'财富模型'!$E$20/12)+'Calc'!$B$6,IF(Calc!$I$310&lt;='财富模型'!$E$11*12,'Calc'!$W$13,'Calc'!$Y$13)))))))</x:f>
      </x:c>
      <x:c r="O310" t="str">
        <x:f>IF(Calc!$I$310&gt;'Calc'!$B$8,"",IF('Calc'!$E$13=1,0,MAX(Calc!$O$309*(1+IF(Calc!$I$310&lt;='财富模型'!$E$11*12,'财富模型'!$E$10,'财富模型'!$E$12)/12)-IF('Calc'!$E$13=1,0,IF(Calc!$I$310&lt;='财富模型'!$E$11*12,'Calc'!$W$13,'Calc'!$Y$13)),0)))</x:f>
      </x:c>
      <x:c r="Q310" t="n">
        <x:v>289</x:v>
      </x:c>
      <x:c r="R310" t="str">
        <x:f>IF(Calc!$Q$310&gt;'Calc'!$B$8,"",MAX(Calc!$R$309*(1+'财富模型'!$E$6/12)+('Calc'!$B$5-'财富模型'!$E$5-(IF('Calc'!$E$14=1,'财富模型'!$E$9,'财富模型'!$M$6+IF(Calc!$Q$310&lt;='财富模型'!$E$11*12,'Calc'!$W$14,'Calc'!$Y$14)-(IF('Calc'!$E$14=1,0,MIN(Calc!$S$309*(1+'财富模型'!$E$20/12)+'Calc'!$B$6,IF(Calc!$Q$310&lt;='财富模型'!$E$11*12,'Calc'!$W$14,'Calc'!$Y$14))))))),0))</x:f>
      </x:c>
      <x:c r="S310" t="str">
        <x:f>IF(Calc!$Q$310&gt;'Calc'!$B$8,"",MAX(Calc!$S$309*(1+'财富模型'!$E$20/12)+'Calc'!$B$6-(IF('Calc'!$E$14=1,0,MIN(Calc!$S$309*(1+'财富模型'!$E$20/12)+'Calc'!$B$6,IF(Calc!$Q$310&lt;='财富模型'!$E$11*12,'Calc'!$W$14,'Calc'!$Y$14)))),0))</x:f>
      </x:c>
      <x:c r="T310" t="str">
        <x:f>IF(Calc!$Q$310&gt;'Calc'!$B$8,"",IF('Calc'!$E$14=1,'财富模型'!$E$9,'财富模型'!$M$6+IF(Calc!$Q$310&lt;='财富模型'!$E$11*12,'Calc'!$W$14,'Calc'!$Y$14)-(IF('Calc'!$E$14=1,0,MIN(Calc!$S$309*(1+'财富模型'!$E$20/12)+'Calc'!$B$6,IF(Calc!$Q$310&lt;='财富模型'!$E$11*12,'Calc'!$W$14,'Calc'!$Y$14))))))</x:f>
      </x:c>
      <x:c r="U310" t="str">
        <x:f>IF(Calc!$Q$310&gt;'Calc'!$B$8,"",IF('Calc'!$E$14=1,0,MIN(Calc!$S$309*(1+'财富模型'!$E$20/12)+'Calc'!$B$6,IF(Calc!$Q$310&lt;='财富模型'!$E$11*12,'Calc'!$W$14,'Calc'!$Y$14))))</x:f>
      </x:c>
      <x:c r="V310" t="str">
        <x:f>IF(Calc!$Q$310&gt;'Calc'!$B$8,"",'Calc'!$B$5-'财富模型'!$E$5-(IF('Calc'!$E$14=1,'财富模型'!$E$9,'财富模型'!$M$6+IF(Calc!$Q$310&lt;='财富模型'!$E$11*12,'Calc'!$W$14,'Calc'!$Y$14)-(IF('Calc'!$E$14=1,0,MIN(Calc!$S$309*(1+'财富模型'!$E$20/12)+'Calc'!$B$6,IF(Calc!$Q$310&lt;='财富模型'!$E$11*12,'Calc'!$W$14,'Calc'!$Y$14)))))))</x:f>
      </x:c>
      <x:c r="W310" t="str">
        <x:f>IF(Calc!$Q$310&gt;'Calc'!$B$8,"",IF('Calc'!$E$14=1,0,MAX(Calc!$W$309*(1+IF(Calc!$Q$310&lt;='财富模型'!$E$11*12,'财富模型'!$E$10,'财富模型'!$E$12)/12)-IF('Calc'!$E$14=1,0,IF(Calc!$Q$310&lt;='财富模型'!$E$11*12,'Calc'!$W$14,'Calc'!$Y$14)),0)))</x:f>
      </x:c>
      <x:c r="Y310" t="n">
        <x:v>289</x:v>
      </x:c>
      <x:c r="Z310" t="str">
        <x:f>IF(Calc!$Y$310&gt;'Calc'!$B$8,"",MAX(Calc!$Z$309*(1+'财富模型'!$E$6/12)+('Calc'!$B$5-'财富模型'!$E$5-(IF('Calc'!$E$15=1,'财富模型'!$E$9,'财富模型'!$M$7+IF(Calc!$Y$310&lt;='财富模型'!$E$11*12,'Calc'!$W$15,'Calc'!$Y$15)-(IF('Calc'!$E$15=1,0,MIN(Calc!$AA$309*(1+'财富模型'!$E$20/12)+'Calc'!$B$6,IF(Calc!$Y$310&lt;='财富模型'!$E$11*12,'Calc'!$W$15,'Calc'!$Y$15))))))),0))</x:f>
      </x:c>
      <x:c r="AA310" t="str">
        <x:f>IF(Calc!$Y$310&gt;'Calc'!$B$8,"",MAX(Calc!$AA$309*(1+'财富模型'!$E$20/12)+'Calc'!$B$6-(IF('Calc'!$E$15=1,0,MIN(Calc!$AA$309*(1+'财富模型'!$E$20/12)+'Calc'!$B$6,IF(Calc!$Y$310&lt;='财富模型'!$E$11*12,'Calc'!$W$15,'Calc'!$Y$15)))),0))</x:f>
      </x:c>
      <x:c r="AB310" t="str">
        <x:f>IF(Calc!$Y$310&gt;'Calc'!$B$8,"",IF('Calc'!$E$15=1,'财富模型'!$E$9,'财富模型'!$M$7+IF(Calc!$Y$310&lt;='财富模型'!$E$11*12,'Calc'!$W$15,'Calc'!$Y$15)-(IF('Calc'!$E$15=1,0,MIN(Calc!$AA$309*(1+'财富模型'!$E$20/12)+'Calc'!$B$6,IF(Calc!$Y$310&lt;='财富模型'!$E$11*12,'Calc'!$W$15,'Calc'!$Y$15))))))</x:f>
      </x:c>
      <x:c r="AC310" t="str">
        <x:f>IF(Calc!$Y$310&gt;'Calc'!$B$8,"",IF('Calc'!$E$15=1,0,MIN(Calc!$AA$309*(1+'财富模型'!$E$20/12)+'Calc'!$B$6,IF(Calc!$Y$310&lt;='财富模型'!$E$11*12,'Calc'!$W$15,'Calc'!$Y$15))))</x:f>
      </x:c>
      <x:c r="AD310" t="str">
        <x:f>IF(Calc!$Y$310&gt;'Calc'!$B$8,"",'Calc'!$B$5-'财富模型'!$E$5-(IF('Calc'!$E$15=1,'财富模型'!$E$9,'财富模型'!$M$7+IF(Calc!$Y$310&lt;='财富模型'!$E$11*12,'Calc'!$W$15,'Calc'!$Y$15)-(IF('Calc'!$E$15=1,0,MIN(Calc!$AA$309*(1+'财富模型'!$E$20/12)+'Calc'!$B$6,IF(Calc!$Y$310&lt;='财富模型'!$E$11*12,'Calc'!$W$15,'Calc'!$Y$15)))))))</x:f>
      </x:c>
      <x:c r="AE310" t="str">
        <x:f>IF(Calc!$Y$310&gt;'Calc'!$B$8,"",IF('Calc'!$E$15=1,0,MAX(Calc!$AE$309*(1+IF(Calc!$Y$310&lt;='财富模型'!$E$11*12,'财富模型'!$E$10,'财富模型'!$E$12)/12)-IF('Calc'!$E$15=1,0,IF(Calc!$Y$310&lt;='财富模型'!$E$11*12,'Calc'!$W$15,'Calc'!$Y$15)),0)))</x:f>
      </x:c>
      <x:c r="AG310" t="n">
        <x:v>289</x:v>
      </x:c>
      <x:c r="AH310" t="str">
        <x:f>IF(Calc!$AG$310&gt;'Calc'!$B$8,"",MAX(Calc!$AH$309*(1+'财富模型'!$E$6/12)+('Calc'!$B$5-'财富模型'!$E$5-(IF('Calc'!$E$16=1,'财富模型'!$E$9,'财富模型'!$M$8+IF(Calc!$AG$310&lt;='财富模型'!$E$11*12,'Calc'!$W$16,'Calc'!$Y$16)-(IF('Calc'!$E$16=1,0,MIN(Calc!$AI$309*(1+'财富模型'!$E$20/12)+'Calc'!$B$6,IF(Calc!$AG$310&lt;='财富模型'!$E$11*12,'Calc'!$W$16,'Calc'!$Y$16))))))),0))</x:f>
      </x:c>
      <x:c r="AI310" t="str">
        <x:f>IF(Calc!$AG$310&gt;'Calc'!$B$8,"",MAX(Calc!$AI$309*(1+'财富模型'!$E$20/12)+'Calc'!$B$6-(IF('Calc'!$E$16=1,0,MIN(Calc!$AI$309*(1+'财富模型'!$E$20/12)+'Calc'!$B$6,IF(Calc!$AG$310&lt;='财富模型'!$E$11*12,'Calc'!$W$16,'Calc'!$Y$16)))),0))</x:f>
      </x:c>
      <x:c r="AJ310" t="str">
        <x:f>IF(Calc!$AG$310&gt;'Calc'!$B$8,"",IF('Calc'!$E$16=1,'财富模型'!$E$9,'财富模型'!$M$8+IF(Calc!$AG$310&lt;='财富模型'!$E$11*12,'Calc'!$W$16,'Calc'!$Y$16)-(IF('Calc'!$E$16=1,0,MIN(Calc!$AI$309*(1+'财富模型'!$E$20/12)+'Calc'!$B$6,IF(Calc!$AG$310&lt;='财富模型'!$E$11*12,'Calc'!$W$16,'Calc'!$Y$16))))))</x:f>
      </x:c>
      <x:c r="AK310" t="str">
        <x:f>IF(Calc!$AG$310&gt;'Calc'!$B$8,"",IF('Calc'!$E$16=1,0,MIN(Calc!$AI$309*(1+'财富模型'!$E$20/12)+'Calc'!$B$6,IF(Calc!$AG$310&lt;='财富模型'!$E$11*12,'Calc'!$W$16,'Calc'!$Y$16))))</x:f>
      </x:c>
      <x:c r="AL310" t="str">
        <x:f>IF(Calc!$AG$310&gt;'Calc'!$B$8,"",'Calc'!$B$5-'财富模型'!$E$5-(IF('Calc'!$E$16=1,'财富模型'!$E$9,'财富模型'!$M$8+IF(Calc!$AG$310&lt;='财富模型'!$E$11*12,'Calc'!$W$16,'Calc'!$Y$16)-(IF('Calc'!$E$16=1,0,MIN(Calc!$AI$309*(1+'财富模型'!$E$20/12)+'Calc'!$B$6,IF(Calc!$AG$310&lt;='财富模型'!$E$11*12,'Calc'!$W$16,'Calc'!$Y$16)))))))</x:f>
      </x:c>
      <x:c r="AM310" t="str">
        <x:f>IF(Calc!$AG$310&gt;'Calc'!$B$8,"",IF('Calc'!$E$16=1,0,MAX(Calc!$AM$309*(1+IF(Calc!$AG$310&lt;='财富模型'!$E$11*12,'财富模型'!$E$10,'财富模型'!$E$12)/12)-IF('Calc'!$E$16=1,0,IF(Calc!$AG$310&lt;='财富模型'!$E$11*12,'Calc'!$W$16,'Calc'!$Y$16)),0)))</x:f>
      </x:c>
      <x:c r="AO310" t="n">
        <x:v>289</x:v>
      </x:c>
      <x:c r="AP310" t="str">
        <x:f>IF(Calc!$AO$310&gt;'Calc'!$B$8,"",MAX(Calc!$AP$309*(1+'财富模型'!$E$6/12)+('Calc'!$B$5-'财富模型'!$E$5-(IF('Calc'!$E$17=1,'财富模型'!$E$9,'财富模型'!$M$9+IF(Calc!$AO$310&lt;='财富模型'!$E$11*12,'Calc'!$W$17,'Calc'!$Y$17)-(IF('Calc'!$E$17=1,0,MIN(Calc!$AQ$309*(1+'财富模型'!$E$20/12)+'Calc'!$B$6,IF(Calc!$AO$310&lt;='财富模型'!$E$11*12,'Calc'!$W$17,'Calc'!$Y$17))))))),0))</x:f>
      </x:c>
      <x:c r="AQ310" t="str">
        <x:f>IF(Calc!$AO$310&gt;'Calc'!$B$8,"",MAX(Calc!$AQ$309*(1+'财富模型'!$E$20/12)+'Calc'!$B$6-(IF('Calc'!$E$17=1,0,MIN(Calc!$AQ$309*(1+'财富模型'!$E$20/12)+'Calc'!$B$6,IF(Calc!$AO$310&lt;='财富模型'!$E$11*12,'Calc'!$W$17,'Calc'!$Y$17)))),0))</x:f>
      </x:c>
      <x:c r="AR310" t="str">
        <x:f>IF(Calc!$AO$310&gt;'Calc'!$B$8,"",IF('Calc'!$E$17=1,'财富模型'!$E$9,'财富模型'!$M$9+IF(Calc!$AO$310&lt;='财富模型'!$E$11*12,'Calc'!$W$17,'Calc'!$Y$17)-(IF('Calc'!$E$17=1,0,MIN(Calc!$AQ$309*(1+'财富模型'!$E$20/12)+'Calc'!$B$6,IF(Calc!$AO$310&lt;='财富模型'!$E$11*12,'Calc'!$W$17,'Calc'!$Y$17))))))</x:f>
      </x:c>
      <x:c r="AS310" t="str">
        <x:f>IF(Calc!$AO$310&gt;'Calc'!$B$8,"",IF('Calc'!$E$17=1,0,MIN(Calc!$AQ$309*(1+'财富模型'!$E$20/12)+'Calc'!$B$6,IF(Calc!$AO$310&lt;='财富模型'!$E$11*12,'Calc'!$W$17,'Calc'!$Y$17))))</x:f>
      </x:c>
      <x:c r="AT310" t="str">
        <x:f>IF(Calc!$AO$310&gt;'Calc'!$B$8,"",'Calc'!$B$5-'财富模型'!$E$5-(IF('Calc'!$E$17=1,'财富模型'!$E$9,'财富模型'!$M$9+IF(Calc!$AO$310&lt;='财富模型'!$E$11*12,'Calc'!$W$17,'Calc'!$Y$17)-(IF('Calc'!$E$17=1,0,MIN(Calc!$AQ$309*(1+'财富模型'!$E$20/12)+'Calc'!$B$6,IF(Calc!$AO$310&lt;='财富模型'!$E$11*12,'Calc'!$W$17,'Calc'!$Y$17)))))))</x:f>
      </x:c>
      <x:c r="AU310" t="str">
        <x:f>IF(Calc!$AO$310&gt;'Calc'!$B$8,"",IF('Calc'!$E$17=1,0,MAX(Calc!$AU$309*(1+IF(Calc!$AO$310&lt;='财富模型'!$E$11*12,'财富模型'!$E$10,'财富模型'!$E$12)/12)-IF('Calc'!$E$17=1,0,IF(Calc!$AO$310&lt;='财富模型'!$E$11*12,'Calc'!$W$17,'Calc'!$Y$17)),0)))</x:f>
      </x:c>
    </x:row>
    <x:row r="311">
      <x:c r="A311" t="n">
        <x:v>290</x:v>
      </x:c>
      <x:c r="B311" t="str">
        <x:f>IF(Calc!$A$311&gt;'Calc'!$B$8,"",MAX(Calc!$B$310*(1+'财富模型'!$E$6/12)+('Calc'!$B$5-'财富模型'!$E$5-(IF('Calc'!$E$12=1,'财富模型'!$E$9,'财富模型'!$M$4+IF(Calc!$A$311&lt;='财富模型'!$E$11*12,'Calc'!$W$12,'Calc'!$Y$12)-(IF('Calc'!$E$12=1,0,MIN(Calc!$C$310*(1+'财富模型'!$E$20/12)+'Calc'!$B$6,IF(Calc!$A$311&lt;='财富模型'!$E$11*12,'Calc'!$W$12,'Calc'!$Y$12))))))),0))</x:f>
      </x:c>
      <x:c r="C311" t="str">
        <x:f>IF(Calc!$A$311&gt;'Calc'!$B$8,"",MAX(Calc!$C$310*(1+'财富模型'!$E$20/12)+'Calc'!$B$6-(IF('Calc'!$E$12=1,0,MIN(Calc!$C$310*(1+'财富模型'!$E$20/12)+'Calc'!$B$6,IF(Calc!$A$311&lt;='财富模型'!$E$11*12,'Calc'!$W$12,'Calc'!$Y$12)))),0))</x:f>
      </x:c>
      <x:c r="D311" t="str">
        <x:f>IF(Calc!$A$311&gt;'Calc'!$B$8,"",IF('Calc'!$E$12=1,'财富模型'!$E$9,'财富模型'!$M$4+IF(Calc!$A$311&lt;='财富模型'!$E$11*12,'Calc'!$W$12,'Calc'!$Y$12)-(IF('Calc'!$E$12=1,0,MIN(Calc!$C$310*(1+'财富模型'!$E$20/12)+'Calc'!$B$6,IF(Calc!$A$311&lt;='财富模型'!$E$11*12,'Calc'!$W$12,'Calc'!$Y$12))))))</x:f>
      </x:c>
      <x:c r="E311" t="str">
        <x:f>IF(Calc!$A$311&gt;'Calc'!$B$8,"",IF('Calc'!$E$12=1,0,MIN(Calc!$C$310*(1+'财富模型'!$E$20/12)+'Calc'!$B$6,IF(Calc!$A$311&lt;='财富模型'!$E$11*12,'Calc'!$W$12,'Calc'!$Y$12))))</x:f>
      </x:c>
      <x:c r="F311" t="str">
        <x:f>IF(Calc!$A$311&gt;'Calc'!$B$8,"",'Calc'!$B$5-'财富模型'!$E$5-(IF('Calc'!$E$12=1,'财富模型'!$E$9,'财富模型'!$M$4+IF(Calc!$A$311&lt;='财富模型'!$E$11*12,'Calc'!$W$12,'Calc'!$Y$12)-(IF('Calc'!$E$12=1,0,MIN(Calc!$C$310*(1+'财富模型'!$E$20/12)+'Calc'!$B$6,IF(Calc!$A$311&lt;='财富模型'!$E$11*12,'Calc'!$W$12,'Calc'!$Y$12)))))))</x:f>
      </x:c>
      <x:c r="G311" t="str">
        <x:f>IF(Calc!$A$311&gt;'Calc'!$B$8,"",IF('Calc'!$E$12=1,0,MAX(Calc!$G$310*(1+IF(Calc!$A$311&lt;='财富模型'!$E$11*12,'财富模型'!$E$10,'财富模型'!$E$12)/12)-IF('Calc'!$E$12=1,0,IF(Calc!$A$311&lt;='财富模型'!$E$11*12,'Calc'!$W$12,'Calc'!$Y$12)),0)))</x:f>
      </x:c>
      <x:c r="I311" t="n">
        <x:v>290</x:v>
      </x:c>
      <x:c r="J311" t="str">
        <x:f>IF(Calc!$I$311&gt;'Calc'!$B$8,"",MAX(Calc!$J$310*(1+'财富模型'!$E$6/12)+('Calc'!$B$5-'财富模型'!$E$5-(IF('Calc'!$E$13=1,'财富模型'!$E$9,'财富模型'!$M$5+IF(Calc!$I$311&lt;='财富模型'!$E$11*12,'Calc'!$W$13,'Calc'!$Y$13)-(IF('Calc'!$E$13=1,0,MIN(Calc!$K$310*(1+'财富模型'!$E$20/12)+'Calc'!$B$6,IF(Calc!$I$311&lt;='财富模型'!$E$11*12,'Calc'!$W$13,'Calc'!$Y$13))))))),0))</x:f>
      </x:c>
      <x:c r="K311" t="str">
        <x:f>IF(Calc!$I$311&gt;'Calc'!$B$8,"",MAX(Calc!$K$310*(1+'财富模型'!$E$20/12)+'Calc'!$B$6-(IF('Calc'!$E$13=1,0,MIN(Calc!$K$310*(1+'财富模型'!$E$20/12)+'Calc'!$B$6,IF(Calc!$I$311&lt;='财富模型'!$E$11*12,'Calc'!$W$13,'Calc'!$Y$13)))),0))</x:f>
      </x:c>
      <x:c r="L311" t="str">
        <x:f>IF(Calc!$I$311&gt;'Calc'!$B$8,"",IF('Calc'!$E$13=1,'财富模型'!$E$9,'财富模型'!$M$5+IF(Calc!$I$311&lt;='财富模型'!$E$11*12,'Calc'!$W$13,'Calc'!$Y$13)-(IF('Calc'!$E$13=1,0,MIN(Calc!$K$310*(1+'财富模型'!$E$20/12)+'Calc'!$B$6,IF(Calc!$I$311&lt;='财富模型'!$E$11*12,'Calc'!$W$13,'Calc'!$Y$13))))))</x:f>
      </x:c>
      <x:c r="M311" t="str">
        <x:f>IF(Calc!$I$311&gt;'Calc'!$B$8,"",IF('Calc'!$E$13=1,0,MIN(Calc!$K$310*(1+'财富模型'!$E$20/12)+'Calc'!$B$6,IF(Calc!$I$311&lt;='财富模型'!$E$11*12,'Calc'!$W$13,'Calc'!$Y$13))))</x:f>
      </x:c>
      <x:c r="N311" t="str">
        <x:f>IF(Calc!$I$311&gt;'Calc'!$B$8,"",'Calc'!$B$5-'财富模型'!$E$5-(IF('Calc'!$E$13=1,'财富模型'!$E$9,'财富模型'!$M$5+IF(Calc!$I$311&lt;='财富模型'!$E$11*12,'Calc'!$W$13,'Calc'!$Y$13)-(IF('Calc'!$E$13=1,0,MIN(Calc!$K$310*(1+'财富模型'!$E$20/12)+'Calc'!$B$6,IF(Calc!$I$311&lt;='财富模型'!$E$11*12,'Calc'!$W$13,'Calc'!$Y$13)))))))</x:f>
      </x:c>
      <x:c r="O311" t="str">
        <x:f>IF(Calc!$I$311&gt;'Calc'!$B$8,"",IF('Calc'!$E$13=1,0,MAX(Calc!$O$310*(1+IF(Calc!$I$311&lt;='财富模型'!$E$11*12,'财富模型'!$E$10,'财富模型'!$E$12)/12)-IF('Calc'!$E$13=1,0,IF(Calc!$I$311&lt;='财富模型'!$E$11*12,'Calc'!$W$13,'Calc'!$Y$13)),0)))</x:f>
      </x:c>
      <x:c r="Q311" t="n">
        <x:v>290</x:v>
      </x:c>
      <x:c r="R311" t="str">
        <x:f>IF(Calc!$Q$311&gt;'Calc'!$B$8,"",MAX(Calc!$R$310*(1+'财富模型'!$E$6/12)+('Calc'!$B$5-'财富模型'!$E$5-(IF('Calc'!$E$14=1,'财富模型'!$E$9,'财富模型'!$M$6+IF(Calc!$Q$311&lt;='财富模型'!$E$11*12,'Calc'!$W$14,'Calc'!$Y$14)-(IF('Calc'!$E$14=1,0,MIN(Calc!$S$310*(1+'财富模型'!$E$20/12)+'Calc'!$B$6,IF(Calc!$Q$311&lt;='财富模型'!$E$11*12,'Calc'!$W$14,'Calc'!$Y$14))))))),0))</x:f>
      </x:c>
      <x:c r="S311" t="str">
        <x:f>IF(Calc!$Q$311&gt;'Calc'!$B$8,"",MAX(Calc!$S$310*(1+'财富模型'!$E$20/12)+'Calc'!$B$6-(IF('Calc'!$E$14=1,0,MIN(Calc!$S$310*(1+'财富模型'!$E$20/12)+'Calc'!$B$6,IF(Calc!$Q$311&lt;='财富模型'!$E$11*12,'Calc'!$W$14,'Calc'!$Y$14)))),0))</x:f>
      </x:c>
      <x:c r="T311" t="str">
        <x:f>IF(Calc!$Q$311&gt;'Calc'!$B$8,"",IF('Calc'!$E$14=1,'财富模型'!$E$9,'财富模型'!$M$6+IF(Calc!$Q$311&lt;='财富模型'!$E$11*12,'Calc'!$W$14,'Calc'!$Y$14)-(IF('Calc'!$E$14=1,0,MIN(Calc!$S$310*(1+'财富模型'!$E$20/12)+'Calc'!$B$6,IF(Calc!$Q$311&lt;='财富模型'!$E$11*12,'Calc'!$W$14,'Calc'!$Y$14))))))</x:f>
      </x:c>
      <x:c r="U311" t="str">
        <x:f>IF(Calc!$Q$311&gt;'Calc'!$B$8,"",IF('Calc'!$E$14=1,0,MIN(Calc!$S$310*(1+'财富模型'!$E$20/12)+'Calc'!$B$6,IF(Calc!$Q$311&lt;='财富模型'!$E$11*12,'Calc'!$W$14,'Calc'!$Y$14))))</x:f>
      </x:c>
      <x:c r="V311" t="str">
        <x:f>IF(Calc!$Q$311&gt;'Calc'!$B$8,"",'Calc'!$B$5-'财富模型'!$E$5-(IF('Calc'!$E$14=1,'财富模型'!$E$9,'财富模型'!$M$6+IF(Calc!$Q$311&lt;='财富模型'!$E$11*12,'Calc'!$W$14,'Calc'!$Y$14)-(IF('Calc'!$E$14=1,0,MIN(Calc!$S$310*(1+'财富模型'!$E$20/12)+'Calc'!$B$6,IF(Calc!$Q$311&lt;='财富模型'!$E$11*12,'Calc'!$W$14,'Calc'!$Y$14)))))))</x:f>
      </x:c>
      <x:c r="W311" t="str">
        <x:f>IF(Calc!$Q$311&gt;'Calc'!$B$8,"",IF('Calc'!$E$14=1,0,MAX(Calc!$W$310*(1+IF(Calc!$Q$311&lt;='财富模型'!$E$11*12,'财富模型'!$E$10,'财富模型'!$E$12)/12)-IF('Calc'!$E$14=1,0,IF(Calc!$Q$311&lt;='财富模型'!$E$11*12,'Calc'!$W$14,'Calc'!$Y$14)),0)))</x:f>
      </x:c>
      <x:c r="Y311" t="n">
        <x:v>290</x:v>
      </x:c>
      <x:c r="Z311" t="str">
        <x:f>IF(Calc!$Y$311&gt;'Calc'!$B$8,"",MAX(Calc!$Z$310*(1+'财富模型'!$E$6/12)+('Calc'!$B$5-'财富模型'!$E$5-(IF('Calc'!$E$15=1,'财富模型'!$E$9,'财富模型'!$M$7+IF(Calc!$Y$311&lt;='财富模型'!$E$11*12,'Calc'!$W$15,'Calc'!$Y$15)-(IF('Calc'!$E$15=1,0,MIN(Calc!$AA$310*(1+'财富模型'!$E$20/12)+'Calc'!$B$6,IF(Calc!$Y$311&lt;='财富模型'!$E$11*12,'Calc'!$W$15,'Calc'!$Y$15))))))),0))</x:f>
      </x:c>
      <x:c r="AA311" t="str">
        <x:f>IF(Calc!$Y$311&gt;'Calc'!$B$8,"",MAX(Calc!$AA$310*(1+'财富模型'!$E$20/12)+'Calc'!$B$6-(IF('Calc'!$E$15=1,0,MIN(Calc!$AA$310*(1+'财富模型'!$E$20/12)+'Calc'!$B$6,IF(Calc!$Y$311&lt;='财富模型'!$E$11*12,'Calc'!$W$15,'Calc'!$Y$15)))),0))</x:f>
      </x:c>
      <x:c r="AB311" t="str">
        <x:f>IF(Calc!$Y$311&gt;'Calc'!$B$8,"",IF('Calc'!$E$15=1,'财富模型'!$E$9,'财富模型'!$M$7+IF(Calc!$Y$311&lt;='财富模型'!$E$11*12,'Calc'!$W$15,'Calc'!$Y$15)-(IF('Calc'!$E$15=1,0,MIN(Calc!$AA$310*(1+'财富模型'!$E$20/12)+'Calc'!$B$6,IF(Calc!$Y$311&lt;='财富模型'!$E$11*12,'Calc'!$W$15,'Calc'!$Y$15))))))</x:f>
      </x:c>
      <x:c r="AC311" t="str">
        <x:f>IF(Calc!$Y$311&gt;'Calc'!$B$8,"",IF('Calc'!$E$15=1,0,MIN(Calc!$AA$310*(1+'财富模型'!$E$20/12)+'Calc'!$B$6,IF(Calc!$Y$311&lt;='财富模型'!$E$11*12,'Calc'!$W$15,'Calc'!$Y$15))))</x:f>
      </x:c>
      <x:c r="AD311" t="str">
        <x:f>IF(Calc!$Y$311&gt;'Calc'!$B$8,"",'Calc'!$B$5-'财富模型'!$E$5-(IF('Calc'!$E$15=1,'财富模型'!$E$9,'财富模型'!$M$7+IF(Calc!$Y$311&lt;='财富模型'!$E$11*12,'Calc'!$W$15,'Calc'!$Y$15)-(IF('Calc'!$E$15=1,0,MIN(Calc!$AA$310*(1+'财富模型'!$E$20/12)+'Calc'!$B$6,IF(Calc!$Y$311&lt;='财富模型'!$E$11*12,'Calc'!$W$15,'Calc'!$Y$15)))))))</x:f>
      </x:c>
      <x:c r="AE311" t="str">
        <x:f>IF(Calc!$Y$311&gt;'Calc'!$B$8,"",IF('Calc'!$E$15=1,0,MAX(Calc!$AE$310*(1+IF(Calc!$Y$311&lt;='财富模型'!$E$11*12,'财富模型'!$E$10,'财富模型'!$E$12)/12)-IF('Calc'!$E$15=1,0,IF(Calc!$Y$311&lt;='财富模型'!$E$11*12,'Calc'!$W$15,'Calc'!$Y$15)),0)))</x:f>
      </x:c>
      <x:c r="AG311" t="n">
        <x:v>290</x:v>
      </x:c>
      <x:c r="AH311" t="str">
        <x:f>IF(Calc!$AG$311&gt;'Calc'!$B$8,"",MAX(Calc!$AH$310*(1+'财富模型'!$E$6/12)+('Calc'!$B$5-'财富模型'!$E$5-(IF('Calc'!$E$16=1,'财富模型'!$E$9,'财富模型'!$M$8+IF(Calc!$AG$311&lt;='财富模型'!$E$11*12,'Calc'!$W$16,'Calc'!$Y$16)-(IF('Calc'!$E$16=1,0,MIN(Calc!$AI$310*(1+'财富模型'!$E$20/12)+'Calc'!$B$6,IF(Calc!$AG$311&lt;='财富模型'!$E$11*12,'Calc'!$W$16,'Calc'!$Y$16))))))),0))</x:f>
      </x:c>
      <x:c r="AI311" t="str">
        <x:f>IF(Calc!$AG$311&gt;'Calc'!$B$8,"",MAX(Calc!$AI$310*(1+'财富模型'!$E$20/12)+'Calc'!$B$6-(IF('Calc'!$E$16=1,0,MIN(Calc!$AI$310*(1+'财富模型'!$E$20/12)+'Calc'!$B$6,IF(Calc!$AG$311&lt;='财富模型'!$E$11*12,'Calc'!$W$16,'Calc'!$Y$16)))),0))</x:f>
      </x:c>
      <x:c r="AJ311" t="str">
        <x:f>IF(Calc!$AG$311&gt;'Calc'!$B$8,"",IF('Calc'!$E$16=1,'财富模型'!$E$9,'财富模型'!$M$8+IF(Calc!$AG$311&lt;='财富模型'!$E$11*12,'Calc'!$W$16,'Calc'!$Y$16)-(IF('Calc'!$E$16=1,0,MIN(Calc!$AI$310*(1+'财富模型'!$E$20/12)+'Calc'!$B$6,IF(Calc!$AG$311&lt;='财富模型'!$E$11*12,'Calc'!$W$16,'Calc'!$Y$16))))))</x:f>
      </x:c>
      <x:c r="AK311" t="str">
        <x:f>IF(Calc!$AG$311&gt;'Calc'!$B$8,"",IF('Calc'!$E$16=1,0,MIN(Calc!$AI$310*(1+'财富模型'!$E$20/12)+'Calc'!$B$6,IF(Calc!$AG$311&lt;='财富模型'!$E$11*12,'Calc'!$W$16,'Calc'!$Y$16))))</x:f>
      </x:c>
      <x:c r="AL311" t="str">
        <x:f>IF(Calc!$AG$311&gt;'Calc'!$B$8,"",'Calc'!$B$5-'财富模型'!$E$5-(IF('Calc'!$E$16=1,'财富模型'!$E$9,'财富模型'!$M$8+IF(Calc!$AG$311&lt;='财富模型'!$E$11*12,'Calc'!$W$16,'Calc'!$Y$16)-(IF('Calc'!$E$16=1,0,MIN(Calc!$AI$310*(1+'财富模型'!$E$20/12)+'Calc'!$B$6,IF(Calc!$AG$311&lt;='财富模型'!$E$11*12,'Calc'!$W$16,'Calc'!$Y$16)))))))</x:f>
      </x:c>
      <x:c r="AM311" t="str">
        <x:f>IF(Calc!$AG$311&gt;'Calc'!$B$8,"",IF('Calc'!$E$16=1,0,MAX(Calc!$AM$310*(1+IF(Calc!$AG$311&lt;='财富模型'!$E$11*12,'财富模型'!$E$10,'财富模型'!$E$12)/12)-IF('Calc'!$E$16=1,0,IF(Calc!$AG$311&lt;='财富模型'!$E$11*12,'Calc'!$W$16,'Calc'!$Y$16)),0)))</x:f>
      </x:c>
      <x:c r="AO311" t="n">
        <x:v>290</x:v>
      </x:c>
      <x:c r="AP311" t="str">
        <x:f>IF(Calc!$AO$311&gt;'Calc'!$B$8,"",MAX(Calc!$AP$310*(1+'财富模型'!$E$6/12)+('Calc'!$B$5-'财富模型'!$E$5-(IF('Calc'!$E$17=1,'财富模型'!$E$9,'财富模型'!$M$9+IF(Calc!$AO$311&lt;='财富模型'!$E$11*12,'Calc'!$W$17,'Calc'!$Y$17)-(IF('Calc'!$E$17=1,0,MIN(Calc!$AQ$310*(1+'财富模型'!$E$20/12)+'Calc'!$B$6,IF(Calc!$AO$311&lt;='财富模型'!$E$11*12,'Calc'!$W$17,'Calc'!$Y$17))))))),0))</x:f>
      </x:c>
      <x:c r="AQ311" t="str">
        <x:f>IF(Calc!$AO$311&gt;'Calc'!$B$8,"",MAX(Calc!$AQ$310*(1+'财富模型'!$E$20/12)+'Calc'!$B$6-(IF('Calc'!$E$17=1,0,MIN(Calc!$AQ$310*(1+'财富模型'!$E$20/12)+'Calc'!$B$6,IF(Calc!$AO$311&lt;='财富模型'!$E$11*12,'Calc'!$W$17,'Calc'!$Y$17)))),0))</x:f>
      </x:c>
      <x:c r="AR311" t="str">
        <x:f>IF(Calc!$AO$311&gt;'Calc'!$B$8,"",IF('Calc'!$E$17=1,'财富模型'!$E$9,'财富模型'!$M$9+IF(Calc!$AO$311&lt;='财富模型'!$E$11*12,'Calc'!$W$17,'Calc'!$Y$17)-(IF('Calc'!$E$17=1,0,MIN(Calc!$AQ$310*(1+'财富模型'!$E$20/12)+'Calc'!$B$6,IF(Calc!$AO$311&lt;='财富模型'!$E$11*12,'Calc'!$W$17,'Calc'!$Y$17))))))</x:f>
      </x:c>
      <x:c r="AS311" t="str">
        <x:f>IF(Calc!$AO$311&gt;'Calc'!$B$8,"",IF('Calc'!$E$17=1,0,MIN(Calc!$AQ$310*(1+'财富模型'!$E$20/12)+'Calc'!$B$6,IF(Calc!$AO$311&lt;='财富模型'!$E$11*12,'Calc'!$W$17,'Calc'!$Y$17))))</x:f>
      </x:c>
      <x:c r="AT311" t="str">
        <x:f>IF(Calc!$AO$311&gt;'Calc'!$B$8,"",'Calc'!$B$5-'财富模型'!$E$5-(IF('Calc'!$E$17=1,'财富模型'!$E$9,'财富模型'!$M$9+IF(Calc!$AO$311&lt;='财富模型'!$E$11*12,'Calc'!$W$17,'Calc'!$Y$17)-(IF('Calc'!$E$17=1,0,MIN(Calc!$AQ$310*(1+'财富模型'!$E$20/12)+'Calc'!$B$6,IF(Calc!$AO$311&lt;='财富模型'!$E$11*12,'Calc'!$W$17,'Calc'!$Y$17)))))))</x:f>
      </x:c>
      <x:c r="AU311" t="str">
        <x:f>IF(Calc!$AO$311&gt;'Calc'!$B$8,"",IF('Calc'!$E$17=1,0,MAX(Calc!$AU$310*(1+IF(Calc!$AO$311&lt;='财富模型'!$E$11*12,'财富模型'!$E$10,'财富模型'!$E$12)/12)-IF('Calc'!$E$17=1,0,IF(Calc!$AO$311&lt;='财富模型'!$E$11*12,'Calc'!$W$17,'Calc'!$Y$17)),0)))</x:f>
      </x:c>
    </x:row>
    <x:row r="312">
      <x:c r="A312" t="n">
        <x:v>291</x:v>
      </x:c>
      <x:c r="B312" t="str">
        <x:f>IF(Calc!$A$312&gt;'Calc'!$B$8,"",MAX(Calc!$B$311*(1+'财富模型'!$E$6/12)+('Calc'!$B$5-'财富模型'!$E$5-(IF('Calc'!$E$12=1,'财富模型'!$E$9,'财富模型'!$M$4+IF(Calc!$A$312&lt;='财富模型'!$E$11*12,'Calc'!$W$12,'Calc'!$Y$12)-(IF('Calc'!$E$12=1,0,MIN(Calc!$C$311*(1+'财富模型'!$E$20/12)+'Calc'!$B$6,IF(Calc!$A$312&lt;='财富模型'!$E$11*12,'Calc'!$W$12,'Calc'!$Y$12))))))),0))</x:f>
      </x:c>
      <x:c r="C312" t="str">
        <x:f>IF(Calc!$A$312&gt;'Calc'!$B$8,"",MAX(Calc!$C$311*(1+'财富模型'!$E$20/12)+'Calc'!$B$6-(IF('Calc'!$E$12=1,0,MIN(Calc!$C$311*(1+'财富模型'!$E$20/12)+'Calc'!$B$6,IF(Calc!$A$312&lt;='财富模型'!$E$11*12,'Calc'!$W$12,'Calc'!$Y$12)))),0))</x:f>
      </x:c>
      <x:c r="D312" t="str">
        <x:f>IF(Calc!$A$312&gt;'Calc'!$B$8,"",IF('Calc'!$E$12=1,'财富模型'!$E$9,'财富模型'!$M$4+IF(Calc!$A$312&lt;='财富模型'!$E$11*12,'Calc'!$W$12,'Calc'!$Y$12)-(IF('Calc'!$E$12=1,0,MIN(Calc!$C$311*(1+'财富模型'!$E$20/12)+'Calc'!$B$6,IF(Calc!$A$312&lt;='财富模型'!$E$11*12,'Calc'!$W$12,'Calc'!$Y$12))))))</x:f>
      </x:c>
      <x:c r="E312" t="str">
        <x:f>IF(Calc!$A$312&gt;'Calc'!$B$8,"",IF('Calc'!$E$12=1,0,MIN(Calc!$C$311*(1+'财富模型'!$E$20/12)+'Calc'!$B$6,IF(Calc!$A$312&lt;='财富模型'!$E$11*12,'Calc'!$W$12,'Calc'!$Y$12))))</x:f>
      </x:c>
      <x:c r="F312" t="str">
        <x:f>IF(Calc!$A$312&gt;'Calc'!$B$8,"",'Calc'!$B$5-'财富模型'!$E$5-(IF('Calc'!$E$12=1,'财富模型'!$E$9,'财富模型'!$M$4+IF(Calc!$A$312&lt;='财富模型'!$E$11*12,'Calc'!$W$12,'Calc'!$Y$12)-(IF('Calc'!$E$12=1,0,MIN(Calc!$C$311*(1+'财富模型'!$E$20/12)+'Calc'!$B$6,IF(Calc!$A$312&lt;='财富模型'!$E$11*12,'Calc'!$W$12,'Calc'!$Y$12)))))))</x:f>
      </x:c>
      <x:c r="G312" t="str">
        <x:f>IF(Calc!$A$312&gt;'Calc'!$B$8,"",IF('Calc'!$E$12=1,0,MAX(Calc!$G$311*(1+IF(Calc!$A$312&lt;='财富模型'!$E$11*12,'财富模型'!$E$10,'财富模型'!$E$12)/12)-IF('Calc'!$E$12=1,0,IF(Calc!$A$312&lt;='财富模型'!$E$11*12,'Calc'!$W$12,'Calc'!$Y$12)),0)))</x:f>
      </x:c>
      <x:c r="I312" t="n">
        <x:v>291</x:v>
      </x:c>
      <x:c r="J312" t="str">
        <x:f>IF(Calc!$I$312&gt;'Calc'!$B$8,"",MAX(Calc!$J$311*(1+'财富模型'!$E$6/12)+('Calc'!$B$5-'财富模型'!$E$5-(IF('Calc'!$E$13=1,'财富模型'!$E$9,'财富模型'!$M$5+IF(Calc!$I$312&lt;='财富模型'!$E$11*12,'Calc'!$W$13,'Calc'!$Y$13)-(IF('Calc'!$E$13=1,0,MIN(Calc!$K$311*(1+'财富模型'!$E$20/12)+'Calc'!$B$6,IF(Calc!$I$312&lt;='财富模型'!$E$11*12,'Calc'!$W$13,'Calc'!$Y$13))))))),0))</x:f>
      </x:c>
      <x:c r="K312" t="str">
        <x:f>IF(Calc!$I$312&gt;'Calc'!$B$8,"",MAX(Calc!$K$311*(1+'财富模型'!$E$20/12)+'Calc'!$B$6-(IF('Calc'!$E$13=1,0,MIN(Calc!$K$311*(1+'财富模型'!$E$20/12)+'Calc'!$B$6,IF(Calc!$I$312&lt;='财富模型'!$E$11*12,'Calc'!$W$13,'Calc'!$Y$13)))),0))</x:f>
      </x:c>
      <x:c r="L312" t="str">
        <x:f>IF(Calc!$I$312&gt;'Calc'!$B$8,"",IF('Calc'!$E$13=1,'财富模型'!$E$9,'财富模型'!$M$5+IF(Calc!$I$312&lt;='财富模型'!$E$11*12,'Calc'!$W$13,'Calc'!$Y$13)-(IF('Calc'!$E$13=1,0,MIN(Calc!$K$311*(1+'财富模型'!$E$20/12)+'Calc'!$B$6,IF(Calc!$I$312&lt;='财富模型'!$E$11*12,'Calc'!$W$13,'Calc'!$Y$13))))))</x:f>
      </x:c>
      <x:c r="M312" t="str">
        <x:f>IF(Calc!$I$312&gt;'Calc'!$B$8,"",IF('Calc'!$E$13=1,0,MIN(Calc!$K$311*(1+'财富模型'!$E$20/12)+'Calc'!$B$6,IF(Calc!$I$312&lt;='财富模型'!$E$11*12,'Calc'!$W$13,'Calc'!$Y$13))))</x:f>
      </x:c>
      <x:c r="N312" t="str">
        <x:f>IF(Calc!$I$312&gt;'Calc'!$B$8,"",'Calc'!$B$5-'财富模型'!$E$5-(IF('Calc'!$E$13=1,'财富模型'!$E$9,'财富模型'!$M$5+IF(Calc!$I$312&lt;='财富模型'!$E$11*12,'Calc'!$W$13,'Calc'!$Y$13)-(IF('Calc'!$E$13=1,0,MIN(Calc!$K$311*(1+'财富模型'!$E$20/12)+'Calc'!$B$6,IF(Calc!$I$312&lt;='财富模型'!$E$11*12,'Calc'!$W$13,'Calc'!$Y$13)))))))</x:f>
      </x:c>
      <x:c r="O312" t="str">
        <x:f>IF(Calc!$I$312&gt;'Calc'!$B$8,"",IF('Calc'!$E$13=1,0,MAX(Calc!$O$311*(1+IF(Calc!$I$312&lt;='财富模型'!$E$11*12,'财富模型'!$E$10,'财富模型'!$E$12)/12)-IF('Calc'!$E$13=1,0,IF(Calc!$I$312&lt;='财富模型'!$E$11*12,'Calc'!$W$13,'Calc'!$Y$13)),0)))</x:f>
      </x:c>
      <x:c r="Q312" t="n">
        <x:v>291</x:v>
      </x:c>
      <x:c r="R312" t="str">
        <x:f>IF(Calc!$Q$312&gt;'Calc'!$B$8,"",MAX(Calc!$R$311*(1+'财富模型'!$E$6/12)+('Calc'!$B$5-'财富模型'!$E$5-(IF('Calc'!$E$14=1,'财富模型'!$E$9,'财富模型'!$M$6+IF(Calc!$Q$312&lt;='财富模型'!$E$11*12,'Calc'!$W$14,'Calc'!$Y$14)-(IF('Calc'!$E$14=1,0,MIN(Calc!$S$311*(1+'财富模型'!$E$20/12)+'Calc'!$B$6,IF(Calc!$Q$312&lt;='财富模型'!$E$11*12,'Calc'!$W$14,'Calc'!$Y$14))))))),0))</x:f>
      </x:c>
      <x:c r="S312" t="str">
        <x:f>IF(Calc!$Q$312&gt;'Calc'!$B$8,"",MAX(Calc!$S$311*(1+'财富模型'!$E$20/12)+'Calc'!$B$6-(IF('Calc'!$E$14=1,0,MIN(Calc!$S$311*(1+'财富模型'!$E$20/12)+'Calc'!$B$6,IF(Calc!$Q$312&lt;='财富模型'!$E$11*12,'Calc'!$W$14,'Calc'!$Y$14)))),0))</x:f>
      </x:c>
      <x:c r="T312" t="str">
        <x:f>IF(Calc!$Q$312&gt;'Calc'!$B$8,"",IF('Calc'!$E$14=1,'财富模型'!$E$9,'财富模型'!$M$6+IF(Calc!$Q$312&lt;='财富模型'!$E$11*12,'Calc'!$W$14,'Calc'!$Y$14)-(IF('Calc'!$E$14=1,0,MIN(Calc!$S$311*(1+'财富模型'!$E$20/12)+'Calc'!$B$6,IF(Calc!$Q$312&lt;='财富模型'!$E$11*12,'Calc'!$W$14,'Calc'!$Y$14))))))</x:f>
      </x:c>
      <x:c r="U312" t="str">
        <x:f>IF(Calc!$Q$312&gt;'Calc'!$B$8,"",IF('Calc'!$E$14=1,0,MIN(Calc!$S$311*(1+'财富模型'!$E$20/12)+'Calc'!$B$6,IF(Calc!$Q$312&lt;='财富模型'!$E$11*12,'Calc'!$W$14,'Calc'!$Y$14))))</x:f>
      </x:c>
      <x:c r="V312" t="str">
        <x:f>IF(Calc!$Q$312&gt;'Calc'!$B$8,"",'Calc'!$B$5-'财富模型'!$E$5-(IF('Calc'!$E$14=1,'财富模型'!$E$9,'财富模型'!$M$6+IF(Calc!$Q$312&lt;='财富模型'!$E$11*12,'Calc'!$W$14,'Calc'!$Y$14)-(IF('Calc'!$E$14=1,0,MIN(Calc!$S$311*(1+'财富模型'!$E$20/12)+'Calc'!$B$6,IF(Calc!$Q$312&lt;='财富模型'!$E$11*12,'Calc'!$W$14,'Calc'!$Y$14)))))))</x:f>
      </x:c>
      <x:c r="W312" t="str">
        <x:f>IF(Calc!$Q$312&gt;'Calc'!$B$8,"",IF('Calc'!$E$14=1,0,MAX(Calc!$W$311*(1+IF(Calc!$Q$312&lt;='财富模型'!$E$11*12,'财富模型'!$E$10,'财富模型'!$E$12)/12)-IF('Calc'!$E$14=1,0,IF(Calc!$Q$312&lt;='财富模型'!$E$11*12,'Calc'!$W$14,'Calc'!$Y$14)),0)))</x:f>
      </x:c>
      <x:c r="Y312" t="n">
        <x:v>291</x:v>
      </x:c>
      <x:c r="Z312" t="str">
        <x:f>IF(Calc!$Y$312&gt;'Calc'!$B$8,"",MAX(Calc!$Z$311*(1+'财富模型'!$E$6/12)+('Calc'!$B$5-'财富模型'!$E$5-(IF('Calc'!$E$15=1,'财富模型'!$E$9,'财富模型'!$M$7+IF(Calc!$Y$312&lt;='财富模型'!$E$11*12,'Calc'!$W$15,'Calc'!$Y$15)-(IF('Calc'!$E$15=1,0,MIN(Calc!$AA$311*(1+'财富模型'!$E$20/12)+'Calc'!$B$6,IF(Calc!$Y$312&lt;='财富模型'!$E$11*12,'Calc'!$W$15,'Calc'!$Y$15))))))),0))</x:f>
      </x:c>
      <x:c r="AA312" t="str">
        <x:f>IF(Calc!$Y$312&gt;'Calc'!$B$8,"",MAX(Calc!$AA$311*(1+'财富模型'!$E$20/12)+'Calc'!$B$6-(IF('Calc'!$E$15=1,0,MIN(Calc!$AA$311*(1+'财富模型'!$E$20/12)+'Calc'!$B$6,IF(Calc!$Y$312&lt;='财富模型'!$E$11*12,'Calc'!$W$15,'Calc'!$Y$15)))),0))</x:f>
      </x:c>
      <x:c r="AB312" t="str">
        <x:f>IF(Calc!$Y$312&gt;'Calc'!$B$8,"",IF('Calc'!$E$15=1,'财富模型'!$E$9,'财富模型'!$M$7+IF(Calc!$Y$312&lt;='财富模型'!$E$11*12,'Calc'!$W$15,'Calc'!$Y$15)-(IF('Calc'!$E$15=1,0,MIN(Calc!$AA$311*(1+'财富模型'!$E$20/12)+'Calc'!$B$6,IF(Calc!$Y$312&lt;='财富模型'!$E$11*12,'Calc'!$W$15,'Calc'!$Y$15))))))</x:f>
      </x:c>
      <x:c r="AC312" t="str">
        <x:f>IF(Calc!$Y$312&gt;'Calc'!$B$8,"",IF('Calc'!$E$15=1,0,MIN(Calc!$AA$311*(1+'财富模型'!$E$20/12)+'Calc'!$B$6,IF(Calc!$Y$312&lt;='财富模型'!$E$11*12,'Calc'!$W$15,'Calc'!$Y$15))))</x:f>
      </x:c>
      <x:c r="AD312" t="str">
        <x:f>IF(Calc!$Y$312&gt;'Calc'!$B$8,"",'Calc'!$B$5-'财富模型'!$E$5-(IF('Calc'!$E$15=1,'财富模型'!$E$9,'财富模型'!$M$7+IF(Calc!$Y$312&lt;='财富模型'!$E$11*12,'Calc'!$W$15,'Calc'!$Y$15)-(IF('Calc'!$E$15=1,0,MIN(Calc!$AA$311*(1+'财富模型'!$E$20/12)+'Calc'!$B$6,IF(Calc!$Y$312&lt;='财富模型'!$E$11*12,'Calc'!$W$15,'Calc'!$Y$15)))))))</x:f>
      </x:c>
      <x:c r="AE312" t="str">
        <x:f>IF(Calc!$Y$312&gt;'Calc'!$B$8,"",IF('Calc'!$E$15=1,0,MAX(Calc!$AE$311*(1+IF(Calc!$Y$312&lt;='财富模型'!$E$11*12,'财富模型'!$E$10,'财富模型'!$E$12)/12)-IF('Calc'!$E$15=1,0,IF(Calc!$Y$312&lt;='财富模型'!$E$11*12,'Calc'!$W$15,'Calc'!$Y$15)),0)))</x:f>
      </x:c>
      <x:c r="AG312" t="n">
        <x:v>291</x:v>
      </x:c>
      <x:c r="AH312" t="str">
        <x:f>IF(Calc!$AG$312&gt;'Calc'!$B$8,"",MAX(Calc!$AH$311*(1+'财富模型'!$E$6/12)+('Calc'!$B$5-'财富模型'!$E$5-(IF('Calc'!$E$16=1,'财富模型'!$E$9,'财富模型'!$M$8+IF(Calc!$AG$312&lt;='财富模型'!$E$11*12,'Calc'!$W$16,'Calc'!$Y$16)-(IF('Calc'!$E$16=1,0,MIN(Calc!$AI$311*(1+'财富模型'!$E$20/12)+'Calc'!$B$6,IF(Calc!$AG$312&lt;='财富模型'!$E$11*12,'Calc'!$W$16,'Calc'!$Y$16))))))),0))</x:f>
      </x:c>
      <x:c r="AI312" t="str">
        <x:f>IF(Calc!$AG$312&gt;'Calc'!$B$8,"",MAX(Calc!$AI$311*(1+'财富模型'!$E$20/12)+'Calc'!$B$6-(IF('Calc'!$E$16=1,0,MIN(Calc!$AI$311*(1+'财富模型'!$E$20/12)+'Calc'!$B$6,IF(Calc!$AG$312&lt;='财富模型'!$E$11*12,'Calc'!$W$16,'Calc'!$Y$16)))),0))</x:f>
      </x:c>
      <x:c r="AJ312" t="str">
        <x:f>IF(Calc!$AG$312&gt;'Calc'!$B$8,"",IF('Calc'!$E$16=1,'财富模型'!$E$9,'财富模型'!$M$8+IF(Calc!$AG$312&lt;='财富模型'!$E$11*12,'Calc'!$W$16,'Calc'!$Y$16)-(IF('Calc'!$E$16=1,0,MIN(Calc!$AI$311*(1+'财富模型'!$E$20/12)+'Calc'!$B$6,IF(Calc!$AG$312&lt;='财富模型'!$E$11*12,'Calc'!$W$16,'Calc'!$Y$16))))))</x:f>
      </x:c>
      <x:c r="AK312" t="str">
        <x:f>IF(Calc!$AG$312&gt;'Calc'!$B$8,"",IF('Calc'!$E$16=1,0,MIN(Calc!$AI$311*(1+'财富模型'!$E$20/12)+'Calc'!$B$6,IF(Calc!$AG$312&lt;='财富模型'!$E$11*12,'Calc'!$W$16,'Calc'!$Y$16))))</x:f>
      </x:c>
      <x:c r="AL312" t="str">
        <x:f>IF(Calc!$AG$312&gt;'Calc'!$B$8,"",'Calc'!$B$5-'财富模型'!$E$5-(IF('Calc'!$E$16=1,'财富模型'!$E$9,'财富模型'!$M$8+IF(Calc!$AG$312&lt;='财富模型'!$E$11*12,'Calc'!$W$16,'Calc'!$Y$16)-(IF('Calc'!$E$16=1,0,MIN(Calc!$AI$311*(1+'财富模型'!$E$20/12)+'Calc'!$B$6,IF(Calc!$AG$312&lt;='财富模型'!$E$11*12,'Calc'!$W$16,'Calc'!$Y$16)))))))</x:f>
      </x:c>
      <x:c r="AM312" t="str">
        <x:f>IF(Calc!$AG$312&gt;'Calc'!$B$8,"",IF('Calc'!$E$16=1,0,MAX(Calc!$AM$311*(1+IF(Calc!$AG$312&lt;='财富模型'!$E$11*12,'财富模型'!$E$10,'财富模型'!$E$12)/12)-IF('Calc'!$E$16=1,0,IF(Calc!$AG$312&lt;='财富模型'!$E$11*12,'Calc'!$W$16,'Calc'!$Y$16)),0)))</x:f>
      </x:c>
      <x:c r="AO312" t="n">
        <x:v>291</x:v>
      </x:c>
      <x:c r="AP312" t="str">
        <x:f>IF(Calc!$AO$312&gt;'Calc'!$B$8,"",MAX(Calc!$AP$311*(1+'财富模型'!$E$6/12)+('Calc'!$B$5-'财富模型'!$E$5-(IF('Calc'!$E$17=1,'财富模型'!$E$9,'财富模型'!$M$9+IF(Calc!$AO$312&lt;='财富模型'!$E$11*12,'Calc'!$W$17,'Calc'!$Y$17)-(IF('Calc'!$E$17=1,0,MIN(Calc!$AQ$311*(1+'财富模型'!$E$20/12)+'Calc'!$B$6,IF(Calc!$AO$312&lt;='财富模型'!$E$11*12,'Calc'!$W$17,'Calc'!$Y$17))))))),0))</x:f>
      </x:c>
      <x:c r="AQ312" t="str">
        <x:f>IF(Calc!$AO$312&gt;'Calc'!$B$8,"",MAX(Calc!$AQ$311*(1+'财富模型'!$E$20/12)+'Calc'!$B$6-(IF('Calc'!$E$17=1,0,MIN(Calc!$AQ$311*(1+'财富模型'!$E$20/12)+'Calc'!$B$6,IF(Calc!$AO$312&lt;='财富模型'!$E$11*12,'Calc'!$W$17,'Calc'!$Y$17)))),0))</x:f>
      </x:c>
      <x:c r="AR312" t="str">
        <x:f>IF(Calc!$AO$312&gt;'Calc'!$B$8,"",IF('Calc'!$E$17=1,'财富模型'!$E$9,'财富模型'!$M$9+IF(Calc!$AO$312&lt;='财富模型'!$E$11*12,'Calc'!$W$17,'Calc'!$Y$17)-(IF('Calc'!$E$17=1,0,MIN(Calc!$AQ$311*(1+'财富模型'!$E$20/12)+'Calc'!$B$6,IF(Calc!$AO$312&lt;='财富模型'!$E$11*12,'Calc'!$W$17,'Calc'!$Y$17))))))</x:f>
      </x:c>
      <x:c r="AS312" t="str">
        <x:f>IF(Calc!$AO$312&gt;'Calc'!$B$8,"",IF('Calc'!$E$17=1,0,MIN(Calc!$AQ$311*(1+'财富模型'!$E$20/12)+'Calc'!$B$6,IF(Calc!$AO$312&lt;='财富模型'!$E$11*12,'Calc'!$W$17,'Calc'!$Y$17))))</x:f>
      </x:c>
      <x:c r="AT312" t="str">
        <x:f>IF(Calc!$AO$312&gt;'Calc'!$B$8,"",'Calc'!$B$5-'财富模型'!$E$5-(IF('Calc'!$E$17=1,'财富模型'!$E$9,'财富模型'!$M$9+IF(Calc!$AO$312&lt;='财富模型'!$E$11*12,'Calc'!$W$17,'Calc'!$Y$17)-(IF('Calc'!$E$17=1,0,MIN(Calc!$AQ$311*(1+'财富模型'!$E$20/12)+'Calc'!$B$6,IF(Calc!$AO$312&lt;='财富模型'!$E$11*12,'Calc'!$W$17,'Calc'!$Y$17)))))))</x:f>
      </x:c>
      <x:c r="AU312" t="str">
        <x:f>IF(Calc!$AO$312&gt;'Calc'!$B$8,"",IF('Calc'!$E$17=1,0,MAX(Calc!$AU$311*(1+IF(Calc!$AO$312&lt;='财富模型'!$E$11*12,'财富模型'!$E$10,'财富模型'!$E$12)/12)-IF('Calc'!$E$17=1,0,IF(Calc!$AO$312&lt;='财富模型'!$E$11*12,'Calc'!$W$17,'Calc'!$Y$17)),0)))</x:f>
      </x:c>
    </x:row>
    <x:row r="313">
      <x:c r="A313" t="n">
        <x:v>292</x:v>
      </x:c>
      <x:c r="B313" t="str">
        <x:f>IF(Calc!$A$313&gt;'Calc'!$B$8,"",MAX(Calc!$B$312*(1+'财富模型'!$E$6/12)+('Calc'!$B$5-'财富模型'!$E$5-(IF('Calc'!$E$12=1,'财富模型'!$E$9,'财富模型'!$M$4+IF(Calc!$A$313&lt;='财富模型'!$E$11*12,'Calc'!$W$12,'Calc'!$Y$12)-(IF('Calc'!$E$12=1,0,MIN(Calc!$C$312*(1+'财富模型'!$E$20/12)+'Calc'!$B$6,IF(Calc!$A$313&lt;='财富模型'!$E$11*12,'Calc'!$W$12,'Calc'!$Y$12))))))),0))</x:f>
      </x:c>
      <x:c r="C313" t="str">
        <x:f>IF(Calc!$A$313&gt;'Calc'!$B$8,"",MAX(Calc!$C$312*(1+'财富模型'!$E$20/12)+'Calc'!$B$6-(IF('Calc'!$E$12=1,0,MIN(Calc!$C$312*(1+'财富模型'!$E$20/12)+'Calc'!$B$6,IF(Calc!$A$313&lt;='财富模型'!$E$11*12,'Calc'!$W$12,'Calc'!$Y$12)))),0))</x:f>
      </x:c>
      <x:c r="D313" t="str">
        <x:f>IF(Calc!$A$313&gt;'Calc'!$B$8,"",IF('Calc'!$E$12=1,'财富模型'!$E$9,'财富模型'!$M$4+IF(Calc!$A$313&lt;='财富模型'!$E$11*12,'Calc'!$W$12,'Calc'!$Y$12)-(IF('Calc'!$E$12=1,0,MIN(Calc!$C$312*(1+'财富模型'!$E$20/12)+'Calc'!$B$6,IF(Calc!$A$313&lt;='财富模型'!$E$11*12,'Calc'!$W$12,'Calc'!$Y$12))))))</x:f>
      </x:c>
      <x:c r="E313" t="str">
        <x:f>IF(Calc!$A$313&gt;'Calc'!$B$8,"",IF('Calc'!$E$12=1,0,MIN(Calc!$C$312*(1+'财富模型'!$E$20/12)+'Calc'!$B$6,IF(Calc!$A$313&lt;='财富模型'!$E$11*12,'Calc'!$W$12,'Calc'!$Y$12))))</x:f>
      </x:c>
      <x:c r="F313" t="str">
        <x:f>IF(Calc!$A$313&gt;'Calc'!$B$8,"",'Calc'!$B$5-'财富模型'!$E$5-(IF('Calc'!$E$12=1,'财富模型'!$E$9,'财富模型'!$M$4+IF(Calc!$A$313&lt;='财富模型'!$E$11*12,'Calc'!$W$12,'Calc'!$Y$12)-(IF('Calc'!$E$12=1,0,MIN(Calc!$C$312*(1+'财富模型'!$E$20/12)+'Calc'!$B$6,IF(Calc!$A$313&lt;='财富模型'!$E$11*12,'Calc'!$W$12,'Calc'!$Y$12)))))))</x:f>
      </x:c>
      <x:c r="G313" t="str">
        <x:f>IF(Calc!$A$313&gt;'Calc'!$B$8,"",IF('Calc'!$E$12=1,0,MAX(Calc!$G$312*(1+IF(Calc!$A$313&lt;='财富模型'!$E$11*12,'财富模型'!$E$10,'财富模型'!$E$12)/12)-IF('Calc'!$E$12=1,0,IF(Calc!$A$313&lt;='财富模型'!$E$11*12,'Calc'!$W$12,'Calc'!$Y$12)),0)))</x:f>
      </x:c>
      <x:c r="I313" t="n">
        <x:v>292</x:v>
      </x:c>
      <x:c r="J313" t="str">
        <x:f>IF(Calc!$I$313&gt;'Calc'!$B$8,"",MAX(Calc!$J$312*(1+'财富模型'!$E$6/12)+('Calc'!$B$5-'财富模型'!$E$5-(IF('Calc'!$E$13=1,'财富模型'!$E$9,'财富模型'!$M$5+IF(Calc!$I$313&lt;='财富模型'!$E$11*12,'Calc'!$W$13,'Calc'!$Y$13)-(IF('Calc'!$E$13=1,0,MIN(Calc!$K$312*(1+'财富模型'!$E$20/12)+'Calc'!$B$6,IF(Calc!$I$313&lt;='财富模型'!$E$11*12,'Calc'!$W$13,'Calc'!$Y$13))))))),0))</x:f>
      </x:c>
      <x:c r="K313" t="str">
        <x:f>IF(Calc!$I$313&gt;'Calc'!$B$8,"",MAX(Calc!$K$312*(1+'财富模型'!$E$20/12)+'Calc'!$B$6-(IF('Calc'!$E$13=1,0,MIN(Calc!$K$312*(1+'财富模型'!$E$20/12)+'Calc'!$B$6,IF(Calc!$I$313&lt;='财富模型'!$E$11*12,'Calc'!$W$13,'Calc'!$Y$13)))),0))</x:f>
      </x:c>
      <x:c r="L313" t="str">
        <x:f>IF(Calc!$I$313&gt;'Calc'!$B$8,"",IF('Calc'!$E$13=1,'财富模型'!$E$9,'财富模型'!$M$5+IF(Calc!$I$313&lt;='财富模型'!$E$11*12,'Calc'!$W$13,'Calc'!$Y$13)-(IF('Calc'!$E$13=1,0,MIN(Calc!$K$312*(1+'财富模型'!$E$20/12)+'Calc'!$B$6,IF(Calc!$I$313&lt;='财富模型'!$E$11*12,'Calc'!$W$13,'Calc'!$Y$13))))))</x:f>
      </x:c>
      <x:c r="M313" t="str">
        <x:f>IF(Calc!$I$313&gt;'Calc'!$B$8,"",IF('Calc'!$E$13=1,0,MIN(Calc!$K$312*(1+'财富模型'!$E$20/12)+'Calc'!$B$6,IF(Calc!$I$313&lt;='财富模型'!$E$11*12,'Calc'!$W$13,'Calc'!$Y$13))))</x:f>
      </x:c>
      <x:c r="N313" t="str">
        <x:f>IF(Calc!$I$313&gt;'Calc'!$B$8,"",'Calc'!$B$5-'财富模型'!$E$5-(IF('Calc'!$E$13=1,'财富模型'!$E$9,'财富模型'!$M$5+IF(Calc!$I$313&lt;='财富模型'!$E$11*12,'Calc'!$W$13,'Calc'!$Y$13)-(IF('Calc'!$E$13=1,0,MIN(Calc!$K$312*(1+'财富模型'!$E$20/12)+'Calc'!$B$6,IF(Calc!$I$313&lt;='财富模型'!$E$11*12,'Calc'!$W$13,'Calc'!$Y$13)))))))</x:f>
      </x:c>
      <x:c r="O313" t="str">
        <x:f>IF(Calc!$I$313&gt;'Calc'!$B$8,"",IF('Calc'!$E$13=1,0,MAX(Calc!$O$312*(1+IF(Calc!$I$313&lt;='财富模型'!$E$11*12,'财富模型'!$E$10,'财富模型'!$E$12)/12)-IF('Calc'!$E$13=1,0,IF(Calc!$I$313&lt;='财富模型'!$E$11*12,'Calc'!$W$13,'Calc'!$Y$13)),0)))</x:f>
      </x:c>
      <x:c r="Q313" t="n">
        <x:v>292</x:v>
      </x:c>
      <x:c r="R313" t="str">
        <x:f>IF(Calc!$Q$313&gt;'Calc'!$B$8,"",MAX(Calc!$R$312*(1+'财富模型'!$E$6/12)+('Calc'!$B$5-'财富模型'!$E$5-(IF('Calc'!$E$14=1,'财富模型'!$E$9,'财富模型'!$M$6+IF(Calc!$Q$313&lt;='财富模型'!$E$11*12,'Calc'!$W$14,'Calc'!$Y$14)-(IF('Calc'!$E$14=1,0,MIN(Calc!$S$312*(1+'财富模型'!$E$20/12)+'Calc'!$B$6,IF(Calc!$Q$313&lt;='财富模型'!$E$11*12,'Calc'!$W$14,'Calc'!$Y$14))))))),0))</x:f>
      </x:c>
      <x:c r="S313" t="str">
        <x:f>IF(Calc!$Q$313&gt;'Calc'!$B$8,"",MAX(Calc!$S$312*(1+'财富模型'!$E$20/12)+'Calc'!$B$6-(IF('Calc'!$E$14=1,0,MIN(Calc!$S$312*(1+'财富模型'!$E$20/12)+'Calc'!$B$6,IF(Calc!$Q$313&lt;='财富模型'!$E$11*12,'Calc'!$W$14,'Calc'!$Y$14)))),0))</x:f>
      </x:c>
      <x:c r="T313" t="str">
        <x:f>IF(Calc!$Q$313&gt;'Calc'!$B$8,"",IF('Calc'!$E$14=1,'财富模型'!$E$9,'财富模型'!$M$6+IF(Calc!$Q$313&lt;='财富模型'!$E$11*12,'Calc'!$W$14,'Calc'!$Y$14)-(IF('Calc'!$E$14=1,0,MIN(Calc!$S$312*(1+'财富模型'!$E$20/12)+'Calc'!$B$6,IF(Calc!$Q$313&lt;='财富模型'!$E$11*12,'Calc'!$W$14,'Calc'!$Y$14))))))</x:f>
      </x:c>
      <x:c r="U313" t="str">
        <x:f>IF(Calc!$Q$313&gt;'Calc'!$B$8,"",IF('Calc'!$E$14=1,0,MIN(Calc!$S$312*(1+'财富模型'!$E$20/12)+'Calc'!$B$6,IF(Calc!$Q$313&lt;='财富模型'!$E$11*12,'Calc'!$W$14,'Calc'!$Y$14))))</x:f>
      </x:c>
      <x:c r="V313" t="str">
        <x:f>IF(Calc!$Q$313&gt;'Calc'!$B$8,"",'Calc'!$B$5-'财富模型'!$E$5-(IF('Calc'!$E$14=1,'财富模型'!$E$9,'财富模型'!$M$6+IF(Calc!$Q$313&lt;='财富模型'!$E$11*12,'Calc'!$W$14,'Calc'!$Y$14)-(IF('Calc'!$E$14=1,0,MIN(Calc!$S$312*(1+'财富模型'!$E$20/12)+'Calc'!$B$6,IF(Calc!$Q$313&lt;='财富模型'!$E$11*12,'Calc'!$W$14,'Calc'!$Y$14)))))))</x:f>
      </x:c>
      <x:c r="W313" t="str">
        <x:f>IF(Calc!$Q$313&gt;'Calc'!$B$8,"",IF('Calc'!$E$14=1,0,MAX(Calc!$W$312*(1+IF(Calc!$Q$313&lt;='财富模型'!$E$11*12,'财富模型'!$E$10,'财富模型'!$E$12)/12)-IF('Calc'!$E$14=1,0,IF(Calc!$Q$313&lt;='财富模型'!$E$11*12,'Calc'!$W$14,'Calc'!$Y$14)),0)))</x:f>
      </x:c>
      <x:c r="Y313" t="n">
        <x:v>292</x:v>
      </x:c>
      <x:c r="Z313" t="str">
        <x:f>IF(Calc!$Y$313&gt;'Calc'!$B$8,"",MAX(Calc!$Z$312*(1+'财富模型'!$E$6/12)+('Calc'!$B$5-'财富模型'!$E$5-(IF('Calc'!$E$15=1,'财富模型'!$E$9,'财富模型'!$M$7+IF(Calc!$Y$313&lt;='财富模型'!$E$11*12,'Calc'!$W$15,'Calc'!$Y$15)-(IF('Calc'!$E$15=1,0,MIN(Calc!$AA$312*(1+'财富模型'!$E$20/12)+'Calc'!$B$6,IF(Calc!$Y$313&lt;='财富模型'!$E$11*12,'Calc'!$W$15,'Calc'!$Y$15))))))),0))</x:f>
      </x:c>
      <x:c r="AA313" t="str">
        <x:f>IF(Calc!$Y$313&gt;'Calc'!$B$8,"",MAX(Calc!$AA$312*(1+'财富模型'!$E$20/12)+'Calc'!$B$6-(IF('Calc'!$E$15=1,0,MIN(Calc!$AA$312*(1+'财富模型'!$E$20/12)+'Calc'!$B$6,IF(Calc!$Y$313&lt;='财富模型'!$E$11*12,'Calc'!$W$15,'Calc'!$Y$15)))),0))</x:f>
      </x:c>
      <x:c r="AB313" t="str">
        <x:f>IF(Calc!$Y$313&gt;'Calc'!$B$8,"",IF('Calc'!$E$15=1,'财富模型'!$E$9,'财富模型'!$M$7+IF(Calc!$Y$313&lt;='财富模型'!$E$11*12,'Calc'!$W$15,'Calc'!$Y$15)-(IF('Calc'!$E$15=1,0,MIN(Calc!$AA$312*(1+'财富模型'!$E$20/12)+'Calc'!$B$6,IF(Calc!$Y$313&lt;='财富模型'!$E$11*12,'Calc'!$W$15,'Calc'!$Y$15))))))</x:f>
      </x:c>
      <x:c r="AC313" t="str">
        <x:f>IF(Calc!$Y$313&gt;'Calc'!$B$8,"",IF('Calc'!$E$15=1,0,MIN(Calc!$AA$312*(1+'财富模型'!$E$20/12)+'Calc'!$B$6,IF(Calc!$Y$313&lt;='财富模型'!$E$11*12,'Calc'!$W$15,'Calc'!$Y$15))))</x:f>
      </x:c>
      <x:c r="AD313" t="str">
        <x:f>IF(Calc!$Y$313&gt;'Calc'!$B$8,"",'Calc'!$B$5-'财富模型'!$E$5-(IF('Calc'!$E$15=1,'财富模型'!$E$9,'财富模型'!$M$7+IF(Calc!$Y$313&lt;='财富模型'!$E$11*12,'Calc'!$W$15,'Calc'!$Y$15)-(IF('Calc'!$E$15=1,0,MIN(Calc!$AA$312*(1+'财富模型'!$E$20/12)+'Calc'!$B$6,IF(Calc!$Y$313&lt;='财富模型'!$E$11*12,'Calc'!$W$15,'Calc'!$Y$15)))))))</x:f>
      </x:c>
      <x:c r="AE313" t="str">
        <x:f>IF(Calc!$Y$313&gt;'Calc'!$B$8,"",IF('Calc'!$E$15=1,0,MAX(Calc!$AE$312*(1+IF(Calc!$Y$313&lt;='财富模型'!$E$11*12,'财富模型'!$E$10,'财富模型'!$E$12)/12)-IF('Calc'!$E$15=1,0,IF(Calc!$Y$313&lt;='财富模型'!$E$11*12,'Calc'!$W$15,'Calc'!$Y$15)),0)))</x:f>
      </x:c>
      <x:c r="AG313" t="n">
        <x:v>292</x:v>
      </x:c>
      <x:c r="AH313" t="str">
        <x:f>IF(Calc!$AG$313&gt;'Calc'!$B$8,"",MAX(Calc!$AH$312*(1+'财富模型'!$E$6/12)+('Calc'!$B$5-'财富模型'!$E$5-(IF('Calc'!$E$16=1,'财富模型'!$E$9,'财富模型'!$M$8+IF(Calc!$AG$313&lt;='财富模型'!$E$11*12,'Calc'!$W$16,'Calc'!$Y$16)-(IF('Calc'!$E$16=1,0,MIN(Calc!$AI$312*(1+'财富模型'!$E$20/12)+'Calc'!$B$6,IF(Calc!$AG$313&lt;='财富模型'!$E$11*12,'Calc'!$W$16,'Calc'!$Y$16))))))),0))</x:f>
      </x:c>
      <x:c r="AI313" t="str">
        <x:f>IF(Calc!$AG$313&gt;'Calc'!$B$8,"",MAX(Calc!$AI$312*(1+'财富模型'!$E$20/12)+'Calc'!$B$6-(IF('Calc'!$E$16=1,0,MIN(Calc!$AI$312*(1+'财富模型'!$E$20/12)+'Calc'!$B$6,IF(Calc!$AG$313&lt;='财富模型'!$E$11*12,'Calc'!$W$16,'Calc'!$Y$16)))),0))</x:f>
      </x:c>
      <x:c r="AJ313" t="str">
        <x:f>IF(Calc!$AG$313&gt;'Calc'!$B$8,"",IF('Calc'!$E$16=1,'财富模型'!$E$9,'财富模型'!$M$8+IF(Calc!$AG$313&lt;='财富模型'!$E$11*12,'Calc'!$W$16,'Calc'!$Y$16)-(IF('Calc'!$E$16=1,0,MIN(Calc!$AI$312*(1+'财富模型'!$E$20/12)+'Calc'!$B$6,IF(Calc!$AG$313&lt;='财富模型'!$E$11*12,'Calc'!$W$16,'Calc'!$Y$16))))))</x:f>
      </x:c>
      <x:c r="AK313" t="str">
        <x:f>IF(Calc!$AG$313&gt;'Calc'!$B$8,"",IF('Calc'!$E$16=1,0,MIN(Calc!$AI$312*(1+'财富模型'!$E$20/12)+'Calc'!$B$6,IF(Calc!$AG$313&lt;='财富模型'!$E$11*12,'Calc'!$W$16,'Calc'!$Y$16))))</x:f>
      </x:c>
      <x:c r="AL313" t="str">
        <x:f>IF(Calc!$AG$313&gt;'Calc'!$B$8,"",'Calc'!$B$5-'财富模型'!$E$5-(IF('Calc'!$E$16=1,'财富模型'!$E$9,'财富模型'!$M$8+IF(Calc!$AG$313&lt;='财富模型'!$E$11*12,'Calc'!$W$16,'Calc'!$Y$16)-(IF('Calc'!$E$16=1,0,MIN(Calc!$AI$312*(1+'财富模型'!$E$20/12)+'Calc'!$B$6,IF(Calc!$AG$313&lt;='财富模型'!$E$11*12,'Calc'!$W$16,'Calc'!$Y$16)))))))</x:f>
      </x:c>
      <x:c r="AM313" t="str">
        <x:f>IF(Calc!$AG$313&gt;'Calc'!$B$8,"",IF('Calc'!$E$16=1,0,MAX(Calc!$AM$312*(1+IF(Calc!$AG$313&lt;='财富模型'!$E$11*12,'财富模型'!$E$10,'财富模型'!$E$12)/12)-IF('Calc'!$E$16=1,0,IF(Calc!$AG$313&lt;='财富模型'!$E$11*12,'Calc'!$W$16,'Calc'!$Y$16)),0)))</x:f>
      </x:c>
      <x:c r="AO313" t="n">
        <x:v>292</x:v>
      </x:c>
      <x:c r="AP313" t="str">
        <x:f>IF(Calc!$AO$313&gt;'Calc'!$B$8,"",MAX(Calc!$AP$312*(1+'财富模型'!$E$6/12)+('Calc'!$B$5-'财富模型'!$E$5-(IF('Calc'!$E$17=1,'财富模型'!$E$9,'财富模型'!$M$9+IF(Calc!$AO$313&lt;='财富模型'!$E$11*12,'Calc'!$W$17,'Calc'!$Y$17)-(IF('Calc'!$E$17=1,0,MIN(Calc!$AQ$312*(1+'财富模型'!$E$20/12)+'Calc'!$B$6,IF(Calc!$AO$313&lt;='财富模型'!$E$11*12,'Calc'!$W$17,'Calc'!$Y$17))))))),0))</x:f>
      </x:c>
      <x:c r="AQ313" t="str">
        <x:f>IF(Calc!$AO$313&gt;'Calc'!$B$8,"",MAX(Calc!$AQ$312*(1+'财富模型'!$E$20/12)+'Calc'!$B$6-(IF('Calc'!$E$17=1,0,MIN(Calc!$AQ$312*(1+'财富模型'!$E$20/12)+'Calc'!$B$6,IF(Calc!$AO$313&lt;='财富模型'!$E$11*12,'Calc'!$W$17,'Calc'!$Y$17)))),0))</x:f>
      </x:c>
      <x:c r="AR313" t="str">
        <x:f>IF(Calc!$AO$313&gt;'Calc'!$B$8,"",IF('Calc'!$E$17=1,'财富模型'!$E$9,'财富模型'!$M$9+IF(Calc!$AO$313&lt;='财富模型'!$E$11*12,'Calc'!$W$17,'Calc'!$Y$17)-(IF('Calc'!$E$17=1,0,MIN(Calc!$AQ$312*(1+'财富模型'!$E$20/12)+'Calc'!$B$6,IF(Calc!$AO$313&lt;='财富模型'!$E$11*12,'Calc'!$W$17,'Calc'!$Y$17))))))</x:f>
      </x:c>
      <x:c r="AS313" t="str">
        <x:f>IF(Calc!$AO$313&gt;'Calc'!$B$8,"",IF('Calc'!$E$17=1,0,MIN(Calc!$AQ$312*(1+'财富模型'!$E$20/12)+'Calc'!$B$6,IF(Calc!$AO$313&lt;='财富模型'!$E$11*12,'Calc'!$W$17,'Calc'!$Y$17))))</x:f>
      </x:c>
      <x:c r="AT313" t="str">
        <x:f>IF(Calc!$AO$313&gt;'Calc'!$B$8,"",'Calc'!$B$5-'财富模型'!$E$5-(IF('Calc'!$E$17=1,'财富模型'!$E$9,'财富模型'!$M$9+IF(Calc!$AO$313&lt;='财富模型'!$E$11*12,'Calc'!$W$17,'Calc'!$Y$17)-(IF('Calc'!$E$17=1,0,MIN(Calc!$AQ$312*(1+'财富模型'!$E$20/12)+'Calc'!$B$6,IF(Calc!$AO$313&lt;='财富模型'!$E$11*12,'Calc'!$W$17,'Calc'!$Y$17)))))))</x:f>
      </x:c>
      <x:c r="AU313" t="str">
        <x:f>IF(Calc!$AO$313&gt;'Calc'!$B$8,"",IF('Calc'!$E$17=1,0,MAX(Calc!$AU$312*(1+IF(Calc!$AO$313&lt;='财富模型'!$E$11*12,'财富模型'!$E$10,'财富模型'!$E$12)/12)-IF('Calc'!$E$17=1,0,IF(Calc!$AO$313&lt;='财富模型'!$E$11*12,'Calc'!$W$17,'Calc'!$Y$17)),0)))</x:f>
      </x:c>
    </x:row>
    <x:row r="314">
      <x:c r="A314" t="n">
        <x:v>293</x:v>
      </x:c>
      <x:c r="B314" t="str">
        <x:f>IF(Calc!$A$314&gt;'Calc'!$B$8,"",MAX(Calc!$B$313*(1+'财富模型'!$E$6/12)+('Calc'!$B$5-'财富模型'!$E$5-(IF('Calc'!$E$12=1,'财富模型'!$E$9,'财富模型'!$M$4+IF(Calc!$A$314&lt;='财富模型'!$E$11*12,'Calc'!$W$12,'Calc'!$Y$12)-(IF('Calc'!$E$12=1,0,MIN(Calc!$C$313*(1+'财富模型'!$E$20/12)+'Calc'!$B$6,IF(Calc!$A$314&lt;='财富模型'!$E$11*12,'Calc'!$W$12,'Calc'!$Y$12))))))),0))</x:f>
      </x:c>
      <x:c r="C314" t="str">
        <x:f>IF(Calc!$A$314&gt;'Calc'!$B$8,"",MAX(Calc!$C$313*(1+'财富模型'!$E$20/12)+'Calc'!$B$6-(IF('Calc'!$E$12=1,0,MIN(Calc!$C$313*(1+'财富模型'!$E$20/12)+'Calc'!$B$6,IF(Calc!$A$314&lt;='财富模型'!$E$11*12,'Calc'!$W$12,'Calc'!$Y$12)))),0))</x:f>
      </x:c>
      <x:c r="D314" t="str">
        <x:f>IF(Calc!$A$314&gt;'Calc'!$B$8,"",IF('Calc'!$E$12=1,'财富模型'!$E$9,'财富模型'!$M$4+IF(Calc!$A$314&lt;='财富模型'!$E$11*12,'Calc'!$W$12,'Calc'!$Y$12)-(IF('Calc'!$E$12=1,0,MIN(Calc!$C$313*(1+'财富模型'!$E$20/12)+'Calc'!$B$6,IF(Calc!$A$314&lt;='财富模型'!$E$11*12,'Calc'!$W$12,'Calc'!$Y$12))))))</x:f>
      </x:c>
      <x:c r="E314" t="str">
        <x:f>IF(Calc!$A$314&gt;'Calc'!$B$8,"",IF('Calc'!$E$12=1,0,MIN(Calc!$C$313*(1+'财富模型'!$E$20/12)+'Calc'!$B$6,IF(Calc!$A$314&lt;='财富模型'!$E$11*12,'Calc'!$W$12,'Calc'!$Y$12))))</x:f>
      </x:c>
      <x:c r="F314" t="str">
        <x:f>IF(Calc!$A$314&gt;'Calc'!$B$8,"",'Calc'!$B$5-'财富模型'!$E$5-(IF('Calc'!$E$12=1,'财富模型'!$E$9,'财富模型'!$M$4+IF(Calc!$A$314&lt;='财富模型'!$E$11*12,'Calc'!$W$12,'Calc'!$Y$12)-(IF('Calc'!$E$12=1,0,MIN(Calc!$C$313*(1+'财富模型'!$E$20/12)+'Calc'!$B$6,IF(Calc!$A$314&lt;='财富模型'!$E$11*12,'Calc'!$W$12,'Calc'!$Y$12)))))))</x:f>
      </x:c>
      <x:c r="G314" t="str">
        <x:f>IF(Calc!$A$314&gt;'Calc'!$B$8,"",IF('Calc'!$E$12=1,0,MAX(Calc!$G$313*(1+IF(Calc!$A$314&lt;='财富模型'!$E$11*12,'财富模型'!$E$10,'财富模型'!$E$12)/12)-IF('Calc'!$E$12=1,0,IF(Calc!$A$314&lt;='财富模型'!$E$11*12,'Calc'!$W$12,'Calc'!$Y$12)),0)))</x:f>
      </x:c>
      <x:c r="I314" t="n">
        <x:v>293</x:v>
      </x:c>
      <x:c r="J314" t="str">
        <x:f>IF(Calc!$I$314&gt;'Calc'!$B$8,"",MAX(Calc!$J$313*(1+'财富模型'!$E$6/12)+('Calc'!$B$5-'财富模型'!$E$5-(IF('Calc'!$E$13=1,'财富模型'!$E$9,'财富模型'!$M$5+IF(Calc!$I$314&lt;='财富模型'!$E$11*12,'Calc'!$W$13,'Calc'!$Y$13)-(IF('Calc'!$E$13=1,0,MIN(Calc!$K$313*(1+'财富模型'!$E$20/12)+'Calc'!$B$6,IF(Calc!$I$314&lt;='财富模型'!$E$11*12,'Calc'!$W$13,'Calc'!$Y$13))))))),0))</x:f>
      </x:c>
      <x:c r="K314" t="str">
        <x:f>IF(Calc!$I$314&gt;'Calc'!$B$8,"",MAX(Calc!$K$313*(1+'财富模型'!$E$20/12)+'Calc'!$B$6-(IF('Calc'!$E$13=1,0,MIN(Calc!$K$313*(1+'财富模型'!$E$20/12)+'Calc'!$B$6,IF(Calc!$I$314&lt;='财富模型'!$E$11*12,'Calc'!$W$13,'Calc'!$Y$13)))),0))</x:f>
      </x:c>
      <x:c r="L314" t="str">
        <x:f>IF(Calc!$I$314&gt;'Calc'!$B$8,"",IF('Calc'!$E$13=1,'财富模型'!$E$9,'财富模型'!$M$5+IF(Calc!$I$314&lt;='财富模型'!$E$11*12,'Calc'!$W$13,'Calc'!$Y$13)-(IF('Calc'!$E$13=1,0,MIN(Calc!$K$313*(1+'财富模型'!$E$20/12)+'Calc'!$B$6,IF(Calc!$I$314&lt;='财富模型'!$E$11*12,'Calc'!$W$13,'Calc'!$Y$13))))))</x:f>
      </x:c>
      <x:c r="M314" t="str">
        <x:f>IF(Calc!$I$314&gt;'Calc'!$B$8,"",IF('Calc'!$E$13=1,0,MIN(Calc!$K$313*(1+'财富模型'!$E$20/12)+'Calc'!$B$6,IF(Calc!$I$314&lt;='财富模型'!$E$11*12,'Calc'!$W$13,'Calc'!$Y$13))))</x:f>
      </x:c>
      <x:c r="N314" t="str">
        <x:f>IF(Calc!$I$314&gt;'Calc'!$B$8,"",'Calc'!$B$5-'财富模型'!$E$5-(IF('Calc'!$E$13=1,'财富模型'!$E$9,'财富模型'!$M$5+IF(Calc!$I$314&lt;='财富模型'!$E$11*12,'Calc'!$W$13,'Calc'!$Y$13)-(IF('Calc'!$E$13=1,0,MIN(Calc!$K$313*(1+'财富模型'!$E$20/12)+'Calc'!$B$6,IF(Calc!$I$314&lt;='财富模型'!$E$11*12,'Calc'!$W$13,'Calc'!$Y$13)))))))</x:f>
      </x:c>
      <x:c r="O314" t="str">
        <x:f>IF(Calc!$I$314&gt;'Calc'!$B$8,"",IF('Calc'!$E$13=1,0,MAX(Calc!$O$313*(1+IF(Calc!$I$314&lt;='财富模型'!$E$11*12,'财富模型'!$E$10,'财富模型'!$E$12)/12)-IF('Calc'!$E$13=1,0,IF(Calc!$I$314&lt;='财富模型'!$E$11*12,'Calc'!$W$13,'Calc'!$Y$13)),0)))</x:f>
      </x:c>
      <x:c r="Q314" t="n">
        <x:v>293</x:v>
      </x:c>
      <x:c r="R314" t="str">
        <x:f>IF(Calc!$Q$314&gt;'Calc'!$B$8,"",MAX(Calc!$R$313*(1+'财富模型'!$E$6/12)+('Calc'!$B$5-'财富模型'!$E$5-(IF('Calc'!$E$14=1,'财富模型'!$E$9,'财富模型'!$M$6+IF(Calc!$Q$314&lt;='财富模型'!$E$11*12,'Calc'!$W$14,'Calc'!$Y$14)-(IF('Calc'!$E$14=1,0,MIN(Calc!$S$313*(1+'财富模型'!$E$20/12)+'Calc'!$B$6,IF(Calc!$Q$314&lt;='财富模型'!$E$11*12,'Calc'!$W$14,'Calc'!$Y$14))))))),0))</x:f>
      </x:c>
      <x:c r="S314" t="str">
        <x:f>IF(Calc!$Q$314&gt;'Calc'!$B$8,"",MAX(Calc!$S$313*(1+'财富模型'!$E$20/12)+'Calc'!$B$6-(IF('Calc'!$E$14=1,0,MIN(Calc!$S$313*(1+'财富模型'!$E$20/12)+'Calc'!$B$6,IF(Calc!$Q$314&lt;='财富模型'!$E$11*12,'Calc'!$W$14,'Calc'!$Y$14)))),0))</x:f>
      </x:c>
      <x:c r="T314" t="str">
        <x:f>IF(Calc!$Q$314&gt;'Calc'!$B$8,"",IF('Calc'!$E$14=1,'财富模型'!$E$9,'财富模型'!$M$6+IF(Calc!$Q$314&lt;='财富模型'!$E$11*12,'Calc'!$W$14,'Calc'!$Y$14)-(IF('Calc'!$E$14=1,0,MIN(Calc!$S$313*(1+'财富模型'!$E$20/12)+'Calc'!$B$6,IF(Calc!$Q$314&lt;='财富模型'!$E$11*12,'Calc'!$W$14,'Calc'!$Y$14))))))</x:f>
      </x:c>
      <x:c r="U314" t="str">
        <x:f>IF(Calc!$Q$314&gt;'Calc'!$B$8,"",IF('Calc'!$E$14=1,0,MIN(Calc!$S$313*(1+'财富模型'!$E$20/12)+'Calc'!$B$6,IF(Calc!$Q$314&lt;='财富模型'!$E$11*12,'Calc'!$W$14,'Calc'!$Y$14))))</x:f>
      </x:c>
      <x:c r="V314" t="str">
        <x:f>IF(Calc!$Q$314&gt;'Calc'!$B$8,"",'Calc'!$B$5-'财富模型'!$E$5-(IF('Calc'!$E$14=1,'财富模型'!$E$9,'财富模型'!$M$6+IF(Calc!$Q$314&lt;='财富模型'!$E$11*12,'Calc'!$W$14,'Calc'!$Y$14)-(IF('Calc'!$E$14=1,0,MIN(Calc!$S$313*(1+'财富模型'!$E$20/12)+'Calc'!$B$6,IF(Calc!$Q$314&lt;='财富模型'!$E$11*12,'Calc'!$W$14,'Calc'!$Y$14)))))))</x:f>
      </x:c>
      <x:c r="W314" t="str">
        <x:f>IF(Calc!$Q$314&gt;'Calc'!$B$8,"",IF('Calc'!$E$14=1,0,MAX(Calc!$W$313*(1+IF(Calc!$Q$314&lt;='财富模型'!$E$11*12,'财富模型'!$E$10,'财富模型'!$E$12)/12)-IF('Calc'!$E$14=1,0,IF(Calc!$Q$314&lt;='财富模型'!$E$11*12,'Calc'!$W$14,'Calc'!$Y$14)),0)))</x:f>
      </x:c>
      <x:c r="Y314" t="n">
        <x:v>293</x:v>
      </x:c>
      <x:c r="Z314" t="str">
        <x:f>IF(Calc!$Y$314&gt;'Calc'!$B$8,"",MAX(Calc!$Z$313*(1+'财富模型'!$E$6/12)+('Calc'!$B$5-'财富模型'!$E$5-(IF('Calc'!$E$15=1,'财富模型'!$E$9,'财富模型'!$M$7+IF(Calc!$Y$314&lt;='财富模型'!$E$11*12,'Calc'!$W$15,'Calc'!$Y$15)-(IF('Calc'!$E$15=1,0,MIN(Calc!$AA$313*(1+'财富模型'!$E$20/12)+'Calc'!$B$6,IF(Calc!$Y$314&lt;='财富模型'!$E$11*12,'Calc'!$W$15,'Calc'!$Y$15))))))),0))</x:f>
      </x:c>
      <x:c r="AA314" t="str">
        <x:f>IF(Calc!$Y$314&gt;'Calc'!$B$8,"",MAX(Calc!$AA$313*(1+'财富模型'!$E$20/12)+'Calc'!$B$6-(IF('Calc'!$E$15=1,0,MIN(Calc!$AA$313*(1+'财富模型'!$E$20/12)+'Calc'!$B$6,IF(Calc!$Y$314&lt;='财富模型'!$E$11*12,'Calc'!$W$15,'Calc'!$Y$15)))),0))</x:f>
      </x:c>
      <x:c r="AB314" t="str">
        <x:f>IF(Calc!$Y$314&gt;'Calc'!$B$8,"",IF('Calc'!$E$15=1,'财富模型'!$E$9,'财富模型'!$M$7+IF(Calc!$Y$314&lt;='财富模型'!$E$11*12,'Calc'!$W$15,'Calc'!$Y$15)-(IF('Calc'!$E$15=1,0,MIN(Calc!$AA$313*(1+'财富模型'!$E$20/12)+'Calc'!$B$6,IF(Calc!$Y$314&lt;='财富模型'!$E$11*12,'Calc'!$W$15,'Calc'!$Y$15))))))</x:f>
      </x:c>
      <x:c r="AC314" t="str">
        <x:f>IF(Calc!$Y$314&gt;'Calc'!$B$8,"",IF('Calc'!$E$15=1,0,MIN(Calc!$AA$313*(1+'财富模型'!$E$20/12)+'Calc'!$B$6,IF(Calc!$Y$314&lt;='财富模型'!$E$11*12,'Calc'!$W$15,'Calc'!$Y$15))))</x:f>
      </x:c>
      <x:c r="AD314" t="str">
        <x:f>IF(Calc!$Y$314&gt;'Calc'!$B$8,"",'Calc'!$B$5-'财富模型'!$E$5-(IF('Calc'!$E$15=1,'财富模型'!$E$9,'财富模型'!$M$7+IF(Calc!$Y$314&lt;='财富模型'!$E$11*12,'Calc'!$W$15,'Calc'!$Y$15)-(IF('Calc'!$E$15=1,0,MIN(Calc!$AA$313*(1+'财富模型'!$E$20/12)+'Calc'!$B$6,IF(Calc!$Y$314&lt;='财富模型'!$E$11*12,'Calc'!$W$15,'Calc'!$Y$15)))))))</x:f>
      </x:c>
      <x:c r="AE314" t="str">
        <x:f>IF(Calc!$Y$314&gt;'Calc'!$B$8,"",IF('Calc'!$E$15=1,0,MAX(Calc!$AE$313*(1+IF(Calc!$Y$314&lt;='财富模型'!$E$11*12,'财富模型'!$E$10,'财富模型'!$E$12)/12)-IF('Calc'!$E$15=1,0,IF(Calc!$Y$314&lt;='财富模型'!$E$11*12,'Calc'!$W$15,'Calc'!$Y$15)),0)))</x:f>
      </x:c>
      <x:c r="AG314" t="n">
        <x:v>293</x:v>
      </x:c>
      <x:c r="AH314" t="str">
        <x:f>IF(Calc!$AG$314&gt;'Calc'!$B$8,"",MAX(Calc!$AH$313*(1+'财富模型'!$E$6/12)+('Calc'!$B$5-'财富模型'!$E$5-(IF('Calc'!$E$16=1,'财富模型'!$E$9,'财富模型'!$M$8+IF(Calc!$AG$314&lt;='财富模型'!$E$11*12,'Calc'!$W$16,'Calc'!$Y$16)-(IF('Calc'!$E$16=1,0,MIN(Calc!$AI$313*(1+'财富模型'!$E$20/12)+'Calc'!$B$6,IF(Calc!$AG$314&lt;='财富模型'!$E$11*12,'Calc'!$W$16,'Calc'!$Y$16))))))),0))</x:f>
      </x:c>
      <x:c r="AI314" t="str">
        <x:f>IF(Calc!$AG$314&gt;'Calc'!$B$8,"",MAX(Calc!$AI$313*(1+'财富模型'!$E$20/12)+'Calc'!$B$6-(IF('Calc'!$E$16=1,0,MIN(Calc!$AI$313*(1+'财富模型'!$E$20/12)+'Calc'!$B$6,IF(Calc!$AG$314&lt;='财富模型'!$E$11*12,'Calc'!$W$16,'Calc'!$Y$16)))),0))</x:f>
      </x:c>
      <x:c r="AJ314" t="str">
        <x:f>IF(Calc!$AG$314&gt;'Calc'!$B$8,"",IF('Calc'!$E$16=1,'财富模型'!$E$9,'财富模型'!$M$8+IF(Calc!$AG$314&lt;='财富模型'!$E$11*12,'Calc'!$W$16,'Calc'!$Y$16)-(IF('Calc'!$E$16=1,0,MIN(Calc!$AI$313*(1+'财富模型'!$E$20/12)+'Calc'!$B$6,IF(Calc!$AG$314&lt;='财富模型'!$E$11*12,'Calc'!$W$16,'Calc'!$Y$16))))))</x:f>
      </x:c>
      <x:c r="AK314" t="str">
        <x:f>IF(Calc!$AG$314&gt;'Calc'!$B$8,"",IF('Calc'!$E$16=1,0,MIN(Calc!$AI$313*(1+'财富模型'!$E$20/12)+'Calc'!$B$6,IF(Calc!$AG$314&lt;='财富模型'!$E$11*12,'Calc'!$W$16,'Calc'!$Y$16))))</x:f>
      </x:c>
      <x:c r="AL314" t="str">
        <x:f>IF(Calc!$AG$314&gt;'Calc'!$B$8,"",'Calc'!$B$5-'财富模型'!$E$5-(IF('Calc'!$E$16=1,'财富模型'!$E$9,'财富模型'!$M$8+IF(Calc!$AG$314&lt;='财富模型'!$E$11*12,'Calc'!$W$16,'Calc'!$Y$16)-(IF('Calc'!$E$16=1,0,MIN(Calc!$AI$313*(1+'财富模型'!$E$20/12)+'Calc'!$B$6,IF(Calc!$AG$314&lt;='财富模型'!$E$11*12,'Calc'!$W$16,'Calc'!$Y$16)))))))</x:f>
      </x:c>
      <x:c r="AM314" t="str">
        <x:f>IF(Calc!$AG$314&gt;'Calc'!$B$8,"",IF('Calc'!$E$16=1,0,MAX(Calc!$AM$313*(1+IF(Calc!$AG$314&lt;='财富模型'!$E$11*12,'财富模型'!$E$10,'财富模型'!$E$12)/12)-IF('Calc'!$E$16=1,0,IF(Calc!$AG$314&lt;='财富模型'!$E$11*12,'Calc'!$W$16,'Calc'!$Y$16)),0)))</x:f>
      </x:c>
      <x:c r="AO314" t="n">
        <x:v>293</x:v>
      </x:c>
      <x:c r="AP314" t="str">
        <x:f>IF(Calc!$AO$314&gt;'Calc'!$B$8,"",MAX(Calc!$AP$313*(1+'财富模型'!$E$6/12)+('Calc'!$B$5-'财富模型'!$E$5-(IF('Calc'!$E$17=1,'财富模型'!$E$9,'财富模型'!$M$9+IF(Calc!$AO$314&lt;='财富模型'!$E$11*12,'Calc'!$W$17,'Calc'!$Y$17)-(IF('Calc'!$E$17=1,0,MIN(Calc!$AQ$313*(1+'财富模型'!$E$20/12)+'Calc'!$B$6,IF(Calc!$AO$314&lt;='财富模型'!$E$11*12,'Calc'!$W$17,'Calc'!$Y$17))))))),0))</x:f>
      </x:c>
      <x:c r="AQ314" t="str">
        <x:f>IF(Calc!$AO$314&gt;'Calc'!$B$8,"",MAX(Calc!$AQ$313*(1+'财富模型'!$E$20/12)+'Calc'!$B$6-(IF('Calc'!$E$17=1,0,MIN(Calc!$AQ$313*(1+'财富模型'!$E$20/12)+'Calc'!$B$6,IF(Calc!$AO$314&lt;='财富模型'!$E$11*12,'Calc'!$W$17,'Calc'!$Y$17)))),0))</x:f>
      </x:c>
      <x:c r="AR314" t="str">
        <x:f>IF(Calc!$AO$314&gt;'Calc'!$B$8,"",IF('Calc'!$E$17=1,'财富模型'!$E$9,'财富模型'!$M$9+IF(Calc!$AO$314&lt;='财富模型'!$E$11*12,'Calc'!$W$17,'Calc'!$Y$17)-(IF('Calc'!$E$17=1,0,MIN(Calc!$AQ$313*(1+'财富模型'!$E$20/12)+'Calc'!$B$6,IF(Calc!$AO$314&lt;='财富模型'!$E$11*12,'Calc'!$W$17,'Calc'!$Y$17))))))</x:f>
      </x:c>
      <x:c r="AS314" t="str">
        <x:f>IF(Calc!$AO$314&gt;'Calc'!$B$8,"",IF('Calc'!$E$17=1,0,MIN(Calc!$AQ$313*(1+'财富模型'!$E$20/12)+'Calc'!$B$6,IF(Calc!$AO$314&lt;='财富模型'!$E$11*12,'Calc'!$W$17,'Calc'!$Y$17))))</x:f>
      </x:c>
      <x:c r="AT314" t="str">
        <x:f>IF(Calc!$AO$314&gt;'Calc'!$B$8,"",'Calc'!$B$5-'财富模型'!$E$5-(IF('Calc'!$E$17=1,'财富模型'!$E$9,'财富模型'!$M$9+IF(Calc!$AO$314&lt;='财富模型'!$E$11*12,'Calc'!$W$17,'Calc'!$Y$17)-(IF('Calc'!$E$17=1,0,MIN(Calc!$AQ$313*(1+'财富模型'!$E$20/12)+'Calc'!$B$6,IF(Calc!$AO$314&lt;='财富模型'!$E$11*12,'Calc'!$W$17,'Calc'!$Y$17)))))))</x:f>
      </x:c>
      <x:c r="AU314" t="str">
        <x:f>IF(Calc!$AO$314&gt;'Calc'!$B$8,"",IF('Calc'!$E$17=1,0,MAX(Calc!$AU$313*(1+IF(Calc!$AO$314&lt;='财富模型'!$E$11*12,'财富模型'!$E$10,'财富模型'!$E$12)/12)-IF('Calc'!$E$17=1,0,IF(Calc!$AO$314&lt;='财富模型'!$E$11*12,'Calc'!$W$17,'Calc'!$Y$17)),0)))</x:f>
      </x:c>
    </x:row>
    <x:row r="315">
      <x:c r="A315" t="n">
        <x:v>294</x:v>
      </x:c>
      <x:c r="B315" t="str">
        <x:f>IF(Calc!$A$315&gt;'Calc'!$B$8,"",MAX(Calc!$B$314*(1+'财富模型'!$E$6/12)+('Calc'!$B$5-'财富模型'!$E$5-(IF('Calc'!$E$12=1,'财富模型'!$E$9,'财富模型'!$M$4+IF(Calc!$A$315&lt;='财富模型'!$E$11*12,'Calc'!$W$12,'Calc'!$Y$12)-(IF('Calc'!$E$12=1,0,MIN(Calc!$C$314*(1+'财富模型'!$E$20/12)+'Calc'!$B$6,IF(Calc!$A$315&lt;='财富模型'!$E$11*12,'Calc'!$W$12,'Calc'!$Y$12))))))),0))</x:f>
      </x:c>
      <x:c r="C315" t="str">
        <x:f>IF(Calc!$A$315&gt;'Calc'!$B$8,"",MAX(Calc!$C$314*(1+'财富模型'!$E$20/12)+'Calc'!$B$6-(IF('Calc'!$E$12=1,0,MIN(Calc!$C$314*(1+'财富模型'!$E$20/12)+'Calc'!$B$6,IF(Calc!$A$315&lt;='财富模型'!$E$11*12,'Calc'!$W$12,'Calc'!$Y$12)))),0))</x:f>
      </x:c>
      <x:c r="D315" t="str">
        <x:f>IF(Calc!$A$315&gt;'Calc'!$B$8,"",IF('Calc'!$E$12=1,'财富模型'!$E$9,'财富模型'!$M$4+IF(Calc!$A$315&lt;='财富模型'!$E$11*12,'Calc'!$W$12,'Calc'!$Y$12)-(IF('Calc'!$E$12=1,0,MIN(Calc!$C$314*(1+'财富模型'!$E$20/12)+'Calc'!$B$6,IF(Calc!$A$315&lt;='财富模型'!$E$11*12,'Calc'!$W$12,'Calc'!$Y$12))))))</x:f>
      </x:c>
      <x:c r="E315" t="str">
        <x:f>IF(Calc!$A$315&gt;'Calc'!$B$8,"",IF('Calc'!$E$12=1,0,MIN(Calc!$C$314*(1+'财富模型'!$E$20/12)+'Calc'!$B$6,IF(Calc!$A$315&lt;='财富模型'!$E$11*12,'Calc'!$W$12,'Calc'!$Y$12))))</x:f>
      </x:c>
      <x:c r="F315" t="str">
        <x:f>IF(Calc!$A$315&gt;'Calc'!$B$8,"",'Calc'!$B$5-'财富模型'!$E$5-(IF('Calc'!$E$12=1,'财富模型'!$E$9,'财富模型'!$M$4+IF(Calc!$A$315&lt;='财富模型'!$E$11*12,'Calc'!$W$12,'Calc'!$Y$12)-(IF('Calc'!$E$12=1,0,MIN(Calc!$C$314*(1+'财富模型'!$E$20/12)+'Calc'!$B$6,IF(Calc!$A$315&lt;='财富模型'!$E$11*12,'Calc'!$W$12,'Calc'!$Y$12)))))))</x:f>
      </x:c>
      <x:c r="G315" t="str">
        <x:f>IF(Calc!$A$315&gt;'Calc'!$B$8,"",IF('Calc'!$E$12=1,0,MAX(Calc!$G$314*(1+IF(Calc!$A$315&lt;='财富模型'!$E$11*12,'财富模型'!$E$10,'财富模型'!$E$12)/12)-IF('Calc'!$E$12=1,0,IF(Calc!$A$315&lt;='财富模型'!$E$11*12,'Calc'!$W$12,'Calc'!$Y$12)),0)))</x:f>
      </x:c>
      <x:c r="I315" t="n">
        <x:v>294</x:v>
      </x:c>
      <x:c r="J315" t="str">
        <x:f>IF(Calc!$I$315&gt;'Calc'!$B$8,"",MAX(Calc!$J$314*(1+'财富模型'!$E$6/12)+('Calc'!$B$5-'财富模型'!$E$5-(IF('Calc'!$E$13=1,'财富模型'!$E$9,'财富模型'!$M$5+IF(Calc!$I$315&lt;='财富模型'!$E$11*12,'Calc'!$W$13,'Calc'!$Y$13)-(IF('Calc'!$E$13=1,0,MIN(Calc!$K$314*(1+'财富模型'!$E$20/12)+'Calc'!$B$6,IF(Calc!$I$315&lt;='财富模型'!$E$11*12,'Calc'!$W$13,'Calc'!$Y$13))))))),0))</x:f>
      </x:c>
      <x:c r="K315" t="str">
        <x:f>IF(Calc!$I$315&gt;'Calc'!$B$8,"",MAX(Calc!$K$314*(1+'财富模型'!$E$20/12)+'Calc'!$B$6-(IF('Calc'!$E$13=1,0,MIN(Calc!$K$314*(1+'财富模型'!$E$20/12)+'Calc'!$B$6,IF(Calc!$I$315&lt;='财富模型'!$E$11*12,'Calc'!$W$13,'Calc'!$Y$13)))),0))</x:f>
      </x:c>
      <x:c r="L315" t="str">
        <x:f>IF(Calc!$I$315&gt;'Calc'!$B$8,"",IF('Calc'!$E$13=1,'财富模型'!$E$9,'财富模型'!$M$5+IF(Calc!$I$315&lt;='财富模型'!$E$11*12,'Calc'!$W$13,'Calc'!$Y$13)-(IF('Calc'!$E$13=1,0,MIN(Calc!$K$314*(1+'财富模型'!$E$20/12)+'Calc'!$B$6,IF(Calc!$I$315&lt;='财富模型'!$E$11*12,'Calc'!$W$13,'Calc'!$Y$13))))))</x:f>
      </x:c>
      <x:c r="M315" t="str">
        <x:f>IF(Calc!$I$315&gt;'Calc'!$B$8,"",IF('Calc'!$E$13=1,0,MIN(Calc!$K$314*(1+'财富模型'!$E$20/12)+'Calc'!$B$6,IF(Calc!$I$315&lt;='财富模型'!$E$11*12,'Calc'!$W$13,'Calc'!$Y$13))))</x:f>
      </x:c>
      <x:c r="N315" t="str">
        <x:f>IF(Calc!$I$315&gt;'Calc'!$B$8,"",'Calc'!$B$5-'财富模型'!$E$5-(IF('Calc'!$E$13=1,'财富模型'!$E$9,'财富模型'!$M$5+IF(Calc!$I$315&lt;='财富模型'!$E$11*12,'Calc'!$W$13,'Calc'!$Y$13)-(IF('Calc'!$E$13=1,0,MIN(Calc!$K$314*(1+'财富模型'!$E$20/12)+'Calc'!$B$6,IF(Calc!$I$315&lt;='财富模型'!$E$11*12,'Calc'!$W$13,'Calc'!$Y$13)))))))</x:f>
      </x:c>
      <x:c r="O315" t="str">
        <x:f>IF(Calc!$I$315&gt;'Calc'!$B$8,"",IF('Calc'!$E$13=1,0,MAX(Calc!$O$314*(1+IF(Calc!$I$315&lt;='财富模型'!$E$11*12,'财富模型'!$E$10,'财富模型'!$E$12)/12)-IF('Calc'!$E$13=1,0,IF(Calc!$I$315&lt;='财富模型'!$E$11*12,'Calc'!$W$13,'Calc'!$Y$13)),0)))</x:f>
      </x:c>
      <x:c r="Q315" t="n">
        <x:v>294</x:v>
      </x:c>
      <x:c r="R315" t="str">
        <x:f>IF(Calc!$Q$315&gt;'Calc'!$B$8,"",MAX(Calc!$R$314*(1+'财富模型'!$E$6/12)+('Calc'!$B$5-'财富模型'!$E$5-(IF('Calc'!$E$14=1,'财富模型'!$E$9,'财富模型'!$M$6+IF(Calc!$Q$315&lt;='财富模型'!$E$11*12,'Calc'!$W$14,'Calc'!$Y$14)-(IF('Calc'!$E$14=1,0,MIN(Calc!$S$314*(1+'财富模型'!$E$20/12)+'Calc'!$B$6,IF(Calc!$Q$315&lt;='财富模型'!$E$11*12,'Calc'!$W$14,'Calc'!$Y$14))))))),0))</x:f>
      </x:c>
      <x:c r="S315" t="str">
        <x:f>IF(Calc!$Q$315&gt;'Calc'!$B$8,"",MAX(Calc!$S$314*(1+'财富模型'!$E$20/12)+'Calc'!$B$6-(IF('Calc'!$E$14=1,0,MIN(Calc!$S$314*(1+'财富模型'!$E$20/12)+'Calc'!$B$6,IF(Calc!$Q$315&lt;='财富模型'!$E$11*12,'Calc'!$W$14,'Calc'!$Y$14)))),0))</x:f>
      </x:c>
      <x:c r="T315" t="str">
        <x:f>IF(Calc!$Q$315&gt;'Calc'!$B$8,"",IF('Calc'!$E$14=1,'财富模型'!$E$9,'财富模型'!$M$6+IF(Calc!$Q$315&lt;='财富模型'!$E$11*12,'Calc'!$W$14,'Calc'!$Y$14)-(IF('Calc'!$E$14=1,0,MIN(Calc!$S$314*(1+'财富模型'!$E$20/12)+'Calc'!$B$6,IF(Calc!$Q$315&lt;='财富模型'!$E$11*12,'Calc'!$W$14,'Calc'!$Y$14))))))</x:f>
      </x:c>
      <x:c r="U315" t="str">
        <x:f>IF(Calc!$Q$315&gt;'Calc'!$B$8,"",IF('Calc'!$E$14=1,0,MIN(Calc!$S$314*(1+'财富模型'!$E$20/12)+'Calc'!$B$6,IF(Calc!$Q$315&lt;='财富模型'!$E$11*12,'Calc'!$W$14,'Calc'!$Y$14))))</x:f>
      </x:c>
      <x:c r="V315" t="str">
        <x:f>IF(Calc!$Q$315&gt;'Calc'!$B$8,"",'Calc'!$B$5-'财富模型'!$E$5-(IF('Calc'!$E$14=1,'财富模型'!$E$9,'财富模型'!$M$6+IF(Calc!$Q$315&lt;='财富模型'!$E$11*12,'Calc'!$W$14,'Calc'!$Y$14)-(IF('Calc'!$E$14=1,0,MIN(Calc!$S$314*(1+'财富模型'!$E$20/12)+'Calc'!$B$6,IF(Calc!$Q$315&lt;='财富模型'!$E$11*12,'Calc'!$W$14,'Calc'!$Y$14)))))))</x:f>
      </x:c>
      <x:c r="W315" t="str">
        <x:f>IF(Calc!$Q$315&gt;'Calc'!$B$8,"",IF('Calc'!$E$14=1,0,MAX(Calc!$W$314*(1+IF(Calc!$Q$315&lt;='财富模型'!$E$11*12,'财富模型'!$E$10,'财富模型'!$E$12)/12)-IF('Calc'!$E$14=1,0,IF(Calc!$Q$315&lt;='财富模型'!$E$11*12,'Calc'!$W$14,'Calc'!$Y$14)),0)))</x:f>
      </x:c>
      <x:c r="Y315" t="n">
        <x:v>294</x:v>
      </x:c>
      <x:c r="Z315" t="str">
        <x:f>IF(Calc!$Y$315&gt;'Calc'!$B$8,"",MAX(Calc!$Z$314*(1+'财富模型'!$E$6/12)+('Calc'!$B$5-'财富模型'!$E$5-(IF('Calc'!$E$15=1,'财富模型'!$E$9,'财富模型'!$M$7+IF(Calc!$Y$315&lt;='财富模型'!$E$11*12,'Calc'!$W$15,'Calc'!$Y$15)-(IF('Calc'!$E$15=1,0,MIN(Calc!$AA$314*(1+'财富模型'!$E$20/12)+'Calc'!$B$6,IF(Calc!$Y$315&lt;='财富模型'!$E$11*12,'Calc'!$W$15,'Calc'!$Y$15))))))),0))</x:f>
      </x:c>
      <x:c r="AA315" t="str">
        <x:f>IF(Calc!$Y$315&gt;'Calc'!$B$8,"",MAX(Calc!$AA$314*(1+'财富模型'!$E$20/12)+'Calc'!$B$6-(IF('Calc'!$E$15=1,0,MIN(Calc!$AA$314*(1+'财富模型'!$E$20/12)+'Calc'!$B$6,IF(Calc!$Y$315&lt;='财富模型'!$E$11*12,'Calc'!$W$15,'Calc'!$Y$15)))),0))</x:f>
      </x:c>
      <x:c r="AB315" t="str">
        <x:f>IF(Calc!$Y$315&gt;'Calc'!$B$8,"",IF('Calc'!$E$15=1,'财富模型'!$E$9,'财富模型'!$M$7+IF(Calc!$Y$315&lt;='财富模型'!$E$11*12,'Calc'!$W$15,'Calc'!$Y$15)-(IF('Calc'!$E$15=1,0,MIN(Calc!$AA$314*(1+'财富模型'!$E$20/12)+'Calc'!$B$6,IF(Calc!$Y$315&lt;='财富模型'!$E$11*12,'Calc'!$W$15,'Calc'!$Y$15))))))</x:f>
      </x:c>
      <x:c r="AC315" t="str">
        <x:f>IF(Calc!$Y$315&gt;'Calc'!$B$8,"",IF('Calc'!$E$15=1,0,MIN(Calc!$AA$314*(1+'财富模型'!$E$20/12)+'Calc'!$B$6,IF(Calc!$Y$315&lt;='财富模型'!$E$11*12,'Calc'!$W$15,'Calc'!$Y$15))))</x:f>
      </x:c>
      <x:c r="AD315" t="str">
        <x:f>IF(Calc!$Y$315&gt;'Calc'!$B$8,"",'Calc'!$B$5-'财富模型'!$E$5-(IF('Calc'!$E$15=1,'财富模型'!$E$9,'财富模型'!$M$7+IF(Calc!$Y$315&lt;='财富模型'!$E$11*12,'Calc'!$W$15,'Calc'!$Y$15)-(IF('Calc'!$E$15=1,0,MIN(Calc!$AA$314*(1+'财富模型'!$E$20/12)+'Calc'!$B$6,IF(Calc!$Y$315&lt;='财富模型'!$E$11*12,'Calc'!$W$15,'Calc'!$Y$15)))))))</x:f>
      </x:c>
      <x:c r="AE315" t="str">
        <x:f>IF(Calc!$Y$315&gt;'Calc'!$B$8,"",IF('Calc'!$E$15=1,0,MAX(Calc!$AE$314*(1+IF(Calc!$Y$315&lt;='财富模型'!$E$11*12,'财富模型'!$E$10,'财富模型'!$E$12)/12)-IF('Calc'!$E$15=1,0,IF(Calc!$Y$315&lt;='财富模型'!$E$11*12,'Calc'!$W$15,'Calc'!$Y$15)),0)))</x:f>
      </x:c>
      <x:c r="AG315" t="n">
        <x:v>294</x:v>
      </x:c>
      <x:c r="AH315" t="str">
        <x:f>IF(Calc!$AG$315&gt;'Calc'!$B$8,"",MAX(Calc!$AH$314*(1+'财富模型'!$E$6/12)+('Calc'!$B$5-'财富模型'!$E$5-(IF('Calc'!$E$16=1,'财富模型'!$E$9,'财富模型'!$M$8+IF(Calc!$AG$315&lt;='财富模型'!$E$11*12,'Calc'!$W$16,'Calc'!$Y$16)-(IF('Calc'!$E$16=1,0,MIN(Calc!$AI$314*(1+'财富模型'!$E$20/12)+'Calc'!$B$6,IF(Calc!$AG$315&lt;='财富模型'!$E$11*12,'Calc'!$W$16,'Calc'!$Y$16))))))),0))</x:f>
      </x:c>
      <x:c r="AI315" t="str">
        <x:f>IF(Calc!$AG$315&gt;'Calc'!$B$8,"",MAX(Calc!$AI$314*(1+'财富模型'!$E$20/12)+'Calc'!$B$6-(IF('Calc'!$E$16=1,0,MIN(Calc!$AI$314*(1+'财富模型'!$E$20/12)+'Calc'!$B$6,IF(Calc!$AG$315&lt;='财富模型'!$E$11*12,'Calc'!$W$16,'Calc'!$Y$16)))),0))</x:f>
      </x:c>
      <x:c r="AJ315" t="str">
        <x:f>IF(Calc!$AG$315&gt;'Calc'!$B$8,"",IF('Calc'!$E$16=1,'财富模型'!$E$9,'财富模型'!$M$8+IF(Calc!$AG$315&lt;='财富模型'!$E$11*12,'Calc'!$W$16,'Calc'!$Y$16)-(IF('Calc'!$E$16=1,0,MIN(Calc!$AI$314*(1+'财富模型'!$E$20/12)+'Calc'!$B$6,IF(Calc!$AG$315&lt;='财富模型'!$E$11*12,'Calc'!$W$16,'Calc'!$Y$16))))))</x:f>
      </x:c>
      <x:c r="AK315" t="str">
        <x:f>IF(Calc!$AG$315&gt;'Calc'!$B$8,"",IF('Calc'!$E$16=1,0,MIN(Calc!$AI$314*(1+'财富模型'!$E$20/12)+'Calc'!$B$6,IF(Calc!$AG$315&lt;='财富模型'!$E$11*12,'Calc'!$W$16,'Calc'!$Y$16))))</x:f>
      </x:c>
      <x:c r="AL315" t="str">
        <x:f>IF(Calc!$AG$315&gt;'Calc'!$B$8,"",'Calc'!$B$5-'财富模型'!$E$5-(IF('Calc'!$E$16=1,'财富模型'!$E$9,'财富模型'!$M$8+IF(Calc!$AG$315&lt;='财富模型'!$E$11*12,'Calc'!$W$16,'Calc'!$Y$16)-(IF('Calc'!$E$16=1,0,MIN(Calc!$AI$314*(1+'财富模型'!$E$20/12)+'Calc'!$B$6,IF(Calc!$AG$315&lt;='财富模型'!$E$11*12,'Calc'!$W$16,'Calc'!$Y$16)))))))</x:f>
      </x:c>
      <x:c r="AM315" t="str">
        <x:f>IF(Calc!$AG$315&gt;'Calc'!$B$8,"",IF('Calc'!$E$16=1,0,MAX(Calc!$AM$314*(1+IF(Calc!$AG$315&lt;='财富模型'!$E$11*12,'财富模型'!$E$10,'财富模型'!$E$12)/12)-IF('Calc'!$E$16=1,0,IF(Calc!$AG$315&lt;='财富模型'!$E$11*12,'Calc'!$W$16,'Calc'!$Y$16)),0)))</x:f>
      </x:c>
      <x:c r="AO315" t="n">
        <x:v>294</x:v>
      </x:c>
      <x:c r="AP315" t="str">
        <x:f>IF(Calc!$AO$315&gt;'Calc'!$B$8,"",MAX(Calc!$AP$314*(1+'财富模型'!$E$6/12)+('Calc'!$B$5-'财富模型'!$E$5-(IF('Calc'!$E$17=1,'财富模型'!$E$9,'财富模型'!$M$9+IF(Calc!$AO$315&lt;='财富模型'!$E$11*12,'Calc'!$W$17,'Calc'!$Y$17)-(IF('Calc'!$E$17=1,0,MIN(Calc!$AQ$314*(1+'财富模型'!$E$20/12)+'Calc'!$B$6,IF(Calc!$AO$315&lt;='财富模型'!$E$11*12,'Calc'!$W$17,'Calc'!$Y$17))))))),0))</x:f>
      </x:c>
      <x:c r="AQ315" t="str">
        <x:f>IF(Calc!$AO$315&gt;'Calc'!$B$8,"",MAX(Calc!$AQ$314*(1+'财富模型'!$E$20/12)+'Calc'!$B$6-(IF('Calc'!$E$17=1,0,MIN(Calc!$AQ$314*(1+'财富模型'!$E$20/12)+'Calc'!$B$6,IF(Calc!$AO$315&lt;='财富模型'!$E$11*12,'Calc'!$W$17,'Calc'!$Y$17)))),0))</x:f>
      </x:c>
      <x:c r="AR315" t="str">
        <x:f>IF(Calc!$AO$315&gt;'Calc'!$B$8,"",IF('Calc'!$E$17=1,'财富模型'!$E$9,'财富模型'!$M$9+IF(Calc!$AO$315&lt;='财富模型'!$E$11*12,'Calc'!$W$17,'Calc'!$Y$17)-(IF('Calc'!$E$17=1,0,MIN(Calc!$AQ$314*(1+'财富模型'!$E$20/12)+'Calc'!$B$6,IF(Calc!$AO$315&lt;='财富模型'!$E$11*12,'Calc'!$W$17,'Calc'!$Y$17))))))</x:f>
      </x:c>
      <x:c r="AS315" t="str">
        <x:f>IF(Calc!$AO$315&gt;'Calc'!$B$8,"",IF('Calc'!$E$17=1,0,MIN(Calc!$AQ$314*(1+'财富模型'!$E$20/12)+'Calc'!$B$6,IF(Calc!$AO$315&lt;='财富模型'!$E$11*12,'Calc'!$W$17,'Calc'!$Y$17))))</x:f>
      </x:c>
      <x:c r="AT315" t="str">
        <x:f>IF(Calc!$AO$315&gt;'Calc'!$B$8,"",'Calc'!$B$5-'财富模型'!$E$5-(IF('Calc'!$E$17=1,'财富模型'!$E$9,'财富模型'!$M$9+IF(Calc!$AO$315&lt;='财富模型'!$E$11*12,'Calc'!$W$17,'Calc'!$Y$17)-(IF('Calc'!$E$17=1,0,MIN(Calc!$AQ$314*(1+'财富模型'!$E$20/12)+'Calc'!$B$6,IF(Calc!$AO$315&lt;='财富模型'!$E$11*12,'Calc'!$W$17,'Calc'!$Y$17)))))))</x:f>
      </x:c>
      <x:c r="AU315" t="str">
        <x:f>IF(Calc!$AO$315&gt;'Calc'!$B$8,"",IF('Calc'!$E$17=1,0,MAX(Calc!$AU$314*(1+IF(Calc!$AO$315&lt;='财富模型'!$E$11*12,'财富模型'!$E$10,'财富模型'!$E$12)/12)-IF('Calc'!$E$17=1,0,IF(Calc!$AO$315&lt;='财富模型'!$E$11*12,'Calc'!$W$17,'Calc'!$Y$17)),0)))</x:f>
      </x:c>
    </x:row>
    <x:row r="316">
      <x:c r="A316" t="n">
        <x:v>295</x:v>
      </x:c>
      <x:c r="B316" t="str">
        <x:f>IF(Calc!$A$316&gt;'Calc'!$B$8,"",MAX(Calc!$B$315*(1+'财富模型'!$E$6/12)+('Calc'!$B$5-'财富模型'!$E$5-(IF('Calc'!$E$12=1,'财富模型'!$E$9,'财富模型'!$M$4+IF(Calc!$A$316&lt;='财富模型'!$E$11*12,'Calc'!$W$12,'Calc'!$Y$12)-(IF('Calc'!$E$12=1,0,MIN(Calc!$C$315*(1+'财富模型'!$E$20/12)+'Calc'!$B$6,IF(Calc!$A$316&lt;='财富模型'!$E$11*12,'Calc'!$W$12,'Calc'!$Y$12))))))),0))</x:f>
      </x:c>
      <x:c r="C316" t="str">
        <x:f>IF(Calc!$A$316&gt;'Calc'!$B$8,"",MAX(Calc!$C$315*(1+'财富模型'!$E$20/12)+'Calc'!$B$6-(IF('Calc'!$E$12=1,0,MIN(Calc!$C$315*(1+'财富模型'!$E$20/12)+'Calc'!$B$6,IF(Calc!$A$316&lt;='财富模型'!$E$11*12,'Calc'!$W$12,'Calc'!$Y$12)))),0))</x:f>
      </x:c>
      <x:c r="D316" t="str">
        <x:f>IF(Calc!$A$316&gt;'Calc'!$B$8,"",IF('Calc'!$E$12=1,'财富模型'!$E$9,'财富模型'!$M$4+IF(Calc!$A$316&lt;='财富模型'!$E$11*12,'Calc'!$W$12,'Calc'!$Y$12)-(IF('Calc'!$E$12=1,0,MIN(Calc!$C$315*(1+'财富模型'!$E$20/12)+'Calc'!$B$6,IF(Calc!$A$316&lt;='财富模型'!$E$11*12,'Calc'!$W$12,'Calc'!$Y$12))))))</x:f>
      </x:c>
      <x:c r="E316" t="str">
        <x:f>IF(Calc!$A$316&gt;'Calc'!$B$8,"",IF('Calc'!$E$12=1,0,MIN(Calc!$C$315*(1+'财富模型'!$E$20/12)+'Calc'!$B$6,IF(Calc!$A$316&lt;='财富模型'!$E$11*12,'Calc'!$W$12,'Calc'!$Y$12))))</x:f>
      </x:c>
      <x:c r="F316" t="str">
        <x:f>IF(Calc!$A$316&gt;'Calc'!$B$8,"",'Calc'!$B$5-'财富模型'!$E$5-(IF('Calc'!$E$12=1,'财富模型'!$E$9,'财富模型'!$M$4+IF(Calc!$A$316&lt;='财富模型'!$E$11*12,'Calc'!$W$12,'Calc'!$Y$12)-(IF('Calc'!$E$12=1,0,MIN(Calc!$C$315*(1+'财富模型'!$E$20/12)+'Calc'!$B$6,IF(Calc!$A$316&lt;='财富模型'!$E$11*12,'Calc'!$W$12,'Calc'!$Y$12)))))))</x:f>
      </x:c>
      <x:c r="G316" t="str">
        <x:f>IF(Calc!$A$316&gt;'Calc'!$B$8,"",IF('Calc'!$E$12=1,0,MAX(Calc!$G$315*(1+IF(Calc!$A$316&lt;='财富模型'!$E$11*12,'财富模型'!$E$10,'财富模型'!$E$12)/12)-IF('Calc'!$E$12=1,0,IF(Calc!$A$316&lt;='财富模型'!$E$11*12,'Calc'!$W$12,'Calc'!$Y$12)),0)))</x:f>
      </x:c>
      <x:c r="I316" t="n">
        <x:v>295</x:v>
      </x:c>
      <x:c r="J316" t="str">
        <x:f>IF(Calc!$I$316&gt;'Calc'!$B$8,"",MAX(Calc!$J$315*(1+'财富模型'!$E$6/12)+('Calc'!$B$5-'财富模型'!$E$5-(IF('Calc'!$E$13=1,'财富模型'!$E$9,'财富模型'!$M$5+IF(Calc!$I$316&lt;='财富模型'!$E$11*12,'Calc'!$W$13,'Calc'!$Y$13)-(IF('Calc'!$E$13=1,0,MIN(Calc!$K$315*(1+'财富模型'!$E$20/12)+'Calc'!$B$6,IF(Calc!$I$316&lt;='财富模型'!$E$11*12,'Calc'!$W$13,'Calc'!$Y$13))))))),0))</x:f>
      </x:c>
      <x:c r="K316" t="str">
        <x:f>IF(Calc!$I$316&gt;'Calc'!$B$8,"",MAX(Calc!$K$315*(1+'财富模型'!$E$20/12)+'Calc'!$B$6-(IF('Calc'!$E$13=1,0,MIN(Calc!$K$315*(1+'财富模型'!$E$20/12)+'Calc'!$B$6,IF(Calc!$I$316&lt;='财富模型'!$E$11*12,'Calc'!$W$13,'Calc'!$Y$13)))),0))</x:f>
      </x:c>
      <x:c r="L316" t="str">
        <x:f>IF(Calc!$I$316&gt;'Calc'!$B$8,"",IF('Calc'!$E$13=1,'财富模型'!$E$9,'财富模型'!$M$5+IF(Calc!$I$316&lt;='财富模型'!$E$11*12,'Calc'!$W$13,'Calc'!$Y$13)-(IF('Calc'!$E$13=1,0,MIN(Calc!$K$315*(1+'财富模型'!$E$20/12)+'Calc'!$B$6,IF(Calc!$I$316&lt;='财富模型'!$E$11*12,'Calc'!$W$13,'Calc'!$Y$13))))))</x:f>
      </x:c>
      <x:c r="M316" t="str">
        <x:f>IF(Calc!$I$316&gt;'Calc'!$B$8,"",IF('Calc'!$E$13=1,0,MIN(Calc!$K$315*(1+'财富模型'!$E$20/12)+'Calc'!$B$6,IF(Calc!$I$316&lt;='财富模型'!$E$11*12,'Calc'!$W$13,'Calc'!$Y$13))))</x:f>
      </x:c>
      <x:c r="N316" t="str">
        <x:f>IF(Calc!$I$316&gt;'Calc'!$B$8,"",'Calc'!$B$5-'财富模型'!$E$5-(IF('Calc'!$E$13=1,'财富模型'!$E$9,'财富模型'!$M$5+IF(Calc!$I$316&lt;='财富模型'!$E$11*12,'Calc'!$W$13,'Calc'!$Y$13)-(IF('Calc'!$E$13=1,0,MIN(Calc!$K$315*(1+'财富模型'!$E$20/12)+'Calc'!$B$6,IF(Calc!$I$316&lt;='财富模型'!$E$11*12,'Calc'!$W$13,'Calc'!$Y$13)))))))</x:f>
      </x:c>
      <x:c r="O316" t="str">
        <x:f>IF(Calc!$I$316&gt;'Calc'!$B$8,"",IF('Calc'!$E$13=1,0,MAX(Calc!$O$315*(1+IF(Calc!$I$316&lt;='财富模型'!$E$11*12,'财富模型'!$E$10,'财富模型'!$E$12)/12)-IF('Calc'!$E$13=1,0,IF(Calc!$I$316&lt;='财富模型'!$E$11*12,'Calc'!$W$13,'Calc'!$Y$13)),0)))</x:f>
      </x:c>
      <x:c r="Q316" t="n">
        <x:v>295</x:v>
      </x:c>
      <x:c r="R316" t="str">
        <x:f>IF(Calc!$Q$316&gt;'Calc'!$B$8,"",MAX(Calc!$R$315*(1+'财富模型'!$E$6/12)+('Calc'!$B$5-'财富模型'!$E$5-(IF('Calc'!$E$14=1,'财富模型'!$E$9,'财富模型'!$M$6+IF(Calc!$Q$316&lt;='财富模型'!$E$11*12,'Calc'!$W$14,'Calc'!$Y$14)-(IF('Calc'!$E$14=1,0,MIN(Calc!$S$315*(1+'财富模型'!$E$20/12)+'Calc'!$B$6,IF(Calc!$Q$316&lt;='财富模型'!$E$11*12,'Calc'!$W$14,'Calc'!$Y$14))))))),0))</x:f>
      </x:c>
      <x:c r="S316" t="str">
        <x:f>IF(Calc!$Q$316&gt;'Calc'!$B$8,"",MAX(Calc!$S$315*(1+'财富模型'!$E$20/12)+'Calc'!$B$6-(IF('Calc'!$E$14=1,0,MIN(Calc!$S$315*(1+'财富模型'!$E$20/12)+'Calc'!$B$6,IF(Calc!$Q$316&lt;='财富模型'!$E$11*12,'Calc'!$W$14,'Calc'!$Y$14)))),0))</x:f>
      </x:c>
      <x:c r="T316" t="str">
        <x:f>IF(Calc!$Q$316&gt;'Calc'!$B$8,"",IF('Calc'!$E$14=1,'财富模型'!$E$9,'财富模型'!$M$6+IF(Calc!$Q$316&lt;='财富模型'!$E$11*12,'Calc'!$W$14,'Calc'!$Y$14)-(IF('Calc'!$E$14=1,0,MIN(Calc!$S$315*(1+'财富模型'!$E$20/12)+'Calc'!$B$6,IF(Calc!$Q$316&lt;='财富模型'!$E$11*12,'Calc'!$W$14,'Calc'!$Y$14))))))</x:f>
      </x:c>
      <x:c r="U316" t="str">
        <x:f>IF(Calc!$Q$316&gt;'Calc'!$B$8,"",IF('Calc'!$E$14=1,0,MIN(Calc!$S$315*(1+'财富模型'!$E$20/12)+'Calc'!$B$6,IF(Calc!$Q$316&lt;='财富模型'!$E$11*12,'Calc'!$W$14,'Calc'!$Y$14))))</x:f>
      </x:c>
      <x:c r="V316" t="str">
        <x:f>IF(Calc!$Q$316&gt;'Calc'!$B$8,"",'Calc'!$B$5-'财富模型'!$E$5-(IF('Calc'!$E$14=1,'财富模型'!$E$9,'财富模型'!$M$6+IF(Calc!$Q$316&lt;='财富模型'!$E$11*12,'Calc'!$W$14,'Calc'!$Y$14)-(IF('Calc'!$E$14=1,0,MIN(Calc!$S$315*(1+'财富模型'!$E$20/12)+'Calc'!$B$6,IF(Calc!$Q$316&lt;='财富模型'!$E$11*12,'Calc'!$W$14,'Calc'!$Y$14)))))))</x:f>
      </x:c>
      <x:c r="W316" t="str">
        <x:f>IF(Calc!$Q$316&gt;'Calc'!$B$8,"",IF('Calc'!$E$14=1,0,MAX(Calc!$W$315*(1+IF(Calc!$Q$316&lt;='财富模型'!$E$11*12,'财富模型'!$E$10,'财富模型'!$E$12)/12)-IF('Calc'!$E$14=1,0,IF(Calc!$Q$316&lt;='财富模型'!$E$11*12,'Calc'!$W$14,'Calc'!$Y$14)),0)))</x:f>
      </x:c>
      <x:c r="Y316" t="n">
        <x:v>295</x:v>
      </x:c>
      <x:c r="Z316" t="str">
        <x:f>IF(Calc!$Y$316&gt;'Calc'!$B$8,"",MAX(Calc!$Z$315*(1+'财富模型'!$E$6/12)+('Calc'!$B$5-'财富模型'!$E$5-(IF('Calc'!$E$15=1,'财富模型'!$E$9,'财富模型'!$M$7+IF(Calc!$Y$316&lt;='财富模型'!$E$11*12,'Calc'!$W$15,'Calc'!$Y$15)-(IF('Calc'!$E$15=1,0,MIN(Calc!$AA$315*(1+'财富模型'!$E$20/12)+'Calc'!$B$6,IF(Calc!$Y$316&lt;='财富模型'!$E$11*12,'Calc'!$W$15,'Calc'!$Y$15))))))),0))</x:f>
      </x:c>
      <x:c r="AA316" t="str">
        <x:f>IF(Calc!$Y$316&gt;'Calc'!$B$8,"",MAX(Calc!$AA$315*(1+'财富模型'!$E$20/12)+'Calc'!$B$6-(IF('Calc'!$E$15=1,0,MIN(Calc!$AA$315*(1+'财富模型'!$E$20/12)+'Calc'!$B$6,IF(Calc!$Y$316&lt;='财富模型'!$E$11*12,'Calc'!$W$15,'Calc'!$Y$15)))),0))</x:f>
      </x:c>
      <x:c r="AB316" t="str">
        <x:f>IF(Calc!$Y$316&gt;'Calc'!$B$8,"",IF('Calc'!$E$15=1,'财富模型'!$E$9,'财富模型'!$M$7+IF(Calc!$Y$316&lt;='财富模型'!$E$11*12,'Calc'!$W$15,'Calc'!$Y$15)-(IF('Calc'!$E$15=1,0,MIN(Calc!$AA$315*(1+'财富模型'!$E$20/12)+'Calc'!$B$6,IF(Calc!$Y$316&lt;='财富模型'!$E$11*12,'Calc'!$W$15,'Calc'!$Y$15))))))</x:f>
      </x:c>
      <x:c r="AC316" t="str">
        <x:f>IF(Calc!$Y$316&gt;'Calc'!$B$8,"",IF('Calc'!$E$15=1,0,MIN(Calc!$AA$315*(1+'财富模型'!$E$20/12)+'Calc'!$B$6,IF(Calc!$Y$316&lt;='财富模型'!$E$11*12,'Calc'!$W$15,'Calc'!$Y$15))))</x:f>
      </x:c>
      <x:c r="AD316" t="str">
        <x:f>IF(Calc!$Y$316&gt;'Calc'!$B$8,"",'Calc'!$B$5-'财富模型'!$E$5-(IF('Calc'!$E$15=1,'财富模型'!$E$9,'财富模型'!$M$7+IF(Calc!$Y$316&lt;='财富模型'!$E$11*12,'Calc'!$W$15,'Calc'!$Y$15)-(IF('Calc'!$E$15=1,0,MIN(Calc!$AA$315*(1+'财富模型'!$E$20/12)+'Calc'!$B$6,IF(Calc!$Y$316&lt;='财富模型'!$E$11*12,'Calc'!$W$15,'Calc'!$Y$15)))))))</x:f>
      </x:c>
      <x:c r="AE316" t="str">
        <x:f>IF(Calc!$Y$316&gt;'Calc'!$B$8,"",IF('Calc'!$E$15=1,0,MAX(Calc!$AE$315*(1+IF(Calc!$Y$316&lt;='财富模型'!$E$11*12,'财富模型'!$E$10,'财富模型'!$E$12)/12)-IF('Calc'!$E$15=1,0,IF(Calc!$Y$316&lt;='财富模型'!$E$11*12,'Calc'!$W$15,'Calc'!$Y$15)),0)))</x:f>
      </x:c>
      <x:c r="AG316" t="n">
        <x:v>295</x:v>
      </x:c>
      <x:c r="AH316" t="str">
        <x:f>IF(Calc!$AG$316&gt;'Calc'!$B$8,"",MAX(Calc!$AH$315*(1+'财富模型'!$E$6/12)+('Calc'!$B$5-'财富模型'!$E$5-(IF('Calc'!$E$16=1,'财富模型'!$E$9,'财富模型'!$M$8+IF(Calc!$AG$316&lt;='财富模型'!$E$11*12,'Calc'!$W$16,'Calc'!$Y$16)-(IF('Calc'!$E$16=1,0,MIN(Calc!$AI$315*(1+'财富模型'!$E$20/12)+'Calc'!$B$6,IF(Calc!$AG$316&lt;='财富模型'!$E$11*12,'Calc'!$W$16,'Calc'!$Y$16))))))),0))</x:f>
      </x:c>
      <x:c r="AI316" t="str">
        <x:f>IF(Calc!$AG$316&gt;'Calc'!$B$8,"",MAX(Calc!$AI$315*(1+'财富模型'!$E$20/12)+'Calc'!$B$6-(IF('Calc'!$E$16=1,0,MIN(Calc!$AI$315*(1+'财富模型'!$E$20/12)+'Calc'!$B$6,IF(Calc!$AG$316&lt;='财富模型'!$E$11*12,'Calc'!$W$16,'Calc'!$Y$16)))),0))</x:f>
      </x:c>
      <x:c r="AJ316" t="str">
        <x:f>IF(Calc!$AG$316&gt;'Calc'!$B$8,"",IF('Calc'!$E$16=1,'财富模型'!$E$9,'财富模型'!$M$8+IF(Calc!$AG$316&lt;='财富模型'!$E$11*12,'Calc'!$W$16,'Calc'!$Y$16)-(IF('Calc'!$E$16=1,0,MIN(Calc!$AI$315*(1+'财富模型'!$E$20/12)+'Calc'!$B$6,IF(Calc!$AG$316&lt;='财富模型'!$E$11*12,'Calc'!$W$16,'Calc'!$Y$16))))))</x:f>
      </x:c>
      <x:c r="AK316" t="str">
        <x:f>IF(Calc!$AG$316&gt;'Calc'!$B$8,"",IF('Calc'!$E$16=1,0,MIN(Calc!$AI$315*(1+'财富模型'!$E$20/12)+'Calc'!$B$6,IF(Calc!$AG$316&lt;='财富模型'!$E$11*12,'Calc'!$W$16,'Calc'!$Y$16))))</x:f>
      </x:c>
      <x:c r="AL316" t="str">
        <x:f>IF(Calc!$AG$316&gt;'Calc'!$B$8,"",'Calc'!$B$5-'财富模型'!$E$5-(IF('Calc'!$E$16=1,'财富模型'!$E$9,'财富模型'!$M$8+IF(Calc!$AG$316&lt;='财富模型'!$E$11*12,'Calc'!$W$16,'Calc'!$Y$16)-(IF('Calc'!$E$16=1,0,MIN(Calc!$AI$315*(1+'财富模型'!$E$20/12)+'Calc'!$B$6,IF(Calc!$AG$316&lt;='财富模型'!$E$11*12,'Calc'!$W$16,'Calc'!$Y$16)))))))</x:f>
      </x:c>
      <x:c r="AM316" t="str">
        <x:f>IF(Calc!$AG$316&gt;'Calc'!$B$8,"",IF('Calc'!$E$16=1,0,MAX(Calc!$AM$315*(1+IF(Calc!$AG$316&lt;='财富模型'!$E$11*12,'财富模型'!$E$10,'财富模型'!$E$12)/12)-IF('Calc'!$E$16=1,0,IF(Calc!$AG$316&lt;='财富模型'!$E$11*12,'Calc'!$W$16,'Calc'!$Y$16)),0)))</x:f>
      </x:c>
      <x:c r="AO316" t="n">
        <x:v>295</x:v>
      </x:c>
      <x:c r="AP316" t="str">
        <x:f>IF(Calc!$AO$316&gt;'Calc'!$B$8,"",MAX(Calc!$AP$315*(1+'财富模型'!$E$6/12)+('Calc'!$B$5-'财富模型'!$E$5-(IF('Calc'!$E$17=1,'财富模型'!$E$9,'财富模型'!$M$9+IF(Calc!$AO$316&lt;='财富模型'!$E$11*12,'Calc'!$W$17,'Calc'!$Y$17)-(IF('Calc'!$E$17=1,0,MIN(Calc!$AQ$315*(1+'财富模型'!$E$20/12)+'Calc'!$B$6,IF(Calc!$AO$316&lt;='财富模型'!$E$11*12,'Calc'!$W$17,'Calc'!$Y$17))))))),0))</x:f>
      </x:c>
      <x:c r="AQ316" t="str">
        <x:f>IF(Calc!$AO$316&gt;'Calc'!$B$8,"",MAX(Calc!$AQ$315*(1+'财富模型'!$E$20/12)+'Calc'!$B$6-(IF('Calc'!$E$17=1,0,MIN(Calc!$AQ$315*(1+'财富模型'!$E$20/12)+'Calc'!$B$6,IF(Calc!$AO$316&lt;='财富模型'!$E$11*12,'Calc'!$W$17,'Calc'!$Y$17)))),0))</x:f>
      </x:c>
      <x:c r="AR316" t="str">
        <x:f>IF(Calc!$AO$316&gt;'Calc'!$B$8,"",IF('Calc'!$E$17=1,'财富模型'!$E$9,'财富模型'!$M$9+IF(Calc!$AO$316&lt;='财富模型'!$E$11*12,'Calc'!$W$17,'Calc'!$Y$17)-(IF('Calc'!$E$17=1,0,MIN(Calc!$AQ$315*(1+'财富模型'!$E$20/12)+'Calc'!$B$6,IF(Calc!$AO$316&lt;='财富模型'!$E$11*12,'Calc'!$W$17,'Calc'!$Y$17))))))</x:f>
      </x:c>
      <x:c r="AS316" t="str">
        <x:f>IF(Calc!$AO$316&gt;'Calc'!$B$8,"",IF('Calc'!$E$17=1,0,MIN(Calc!$AQ$315*(1+'财富模型'!$E$20/12)+'Calc'!$B$6,IF(Calc!$AO$316&lt;='财富模型'!$E$11*12,'Calc'!$W$17,'Calc'!$Y$17))))</x:f>
      </x:c>
      <x:c r="AT316" t="str">
        <x:f>IF(Calc!$AO$316&gt;'Calc'!$B$8,"",'Calc'!$B$5-'财富模型'!$E$5-(IF('Calc'!$E$17=1,'财富模型'!$E$9,'财富模型'!$M$9+IF(Calc!$AO$316&lt;='财富模型'!$E$11*12,'Calc'!$W$17,'Calc'!$Y$17)-(IF('Calc'!$E$17=1,0,MIN(Calc!$AQ$315*(1+'财富模型'!$E$20/12)+'Calc'!$B$6,IF(Calc!$AO$316&lt;='财富模型'!$E$11*12,'Calc'!$W$17,'Calc'!$Y$17)))))))</x:f>
      </x:c>
      <x:c r="AU316" t="str">
        <x:f>IF(Calc!$AO$316&gt;'Calc'!$B$8,"",IF('Calc'!$E$17=1,0,MAX(Calc!$AU$315*(1+IF(Calc!$AO$316&lt;='财富模型'!$E$11*12,'财富模型'!$E$10,'财富模型'!$E$12)/12)-IF('Calc'!$E$17=1,0,IF(Calc!$AO$316&lt;='财富模型'!$E$11*12,'Calc'!$W$17,'Calc'!$Y$17)),0)))</x:f>
      </x:c>
    </x:row>
    <x:row r="317">
      <x:c r="A317" t="n">
        <x:v>296</x:v>
      </x:c>
      <x:c r="B317" t="str">
        <x:f>IF(Calc!$A$317&gt;'Calc'!$B$8,"",MAX(Calc!$B$316*(1+'财富模型'!$E$6/12)+('Calc'!$B$5-'财富模型'!$E$5-(IF('Calc'!$E$12=1,'财富模型'!$E$9,'财富模型'!$M$4+IF(Calc!$A$317&lt;='财富模型'!$E$11*12,'Calc'!$W$12,'Calc'!$Y$12)-(IF('Calc'!$E$12=1,0,MIN(Calc!$C$316*(1+'财富模型'!$E$20/12)+'Calc'!$B$6,IF(Calc!$A$317&lt;='财富模型'!$E$11*12,'Calc'!$W$12,'Calc'!$Y$12))))))),0))</x:f>
      </x:c>
      <x:c r="C317" t="str">
        <x:f>IF(Calc!$A$317&gt;'Calc'!$B$8,"",MAX(Calc!$C$316*(1+'财富模型'!$E$20/12)+'Calc'!$B$6-(IF('Calc'!$E$12=1,0,MIN(Calc!$C$316*(1+'财富模型'!$E$20/12)+'Calc'!$B$6,IF(Calc!$A$317&lt;='财富模型'!$E$11*12,'Calc'!$W$12,'Calc'!$Y$12)))),0))</x:f>
      </x:c>
      <x:c r="D317" t="str">
        <x:f>IF(Calc!$A$317&gt;'Calc'!$B$8,"",IF('Calc'!$E$12=1,'财富模型'!$E$9,'财富模型'!$M$4+IF(Calc!$A$317&lt;='财富模型'!$E$11*12,'Calc'!$W$12,'Calc'!$Y$12)-(IF('Calc'!$E$12=1,0,MIN(Calc!$C$316*(1+'财富模型'!$E$20/12)+'Calc'!$B$6,IF(Calc!$A$317&lt;='财富模型'!$E$11*12,'Calc'!$W$12,'Calc'!$Y$12))))))</x:f>
      </x:c>
      <x:c r="E317" t="str">
        <x:f>IF(Calc!$A$317&gt;'Calc'!$B$8,"",IF('Calc'!$E$12=1,0,MIN(Calc!$C$316*(1+'财富模型'!$E$20/12)+'Calc'!$B$6,IF(Calc!$A$317&lt;='财富模型'!$E$11*12,'Calc'!$W$12,'Calc'!$Y$12))))</x:f>
      </x:c>
      <x:c r="F317" t="str">
        <x:f>IF(Calc!$A$317&gt;'Calc'!$B$8,"",'Calc'!$B$5-'财富模型'!$E$5-(IF('Calc'!$E$12=1,'财富模型'!$E$9,'财富模型'!$M$4+IF(Calc!$A$317&lt;='财富模型'!$E$11*12,'Calc'!$W$12,'Calc'!$Y$12)-(IF('Calc'!$E$12=1,0,MIN(Calc!$C$316*(1+'财富模型'!$E$20/12)+'Calc'!$B$6,IF(Calc!$A$317&lt;='财富模型'!$E$11*12,'Calc'!$W$12,'Calc'!$Y$12)))))))</x:f>
      </x:c>
      <x:c r="G317" t="str">
        <x:f>IF(Calc!$A$317&gt;'Calc'!$B$8,"",IF('Calc'!$E$12=1,0,MAX(Calc!$G$316*(1+IF(Calc!$A$317&lt;='财富模型'!$E$11*12,'财富模型'!$E$10,'财富模型'!$E$12)/12)-IF('Calc'!$E$12=1,0,IF(Calc!$A$317&lt;='财富模型'!$E$11*12,'Calc'!$W$12,'Calc'!$Y$12)),0)))</x:f>
      </x:c>
      <x:c r="I317" t="n">
        <x:v>296</x:v>
      </x:c>
      <x:c r="J317" t="str">
        <x:f>IF(Calc!$I$317&gt;'Calc'!$B$8,"",MAX(Calc!$J$316*(1+'财富模型'!$E$6/12)+('Calc'!$B$5-'财富模型'!$E$5-(IF('Calc'!$E$13=1,'财富模型'!$E$9,'财富模型'!$M$5+IF(Calc!$I$317&lt;='财富模型'!$E$11*12,'Calc'!$W$13,'Calc'!$Y$13)-(IF('Calc'!$E$13=1,0,MIN(Calc!$K$316*(1+'财富模型'!$E$20/12)+'Calc'!$B$6,IF(Calc!$I$317&lt;='财富模型'!$E$11*12,'Calc'!$W$13,'Calc'!$Y$13))))))),0))</x:f>
      </x:c>
      <x:c r="K317" t="str">
        <x:f>IF(Calc!$I$317&gt;'Calc'!$B$8,"",MAX(Calc!$K$316*(1+'财富模型'!$E$20/12)+'Calc'!$B$6-(IF('Calc'!$E$13=1,0,MIN(Calc!$K$316*(1+'财富模型'!$E$20/12)+'Calc'!$B$6,IF(Calc!$I$317&lt;='财富模型'!$E$11*12,'Calc'!$W$13,'Calc'!$Y$13)))),0))</x:f>
      </x:c>
      <x:c r="L317" t="str">
        <x:f>IF(Calc!$I$317&gt;'Calc'!$B$8,"",IF('Calc'!$E$13=1,'财富模型'!$E$9,'财富模型'!$M$5+IF(Calc!$I$317&lt;='财富模型'!$E$11*12,'Calc'!$W$13,'Calc'!$Y$13)-(IF('Calc'!$E$13=1,0,MIN(Calc!$K$316*(1+'财富模型'!$E$20/12)+'Calc'!$B$6,IF(Calc!$I$317&lt;='财富模型'!$E$11*12,'Calc'!$W$13,'Calc'!$Y$13))))))</x:f>
      </x:c>
      <x:c r="M317" t="str">
        <x:f>IF(Calc!$I$317&gt;'Calc'!$B$8,"",IF('Calc'!$E$13=1,0,MIN(Calc!$K$316*(1+'财富模型'!$E$20/12)+'Calc'!$B$6,IF(Calc!$I$317&lt;='财富模型'!$E$11*12,'Calc'!$W$13,'Calc'!$Y$13))))</x:f>
      </x:c>
      <x:c r="N317" t="str">
        <x:f>IF(Calc!$I$317&gt;'Calc'!$B$8,"",'Calc'!$B$5-'财富模型'!$E$5-(IF('Calc'!$E$13=1,'财富模型'!$E$9,'财富模型'!$M$5+IF(Calc!$I$317&lt;='财富模型'!$E$11*12,'Calc'!$W$13,'Calc'!$Y$13)-(IF('Calc'!$E$13=1,0,MIN(Calc!$K$316*(1+'财富模型'!$E$20/12)+'Calc'!$B$6,IF(Calc!$I$317&lt;='财富模型'!$E$11*12,'Calc'!$W$13,'Calc'!$Y$13)))))))</x:f>
      </x:c>
      <x:c r="O317" t="str">
        <x:f>IF(Calc!$I$317&gt;'Calc'!$B$8,"",IF('Calc'!$E$13=1,0,MAX(Calc!$O$316*(1+IF(Calc!$I$317&lt;='财富模型'!$E$11*12,'财富模型'!$E$10,'财富模型'!$E$12)/12)-IF('Calc'!$E$13=1,0,IF(Calc!$I$317&lt;='财富模型'!$E$11*12,'Calc'!$W$13,'Calc'!$Y$13)),0)))</x:f>
      </x:c>
      <x:c r="Q317" t="n">
        <x:v>296</x:v>
      </x:c>
      <x:c r="R317" t="str">
        <x:f>IF(Calc!$Q$317&gt;'Calc'!$B$8,"",MAX(Calc!$R$316*(1+'财富模型'!$E$6/12)+('Calc'!$B$5-'财富模型'!$E$5-(IF('Calc'!$E$14=1,'财富模型'!$E$9,'财富模型'!$M$6+IF(Calc!$Q$317&lt;='财富模型'!$E$11*12,'Calc'!$W$14,'Calc'!$Y$14)-(IF('Calc'!$E$14=1,0,MIN(Calc!$S$316*(1+'财富模型'!$E$20/12)+'Calc'!$B$6,IF(Calc!$Q$317&lt;='财富模型'!$E$11*12,'Calc'!$W$14,'Calc'!$Y$14))))))),0))</x:f>
      </x:c>
      <x:c r="S317" t="str">
        <x:f>IF(Calc!$Q$317&gt;'Calc'!$B$8,"",MAX(Calc!$S$316*(1+'财富模型'!$E$20/12)+'Calc'!$B$6-(IF('Calc'!$E$14=1,0,MIN(Calc!$S$316*(1+'财富模型'!$E$20/12)+'Calc'!$B$6,IF(Calc!$Q$317&lt;='财富模型'!$E$11*12,'Calc'!$W$14,'Calc'!$Y$14)))),0))</x:f>
      </x:c>
      <x:c r="T317" t="str">
        <x:f>IF(Calc!$Q$317&gt;'Calc'!$B$8,"",IF('Calc'!$E$14=1,'财富模型'!$E$9,'财富模型'!$M$6+IF(Calc!$Q$317&lt;='财富模型'!$E$11*12,'Calc'!$W$14,'Calc'!$Y$14)-(IF('Calc'!$E$14=1,0,MIN(Calc!$S$316*(1+'财富模型'!$E$20/12)+'Calc'!$B$6,IF(Calc!$Q$317&lt;='财富模型'!$E$11*12,'Calc'!$W$14,'Calc'!$Y$14))))))</x:f>
      </x:c>
      <x:c r="U317" t="str">
        <x:f>IF(Calc!$Q$317&gt;'Calc'!$B$8,"",IF('Calc'!$E$14=1,0,MIN(Calc!$S$316*(1+'财富模型'!$E$20/12)+'Calc'!$B$6,IF(Calc!$Q$317&lt;='财富模型'!$E$11*12,'Calc'!$W$14,'Calc'!$Y$14))))</x:f>
      </x:c>
      <x:c r="V317" t="str">
        <x:f>IF(Calc!$Q$317&gt;'Calc'!$B$8,"",'Calc'!$B$5-'财富模型'!$E$5-(IF('Calc'!$E$14=1,'财富模型'!$E$9,'财富模型'!$M$6+IF(Calc!$Q$317&lt;='财富模型'!$E$11*12,'Calc'!$W$14,'Calc'!$Y$14)-(IF('Calc'!$E$14=1,0,MIN(Calc!$S$316*(1+'财富模型'!$E$20/12)+'Calc'!$B$6,IF(Calc!$Q$317&lt;='财富模型'!$E$11*12,'Calc'!$W$14,'Calc'!$Y$14)))))))</x:f>
      </x:c>
      <x:c r="W317" t="str">
        <x:f>IF(Calc!$Q$317&gt;'Calc'!$B$8,"",IF('Calc'!$E$14=1,0,MAX(Calc!$W$316*(1+IF(Calc!$Q$317&lt;='财富模型'!$E$11*12,'财富模型'!$E$10,'财富模型'!$E$12)/12)-IF('Calc'!$E$14=1,0,IF(Calc!$Q$317&lt;='财富模型'!$E$11*12,'Calc'!$W$14,'Calc'!$Y$14)),0)))</x:f>
      </x:c>
      <x:c r="Y317" t="n">
        <x:v>296</x:v>
      </x:c>
      <x:c r="Z317" t="str">
        <x:f>IF(Calc!$Y$317&gt;'Calc'!$B$8,"",MAX(Calc!$Z$316*(1+'财富模型'!$E$6/12)+('Calc'!$B$5-'财富模型'!$E$5-(IF('Calc'!$E$15=1,'财富模型'!$E$9,'财富模型'!$M$7+IF(Calc!$Y$317&lt;='财富模型'!$E$11*12,'Calc'!$W$15,'Calc'!$Y$15)-(IF('Calc'!$E$15=1,0,MIN(Calc!$AA$316*(1+'财富模型'!$E$20/12)+'Calc'!$B$6,IF(Calc!$Y$317&lt;='财富模型'!$E$11*12,'Calc'!$W$15,'Calc'!$Y$15))))))),0))</x:f>
      </x:c>
      <x:c r="AA317" t="str">
        <x:f>IF(Calc!$Y$317&gt;'Calc'!$B$8,"",MAX(Calc!$AA$316*(1+'财富模型'!$E$20/12)+'Calc'!$B$6-(IF('Calc'!$E$15=1,0,MIN(Calc!$AA$316*(1+'财富模型'!$E$20/12)+'Calc'!$B$6,IF(Calc!$Y$317&lt;='财富模型'!$E$11*12,'Calc'!$W$15,'Calc'!$Y$15)))),0))</x:f>
      </x:c>
      <x:c r="AB317" t="str">
        <x:f>IF(Calc!$Y$317&gt;'Calc'!$B$8,"",IF('Calc'!$E$15=1,'财富模型'!$E$9,'财富模型'!$M$7+IF(Calc!$Y$317&lt;='财富模型'!$E$11*12,'Calc'!$W$15,'Calc'!$Y$15)-(IF('Calc'!$E$15=1,0,MIN(Calc!$AA$316*(1+'财富模型'!$E$20/12)+'Calc'!$B$6,IF(Calc!$Y$317&lt;='财富模型'!$E$11*12,'Calc'!$W$15,'Calc'!$Y$15))))))</x:f>
      </x:c>
      <x:c r="AC317" t="str">
        <x:f>IF(Calc!$Y$317&gt;'Calc'!$B$8,"",IF('Calc'!$E$15=1,0,MIN(Calc!$AA$316*(1+'财富模型'!$E$20/12)+'Calc'!$B$6,IF(Calc!$Y$317&lt;='财富模型'!$E$11*12,'Calc'!$W$15,'Calc'!$Y$15))))</x:f>
      </x:c>
      <x:c r="AD317" t="str">
        <x:f>IF(Calc!$Y$317&gt;'Calc'!$B$8,"",'Calc'!$B$5-'财富模型'!$E$5-(IF('Calc'!$E$15=1,'财富模型'!$E$9,'财富模型'!$M$7+IF(Calc!$Y$317&lt;='财富模型'!$E$11*12,'Calc'!$W$15,'Calc'!$Y$15)-(IF('Calc'!$E$15=1,0,MIN(Calc!$AA$316*(1+'财富模型'!$E$20/12)+'Calc'!$B$6,IF(Calc!$Y$317&lt;='财富模型'!$E$11*12,'Calc'!$W$15,'Calc'!$Y$15)))))))</x:f>
      </x:c>
      <x:c r="AE317" t="str">
        <x:f>IF(Calc!$Y$317&gt;'Calc'!$B$8,"",IF('Calc'!$E$15=1,0,MAX(Calc!$AE$316*(1+IF(Calc!$Y$317&lt;='财富模型'!$E$11*12,'财富模型'!$E$10,'财富模型'!$E$12)/12)-IF('Calc'!$E$15=1,0,IF(Calc!$Y$317&lt;='财富模型'!$E$11*12,'Calc'!$W$15,'Calc'!$Y$15)),0)))</x:f>
      </x:c>
      <x:c r="AG317" t="n">
        <x:v>296</x:v>
      </x:c>
      <x:c r="AH317" t="str">
        <x:f>IF(Calc!$AG$317&gt;'Calc'!$B$8,"",MAX(Calc!$AH$316*(1+'财富模型'!$E$6/12)+('Calc'!$B$5-'财富模型'!$E$5-(IF('Calc'!$E$16=1,'财富模型'!$E$9,'财富模型'!$M$8+IF(Calc!$AG$317&lt;='财富模型'!$E$11*12,'Calc'!$W$16,'Calc'!$Y$16)-(IF('Calc'!$E$16=1,0,MIN(Calc!$AI$316*(1+'财富模型'!$E$20/12)+'Calc'!$B$6,IF(Calc!$AG$317&lt;='财富模型'!$E$11*12,'Calc'!$W$16,'Calc'!$Y$16))))))),0))</x:f>
      </x:c>
      <x:c r="AI317" t="str">
        <x:f>IF(Calc!$AG$317&gt;'Calc'!$B$8,"",MAX(Calc!$AI$316*(1+'财富模型'!$E$20/12)+'Calc'!$B$6-(IF('Calc'!$E$16=1,0,MIN(Calc!$AI$316*(1+'财富模型'!$E$20/12)+'Calc'!$B$6,IF(Calc!$AG$317&lt;='财富模型'!$E$11*12,'Calc'!$W$16,'Calc'!$Y$16)))),0))</x:f>
      </x:c>
      <x:c r="AJ317" t="str">
        <x:f>IF(Calc!$AG$317&gt;'Calc'!$B$8,"",IF('Calc'!$E$16=1,'财富模型'!$E$9,'财富模型'!$M$8+IF(Calc!$AG$317&lt;='财富模型'!$E$11*12,'Calc'!$W$16,'Calc'!$Y$16)-(IF('Calc'!$E$16=1,0,MIN(Calc!$AI$316*(1+'财富模型'!$E$20/12)+'Calc'!$B$6,IF(Calc!$AG$317&lt;='财富模型'!$E$11*12,'Calc'!$W$16,'Calc'!$Y$16))))))</x:f>
      </x:c>
      <x:c r="AK317" t="str">
        <x:f>IF(Calc!$AG$317&gt;'Calc'!$B$8,"",IF('Calc'!$E$16=1,0,MIN(Calc!$AI$316*(1+'财富模型'!$E$20/12)+'Calc'!$B$6,IF(Calc!$AG$317&lt;='财富模型'!$E$11*12,'Calc'!$W$16,'Calc'!$Y$16))))</x:f>
      </x:c>
      <x:c r="AL317" t="str">
        <x:f>IF(Calc!$AG$317&gt;'Calc'!$B$8,"",'Calc'!$B$5-'财富模型'!$E$5-(IF('Calc'!$E$16=1,'财富模型'!$E$9,'财富模型'!$M$8+IF(Calc!$AG$317&lt;='财富模型'!$E$11*12,'Calc'!$W$16,'Calc'!$Y$16)-(IF('Calc'!$E$16=1,0,MIN(Calc!$AI$316*(1+'财富模型'!$E$20/12)+'Calc'!$B$6,IF(Calc!$AG$317&lt;='财富模型'!$E$11*12,'Calc'!$W$16,'Calc'!$Y$16)))))))</x:f>
      </x:c>
      <x:c r="AM317" t="str">
        <x:f>IF(Calc!$AG$317&gt;'Calc'!$B$8,"",IF('Calc'!$E$16=1,0,MAX(Calc!$AM$316*(1+IF(Calc!$AG$317&lt;='财富模型'!$E$11*12,'财富模型'!$E$10,'财富模型'!$E$12)/12)-IF('Calc'!$E$16=1,0,IF(Calc!$AG$317&lt;='财富模型'!$E$11*12,'Calc'!$W$16,'Calc'!$Y$16)),0)))</x:f>
      </x:c>
      <x:c r="AO317" t="n">
        <x:v>296</x:v>
      </x:c>
      <x:c r="AP317" t="str">
        <x:f>IF(Calc!$AO$317&gt;'Calc'!$B$8,"",MAX(Calc!$AP$316*(1+'财富模型'!$E$6/12)+('Calc'!$B$5-'财富模型'!$E$5-(IF('Calc'!$E$17=1,'财富模型'!$E$9,'财富模型'!$M$9+IF(Calc!$AO$317&lt;='财富模型'!$E$11*12,'Calc'!$W$17,'Calc'!$Y$17)-(IF('Calc'!$E$17=1,0,MIN(Calc!$AQ$316*(1+'财富模型'!$E$20/12)+'Calc'!$B$6,IF(Calc!$AO$317&lt;='财富模型'!$E$11*12,'Calc'!$W$17,'Calc'!$Y$17))))))),0))</x:f>
      </x:c>
      <x:c r="AQ317" t="str">
        <x:f>IF(Calc!$AO$317&gt;'Calc'!$B$8,"",MAX(Calc!$AQ$316*(1+'财富模型'!$E$20/12)+'Calc'!$B$6-(IF('Calc'!$E$17=1,0,MIN(Calc!$AQ$316*(1+'财富模型'!$E$20/12)+'Calc'!$B$6,IF(Calc!$AO$317&lt;='财富模型'!$E$11*12,'Calc'!$W$17,'Calc'!$Y$17)))),0))</x:f>
      </x:c>
      <x:c r="AR317" t="str">
        <x:f>IF(Calc!$AO$317&gt;'Calc'!$B$8,"",IF('Calc'!$E$17=1,'财富模型'!$E$9,'财富模型'!$M$9+IF(Calc!$AO$317&lt;='财富模型'!$E$11*12,'Calc'!$W$17,'Calc'!$Y$17)-(IF('Calc'!$E$17=1,0,MIN(Calc!$AQ$316*(1+'财富模型'!$E$20/12)+'Calc'!$B$6,IF(Calc!$AO$317&lt;='财富模型'!$E$11*12,'Calc'!$W$17,'Calc'!$Y$17))))))</x:f>
      </x:c>
      <x:c r="AS317" t="str">
        <x:f>IF(Calc!$AO$317&gt;'Calc'!$B$8,"",IF('Calc'!$E$17=1,0,MIN(Calc!$AQ$316*(1+'财富模型'!$E$20/12)+'Calc'!$B$6,IF(Calc!$AO$317&lt;='财富模型'!$E$11*12,'Calc'!$W$17,'Calc'!$Y$17))))</x:f>
      </x:c>
      <x:c r="AT317" t="str">
        <x:f>IF(Calc!$AO$317&gt;'Calc'!$B$8,"",'Calc'!$B$5-'财富模型'!$E$5-(IF('Calc'!$E$17=1,'财富模型'!$E$9,'财富模型'!$M$9+IF(Calc!$AO$317&lt;='财富模型'!$E$11*12,'Calc'!$W$17,'Calc'!$Y$17)-(IF('Calc'!$E$17=1,0,MIN(Calc!$AQ$316*(1+'财富模型'!$E$20/12)+'Calc'!$B$6,IF(Calc!$AO$317&lt;='财富模型'!$E$11*12,'Calc'!$W$17,'Calc'!$Y$17)))))))</x:f>
      </x:c>
      <x:c r="AU317" t="str">
        <x:f>IF(Calc!$AO$317&gt;'Calc'!$B$8,"",IF('Calc'!$E$17=1,0,MAX(Calc!$AU$316*(1+IF(Calc!$AO$317&lt;='财富模型'!$E$11*12,'财富模型'!$E$10,'财富模型'!$E$12)/12)-IF('Calc'!$E$17=1,0,IF(Calc!$AO$317&lt;='财富模型'!$E$11*12,'Calc'!$W$17,'Calc'!$Y$17)),0)))</x:f>
      </x:c>
    </x:row>
    <x:row r="318">
      <x:c r="A318" t="n">
        <x:v>297</x:v>
      </x:c>
      <x:c r="B318" t="str">
        <x:f>IF(Calc!$A$318&gt;'Calc'!$B$8,"",MAX(Calc!$B$317*(1+'财富模型'!$E$6/12)+('Calc'!$B$5-'财富模型'!$E$5-(IF('Calc'!$E$12=1,'财富模型'!$E$9,'财富模型'!$M$4+IF(Calc!$A$318&lt;='财富模型'!$E$11*12,'Calc'!$W$12,'Calc'!$Y$12)-(IF('Calc'!$E$12=1,0,MIN(Calc!$C$317*(1+'财富模型'!$E$20/12)+'Calc'!$B$6,IF(Calc!$A$318&lt;='财富模型'!$E$11*12,'Calc'!$W$12,'Calc'!$Y$12))))))),0))</x:f>
      </x:c>
      <x:c r="C318" t="str">
        <x:f>IF(Calc!$A$318&gt;'Calc'!$B$8,"",MAX(Calc!$C$317*(1+'财富模型'!$E$20/12)+'Calc'!$B$6-(IF('Calc'!$E$12=1,0,MIN(Calc!$C$317*(1+'财富模型'!$E$20/12)+'Calc'!$B$6,IF(Calc!$A$318&lt;='财富模型'!$E$11*12,'Calc'!$W$12,'Calc'!$Y$12)))),0))</x:f>
      </x:c>
      <x:c r="D318" t="str">
        <x:f>IF(Calc!$A$318&gt;'Calc'!$B$8,"",IF('Calc'!$E$12=1,'财富模型'!$E$9,'财富模型'!$M$4+IF(Calc!$A$318&lt;='财富模型'!$E$11*12,'Calc'!$W$12,'Calc'!$Y$12)-(IF('Calc'!$E$12=1,0,MIN(Calc!$C$317*(1+'财富模型'!$E$20/12)+'Calc'!$B$6,IF(Calc!$A$318&lt;='财富模型'!$E$11*12,'Calc'!$W$12,'Calc'!$Y$12))))))</x:f>
      </x:c>
      <x:c r="E318" t="str">
        <x:f>IF(Calc!$A$318&gt;'Calc'!$B$8,"",IF('Calc'!$E$12=1,0,MIN(Calc!$C$317*(1+'财富模型'!$E$20/12)+'Calc'!$B$6,IF(Calc!$A$318&lt;='财富模型'!$E$11*12,'Calc'!$W$12,'Calc'!$Y$12))))</x:f>
      </x:c>
      <x:c r="F318" t="str">
        <x:f>IF(Calc!$A$318&gt;'Calc'!$B$8,"",'Calc'!$B$5-'财富模型'!$E$5-(IF('Calc'!$E$12=1,'财富模型'!$E$9,'财富模型'!$M$4+IF(Calc!$A$318&lt;='财富模型'!$E$11*12,'Calc'!$W$12,'Calc'!$Y$12)-(IF('Calc'!$E$12=1,0,MIN(Calc!$C$317*(1+'财富模型'!$E$20/12)+'Calc'!$B$6,IF(Calc!$A$318&lt;='财富模型'!$E$11*12,'Calc'!$W$12,'Calc'!$Y$12)))))))</x:f>
      </x:c>
      <x:c r="G318" t="str">
        <x:f>IF(Calc!$A$318&gt;'Calc'!$B$8,"",IF('Calc'!$E$12=1,0,MAX(Calc!$G$317*(1+IF(Calc!$A$318&lt;='财富模型'!$E$11*12,'财富模型'!$E$10,'财富模型'!$E$12)/12)-IF('Calc'!$E$12=1,0,IF(Calc!$A$318&lt;='财富模型'!$E$11*12,'Calc'!$W$12,'Calc'!$Y$12)),0)))</x:f>
      </x:c>
      <x:c r="I318" t="n">
        <x:v>297</x:v>
      </x:c>
      <x:c r="J318" t="str">
        <x:f>IF(Calc!$I$318&gt;'Calc'!$B$8,"",MAX(Calc!$J$317*(1+'财富模型'!$E$6/12)+('Calc'!$B$5-'财富模型'!$E$5-(IF('Calc'!$E$13=1,'财富模型'!$E$9,'财富模型'!$M$5+IF(Calc!$I$318&lt;='财富模型'!$E$11*12,'Calc'!$W$13,'Calc'!$Y$13)-(IF('Calc'!$E$13=1,0,MIN(Calc!$K$317*(1+'财富模型'!$E$20/12)+'Calc'!$B$6,IF(Calc!$I$318&lt;='财富模型'!$E$11*12,'Calc'!$W$13,'Calc'!$Y$13))))))),0))</x:f>
      </x:c>
      <x:c r="K318" t="str">
        <x:f>IF(Calc!$I$318&gt;'Calc'!$B$8,"",MAX(Calc!$K$317*(1+'财富模型'!$E$20/12)+'Calc'!$B$6-(IF('Calc'!$E$13=1,0,MIN(Calc!$K$317*(1+'财富模型'!$E$20/12)+'Calc'!$B$6,IF(Calc!$I$318&lt;='财富模型'!$E$11*12,'Calc'!$W$13,'Calc'!$Y$13)))),0))</x:f>
      </x:c>
      <x:c r="L318" t="str">
        <x:f>IF(Calc!$I$318&gt;'Calc'!$B$8,"",IF('Calc'!$E$13=1,'财富模型'!$E$9,'财富模型'!$M$5+IF(Calc!$I$318&lt;='财富模型'!$E$11*12,'Calc'!$W$13,'Calc'!$Y$13)-(IF('Calc'!$E$13=1,0,MIN(Calc!$K$317*(1+'财富模型'!$E$20/12)+'Calc'!$B$6,IF(Calc!$I$318&lt;='财富模型'!$E$11*12,'Calc'!$W$13,'Calc'!$Y$13))))))</x:f>
      </x:c>
      <x:c r="M318" t="str">
        <x:f>IF(Calc!$I$318&gt;'Calc'!$B$8,"",IF('Calc'!$E$13=1,0,MIN(Calc!$K$317*(1+'财富模型'!$E$20/12)+'Calc'!$B$6,IF(Calc!$I$318&lt;='财富模型'!$E$11*12,'Calc'!$W$13,'Calc'!$Y$13))))</x:f>
      </x:c>
      <x:c r="N318" t="str">
        <x:f>IF(Calc!$I$318&gt;'Calc'!$B$8,"",'Calc'!$B$5-'财富模型'!$E$5-(IF('Calc'!$E$13=1,'财富模型'!$E$9,'财富模型'!$M$5+IF(Calc!$I$318&lt;='财富模型'!$E$11*12,'Calc'!$W$13,'Calc'!$Y$13)-(IF('Calc'!$E$13=1,0,MIN(Calc!$K$317*(1+'财富模型'!$E$20/12)+'Calc'!$B$6,IF(Calc!$I$318&lt;='财富模型'!$E$11*12,'Calc'!$W$13,'Calc'!$Y$13)))))))</x:f>
      </x:c>
      <x:c r="O318" t="str">
        <x:f>IF(Calc!$I$318&gt;'Calc'!$B$8,"",IF('Calc'!$E$13=1,0,MAX(Calc!$O$317*(1+IF(Calc!$I$318&lt;='财富模型'!$E$11*12,'财富模型'!$E$10,'财富模型'!$E$12)/12)-IF('Calc'!$E$13=1,0,IF(Calc!$I$318&lt;='财富模型'!$E$11*12,'Calc'!$W$13,'Calc'!$Y$13)),0)))</x:f>
      </x:c>
      <x:c r="Q318" t="n">
        <x:v>297</x:v>
      </x:c>
      <x:c r="R318" t="str">
        <x:f>IF(Calc!$Q$318&gt;'Calc'!$B$8,"",MAX(Calc!$R$317*(1+'财富模型'!$E$6/12)+('Calc'!$B$5-'财富模型'!$E$5-(IF('Calc'!$E$14=1,'财富模型'!$E$9,'财富模型'!$M$6+IF(Calc!$Q$318&lt;='财富模型'!$E$11*12,'Calc'!$W$14,'Calc'!$Y$14)-(IF('Calc'!$E$14=1,0,MIN(Calc!$S$317*(1+'财富模型'!$E$20/12)+'Calc'!$B$6,IF(Calc!$Q$318&lt;='财富模型'!$E$11*12,'Calc'!$W$14,'Calc'!$Y$14))))))),0))</x:f>
      </x:c>
      <x:c r="S318" t="str">
        <x:f>IF(Calc!$Q$318&gt;'Calc'!$B$8,"",MAX(Calc!$S$317*(1+'财富模型'!$E$20/12)+'Calc'!$B$6-(IF('Calc'!$E$14=1,0,MIN(Calc!$S$317*(1+'财富模型'!$E$20/12)+'Calc'!$B$6,IF(Calc!$Q$318&lt;='财富模型'!$E$11*12,'Calc'!$W$14,'Calc'!$Y$14)))),0))</x:f>
      </x:c>
      <x:c r="T318" t="str">
        <x:f>IF(Calc!$Q$318&gt;'Calc'!$B$8,"",IF('Calc'!$E$14=1,'财富模型'!$E$9,'财富模型'!$M$6+IF(Calc!$Q$318&lt;='财富模型'!$E$11*12,'Calc'!$W$14,'Calc'!$Y$14)-(IF('Calc'!$E$14=1,0,MIN(Calc!$S$317*(1+'财富模型'!$E$20/12)+'Calc'!$B$6,IF(Calc!$Q$318&lt;='财富模型'!$E$11*12,'Calc'!$W$14,'Calc'!$Y$14))))))</x:f>
      </x:c>
      <x:c r="U318" t="str">
        <x:f>IF(Calc!$Q$318&gt;'Calc'!$B$8,"",IF('Calc'!$E$14=1,0,MIN(Calc!$S$317*(1+'财富模型'!$E$20/12)+'Calc'!$B$6,IF(Calc!$Q$318&lt;='财富模型'!$E$11*12,'Calc'!$W$14,'Calc'!$Y$14))))</x:f>
      </x:c>
      <x:c r="V318" t="str">
        <x:f>IF(Calc!$Q$318&gt;'Calc'!$B$8,"",'Calc'!$B$5-'财富模型'!$E$5-(IF('Calc'!$E$14=1,'财富模型'!$E$9,'财富模型'!$M$6+IF(Calc!$Q$318&lt;='财富模型'!$E$11*12,'Calc'!$W$14,'Calc'!$Y$14)-(IF('Calc'!$E$14=1,0,MIN(Calc!$S$317*(1+'财富模型'!$E$20/12)+'Calc'!$B$6,IF(Calc!$Q$318&lt;='财富模型'!$E$11*12,'Calc'!$W$14,'Calc'!$Y$14)))))))</x:f>
      </x:c>
      <x:c r="W318" t="str">
        <x:f>IF(Calc!$Q$318&gt;'Calc'!$B$8,"",IF('Calc'!$E$14=1,0,MAX(Calc!$W$317*(1+IF(Calc!$Q$318&lt;='财富模型'!$E$11*12,'财富模型'!$E$10,'财富模型'!$E$12)/12)-IF('Calc'!$E$14=1,0,IF(Calc!$Q$318&lt;='财富模型'!$E$11*12,'Calc'!$W$14,'Calc'!$Y$14)),0)))</x:f>
      </x:c>
      <x:c r="Y318" t="n">
        <x:v>297</x:v>
      </x:c>
      <x:c r="Z318" t="str">
        <x:f>IF(Calc!$Y$318&gt;'Calc'!$B$8,"",MAX(Calc!$Z$317*(1+'财富模型'!$E$6/12)+('Calc'!$B$5-'财富模型'!$E$5-(IF('Calc'!$E$15=1,'财富模型'!$E$9,'财富模型'!$M$7+IF(Calc!$Y$318&lt;='财富模型'!$E$11*12,'Calc'!$W$15,'Calc'!$Y$15)-(IF('Calc'!$E$15=1,0,MIN(Calc!$AA$317*(1+'财富模型'!$E$20/12)+'Calc'!$B$6,IF(Calc!$Y$318&lt;='财富模型'!$E$11*12,'Calc'!$W$15,'Calc'!$Y$15))))))),0))</x:f>
      </x:c>
      <x:c r="AA318" t="str">
        <x:f>IF(Calc!$Y$318&gt;'Calc'!$B$8,"",MAX(Calc!$AA$317*(1+'财富模型'!$E$20/12)+'Calc'!$B$6-(IF('Calc'!$E$15=1,0,MIN(Calc!$AA$317*(1+'财富模型'!$E$20/12)+'Calc'!$B$6,IF(Calc!$Y$318&lt;='财富模型'!$E$11*12,'Calc'!$W$15,'Calc'!$Y$15)))),0))</x:f>
      </x:c>
      <x:c r="AB318" t="str">
        <x:f>IF(Calc!$Y$318&gt;'Calc'!$B$8,"",IF('Calc'!$E$15=1,'财富模型'!$E$9,'财富模型'!$M$7+IF(Calc!$Y$318&lt;='财富模型'!$E$11*12,'Calc'!$W$15,'Calc'!$Y$15)-(IF('Calc'!$E$15=1,0,MIN(Calc!$AA$317*(1+'财富模型'!$E$20/12)+'Calc'!$B$6,IF(Calc!$Y$318&lt;='财富模型'!$E$11*12,'Calc'!$W$15,'Calc'!$Y$15))))))</x:f>
      </x:c>
      <x:c r="AC318" t="str">
        <x:f>IF(Calc!$Y$318&gt;'Calc'!$B$8,"",IF('Calc'!$E$15=1,0,MIN(Calc!$AA$317*(1+'财富模型'!$E$20/12)+'Calc'!$B$6,IF(Calc!$Y$318&lt;='财富模型'!$E$11*12,'Calc'!$W$15,'Calc'!$Y$15))))</x:f>
      </x:c>
      <x:c r="AD318" t="str">
        <x:f>IF(Calc!$Y$318&gt;'Calc'!$B$8,"",'Calc'!$B$5-'财富模型'!$E$5-(IF('Calc'!$E$15=1,'财富模型'!$E$9,'财富模型'!$M$7+IF(Calc!$Y$318&lt;='财富模型'!$E$11*12,'Calc'!$W$15,'Calc'!$Y$15)-(IF('Calc'!$E$15=1,0,MIN(Calc!$AA$317*(1+'财富模型'!$E$20/12)+'Calc'!$B$6,IF(Calc!$Y$318&lt;='财富模型'!$E$11*12,'Calc'!$W$15,'Calc'!$Y$15)))))))</x:f>
      </x:c>
      <x:c r="AE318" t="str">
        <x:f>IF(Calc!$Y$318&gt;'Calc'!$B$8,"",IF('Calc'!$E$15=1,0,MAX(Calc!$AE$317*(1+IF(Calc!$Y$318&lt;='财富模型'!$E$11*12,'财富模型'!$E$10,'财富模型'!$E$12)/12)-IF('Calc'!$E$15=1,0,IF(Calc!$Y$318&lt;='财富模型'!$E$11*12,'Calc'!$W$15,'Calc'!$Y$15)),0)))</x:f>
      </x:c>
      <x:c r="AG318" t="n">
        <x:v>297</x:v>
      </x:c>
      <x:c r="AH318" t="str">
        <x:f>IF(Calc!$AG$318&gt;'Calc'!$B$8,"",MAX(Calc!$AH$317*(1+'财富模型'!$E$6/12)+('Calc'!$B$5-'财富模型'!$E$5-(IF('Calc'!$E$16=1,'财富模型'!$E$9,'财富模型'!$M$8+IF(Calc!$AG$318&lt;='财富模型'!$E$11*12,'Calc'!$W$16,'Calc'!$Y$16)-(IF('Calc'!$E$16=1,0,MIN(Calc!$AI$317*(1+'财富模型'!$E$20/12)+'Calc'!$B$6,IF(Calc!$AG$318&lt;='财富模型'!$E$11*12,'Calc'!$W$16,'Calc'!$Y$16))))))),0))</x:f>
      </x:c>
      <x:c r="AI318" t="str">
        <x:f>IF(Calc!$AG$318&gt;'Calc'!$B$8,"",MAX(Calc!$AI$317*(1+'财富模型'!$E$20/12)+'Calc'!$B$6-(IF('Calc'!$E$16=1,0,MIN(Calc!$AI$317*(1+'财富模型'!$E$20/12)+'Calc'!$B$6,IF(Calc!$AG$318&lt;='财富模型'!$E$11*12,'Calc'!$W$16,'Calc'!$Y$16)))),0))</x:f>
      </x:c>
      <x:c r="AJ318" t="str">
        <x:f>IF(Calc!$AG$318&gt;'Calc'!$B$8,"",IF('Calc'!$E$16=1,'财富模型'!$E$9,'财富模型'!$M$8+IF(Calc!$AG$318&lt;='财富模型'!$E$11*12,'Calc'!$W$16,'Calc'!$Y$16)-(IF('Calc'!$E$16=1,0,MIN(Calc!$AI$317*(1+'财富模型'!$E$20/12)+'Calc'!$B$6,IF(Calc!$AG$318&lt;='财富模型'!$E$11*12,'Calc'!$W$16,'Calc'!$Y$16))))))</x:f>
      </x:c>
      <x:c r="AK318" t="str">
        <x:f>IF(Calc!$AG$318&gt;'Calc'!$B$8,"",IF('Calc'!$E$16=1,0,MIN(Calc!$AI$317*(1+'财富模型'!$E$20/12)+'Calc'!$B$6,IF(Calc!$AG$318&lt;='财富模型'!$E$11*12,'Calc'!$W$16,'Calc'!$Y$16))))</x:f>
      </x:c>
      <x:c r="AL318" t="str">
        <x:f>IF(Calc!$AG$318&gt;'Calc'!$B$8,"",'Calc'!$B$5-'财富模型'!$E$5-(IF('Calc'!$E$16=1,'财富模型'!$E$9,'财富模型'!$M$8+IF(Calc!$AG$318&lt;='财富模型'!$E$11*12,'Calc'!$W$16,'Calc'!$Y$16)-(IF('Calc'!$E$16=1,0,MIN(Calc!$AI$317*(1+'财富模型'!$E$20/12)+'Calc'!$B$6,IF(Calc!$AG$318&lt;='财富模型'!$E$11*12,'Calc'!$W$16,'Calc'!$Y$16)))))))</x:f>
      </x:c>
      <x:c r="AM318" t="str">
        <x:f>IF(Calc!$AG$318&gt;'Calc'!$B$8,"",IF('Calc'!$E$16=1,0,MAX(Calc!$AM$317*(1+IF(Calc!$AG$318&lt;='财富模型'!$E$11*12,'财富模型'!$E$10,'财富模型'!$E$12)/12)-IF('Calc'!$E$16=1,0,IF(Calc!$AG$318&lt;='财富模型'!$E$11*12,'Calc'!$W$16,'Calc'!$Y$16)),0)))</x:f>
      </x:c>
      <x:c r="AO318" t="n">
        <x:v>297</x:v>
      </x:c>
      <x:c r="AP318" t="str">
        <x:f>IF(Calc!$AO$318&gt;'Calc'!$B$8,"",MAX(Calc!$AP$317*(1+'财富模型'!$E$6/12)+('Calc'!$B$5-'财富模型'!$E$5-(IF('Calc'!$E$17=1,'财富模型'!$E$9,'财富模型'!$M$9+IF(Calc!$AO$318&lt;='财富模型'!$E$11*12,'Calc'!$W$17,'Calc'!$Y$17)-(IF('Calc'!$E$17=1,0,MIN(Calc!$AQ$317*(1+'财富模型'!$E$20/12)+'Calc'!$B$6,IF(Calc!$AO$318&lt;='财富模型'!$E$11*12,'Calc'!$W$17,'Calc'!$Y$17))))))),0))</x:f>
      </x:c>
      <x:c r="AQ318" t="str">
        <x:f>IF(Calc!$AO$318&gt;'Calc'!$B$8,"",MAX(Calc!$AQ$317*(1+'财富模型'!$E$20/12)+'Calc'!$B$6-(IF('Calc'!$E$17=1,0,MIN(Calc!$AQ$317*(1+'财富模型'!$E$20/12)+'Calc'!$B$6,IF(Calc!$AO$318&lt;='财富模型'!$E$11*12,'Calc'!$W$17,'Calc'!$Y$17)))),0))</x:f>
      </x:c>
      <x:c r="AR318" t="str">
        <x:f>IF(Calc!$AO$318&gt;'Calc'!$B$8,"",IF('Calc'!$E$17=1,'财富模型'!$E$9,'财富模型'!$M$9+IF(Calc!$AO$318&lt;='财富模型'!$E$11*12,'Calc'!$W$17,'Calc'!$Y$17)-(IF('Calc'!$E$17=1,0,MIN(Calc!$AQ$317*(1+'财富模型'!$E$20/12)+'Calc'!$B$6,IF(Calc!$AO$318&lt;='财富模型'!$E$11*12,'Calc'!$W$17,'Calc'!$Y$17))))))</x:f>
      </x:c>
      <x:c r="AS318" t="str">
        <x:f>IF(Calc!$AO$318&gt;'Calc'!$B$8,"",IF('Calc'!$E$17=1,0,MIN(Calc!$AQ$317*(1+'财富模型'!$E$20/12)+'Calc'!$B$6,IF(Calc!$AO$318&lt;='财富模型'!$E$11*12,'Calc'!$W$17,'Calc'!$Y$17))))</x:f>
      </x:c>
      <x:c r="AT318" t="str">
        <x:f>IF(Calc!$AO$318&gt;'Calc'!$B$8,"",'Calc'!$B$5-'财富模型'!$E$5-(IF('Calc'!$E$17=1,'财富模型'!$E$9,'财富模型'!$M$9+IF(Calc!$AO$318&lt;='财富模型'!$E$11*12,'Calc'!$W$17,'Calc'!$Y$17)-(IF('Calc'!$E$17=1,0,MIN(Calc!$AQ$317*(1+'财富模型'!$E$20/12)+'Calc'!$B$6,IF(Calc!$AO$318&lt;='财富模型'!$E$11*12,'Calc'!$W$17,'Calc'!$Y$17)))))))</x:f>
      </x:c>
      <x:c r="AU318" t="str">
        <x:f>IF(Calc!$AO$318&gt;'Calc'!$B$8,"",IF('Calc'!$E$17=1,0,MAX(Calc!$AU$317*(1+IF(Calc!$AO$318&lt;='财富模型'!$E$11*12,'财富模型'!$E$10,'财富模型'!$E$12)/12)-IF('Calc'!$E$17=1,0,IF(Calc!$AO$318&lt;='财富模型'!$E$11*12,'Calc'!$W$17,'Calc'!$Y$17)),0)))</x:f>
      </x:c>
    </x:row>
    <x:row r="319">
      <x:c r="A319" t="n">
        <x:v>298</x:v>
      </x:c>
      <x:c r="B319" t="str">
        <x:f>IF(Calc!$A$319&gt;'Calc'!$B$8,"",MAX(Calc!$B$318*(1+'财富模型'!$E$6/12)+('Calc'!$B$5-'财富模型'!$E$5-(IF('Calc'!$E$12=1,'财富模型'!$E$9,'财富模型'!$M$4+IF(Calc!$A$319&lt;='财富模型'!$E$11*12,'Calc'!$W$12,'Calc'!$Y$12)-(IF('Calc'!$E$12=1,0,MIN(Calc!$C$318*(1+'财富模型'!$E$20/12)+'Calc'!$B$6,IF(Calc!$A$319&lt;='财富模型'!$E$11*12,'Calc'!$W$12,'Calc'!$Y$12))))))),0))</x:f>
      </x:c>
      <x:c r="C319" t="str">
        <x:f>IF(Calc!$A$319&gt;'Calc'!$B$8,"",MAX(Calc!$C$318*(1+'财富模型'!$E$20/12)+'Calc'!$B$6-(IF('Calc'!$E$12=1,0,MIN(Calc!$C$318*(1+'财富模型'!$E$20/12)+'Calc'!$B$6,IF(Calc!$A$319&lt;='财富模型'!$E$11*12,'Calc'!$W$12,'Calc'!$Y$12)))),0))</x:f>
      </x:c>
      <x:c r="D319" t="str">
        <x:f>IF(Calc!$A$319&gt;'Calc'!$B$8,"",IF('Calc'!$E$12=1,'财富模型'!$E$9,'财富模型'!$M$4+IF(Calc!$A$319&lt;='财富模型'!$E$11*12,'Calc'!$W$12,'Calc'!$Y$12)-(IF('Calc'!$E$12=1,0,MIN(Calc!$C$318*(1+'财富模型'!$E$20/12)+'Calc'!$B$6,IF(Calc!$A$319&lt;='财富模型'!$E$11*12,'Calc'!$W$12,'Calc'!$Y$12))))))</x:f>
      </x:c>
      <x:c r="E319" t="str">
        <x:f>IF(Calc!$A$319&gt;'Calc'!$B$8,"",IF('Calc'!$E$12=1,0,MIN(Calc!$C$318*(1+'财富模型'!$E$20/12)+'Calc'!$B$6,IF(Calc!$A$319&lt;='财富模型'!$E$11*12,'Calc'!$W$12,'Calc'!$Y$12))))</x:f>
      </x:c>
      <x:c r="F319" t="str">
        <x:f>IF(Calc!$A$319&gt;'Calc'!$B$8,"",'Calc'!$B$5-'财富模型'!$E$5-(IF('Calc'!$E$12=1,'财富模型'!$E$9,'财富模型'!$M$4+IF(Calc!$A$319&lt;='财富模型'!$E$11*12,'Calc'!$W$12,'Calc'!$Y$12)-(IF('Calc'!$E$12=1,0,MIN(Calc!$C$318*(1+'财富模型'!$E$20/12)+'Calc'!$B$6,IF(Calc!$A$319&lt;='财富模型'!$E$11*12,'Calc'!$W$12,'Calc'!$Y$12)))))))</x:f>
      </x:c>
      <x:c r="G319" t="str">
        <x:f>IF(Calc!$A$319&gt;'Calc'!$B$8,"",IF('Calc'!$E$12=1,0,MAX(Calc!$G$318*(1+IF(Calc!$A$319&lt;='财富模型'!$E$11*12,'财富模型'!$E$10,'财富模型'!$E$12)/12)-IF('Calc'!$E$12=1,0,IF(Calc!$A$319&lt;='财富模型'!$E$11*12,'Calc'!$W$12,'Calc'!$Y$12)),0)))</x:f>
      </x:c>
      <x:c r="I319" t="n">
        <x:v>298</x:v>
      </x:c>
      <x:c r="J319" t="str">
        <x:f>IF(Calc!$I$319&gt;'Calc'!$B$8,"",MAX(Calc!$J$318*(1+'财富模型'!$E$6/12)+('Calc'!$B$5-'财富模型'!$E$5-(IF('Calc'!$E$13=1,'财富模型'!$E$9,'财富模型'!$M$5+IF(Calc!$I$319&lt;='财富模型'!$E$11*12,'Calc'!$W$13,'Calc'!$Y$13)-(IF('Calc'!$E$13=1,0,MIN(Calc!$K$318*(1+'财富模型'!$E$20/12)+'Calc'!$B$6,IF(Calc!$I$319&lt;='财富模型'!$E$11*12,'Calc'!$W$13,'Calc'!$Y$13))))))),0))</x:f>
      </x:c>
      <x:c r="K319" t="str">
        <x:f>IF(Calc!$I$319&gt;'Calc'!$B$8,"",MAX(Calc!$K$318*(1+'财富模型'!$E$20/12)+'Calc'!$B$6-(IF('Calc'!$E$13=1,0,MIN(Calc!$K$318*(1+'财富模型'!$E$20/12)+'Calc'!$B$6,IF(Calc!$I$319&lt;='财富模型'!$E$11*12,'Calc'!$W$13,'Calc'!$Y$13)))),0))</x:f>
      </x:c>
      <x:c r="L319" t="str">
        <x:f>IF(Calc!$I$319&gt;'Calc'!$B$8,"",IF('Calc'!$E$13=1,'财富模型'!$E$9,'财富模型'!$M$5+IF(Calc!$I$319&lt;='财富模型'!$E$11*12,'Calc'!$W$13,'Calc'!$Y$13)-(IF('Calc'!$E$13=1,0,MIN(Calc!$K$318*(1+'财富模型'!$E$20/12)+'Calc'!$B$6,IF(Calc!$I$319&lt;='财富模型'!$E$11*12,'Calc'!$W$13,'Calc'!$Y$13))))))</x:f>
      </x:c>
      <x:c r="M319" t="str">
        <x:f>IF(Calc!$I$319&gt;'Calc'!$B$8,"",IF('Calc'!$E$13=1,0,MIN(Calc!$K$318*(1+'财富模型'!$E$20/12)+'Calc'!$B$6,IF(Calc!$I$319&lt;='财富模型'!$E$11*12,'Calc'!$W$13,'Calc'!$Y$13))))</x:f>
      </x:c>
      <x:c r="N319" t="str">
        <x:f>IF(Calc!$I$319&gt;'Calc'!$B$8,"",'Calc'!$B$5-'财富模型'!$E$5-(IF('Calc'!$E$13=1,'财富模型'!$E$9,'财富模型'!$M$5+IF(Calc!$I$319&lt;='财富模型'!$E$11*12,'Calc'!$W$13,'Calc'!$Y$13)-(IF('Calc'!$E$13=1,0,MIN(Calc!$K$318*(1+'财富模型'!$E$20/12)+'Calc'!$B$6,IF(Calc!$I$319&lt;='财富模型'!$E$11*12,'Calc'!$W$13,'Calc'!$Y$13)))))))</x:f>
      </x:c>
      <x:c r="O319" t="str">
        <x:f>IF(Calc!$I$319&gt;'Calc'!$B$8,"",IF('Calc'!$E$13=1,0,MAX(Calc!$O$318*(1+IF(Calc!$I$319&lt;='财富模型'!$E$11*12,'财富模型'!$E$10,'财富模型'!$E$12)/12)-IF('Calc'!$E$13=1,0,IF(Calc!$I$319&lt;='财富模型'!$E$11*12,'Calc'!$W$13,'Calc'!$Y$13)),0)))</x:f>
      </x:c>
      <x:c r="Q319" t="n">
        <x:v>298</x:v>
      </x:c>
      <x:c r="R319" t="str">
        <x:f>IF(Calc!$Q$319&gt;'Calc'!$B$8,"",MAX(Calc!$R$318*(1+'财富模型'!$E$6/12)+('Calc'!$B$5-'财富模型'!$E$5-(IF('Calc'!$E$14=1,'财富模型'!$E$9,'财富模型'!$M$6+IF(Calc!$Q$319&lt;='财富模型'!$E$11*12,'Calc'!$W$14,'Calc'!$Y$14)-(IF('Calc'!$E$14=1,0,MIN(Calc!$S$318*(1+'财富模型'!$E$20/12)+'Calc'!$B$6,IF(Calc!$Q$319&lt;='财富模型'!$E$11*12,'Calc'!$W$14,'Calc'!$Y$14))))))),0))</x:f>
      </x:c>
      <x:c r="S319" t="str">
        <x:f>IF(Calc!$Q$319&gt;'Calc'!$B$8,"",MAX(Calc!$S$318*(1+'财富模型'!$E$20/12)+'Calc'!$B$6-(IF('Calc'!$E$14=1,0,MIN(Calc!$S$318*(1+'财富模型'!$E$20/12)+'Calc'!$B$6,IF(Calc!$Q$319&lt;='财富模型'!$E$11*12,'Calc'!$W$14,'Calc'!$Y$14)))),0))</x:f>
      </x:c>
      <x:c r="T319" t="str">
        <x:f>IF(Calc!$Q$319&gt;'Calc'!$B$8,"",IF('Calc'!$E$14=1,'财富模型'!$E$9,'财富模型'!$M$6+IF(Calc!$Q$319&lt;='财富模型'!$E$11*12,'Calc'!$W$14,'Calc'!$Y$14)-(IF('Calc'!$E$14=1,0,MIN(Calc!$S$318*(1+'财富模型'!$E$20/12)+'Calc'!$B$6,IF(Calc!$Q$319&lt;='财富模型'!$E$11*12,'Calc'!$W$14,'Calc'!$Y$14))))))</x:f>
      </x:c>
      <x:c r="U319" t="str">
        <x:f>IF(Calc!$Q$319&gt;'Calc'!$B$8,"",IF('Calc'!$E$14=1,0,MIN(Calc!$S$318*(1+'财富模型'!$E$20/12)+'Calc'!$B$6,IF(Calc!$Q$319&lt;='财富模型'!$E$11*12,'Calc'!$W$14,'Calc'!$Y$14))))</x:f>
      </x:c>
      <x:c r="V319" t="str">
        <x:f>IF(Calc!$Q$319&gt;'Calc'!$B$8,"",'Calc'!$B$5-'财富模型'!$E$5-(IF('Calc'!$E$14=1,'财富模型'!$E$9,'财富模型'!$M$6+IF(Calc!$Q$319&lt;='财富模型'!$E$11*12,'Calc'!$W$14,'Calc'!$Y$14)-(IF('Calc'!$E$14=1,0,MIN(Calc!$S$318*(1+'财富模型'!$E$20/12)+'Calc'!$B$6,IF(Calc!$Q$319&lt;='财富模型'!$E$11*12,'Calc'!$W$14,'Calc'!$Y$14)))))))</x:f>
      </x:c>
      <x:c r="W319" t="str">
        <x:f>IF(Calc!$Q$319&gt;'Calc'!$B$8,"",IF('Calc'!$E$14=1,0,MAX(Calc!$W$318*(1+IF(Calc!$Q$319&lt;='财富模型'!$E$11*12,'财富模型'!$E$10,'财富模型'!$E$12)/12)-IF('Calc'!$E$14=1,0,IF(Calc!$Q$319&lt;='财富模型'!$E$11*12,'Calc'!$W$14,'Calc'!$Y$14)),0)))</x:f>
      </x:c>
      <x:c r="Y319" t="n">
        <x:v>298</x:v>
      </x:c>
      <x:c r="Z319" t="str">
        <x:f>IF(Calc!$Y$319&gt;'Calc'!$B$8,"",MAX(Calc!$Z$318*(1+'财富模型'!$E$6/12)+('Calc'!$B$5-'财富模型'!$E$5-(IF('Calc'!$E$15=1,'财富模型'!$E$9,'财富模型'!$M$7+IF(Calc!$Y$319&lt;='财富模型'!$E$11*12,'Calc'!$W$15,'Calc'!$Y$15)-(IF('Calc'!$E$15=1,0,MIN(Calc!$AA$318*(1+'财富模型'!$E$20/12)+'Calc'!$B$6,IF(Calc!$Y$319&lt;='财富模型'!$E$11*12,'Calc'!$W$15,'Calc'!$Y$15))))))),0))</x:f>
      </x:c>
      <x:c r="AA319" t="str">
        <x:f>IF(Calc!$Y$319&gt;'Calc'!$B$8,"",MAX(Calc!$AA$318*(1+'财富模型'!$E$20/12)+'Calc'!$B$6-(IF('Calc'!$E$15=1,0,MIN(Calc!$AA$318*(1+'财富模型'!$E$20/12)+'Calc'!$B$6,IF(Calc!$Y$319&lt;='财富模型'!$E$11*12,'Calc'!$W$15,'Calc'!$Y$15)))),0))</x:f>
      </x:c>
      <x:c r="AB319" t="str">
        <x:f>IF(Calc!$Y$319&gt;'Calc'!$B$8,"",IF('Calc'!$E$15=1,'财富模型'!$E$9,'财富模型'!$M$7+IF(Calc!$Y$319&lt;='财富模型'!$E$11*12,'Calc'!$W$15,'Calc'!$Y$15)-(IF('Calc'!$E$15=1,0,MIN(Calc!$AA$318*(1+'财富模型'!$E$20/12)+'Calc'!$B$6,IF(Calc!$Y$319&lt;='财富模型'!$E$11*12,'Calc'!$W$15,'Calc'!$Y$15))))))</x:f>
      </x:c>
      <x:c r="AC319" t="str">
        <x:f>IF(Calc!$Y$319&gt;'Calc'!$B$8,"",IF('Calc'!$E$15=1,0,MIN(Calc!$AA$318*(1+'财富模型'!$E$20/12)+'Calc'!$B$6,IF(Calc!$Y$319&lt;='财富模型'!$E$11*12,'Calc'!$W$15,'Calc'!$Y$15))))</x:f>
      </x:c>
      <x:c r="AD319" t="str">
        <x:f>IF(Calc!$Y$319&gt;'Calc'!$B$8,"",'Calc'!$B$5-'财富模型'!$E$5-(IF('Calc'!$E$15=1,'财富模型'!$E$9,'财富模型'!$M$7+IF(Calc!$Y$319&lt;='财富模型'!$E$11*12,'Calc'!$W$15,'Calc'!$Y$15)-(IF('Calc'!$E$15=1,0,MIN(Calc!$AA$318*(1+'财富模型'!$E$20/12)+'Calc'!$B$6,IF(Calc!$Y$319&lt;='财富模型'!$E$11*12,'Calc'!$W$15,'Calc'!$Y$15)))))))</x:f>
      </x:c>
      <x:c r="AE319" t="str">
        <x:f>IF(Calc!$Y$319&gt;'Calc'!$B$8,"",IF('Calc'!$E$15=1,0,MAX(Calc!$AE$318*(1+IF(Calc!$Y$319&lt;='财富模型'!$E$11*12,'财富模型'!$E$10,'财富模型'!$E$12)/12)-IF('Calc'!$E$15=1,0,IF(Calc!$Y$319&lt;='财富模型'!$E$11*12,'Calc'!$W$15,'Calc'!$Y$15)),0)))</x:f>
      </x:c>
      <x:c r="AG319" t="n">
        <x:v>298</x:v>
      </x:c>
      <x:c r="AH319" t="str">
        <x:f>IF(Calc!$AG$319&gt;'Calc'!$B$8,"",MAX(Calc!$AH$318*(1+'财富模型'!$E$6/12)+('Calc'!$B$5-'财富模型'!$E$5-(IF('Calc'!$E$16=1,'财富模型'!$E$9,'财富模型'!$M$8+IF(Calc!$AG$319&lt;='财富模型'!$E$11*12,'Calc'!$W$16,'Calc'!$Y$16)-(IF('Calc'!$E$16=1,0,MIN(Calc!$AI$318*(1+'财富模型'!$E$20/12)+'Calc'!$B$6,IF(Calc!$AG$319&lt;='财富模型'!$E$11*12,'Calc'!$W$16,'Calc'!$Y$16))))))),0))</x:f>
      </x:c>
      <x:c r="AI319" t="str">
        <x:f>IF(Calc!$AG$319&gt;'Calc'!$B$8,"",MAX(Calc!$AI$318*(1+'财富模型'!$E$20/12)+'Calc'!$B$6-(IF('Calc'!$E$16=1,0,MIN(Calc!$AI$318*(1+'财富模型'!$E$20/12)+'Calc'!$B$6,IF(Calc!$AG$319&lt;='财富模型'!$E$11*12,'Calc'!$W$16,'Calc'!$Y$16)))),0))</x:f>
      </x:c>
      <x:c r="AJ319" t="str">
        <x:f>IF(Calc!$AG$319&gt;'Calc'!$B$8,"",IF('Calc'!$E$16=1,'财富模型'!$E$9,'财富模型'!$M$8+IF(Calc!$AG$319&lt;='财富模型'!$E$11*12,'Calc'!$W$16,'Calc'!$Y$16)-(IF('Calc'!$E$16=1,0,MIN(Calc!$AI$318*(1+'财富模型'!$E$20/12)+'Calc'!$B$6,IF(Calc!$AG$319&lt;='财富模型'!$E$11*12,'Calc'!$W$16,'Calc'!$Y$16))))))</x:f>
      </x:c>
      <x:c r="AK319" t="str">
        <x:f>IF(Calc!$AG$319&gt;'Calc'!$B$8,"",IF('Calc'!$E$16=1,0,MIN(Calc!$AI$318*(1+'财富模型'!$E$20/12)+'Calc'!$B$6,IF(Calc!$AG$319&lt;='财富模型'!$E$11*12,'Calc'!$W$16,'Calc'!$Y$16))))</x:f>
      </x:c>
      <x:c r="AL319" t="str">
        <x:f>IF(Calc!$AG$319&gt;'Calc'!$B$8,"",'Calc'!$B$5-'财富模型'!$E$5-(IF('Calc'!$E$16=1,'财富模型'!$E$9,'财富模型'!$M$8+IF(Calc!$AG$319&lt;='财富模型'!$E$11*12,'Calc'!$W$16,'Calc'!$Y$16)-(IF('Calc'!$E$16=1,0,MIN(Calc!$AI$318*(1+'财富模型'!$E$20/12)+'Calc'!$B$6,IF(Calc!$AG$319&lt;='财富模型'!$E$11*12,'Calc'!$W$16,'Calc'!$Y$16)))))))</x:f>
      </x:c>
      <x:c r="AM319" t="str">
        <x:f>IF(Calc!$AG$319&gt;'Calc'!$B$8,"",IF('Calc'!$E$16=1,0,MAX(Calc!$AM$318*(1+IF(Calc!$AG$319&lt;='财富模型'!$E$11*12,'财富模型'!$E$10,'财富模型'!$E$12)/12)-IF('Calc'!$E$16=1,0,IF(Calc!$AG$319&lt;='财富模型'!$E$11*12,'Calc'!$W$16,'Calc'!$Y$16)),0)))</x:f>
      </x:c>
      <x:c r="AO319" t="n">
        <x:v>298</x:v>
      </x:c>
      <x:c r="AP319" t="str">
        <x:f>IF(Calc!$AO$319&gt;'Calc'!$B$8,"",MAX(Calc!$AP$318*(1+'财富模型'!$E$6/12)+('Calc'!$B$5-'财富模型'!$E$5-(IF('Calc'!$E$17=1,'财富模型'!$E$9,'财富模型'!$M$9+IF(Calc!$AO$319&lt;='财富模型'!$E$11*12,'Calc'!$W$17,'Calc'!$Y$17)-(IF('Calc'!$E$17=1,0,MIN(Calc!$AQ$318*(1+'财富模型'!$E$20/12)+'Calc'!$B$6,IF(Calc!$AO$319&lt;='财富模型'!$E$11*12,'Calc'!$W$17,'Calc'!$Y$17))))))),0))</x:f>
      </x:c>
      <x:c r="AQ319" t="str">
        <x:f>IF(Calc!$AO$319&gt;'Calc'!$B$8,"",MAX(Calc!$AQ$318*(1+'财富模型'!$E$20/12)+'Calc'!$B$6-(IF('Calc'!$E$17=1,0,MIN(Calc!$AQ$318*(1+'财富模型'!$E$20/12)+'Calc'!$B$6,IF(Calc!$AO$319&lt;='财富模型'!$E$11*12,'Calc'!$W$17,'Calc'!$Y$17)))),0))</x:f>
      </x:c>
      <x:c r="AR319" t="str">
        <x:f>IF(Calc!$AO$319&gt;'Calc'!$B$8,"",IF('Calc'!$E$17=1,'财富模型'!$E$9,'财富模型'!$M$9+IF(Calc!$AO$319&lt;='财富模型'!$E$11*12,'Calc'!$W$17,'Calc'!$Y$17)-(IF('Calc'!$E$17=1,0,MIN(Calc!$AQ$318*(1+'财富模型'!$E$20/12)+'Calc'!$B$6,IF(Calc!$AO$319&lt;='财富模型'!$E$11*12,'Calc'!$W$17,'Calc'!$Y$17))))))</x:f>
      </x:c>
      <x:c r="AS319" t="str">
        <x:f>IF(Calc!$AO$319&gt;'Calc'!$B$8,"",IF('Calc'!$E$17=1,0,MIN(Calc!$AQ$318*(1+'财富模型'!$E$20/12)+'Calc'!$B$6,IF(Calc!$AO$319&lt;='财富模型'!$E$11*12,'Calc'!$W$17,'Calc'!$Y$17))))</x:f>
      </x:c>
      <x:c r="AT319" t="str">
        <x:f>IF(Calc!$AO$319&gt;'Calc'!$B$8,"",'Calc'!$B$5-'财富模型'!$E$5-(IF('Calc'!$E$17=1,'财富模型'!$E$9,'财富模型'!$M$9+IF(Calc!$AO$319&lt;='财富模型'!$E$11*12,'Calc'!$W$17,'Calc'!$Y$17)-(IF('Calc'!$E$17=1,0,MIN(Calc!$AQ$318*(1+'财富模型'!$E$20/12)+'Calc'!$B$6,IF(Calc!$AO$319&lt;='财富模型'!$E$11*12,'Calc'!$W$17,'Calc'!$Y$17)))))))</x:f>
      </x:c>
      <x:c r="AU319" t="str">
        <x:f>IF(Calc!$AO$319&gt;'Calc'!$B$8,"",IF('Calc'!$E$17=1,0,MAX(Calc!$AU$318*(1+IF(Calc!$AO$319&lt;='财富模型'!$E$11*12,'财富模型'!$E$10,'财富模型'!$E$12)/12)-IF('Calc'!$E$17=1,0,IF(Calc!$AO$319&lt;='财富模型'!$E$11*12,'Calc'!$W$17,'Calc'!$Y$17)),0)))</x:f>
      </x:c>
    </x:row>
    <x:row r="320">
      <x:c r="A320" t="n">
        <x:v>299</x:v>
      </x:c>
      <x:c r="B320" t="str">
        <x:f>IF(Calc!$A$320&gt;'Calc'!$B$8,"",MAX(Calc!$B$319*(1+'财富模型'!$E$6/12)+('Calc'!$B$5-'财富模型'!$E$5-(IF('Calc'!$E$12=1,'财富模型'!$E$9,'财富模型'!$M$4+IF(Calc!$A$320&lt;='财富模型'!$E$11*12,'Calc'!$W$12,'Calc'!$Y$12)-(IF('Calc'!$E$12=1,0,MIN(Calc!$C$319*(1+'财富模型'!$E$20/12)+'Calc'!$B$6,IF(Calc!$A$320&lt;='财富模型'!$E$11*12,'Calc'!$W$12,'Calc'!$Y$12))))))),0))</x:f>
      </x:c>
      <x:c r="C320" t="str">
        <x:f>IF(Calc!$A$320&gt;'Calc'!$B$8,"",MAX(Calc!$C$319*(1+'财富模型'!$E$20/12)+'Calc'!$B$6-(IF('Calc'!$E$12=1,0,MIN(Calc!$C$319*(1+'财富模型'!$E$20/12)+'Calc'!$B$6,IF(Calc!$A$320&lt;='财富模型'!$E$11*12,'Calc'!$W$12,'Calc'!$Y$12)))),0))</x:f>
      </x:c>
      <x:c r="D320" t="str">
        <x:f>IF(Calc!$A$320&gt;'Calc'!$B$8,"",IF('Calc'!$E$12=1,'财富模型'!$E$9,'财富模型'!$M$4+IF(Calc!$A$320&lt;='财富模型'!$E$11*12,'Calc'!$W$12,'Calc'!$Y$12)-(IF('Calc'!$E$12=1,0,MIN(Calc!$C$319*(1+'财富模型'!$E$20/12)+'Calc'!$B$6,IF(Calc!$A$320&lt;='财富模型'!$E$11*12,'Calc'!$W$12,'Calc'!$Y$12))))))</x:f>
      </x:c>
      <x:c r="E320" t="str">
        <x:f>IF(Calc!$A$320&gt;'Calc'!$B$8,"",IF('Calc'!$E$12=1,0,MIN(Calc!$C$319*(1+'财富模型'!$E$20/12)+'Calc'!$B$6,IF(Calc!$A$320&lt;='财富模型'!$E$11*12,'Calc'!$W$12,'Calc'!$Y$12))))</x:f>
      </x:c>
      <x:c r="F320" t="str">
        <x:f>IF(Calc!$A$320&gt;'Calc'!$B$8,"",'Calc'!$B$5-'财富模型'!$E$5-(IF('Calc'!$E$12=1,'财富模型'!$E$9,'财富模型'!$M$4+IF(Calc!$A$320&lt;='财富模型'!$E$11*12,'Calc'!$W$12,'Calc'!$Y$12)-(IF('Calc'!$E$12=1,0,MIN(Calc!$C$319*(1+'财富模型'!$E$20/12)+'Calc'!$B$6,IF(Calc!$A$320&lt;='财富模型'!$E$11*12,'Calc'!$W$12,'Calc'!$Y$12)))))))</x:f>
      </x:c>
      <x:c r="G320" t="str">
        <x:f>IF(Calc!$A$320&gt;'Calc'!$B$8,"",IF('Calc'!$E$12=1,0,MAX(Calc!$G$319*(1+IF(Calc!$A$320&lt;='财富模型'!$E$11*12,'财富模型'!$E$10,'财富模型'!$E$12)/12)-IF('Calc'!$E$12=1,0,IF(Calc!$A$320&lt;='财富模型'!$E$11*12,'Calc'!$W$12,'Calc'!$Y$12)),0)))</x:f>
      </x:c>
      <x:c r="I320" t="n">
        <x:v>299</x:v>
      </x:c>
      <x:c r="J320" t="str">
        <x:f>IF(Calc!$I$320&gt;'Calc'!$B$8,"",MAX(Calc!$J$319*(1+'财富模型'!$E$6/12)+('Calc'!$B$5-'财富模型'!$E$5-(IF('Calc'!$E$13=1,'财富模型'!$E$9,'财富模型'!$M$5+IF(Calc!$I$320&lt;='财富模型'!$E$11*12,'Calc'!$W$13,'Calc'!$Y$13)-(IF('Calc'!$E$13=1,0,MIN(Calc!$K$319*(1+'财富模型'!$E$20/12)+'Calc'!$B$6,IF(Calc!$I$320&lt;='财富模型'!$E$11*12,'Calc'!$W$13,'Calc'!$Y$13))))))),0))</x:f>
      </x:c>
      <x:c r="K320" t="str">
        <x:f>IF(Calc!$I$320&gt;'Calc'!$B$8,"",MAX(Calc!$K$319*(1+'财富模型'!$E$20/12)+'Calc'!$B$6-(IF('Calc'!$E$13=1,0,MIN(Calc!$K$319*(1+'财富模型'!$E$20/12)+'Calc'!$B$6,IF(Calc!$I$320&lt;='财富模型'!$E$11*12,'Calc'!$W$13,'Calc'!$Y$13)))),0))</x:f>
      </x:c>
      <x:c r="L320" t="str">
        <x:f>IF(Calc!$I$320&gt;'Calc'!$B$8,"",IF('Calc'!$E$13=1,'财富模型'!$E$9,'财富模型'!$M$5+IF(Calc!$I$320&lt;='财富模型'!$E$11*12,'Calc'!$W$13,'Calc'!$Y$13)-(IF('Calc'!$E$13=1,0,MIN(Calc!$K$319*(1+'财富模型'!$E$20/12)+'Calc'!$B$6,IF(Calc!$I$320&lt;='财富模型'!$E$11*12,'Calc'!$W$13,'Calc'!$Y$13))))))</x:f>
      </x:c>
      <x:c r="M320" t="str">
        <x:f>IF(Calc!$I$320&gt;'Calc'!$B$8,"",IF('Calc'!$E$13=1,0,MIN(Calc!$K$319*(1+'财富模型'!$E$20/12)+'Calc'!$B$6,IF(Calc!$I$320&lt;='财富模型'!$E$11*12,'Calc'!$W$13,'Calc'!$Y$13))))</x:f>
      </x:c>
      <x:c r="N320" t="str">
        <x:f>IF(Calc!$I$320&gt;'Calc'!$B$8,"",'Calc'!$B$5-'财富模型'!$E$5-(IF('Calc'!$E$13=1,'财富模型'!$E$9,'财富模型'!$M$5+IF(Calc!$I$320&lt;='财富模型'!$E$11*12,'Calc'!$W$13,'Calc'!$Y$13)-(IF('Calc'!$E$13=1,0,MIN(Calc!$K$319*(1+'财富模型'!$E$20/12)+'Calc'!$B$6,IF(Calc!$I$320&lt;='财富模型'!$E$11*12,'Calc'!$W$13,'Calc'!$Y$13)))))))</x:f>
      </x:c>
      <x:c r="O320" t="str">
        <x:f>IF(Calc!$I$320&gt;'Calc'!$B$8,"",IF('Calc'!$E$13=1,0,MAX(Calc!$O$319*(1+IF(Calc!$I$320&lt;='财富模型'!$E$11*12,'财富模型'!$E$10,'财富模型'!$E$12)/12)-IF('Calc'!$E$13=1,0,IF(Calc!$I$320&lt;='财富模型'!$E$11*12,'Calc'!$W$13,'Calc'!$Y$13)),0)))</x:f>
      </x:c>
      <x:c r="Q320" t="n">
        <x:v>299</x:v>
      </x:c>
      <x:c r="R320" t="str">
        <x:f>IF(Calc!$Q$320&gt;'Calc'!$B$8,"",MAX(Calc!$R$319*(1+'财富模型'!$E$6/12)+('Calc'!$B$5-'财富模型'!$E$5-(IF('Calc'!$E$14=1,'财富模型'!$E$9,'财富模型'!$M$6+IF(Calc!$Q$320&lt;='财富模型'!$E$11*12,'Calc'!$W$14,'Calc'!$Y$14)-(IF('Calc'!$E$14=1,0,MIN(Calc!$S$319*(1+'财富模型'!$E$20/12)+'Calc'!$B$6,IF(Calc!$Q$320&lt;='财富模型'!$E$11*12,'Calc'!$W$14,'Calc'!$Y$14))))))),0))</x:f>
      </x:c>
      <x:c r="S320" t="str">
        <x:f>IF(Calc!$Q$320&gt;'Calc'!$B$8,"",MAX(Calc!$S$319*(1+'财富模型'!$E$20/12)+'Calc'!$B$6-(IF('Calc'!$E$14=1,0,MIN(Calc!$S$319*(1+'财富模型'!$E$20/12)+'Calc'!$B$6,IF(Calc!$Q$320&lt;='财富模型'!$E$11*12,'Calc'!$W$14,'Calc'!$Y$14)))),0))</x:f>
      </x:c>
      <x:c r="T320" t="str">
        <x:f>IF(Calc!$Q$320&gt;'Calc'!$B$8,"",IF('Calc'!$E$14=1,'财富模型'!$E$9,'财富模型'!$M$6+IF(Calc!$Q$320&lt;='财富模型'!$E$11*12,'Calc'!$W$14,'Calc'!$Y$14)-(IF('Calc'!$E$14=1,0,MIN(Calc!$S$319*(1+'财富模型'!$E$20/12)+'Calc'!$B$6,IF(Calc!$Q$320&lt;='财富模型'!$E$11*12,'Calc'!$W$14,'Calc'!$Y$14))))))</x:f>
      </x:c>
      <x:c r="U320" t="str">
        <x:f>IF(Calc!$Q$320&gt;'Calc'!$B$8,"",IF('Calc'!$E$14=1,0,MIN(Calc!$S$319*(1+'财富模型'!$E$20/12)+'Calc'!$B$6,IF(Calc!$Q$320&lt;='财富模型'!$E$11*12,'Calc'!$W$14,'Calc'!$Y$14))))</x:f>
      </x:c>
      <x:c r="V320" t="str">
        <x:f>IF(Calc!$Q$320&gt;'Calc'!$B$8,"",'Calc'!$B$5-'财富模型'!$E$5-(IF('Calc'!$E$14=1,'财富模型'!$E$9,'财富模型'!$M$6+IF(Calc!$Q$320&lt;='财富模型'!$E$11*12,'Calc'!$W$14,'Calc'!$Y$14)-(IF('Calc'!$E$14=1,0,MIN(Calc!$S$319*(1+'财富模型'!$E$20/12)+'Calc'!$B$6,IF(Calc!$Q$320&lt;='财富模型'!$E$11*12,'Calc'!$W$14,'Calc'!$Y$14)))))))</x:f>
      </x:c>
      <x:c r="W320" t="str">
        <x:f>IF(Calc!$Q$320&gt;'Calc'!$B$8,"",IF('Calc'!$E$14=1,0,MAX(Calc!$W$319*(1+IF(Calc!$Q$320&lt;='财富模型'!$E$11*12,'财富模型'!$E$10,'财富模型'!$E$12)/12)-IF('Calc'!$E$14=1,0,IF(Calc!$Q$320&lt;='财富模型'!$E$11*12,'Calc'!$W$14,'Calc'!$Y$14)),0)))</x:f>
      </x:c>
      <x:c r="Y320" t="n">
        <x:v>299</x:v>
      </x:c>
      <x:c r="Z320" t="str">
        <x:f>IF(Calc!$Y$320&gt;'Calc'!$B$8,"",MAX(Calc!$Z$319*(1+'财富模型'!$E$6/12)+('Calc'!$B$5-'财富模型'!$E$5-(IF('Calc'!$E$15=1,'财富模型'!$E$9,'财富模型'!$M$7+IF(Calc!$Y$320&lt;='财富模型'!$E$11*12,'Calc'!$W$15,'Calc'!$Y$15)-(IF('Calc'!$E$15=1,0,MIN(Calc!$AA$319*(1+'财富模型'!$E$20/12)+'Calc'!$B$6,IF(Calc!$Y$320&lt;='财富模型'!$E$11*12,'Calc'!$W$15,'Calc'!$Y$15))))))),0))</x:f>
      </x:c>
      <x:c r="AA320" t="str">
        <x:f>IF(Calc!$Y$320&gt;'Calc'!$B$8,"",MAX(Calc!$AA$319*(1+'财富模型'!$E$20/12)+'Calc'!$B$6-(IF('Calc'!$E$15=1,0,MIN(Calc!$AA$319*(1+'财富模型'!$E$20/12)+'Calc'!$B$6,IF(Calc!$Y$320&lt;='财富模型'!$E$11*12,'Calc'!$W$15,'Calc'!$Y$15)))),0))</x:f>
      </x:c>
      <x:c r="AB320" t="str">
        <x:f>IF(Calc!$Y$320&gt;'Calc'!$B$8,"",IF('Calc'!$E$15=1,'财富模型'!$E$9,'财富模型'!$M$7+IF(Calc!$Y$320&lt;='财富模型'!$E$11*12,'Calc'!$W$15,'Calc'!$Y$15)-(IF('Calc'!$E$15=1,0,MIN(Calc!$AA$319*(1+'财富模型'!$E$20/12)+'Calc'!$B$6,IF(Calc!$Y$320&lt;='财富模型'!$E$11*12,'Calc'!$W$15,'Calc'!$Y$15))))))</x:f>
      </x:c>
      <x:c r="AC320" t="str">
        <x:f>IF(Calc!$Y$320&gt;'Calc'!$B$8,"",IF('Calc'!$E$15=1,0,MIN(Calc!$AA$319*(1+'财富模型'!$E$20/12)+'Calc'!$B$6,IF(Calc!$Y$320&lt;='财富模型'!$E$11*12,'Calc'!$W$15,'Calc'!$Y$15))))</x:f>
      </x:c>
      <x:c r="AD320" t="str">
        <x:f>IF(Calc!$Y$320&gt;'Calc'!$B$8,"",'Calc'!$B$5-'财富模型'!$E$5-(IF('Calc'!$E$15=1,'财富模型'!$E$9,'财富模型'!$M$7+IF(Calc!$Y$320&lt;='财富模型'!$E$11*12,'Calc'!$W$15,'Calc'!$Y$15)-(IF('Calc'!$E$15=1,0,MIN(Calc!$AA$319*(1+'财富模型'!$E$20/12)+'Calc'!$B$6,IF(Calc!$Y$320&lt;='财富模型'!$E$11*12,'Calc'!$W$15,'Calc'!$Y$15)))))))</x:f>
      </x:c>
      <x:c r="AE320" t="str">
        <x:f>IF(Calc!$Y$320&gt;'Calc'!$B$8,"",IF('Calc'!$E$15=1,0,MAX(Calc!$AE$319*(1+IF(Calc!$Y$320&lt;='财富模型'!$E$11*12,'财富模型'!$E$10,'财富模型'!$E$12)/12)-IF('Calc'!$E$15=1,0,IF(Calc!$Y$320&lt;='财富模型'!$E$11*12,'Calc'!$W$15,'Calc'!$Y$15)),0)))</x:f>
      </x:c>
      <x:c r="AG320" t="n">
        <x:v>299</x:v>
      </x:c>
      <x:c r="AH320" t="str">
        <x:f>IF(Calc!$AG$320&gt;'Calc'!$B$8,"",MAX(Calc!$AH$319*(1+'财富模型'!$E$6/12)+('Calc'!$B$5-'财富模型'!$E$5-(IF('Calc'!$E$16=1,'财富模型'!$E$9,'财富模型'!$M$8+IF(Calc!$AG$320&lt;='财富模型'!$E$11*12,'Calc'!$W$16,'Calc'!$Y$16)-(IF('Calc'!$E$16=1,0,MIN(Calc!$AI$319*(1+'财富模型'!$E$20/12)+'Calc'!$B$6,IF(Calc!$AG$320&lt;='财富模型'!$E$11*12,'Calc'!$W$16,'Calc'!$Y$16))))))),0))</x:f>
      </x:c>
      <x:c r="AI320" t="str">
        <x:f>IF(Calc!$AG$320&gt;'Calc'!$B$8,"",MAX(Calc!$AI$319*(1+'财富模型'!$E$20/12)+'Calc'!$B$6-(IF('Calc'!$E$16=1,0,MIN(Calc!$AI$319*(1+'财富模型'!$E$20/12)+'Calc'!$B$6,IF(Calc!$AG$320&lt;='财富模型'!$E$11*12,'Calc'!$W$16,'Calc'!$Y$16)))),0))</x:f>
      </x:c>
      <x:c r="AJ320" t="str">
        <x:f>IF(Calc!$AG$320&gt;'Calc'!$B$8,"",IF('Calc'!$E$16=1,'财富模型'!$E$9,'财富模型'!$M$8+IF(Calc!$AG$320&lt;='财富模型'!$E$11*12,'Calc'!$W$16,'Calc'!$Y$16)-(IF('Calc'!$E$16=1,0,MIN(Calc!$AI$319*(1+'财富模型'!$E$20/12)+'Calc'!$B$6,IF(Calc!$AG$320&lt;='财富模型'!$E$11*12,'Calc'!$W$16,'Calc'!$Y$16))))))</x:f>
      </x:c>
      <x:c r="AK320" t="str">
        <x:f>IF(Calc!$AG$320&gt;'Calc'!$B$8,"",IF('Calc'!$E$16=1,0,MIN(Calc!$AI$319*(1+'财富模型'!$E$20/12)+'Calc'!$B$6,IF(Calc!$AG$320&lt;='财富模型'!$E$11*12,'Calc'!$W$16,'Calc'!$Y$16))))</x:f>
      </x:c>
      <x:c r="AL320" t="str">
        <x:f>IF(Calc!$AG$320&gt;'Calc'!$B$8,"",'Calc'!$B$5-'财富模型'!$E$5-(IF('Calc'!$E$16=1,'财富模型'!$E$9,'财富模型'!$M$8+IF(Calc!$AG$320&lt;='财富模型'!$E$11*12,'Calc'!$W$16,'Calc'!$Y$16)-(IF('Calc'!$E$16=1,0,MIN(Calc!$AI$319*(1+'财富模型'!$E$20/12)+'Calc'!$B$6,IF(Calc!$AG$320&lt;='财富模型'!$E$11*12,'Calc'!$W$16,'Calc'!$Y$16)))))))</x:f>
      </x:c>
      <x:c r="AM320" t="str">
        <x:f>IF(Calc!$AG$320&gt;'Calc'!$B$8,"",IF('Calc'!$E$16=1,0,MAX(Calc!$AM$319*(1+IF(Calc!$AG$320&lt;='财富模型'!$E$11*12,'财富模型'!$E$10,'财富模型'!$E$12)/12)-IF('Calc'!$E$16=1,0,IF(Calc!$AG$320&lt;='财富模型'!$E$11*12,'Calc'!$W$16,'Calc'!$Y$16)),0)))</x:f>
      </x:c>
      <x:c r="AO320" t="n">
        <x:v>299</x:v>
      </x:c>
      <x:c r="AP320" t="str">
        <x:f>IF(Calc!$AO$320&gt;'Calc'!$B$8,"",MAX(Calc!$AP$319*(1+'财富模型'!$E$6/12)+('Calc'!$B$5-'财富模型'!$E$5-(IF('Calc'!$E$17=1,'财富模型'!$E$9,'财富模型'!$M$9+IF(Calc!$AO$320&lt;='财富模型'!$E$11*12,'Calc'!$W$17,'Calc'!$Y$17)-(IF('Calc'!$E$17=1,0,MIN(Calc!$AQ$319*(1+'财富模型'!$E$20/12)+'Calc'!$B$6,IF(Calc!$AO$320&lt;='财富模型'!$E$11*12,'Calc'!$W$17,'Calc'!$Y$17))))))),0))</x:f>
      </x:c>
      <x:c r="AQ320" t="str">
        <x:f>IF(Calc!$AO$320&gt;'Calc'!$B$8,"",MAX(Calc!$AQ$319*(1+'财富模型'!$E$20/12)+'Calc'!$B$6-(IF('Calc'!$E$17=1,0,MIN(Calc!$AQ$319*(1+'财富模型'!$E$20/12)+'Calc'!$B$6,IF(Calc!$AO$320&lt;='财富模型'!$E$11*12,'Calc'!$W$17,'Calc'!$Y$17)))),0))</x:f>
      </x:c>
      <x:c r="AR320" t="str">
        <x:f>IF(Calc!$AO$320&gt;'Calc'!$B$8,"",IF('Calc'!$E$17=1,'财富模型'!$E$9,'财富模型'!$M$9+IF(Calc!$AO$320&lt;='财富模型'!$E$11*12,'Calc'!$W$17,'Calc'!$Y$17)-(IF('Calc'!$E$17=1,0,MIN(Calc!$AQ$319*(1+'财富模型'!$E$20/12)+'Calc'!$B$6,IF(Calc!$AO$320&lt;='财富模型'!$E$11*12,'Calc'!$W$17,'Calc'!$Y$17))))))</x:f>
      </x:c>
      <x:c r="AS320" t="str">
        <x:f>IF(Calc!$AO$320&gt;'Calc'!$B$8,"",IF('Calc'!$E$17=1,0,MIN(Calc!$AQ$319*(1+'财富模型'!$E$20/12)+'Calc'!$B$6,IF(Calc!$AO$320&lt;='财富模型'!$E$11*12,'Calc'!$W$17,'Calc'!$Y$17))))</x:f>
      </x:c>
      <x:c r="AT320" t="str">
        <x:f>IF(Calc!$AO$320&gt;'Calc'!$B$8,"",'Calc'!$B$5-'财富模型'!$E$5-(IF('Calc'!$E$17=1,'财富模型'!$E$9,'财富模型'!$M$9+IF(Calc!$AO$320&lt;='财富模型'!$E$11*12,'Calc'!$W$17,'Calc'!$Y$17)-(IF('Calc'!$E$17=1,0,MIN(Calc!$AQ$319*(1+'财富模型'!$E$20/12)+'Calc'!$B$6,IF(Calc!$AO$320&lt;='财富模型'!$E$11*12,'Calc'!$W$17,'Calc'!$Y$17)))))))</x:f>
      </x:c>
      <x:c r="AU320" t="str">
        <x:f>IF(Calc!$AO$320&gt;'Calc'!$B$8,"",IF('Calc'!$E$17=1,0,MAX(Calc!$AU$319*(1+IF(Calc!$AO$320&lt;='财富模型'!$E$11*12,'财富模型'!$E$10,'财富模型'!$E$12)/12)-IF('Calc'!$E$17=1,0,IF(Calc!$AO$320&lt;='财富模型'!$E$11*12,'Calc'!$W$17,'Calc'!$Y$17)),0)))</x:f>
      </x:c>
    </x:row>
    <x:row r="321">
      <x:c r="A321" t="n">
        <x:v>300</x:v>
      </x:c>
      <x:c r="B321" t="str">
        <x:f>IF(Calc!$A$321&gt;'Calc'!$B$8,"",MAX(Calc!$B$320*(1+'财富模型'!$E$6/12)+('Calc'!$B$5-'财富模型'!$E$5-(IF('Calc'!$E$12=1,'财富模型'!$E$9,'财富模型'!$M$4+IF(Calc!$A$321&lt;='财富模型'!$E$11*12,'Calc'!$W$12,'Calc'!$Y$12)-(IF('Calc'!$E$12=1,0,MIN(Calc!$C$320*(1+'财富模型'!$E$20/12)+'Calc'!$B$6,IF(Calc!$A$321&lt;='财富模型'!$E$11*12,'Calc'!$W$12,'Calc'!$Y$12))))))),0))</x:f>
      </x:c>
      <x:c r="C321" t="str">
        <x:f>IF(Calc!$A$321&gt;'Calc'!$B$8,"",MAX(Calc!$C$320*(1+'财富模型'!$E$20/12)+'Calc'!$B$6-(IF('Calc'!$E$12=1,0,MIN(Calc!$C$320*(1+'财富模型'!$E$20/12)+'Calc'!$B$6,IF(Calc!$A$321&lt;='财富模型'!$E$11*12,'Calc'!$W$12,'Calc'!$Y$12)))),0))</x:f>
      </x:c>
      <x:c r="D321" t="str">
        <x:f>IF(Calc!$A$321&gt;'Calc'!$B$8,"",IF('Calc'!$E$12=1,'财富模型'!$E$9,'财富模型'!$M$4+IF(Calc!$A$321&lt;='财富模型'!$E$11*12,'Calc'!$W$12,'Calc'!$Y$12)-(IF('Calc'!$E$12=1,0,MIN(Calc!$C$320*(1+'财富模型'!$E$20/12)+'Calc'!$B$6,IF(Calc!$A$321&lt;='财富模型'!$E$11*12,'Calc'!$W$12,'Calc'!$Y$12))))))</x:f>
      </x:c>
      <x:c r="E321" t="str">
        <x:f>IF(Calc!$A$321&gt;'Calc'!$B$8,"",IF('Calc'!$E$12=1,0,MIN(Calc!$C$320*(1+'财富模型'!$E$20/12)+'Calc'!$B$6,IF(Calc!$A$321&lt;='财富模型'!$E$11*12,'Calc'!$W$12,'Calc'!$Y$12))))</x:f>
      </x:c>
      <x:c r="F321" t="str">
        <x:f>IF(Calc!$A$321&gt;'Calc'!$B$8,"",'Calc'!$B$5-'财富模型'!$E$5-(IF('Calc'!$E$12=1,'财富模型'!$E$9,'财富模型'!$M$4+IF(Calc!$A$321&lt;='财富模型'!$E$11*12,'Calc'!$W$12,'Calc'!$Y$12)-(IF('Calc'!$E$12=1,0,MIN(Calc!$C$320*(1+'财富模型'!$E$20/12)+'Calc'!$B$6,IF(Calc!$A$321&lt;='财富模型'!$E$11*12,'Calc'!$W$12,'Calc'!$Y$12)))))))</x:f>
      </x:c>
      <x:c r="G321" t="str">
        <x:f>IF(Calc!$A$321&gt;'Calc'!$B$8,"",IF('Calc'!$E$12=1,0,MAX(Calc!$G$320*(1+IF(Calc!$A$321&lt;='财富模型'!$E$11*12,'财富模型'!$E$10,'财富模型'!$E$12)/12)-IF('Calc'!$E$12=1,0,IF(Calc!$A$321&lt;='财富模型'!$E$11*12,'Calc'!$W$12,'Calc'!$Y$12)),0)))</x:f>
      </x:c>
      <x:c r="I321" t="n">
        <x:v>300</x:v>
      </x:c>
      <x:c r="J321" t="str">
        <x:f>IF(Calc!$I$321&gt;'Calc'!$B$8,"",MAX(Calc!$J$320*(1+'财富模型'!$E$6/12)+('Calc'!$B$5-'财富模型'!$E$5-(IF('Calc'!$E$13=1,'财富模型'!$E$9,'财富模型'!$M$5+IF(Calc!$I$321&lt;='财富模型'!$E$11*12,'Calc'!$W$13,'Calc'!$Y$13)-(IF('Calc'!$E$13=1,0,MIN(Calc!$K$320*(1+'财富模型'!$E$20/12)+'Calc'!$B$6,IF(Calc!$I$321&lt;='财富模型'!$E$11*12,'Calc'!$W$13,'Calc'!$Y$13))))))),0))</x:f>
      </x:c>
      <x:c r="K321" t="str">
        <x:f>IF(Calc!$I$321&gt;'Calc'!$B$8,"",MAX(Calc!$K$320*(1+'财富模型'!$E$20/12)+'Calc'!$B$6-(IF('Calc'!$E$13=1,0,MIN(Calc!$K$320*(1+'财富模型'!$E$20/12)+'Calc'!$B$6,IF(Calc!$I$321&lt;='财富模型'!$E$11*12,'Calc'!$W$13,'Calc'!$Y$13)))),0))</x:f>
      </x:c>
      <x:c r="L321" t="str">
        <x:f>IF(Calc!$I$321&gt;'Calc'!$B$8,"",IF('Calc'!$E$13=1,'财富模型'!$E$9,'财富模型'!$M$5+IF(Calc!$I$321&lt;='财富模型'!$E$11*12,'Calc'!$W$13,'Calc'!$Y$13)-(IF('Calc'!$E$13=1,0,MIN(Calc!$K$320*(1+'财富模型'!$E$20/12)+'Calc'!$B$6,IF(Calc!$I$321&lt;='财富模型'!$E$11*12,'Calc'!$W$13,'Calc'!$Y$13))))))</x:f>
      </x:c>
      <x:c r="M321" t="str">
        <x:f>IF(Calc!$I$321&gt;'Calc'!$B$8,"",IF('Calc'!$E$13=1,0,MIN(Calc!$K$320*(1+'财富模型'!$E$20/12)+'Calc'!$B$6,IF(Calc!$I$321&lt;='财富模型'!$E$11*12,'Calc'!$W$13,'Calc'!$Y$13))))</x:f>
      </x:c>
      <x:c r="N321" t="str">
        <x:f>IF(Calc!$I$321&gt;'Calc'!$B$8,"",'Calc'!$B$5-'财富模型'!$E$5-(IF('Calc'!$E$13=1,'财富模型'!$E$9,'财富模型'!$M$5+IF(Calc!$I$321&lt;='财富模型'!$E$11*12,'Calc'!$W$13,'Calc'!$Y$13)-(IF('Calc'!$E$13=1,0,MIN(Calc!$K$320*(1+'财富模型'!$E$20/12)+'Calc'!$B$6,IF(Calc!$I$321&lt;='财富模型'!$E$11*12,'Calc'!$W$13,'Calc'!$Y$13)))))))</x:f>
      </x:c>
      <x:c r="O321" t="str">
        <x:f>IF(Calc!$I$321&gt;'Calc'!$B$8,"",IF('Calc'!$E$13=1,0,MAX(Calc!$O$320*(1+IF(Calc!$I$321&lt;='财富模型'!$E$11*12,'财富模型'!$E$10,'财富模型'!$E$12)/12)-IF('Calc'!$E$13=1,0,IF(Calc!$I$321&lt;='财富模型'!$E$11*12,'Calc'!$W$13,'Calc'!$Y$13)),0)))</x:f>
      </x:c>
      <x:c r="Q321" t="n">
        <x:v>300</x:v>
      </x:c>
      <x:c r="R321" t="str">
        <x:f>IF(Calc!$Q$321&gt;'Calc'!$B$8,"",MAX(Calc!$R$320*(1+'财富模型'!$E$6/12)+('Calc'!$B$5-'财富模型'!$E$5-(IF('Calc'!$E$14=1,'财富模型'!$E$9,'财富模型'!$M$6+IF(Calc!$Q$321&lt;='财富模型'!$E$11*12,'Calc'!$W$14,'Calc'!$Y$14)-(IF('Calc'!$E$14=1,0,MIN(Calc!$S$320*(1+'财富模型'!$E$20/12)+'Calc'!$B$6,IF(Calc!$Q$321&lt;='财富模型'!$E$11*12,'Calc'!$W$14,'Calc'!$Y$14))))))),0))</x:f>
      </x:c>
      <x:c r="S321" t="str">
        <x:f>IF(Calc!$Q$321&gt;'Calc'!$B$8,"",MAX(Calc!$S$320*(1+'财富模型'!$E$20/12)+'Calc'!$B$6-(IF('Calc'!$E$14=1,0,MIN(Calc!$S$320*(1+'财富模型'!$E$20/12)+'Calc'!$B$6,IF(Calc!$Q$321&lt;='财富模型'!$E$11*12,'Calc'!$W$14,'Calc'!$Y$14)))),0))</x:f>
      </x:c>
      <x:c r="T321" t="str">
        <x:f>IF(Calc!$Q$321&gt;'Calc'!$B$8,"",IF('Calc'!$E$14=1,'财富模型'!$E$9,'财富模型'!$M$6+IF(Calc!$Q$321&lt;='财富模型'!$E$11*12,'Calc'!$W$14,'Calc'!$Y$14)-(IF('Calc'!$E$14=1,0,MIN(Calc!$S$320*(1+'财富模型'!$E$20/12)+'Calc'!$B$6,IF(Calc!$Q$321&lt;='财富模型'!$E$11*12,'Calc'!$W$14,'Calc'!$Y$14))))))</x:f>
      </x:c>
      <x:c r="U321" t="str">
        <x:f>IF(Calc!$Q$321&gt;'Calc'!$B$8,"",IF('Calc'!$E$14=1,0,MIN(Calc!$S$320*(1+'财富模型'!$E$20/12)+'Calc'!$B$6,IF(Calc!$Q$321&lt;='财富模型'!$E$11*12,'Calc'!$W$14,'Calc'!$Y$14))))</x:f>
      </x:c>
      <x:c r="V321" t="str">
        <x:f>IF(Calc!$Q$321&gt;'Calc'!$B$8,"",'Calc'!$B$5-'财富模型'!$E$5-(IF('Calc'!$E$14=1,'财富模型'!$E$9,'财富模型'!$M$6+IF(Calc!$Q$321&lt;='财富模型'!$E$11*12,'Calc'!$W$14,'Calc'!$Y$14)-(IF('Calc'!$E$14=1,0,MIN(Calc!$S$320*(1+'财富模型'!$E$20/12)+'Calc'!$B$6,IF(Calc!$Q$321&lt;='财富模型'!$E$11*12,'Calc'!$W$14,'Calc'!$Y$14)))))))</x:f>
      </x:c>
      <x:c r="W321" t="str">
        <x:f>IF(Calc!$Q$321&gt;'Calc'!$B$8,"",IF('Calc'!$E$14=1,0,MAX(Calc!$W$320*(1+IF(Calc!$Q$321&lt;='财富模型'!$E$11*12,'财富模型'!$E$10,'财富模型'!$E$12)/12)-IF('Calc'!$E$14=1,0,IF(Calc!$Q$321&lt;='财富模型'!$E$11*12,'Calc'!$W$14,'Calc'!$Y$14)),0)))</x:f>
      </x:c>
      <x:c r="Y321" t="n">
        <x:v>300</x:v>
      </x:c>
      <x:c r="Z321" t="str">
        <x:f>IF(Calc!$Y$321&gt;'Calc'!$B$8,"",MAX(Calc!$Z$320*(1+'财富模型'!$E$6/12)+('Calc'!$B$5-'财富模型'!$E$5-(IF('Calc'!$E$15=1,'财富模型'!$E$9,'财富模型'!$M$7+IF(Calc!$Y$321&lt;='财富模型'!$E$11*12,'Calc'!$W$15,'Calc'!$Y$15)-(IF('Calc'!$E$15=1,0,MIN(Calc!$AA$320*(1+'财富模型'!$E$20/12)+'Calc'!$B$6,IF(Calc!$Y$321&lt;='财富模型'!$E$11*12,'Calc'!$W$15,'Calc'!$Y$15))))))),0))</x:f>
      </x:c>
      <x:c r="AA321" t="str">
        <x:f>IF(Calc!$Y$321&gt;'Calc'!$B$8,"",MAX(Calc!$AA$320*(1+'财富模型'!$E$20/12)+'Calc'!$B$6-(IF('Calc'!$E$15=1,0,MIN(Calc!$AA$320*(1+'财富模型'!$E$20/12)+'Calc'!$B$6,IF(Calc!$Y$321&lt;='财富模型'!$E$11*12,'Calc'!$W$15,'Calc'!$Y$15)))),0))</x:f>
      </x:c>
      <x:c r="AB321" t="str">
        <x:f>IF(Calc!$Y$321&gt;'Calc'!$B$8,"",IF('Calc'!$E$15=1,'财富模型'!$E$9,'财富模型'!$M$7+IF(Calc!$Y$321&lt;='财富模型'!$E$11*12,'Calc'!$W$15,'Calc'!$Y$15)-(IF('Calc'!$E$15=1,0,MIN(Calc!$AA$320*(1+'财富模型'!$E$20/12)+'Calc'!$B$6,IF(Calc!$Y$321&lt;='财富模型'!$E$11*12,'Calc'!$W$15,'Calc'!$Y$15))))))</x:f>
      </x:c>
      <x:c r="AC321" t="str">
        <x:f>IF(Calc!$Y$321&gt;'Calc'!$B$8,"",IF('Calc'!$E$15=1,0,MIN(Calc!$AA$320*(1+'财富模型'!$E$20/12)+'Calc'!$B$6,IF(Calc!$Y$321&lt;='财富模型'!$E$11*12,'Calc'!$W$15,'Calc'!$Y$15))))</x:f>
      </x:c>
      <x:c r="AD321" t="str">
        <x:f>IF(Calc!$Y$321&gt;'Calc'!$B$8,"",'Calc'!$B$5-'财富模型'!$E$5-(IF('Calc'!$E$15=1,'财富模型'!$E$9,'财富模型'!$M$7+IF(Calc!$Y$321&lt;='财富模型'!$E$11*12,'Calc'!$W$15,'Calc'!$Y$15)-(IF('Calc'!$E$15=1,0,MIN(Calc!$AA$320*(1+'财富模型'!$E$20/12)+'Calc'!$B$6,IF(Calc!$Y$321&lt;='财富模型'!$E$11*12,'Calc'!$W$15,'Calc'!$Y$15)))))))</x:f>
      </x:c>
      <x:c r="AE321" t="str">
        <x:f>IF(Calc!$Y$321&gt;'Calc'!$B$8,"",IF('Calc'!$E$15=1,0,MAX(Calc!$AE$320*(1+IF(Calc!$Y$321&lt;='财富模型'!$E$11*12,'财富模型'!$E$10,'财富模型'!$E$12)/12)-IF('Calc'!$E$15=1,0,IF(Calc!$Y$321&lt;='财富模型'!$E$11*12,'Calc'!$W$15,'Calc'!$Y$15)),0)))</x:f>
      </x:c>
      <x:c r="AG321" t="n">
        <x:v>300</x:v>
      </x:c>
      <x:c r="AH321" t="str">
        <x:f>IF(Calc!$AG$321&gt;'Calc'!$B$8,"",MAX(Calc!$AH$320*(1+'财富模型'!$E$6/12)+('Calc'!$B$5-'财富模型'!$E$5-(IF('Calc'!$E$16=1,'财富模型'!$E$9,'财富模型'!$M$8+IF(Calc!$AG$321&lt;='财富模型'!$E$11*12,'Calc'!$W$16,'Calc'!$Y$16)-(IF('Calc'!$E$16=1,0,MIN(Calc!$AI$320*(1+'财富模型'!$E$20/12)+'Calc'!$B$6,IF(Calc!$AG$321&lt;='财富模型'!$E$11*12,'Calc'!$W$16,'Calc'!$Y$16))))))),0))</x:f>
      </x:c>
      <x:c r="AI321" t="str">
        <x:f>IF(Calc!$AG$321&gt;'Calc'!$B$8,"",MAX(Calc!$AI$320*(1+'财富模型'!$E$20/12)+'Calc'!$B$6-(IF('Calc'!$E$16=1,0,MIN(Calc!$AI$320*(1+'财富模型'!$E$20/12)+'Calc'!$B$6,IF(Calc!$AG$321&lt;='财富模型'!$E$11*12,'Calc'!$W$16,'Calc'!$Y$16)))),0))</x:f>
      </x:c>
      <x:c r="AJ321" t="str">
        <x:f>IF(Calc!$AG$321&gt;'Calc'!$B$8,"",IF('Calc'!$E$16=1,'财富模型'!$E$9,'财富模型'!$M$8+IF(Calc!$AG$321&lt;='财富模型'!$E$11*12,'Calc'!$W$16,'Calc'!$Y$16)-(IF('Calc'!$E$16=1,0,MIN(Calc!$AI$320*(1+'财富模型'!$E$20/12)+'Calc'!$B$6,IF(Calc!$AG$321&lt;='财富模型'!$E$11*12,'Calc'!$W$16,'Calc'!$Y$16))))))</x:f>
      </x:c>
      <x:c r="AK321" t="str">
        <x:f>IF(Calc!$AG$321&gt;'Calc'!$B$8,"",IF('Calc'!$E$16=1,0,MIN(Calc!$AI$320*(1+'财富模型'!$E$20/12)+'Calc'!$B$6,IF(Calc!$AG$321&lt;='财富模型'!$E$11*12,'Calc'!$W$16,'Calc'!$Y$16))))</x:f>
      </x:c>
      <x:c r="AL321" t="str">
        <x:f>IF(Calc!$AG$321&gt;'Calc'!$B$8,"",'Calc'!$B$5-'财富模型'!$E$5-(IF('Calc'!$E$16=1,'财富模型'!$E$9,'财富模型'!$M$8+IF(Calc!$AG$321&lt;='财富模型'!$E$11*12,'Calc'!$W$16,'Calc'!$Y$16)-(IF('Calc'!$E$16=1,0,MIN(Calc!$AI$320*(1+'财富模型'!$E$20/12)+'Calc'!$B$6,IF(Calc!$AG$321&lt;='财富模型'!$E$11*12,'Calc'!$W$16,'Calc'!$Y$16)))))))</x:f>
      </x:c>
      <x:c r="AM321" t="str">
        <x:f>IF(Calc!$AG$321&gt;'Calc'!$B$8,"",IF('Calc'!$E$16=1,0,MAX(Calc!$AM$320*(1+IF(Calc!$AG$321&lt;='财富模型'!$E$11*12,'财富模型'!$E$10,'财富模型'!$E$12)/12)-IF('Calc'!$E$16=1,0,IF(Calc!$AG$321&lt;='财富模型'!$E$11*12,'Calc'!$W$16,'Calc'!$Y$16)),0)))</x:f>
      </x:c>
      <x:c r="AO321" t="n">
        <x:v>300</x:v>
      </x:c>
      <x:c r="AP321" t="str">
        <x:f>IF(Calc!$AO$321&gt;'Calc'!$B$8,"",MAX(Calc!$AP$320*(1+'财富模型'!$E$6/12)+('Calc'!$B$5-'财富模型'!$E$5-(IF('Calc'!$E$17=1,'财富模型'!$E$9,'财富模型'!$M$9+IF(Calc!$AO$321&lt;='财富模型'!$E$11*12,'Calc'!$W$17,'Calc'!$Y$17)-(IF('Calc'!$E$17=1,0,MIN(Calc!$AQ$320*(1+'财富模型'!$E$20/12)+'Calc'!$B$6,IF(Calc!$AO$321&lt;='财富模型'!$E$11*12,'Calc'!$W$17,'Calc'!$Y$17))))))),0))</x:f>
      </x:c>
      <x:c r="AQ321" t="str">
        <x:f>IF(Calc!$AO$321&gt;'Calc'!$B$8,"",MAX(Calc!$AQ$320*(1+'财富模型'!$E$20/12)+'Calc'!$B$6-(IF('Calc'!$E$17=1,0,MIN(Calc!$AQ$320*(1+'财富模型'!$E$20/12)+'Calc'!$B$6,IF(Calc!$AO$321&lt;='财富模型'!$E$11*12,'Calc'!$W$17,'Calc'!$Y$17)))),0))</x:f>
      </x:c>
      <x:c r="AR321" t="str">
        <x:f>IF(Calc!$AO$321&gt;'Calc'!$B$8,"",IF('Calc'!$E$17=1,'财富模型'!$E$9,'财富模型'!$M$9+IF(Calc!$AO$321&lt;='财富模型'!$E$11*12,'Calc'!$W$17,'Calc'!$Y$17)-(IF('Calc'!$E$17=1,0,MIN(Calc!$AQ$320*(1+'财富模型'!$E$20/12)+'Calc'!$B$6,IF(Calc!$AO$321&lt;='财富模型'!$E$11*12,'Calc'!$W$17,'Calc'!$Y$17))))))</x:f>
      </x:c>
      <x:c r="AS321" t="str">
        <x:f>IF(Calc!$AO$321&gt;'Calc'!$B$8,"",IF('Calc'!$E$17=1,0,MIN(Calc!$AQ$320*(1+'财富模型'!$E$20/12)+'Calc'!$B$6,IF(Calc!$AO$321&lt;='财富模型'!$E$11*12,'Calc'!$W$17,'Calc'!$Y$17))))</x:f>
      </x:c>
      <x:c r="AT321" t="str">
        <x:f>IF(Calc!$AO$321&gt;'Calc'!$B$8,"",'Calc'!$B$5-'财富模型'!$E$5-(IF('Calc'!$E$17=1,'财富模型'!$E$9,'财富模型'!$M$9+IF(Calc!$AO$321&lt;='财富模型'!$E$11*12,'Calc'!$W$17,'Calc'!$Y$17)-(IF('Calc'!$E$17=1,0,MIN(Calc!$AQ$320*(1+'财富模型'!$E$20/12)+'Calc'!$B$6,IF(Calc!$AO$321&lt;='财富模型'!$E$11*12,'Calc'!$W$17,'Calc'!$Y$17)))))))</x:f>
      </x:c>
      <x:c r="AU321" t="str">
        <x:f>IF(Calc!$AO$321&gt;'Calc'!$B$8,"",IF('Calc'!$E$17=1,0,MAX(Calc!$AU$320*(1+IF(Calc!$AO$321&lt;='财富模型'!$E$11*12,'财富模型'!$E$10,'财富模型'!$E$12)/12)-IF('Calc'!$E$17=1,0,IF(Calc!$AO$321&lt;='财富模型'!$E$11*12,'Calc'!$W$17,'Calc'!$Y$17)),0)))</x:f>
      </x:c>
    </x:row>
    <x:row r="322">
      <x:c r="A322" t="n">
        <x:v>301</x:v>
      </x:c>
      <x:c r="B322" t="str">
        <x:f>IF(Calc!$A$322&gt;'Calc'!$B$8,"",MAX(Calc!$B$321*(1+'财富模型'!$E$6/12)+('Calc'!$B$5-'财富模型'!$E$5-(IF('Calc'!$E$12=1,'财富模型'!$E$9,'财富模型'!$M$4+IF(Calc!$A$322&lt;='财富模型'!$E$11*12,'Calc'!$W$12,'Calc'!$Y$12)-(IF('Calc'!$E$12=1,0,MIN(Calc!$C$321*(1+'财富模型'!$E$20/12)+'Calc'!$B$6,IF(Calc!$A$322&lt;='财富模型'!$E$11*12,'Calc'!$W$12,'Calc'!$Y$12))))))),0))</x:f>
      </x:c>
      <x:c r="C322" t="str">
        <x:f>IF(Calc!$A$322&gt;'Calc'!$B$8,"",MAX(Calc!$C$321*(1+'财富模型'!$E$20/12)+'Calc'!$B$6-(IF('Calc'!$E$12=1,0,MIN(Calc!$C$321*(1+'财富模型'!$E$20/12)+'Calc'!$B$6,IF(Calc!$A$322&lt;='财富模型'!$E$11*12,'Calc'!$W$12,'Calc'!$Y$12)))),0))</x:f>
      </x:c>
      <x:c r="D322" t="str">
        <x:f>IF(Calc!$A$322&gt;'Calc'!$B$8,"",IF('Calc'!$E$12=1,'财富模型'!$E$9,'财富模型'!$M$4+IF(Calc!$A$322&lt;='财富模型'!$E$11*12,'Calc'!$W$12,'Calc'!$Y$12)-(IF('Calc'!$E$12=1,0,MIN(Calc!$C$321*(1+'财富模型'!$E$20/12)+'Calc'!$B$6,IF(Calc!$A$322&lt;='财富模型'!$E$11*12,'Calc'!$W$12,'Calc'!$Y$12))))))</x:f>
      </x:c>
      <x:c r="E322" t="str">
        <x:f>IF(Calc!$A$322&gt;'Calc'!$B$8,"",IF('Calc'!$E$12=1,0,MIN(Calc!$C$321*(1+'财富模型'!$E$20/12)+'Calc'!$B$6,IF(Calc!$A$322&lt;='财富模型'!$E$11*12,'Calc'!$W$12,'Calc'!$Y$12))))</x:f>
      </x:c>
      <x:c r="F322" t="str">
        <x:f>IF(Calc!$A$322&gt;'Calc'!$B$8,"",'Calc'!$B$5-'财富模型'!$E$5-(IF('Calc'!$E$12=1,'财富模型'!$E$9,'财富模型'!$M$4+IF(Calc!$A$322&lt;='财富模型'!$E$11*12,'Calc'!$W$12,'Calc'!$Y$12)-(IF('Calc'!$E$12=1,0,MIN(Calc!$C$321*(1+'财富模型'!$E$20/12)+'Calc'!$B$6,IF(Calc!$A$322&lt;='财富模型'!$E$11*12,'Calc'!$W$12,'Calc'!$Y$12)))))))</x:f>
      </x:c>
      <x:c r="G322" t="str">
        <x:f>IF(Calc!$A$322&gt;'Calc'!$B$8,"",IF('Calc'!$E$12=1,0,MAX(Calc!$G$321*(1+IF(Calc!$A$322&lt;='财富模型'!$E$11*12,'财富模型'!$E$10,'财富模型'!$E$12)/12)-IF('Calc'!$E$12=1,0,IF(Calc!$A$322&lt;='财富模型'!$E$11*12,'Calc'!$W$12,'Calc'!$Y$12)),0)))</x:f>
      </x:c>
      <x:c r="I322" t="n">
        <x:v>301</x:v>
      </x:c>
      <x:c r="J322" t="str">
        <x:f>IF(Calc!$I$322&gt;'Calc'!$B$8,"",MAX(Calc!$J$321*(1+'财富模型'!$E$6/12)+('Calc'!$B$5-'财富模型'!$E$5-(IF('Calc'!$E$13=1,'财富模型'!$E$9,'财富模型'!$M$5+IF(Calc!$I$322&lt;='财富模型'!$E$11*12,'Calc'!$W$13,'Calc'!$Y$13)-(IF('Calc'!$E$13=1,0,MIN(Calc!$K$321*(1+'财富模型'!$E$20/12)+'Calc'!$B$6,IF(Calc!$I$322&lt;='财富模型'!$E$11*12,'Calc'!$W$13,'Calc'!$Y$13))))))),0))</x:f>
      </x:c>
      <x:c r="K322" t="str">
        <x:f>IF(Calc!$I$322&gt;'Calc'!$B$8,"",MAX(Calc!$K$321*(1+'财富模型'!$E$20/12)+'Calc'!$B$6-(IF('Calc'!$E$13=1,0,MIN(Calc!$K$321*(1+'财富模型'!$E$20/12)+'Calc'!$B$6,IF(Calc!$I$322&lt;='财富模型'!$E$11*12,'Calc'!$W$13,'Calc'!$Y$13)))),0))</x:f>
      </x:c>
      <x:c r="L322" t="str">
        <x:f>IF(Calc!$I$322&gt;'Calc'!$B$8,"",IF('Calc'!$E$13=1,'财富模型'!$E$9,'财富模型'!$M$5+IF(Calc!$I$322&lt;='财富模型'!$E$11*12,'Calc'!$W$13,'Calc'!$Y$13)-(IF('Calc'!$E$13=1,0,MIN(Calc!$K$321*(1+'财富模型'!$E$20/12)+'Calc'!$B$6,IF(Calc!$I$322&lt;='财富模型'!$E$11*12,'Calc'!$W$13,'Calc'!$Y$13))))))</x:f>
      </x:c>
      <x:c r="M322" t="str">
        <x:f>IF(Calc!$I$322&gt;'Calc'!$B$8,"",IF('Calc'!$E$13=1,0,MIN(Calc!$K$321*(1+'财富模型'!$E$20/12)+'Calc'!$B$6,IF(Calc!$I$322&lt;='财富模型'!$E$11*12,'Calc'!$W$13,'Calc'!$Y$13))))</x:f>
      </x:c>
      <x:c r="N322" t="str">
        <x:f>IF(Calc!$I$322&gt;'Calc'!$B$8,"",'Calc'!$B$5-'财富模型'!$E$5-(IF('Calc'!$E$13=1,'财富模型'!$E$9,'财富模型'!$M$5+IF(Calc!$I$322&lt;='财富模型'!$E$11*12,'Calc'!$W$13,'Calc'!$Y$13)-(IF('Calc'!$E$13=1,0,MIN(Calc!$K$321*(1+'财富模型'!$E$20/12)+'Calc'!$B$6,IF(Calc!$I$322&lt;='财富模型'!$E$11*12,'Calc'!$W$13,'Calc'!$Y$13)))))))</x:f>
      </x:c>
      <x:c r="O322" t="str">
        <x:f>IF(Calc!$I$322&gt;'Calc'!$B$8,"",IF('Calc'!$E$13=1,0,MAX(Calc!$O$321*(1+IF(Calc!$I$322&lt;='财富模型'!$E$11*12,'财富模型'!$E$10,'财富模型'!$E$12)/12)-IF('Calc'!$E$13=1,0,IF(Calc!$I$322&lt;='财富模型'!$E$11*12,'Calc'!$W$13,'Calc'!$Y$13)),0)))</x:f>
      </x:c>
      <x:c r="Q322" t="n">
        <x:v>301</x:v>
      </x:c>
      <x:c r="R322" t="str">
        <x:f>IF(Calc!$Q$322&gt;'Calc'!$B$8,"",MAX(Calc!$R$321*(1+'财富模型'!$E$6/12)+('Calc'!$B$5-'财富模型'!$E$5-(IF('Calc'!$E$14=1,'财富模型'!$E$9,'财富模型'!$M$6+IF(Calc!$Q$322&lt;='财富模型'!$E$11*12,'Calc'!$W$14,'Calc'!$Y$14)-(IF('Calc'!$E$14=1,0,MIN(Calc!$S$321*(1+'财富模型'!$E$20/12)+'Calc'!$B$6,IF(Calc!$Q$322&lt;='财富模型'!$E$11*12,'Calc'!$W$14,'Calc'!$Y$14))))))),0))</x:f>
      </x:c>
      <x:c r="S322" t="str">
        <x:f>IF(Calc!$Q$322&gt;'Calc'!$B$8,"",MAX(Calc!$S$321*(1+'财富模型'!$E$20/12)+'Calc'!$B$6-(IF('Calc'!$E$14=1,0,MIN(Calc!$S$321*(1+'财富模型'!$E$20/12)+'Calc'!$B$6,IF(Calc!$Q$322&lt;='财富模型'!$E$11*12,'Calc'!$W$14,'Calc'!$Y$14)))),0))</x:f>
      </x:c>
      <x:c r="T322" t="str">
        <x:f>IF(Calc!$Q$322&gt;'Calc'!$B$8,"",IF('Calc'!$E$14=1,'财富模型'!$E$9,'财富模型'!$M$6+IF(Calc!$Q$322&lt;='财富模型'!$E$11*12,'Calc'!$W$14,'Calc'!$Y$14)-(IF('Calc'!$E$14=1,0,MIN(Calc!$S$321*(1+'财富模型'!$E$20/12)+'Calc'!$B$6,IF(Calc!$Q$322&lt;='财富模型'!$E$11*12,'Calc'!$W$14,'Calc'!$Y$14))))))</x:f>
      </x:c>
      <x:c r="U322" t="str">
        <x:f>IF(Calc!$Q$322&gt;'Calc'!$B$8,"",IF('Calc'!$E$14=1,0,MIN(Calc!$S$321*(1+'财富模型'!$E$20/12)+'Calc'!$B$6,IF(Calc!$Q$322&lt;='财富模型'!$E$11*12,'Calc'!$W$14,'Calc'!$Y$14))))</x:f>
      </x:c>
      <x:c r="V322" t="str">
        <x:f>IF(Calc!$Q$322&gt;'Calc'!$B$8,"",'Calc'!$B$5-'财富模型'!$E$5-(IF('Calc'!$E$14=1,'财富模型'!$E$9,'财富模型'!$M$6+IF(Calc!$Q$322&lt;='财富模型'!$E$11*12,'Calc'!$W$14,'Calc'!$Y$14)-(IF('Calc'!$E$14=1,0,MIN(Calc!$S$321*(1+'财富模型'!$E$20/12)+'Calc'!$B$6,IF(Calc!$Q$322&lt;='财富模型'!$E$11*12,'Calc'!$W$14,'Calc'!$Y$14)))))))</x:f>
      </x:c>
      <x:c r="W322" t="str">
        <x:f>IF(Calc!$Q$322&gt;'Calc'!$B$8,"",IF('Calc'!$E$14=1,0,MAX(Calc!$W$321*(1+IF(Calc!$Q$322&lt;='财富模型'!$E$11*12,'财富模型'!$E$10,'财富模型'!$E$12)/12)-IF('Calc'!$E$14=1,0,IF(Calc!$Q$322&lt;='财富模型'!$E$11*12,'Calc'!$W$14,'Calc'!$Y$14)),0)))</x:f>
      </x:c>
      <x:c r="Y322" t="n">
        <x:v>301</x:v>
      </x:c>
      <x:c r="Z322" t="str">
        <x:f>IF(Calc!$Y$322&gt;'Calc'!$B$8,"",MAX(Calc!$Z$321*(1+'财富模型'!$E$6/12)+('Calc'!$B$5-'财富模型'!$E$5-(IF('Calc'!$E$15=1,'财富模型'!$E$9,'财富模型'!$M$7+IF(Calc!$Y$322&lt;='财富模型'!$E$11*12,'Calc'!$W$15,'Calc'!$Y$15)-(IF('Calc'!$E$15=1,0,MIN(Calc!$AA$321*(1+'财富模型'!$E$20/12)+'Calc'!$B$6,IF(Calc!$Y$322&lt;='财富模型'!$E$11*12,'Calc'!$W$15,'Calc'!$Y$15))))))),0))</x:f>
      </x:c>
      <x:c r="AA322" t="str">
        <x:f>IF(Calc!$Y$322&gt;'Calc'!$B$8,"",MAX(Calc!$AA$321*(1+'财富模型'!$E$20/12)+'Calc'!$B$6-(IF('Calc'!$E$15=1,0,MIN(Calc!$AA$321*(1+'财富模型'!$E$20/12)+'Calc'!$B$6,IF(Calc!$Y$322&lt;='财富模型'!$E$11*12,'Calc'!$W$15,'Calc'!$Y$15)))),0))</x:f>
      </x:c>
      <x:c r="AB322" t="str">
        <x:f>IF(Calc!$Y$322&gt;'Calc'!$B$8,"",IF('Calc'!$E$15=1,'财富模型'!$E$9,'财富模型'!$M$7+IF(Calc!$Y$322&lt;='财富模型'!$E$11*12,'Calc'!$W$15,'Calc'!$Y$15)-(IF('Calc'!$E$15=1,0,MIN(Calc!$AA$321*(1+'财富模型'!$E$20/12)+'Calc'!$B$6,IF(Calc!$Y$322&lt;='财富模型'!$E$11*12,'Calc'!$W$15,'Calc'!$Y$15))))))</x:f>
      </x:c>
      <x:c r="AC322" t="str">
        <x:f>IF(Calc!$Y$322&gt;'Calc'!$B$8,"",IF('Calc'!$E$15=1,0,MIN(Calc!$AA$321*(1+'财富模型'!$E$20/12)+'Calc'!$B$6,IF(Calc!$Y$322&lt;='财富模型'!$E$11*12,'Calc'!$W$15,'Calc'!$Y$15))))</x:f>
      </x:c>
      <x:c r="AD322" t="str">
        <x:f>IF(Calc!$Y$322&gt;'Calc'!$B$8,"",'Calc'!$B$5-'财富模型'!$E$5-(IF('Calc'!$E$15=1,'财富模型'!$E$9,'财富模型'!$M$7+IF(Calc!$Y$322&lt;='财富模型'!$E$11*12,'Calc'!$W$15,'Calc'!$Y$15)-(IF('Calc'!$E$15=1,0,MIN(Calc!$AA$321*(1+'财富模型'!$E$20/12)+'Calc'!$B$6,IF(Calc!$Y$322&lt;='财富模型'!$E$11*12,'Calc'!$W$15,'Calc'!$Y$15)))))))</x:f>
      </x:c>
      <x:c r="AE322" t="str">
        <x:f>IF(Calc!$Y$322&gt;'Calc'!$B$8,"",IF('Calc'!$E$15=1,0,MAX(Calc!$AE$321*(1+IF(Calc!$Y$322&lt;='财富模型'!$E$11*12,'财富模型'!$E$10,'财富模型'!$E$12)/12)-IF('Calc'!$E$15=1,0,IF(Calc!$Y$322&lt;='财富模型'!$E$11*12,'Calc'!$W$15,'Calc'!$Y$15)),0)))</x:f>
      </x:c>
      <x:c r="AG322" t="n">
        <x:v>301</x:v>
      </x:c>
      <x:c r="AH322" t="str">
        <x:f>IF(Calc!$AG$322&gt;'Calc'!$B$8,"",MAX(Calc!$AH$321*(1+'财富模型'!$E$6/12)+('Calc'!$B$5-'财富模型'!$E$5-(IF('Calc'!$E$16=1,'财富模型'!$E$9,'财富模型'!$M$8+IF(Calc!$AG$322&lt;='财富模型'!$E$11*12,'Calc'!$W$16,'Calc'!$Y$16)-(IF('Calc'!$E$16=1,0,MIN(Calc!$AI$321*(1+'财富模型'!$E$20/12)+'Calc'!$B$6,IF(Calc!$AG$322&lt;='财富模型'!$E$11*12,'Calc'!$W$16,'Calc'!$Y$16))))))),0))</x:f>
      </x:c>
      <x:c r="AI322" t="str">
        <x:f>IF(Calc!$AG$322&gt;'Calc'!$B$8,"",MAX(Calc!$AI$321*(1+'财富模型'!$E$20/12)+'Calc'!$B$6-(IF('Calc'!$E$16=1,0,MIN(Calc!$AI$321*(1+'财富模型'!$E$20/12)+'Calc'!$B$6,IF(Calc!$AG$322&lt;='财富模型'!$E$11*12,'Calc'!$W$16,'Calc'!$Y$16)))),0))</x:f>
      </x:c>
      <x:c r="AJ322" t="str">
        <x:f>IF(Calc!$AG$322&gt;'Calc'!$B$8,"",IF('Calc'!$E$16=1,'财富模型'!$E$9,'财富模型'!$M$8+IF(Calc!$AG$322&lt;='财富模型'!$E$11*12,'Calc'!$W$16,'Calc'!$Y$16)-(IF('Calc'!$E$16=1,0,MIN(Calc!$AI$321*(1+'财富模型'!$E$20/12)+'Calc'!$B$6,IF(Calc!$AG$322&lt;='财富模型'!$E$11*12,'Calc'!$W$16,'Calc'!$Y$16))))))</x:f>
      </x:c>
      <x:c r="AK322" t="str">
        <x:f>IF(Calc!$AG$322&gt;'Calc'!$B$8,"",IF('Calc'!$E$16=1,0,MIN(Calc!$AI$321*(1+'财富模型'!$E$20/12)+'Calc'!$B$6,IF(Calc!$AG$322&lt;='财富模型'!$E$11*12,'Calc'!$W$16,'Calc'!$Y$16))))</x:f>
      </x:c>
      <x:c r="AL322" t="str">
        <x:f>IF(Calc!$AG$322&gt;'Calc'!$B$8,"",'Calc'!$B$5-'财富模型'!$E$5-(IF('Calc'!$E$16=1,'财富模型'!$E$9,'财富模型'!$M$8+IF(Calc!$AG$322&lt;='财富模型'!$E$11*12,'Calc'!$W$16,'Calc'!$Y$16)-(IF('Calc'!$E$16=1,0,MIN(Calc!$AI$321*(1+'财富模型'!$E$20/12)+'Calc'!$B$6,IF(Calc!$AG$322&lt;='财富模型'!$E$11*12,'Calc'!$W$16,'Calc'!$Y$16)))))))</x:f>
      </x:c>
      <x:c r="AM322" t="str">
        <x:f>IF(Calc!$AG$322&gt;'Calc'!$B$8,"",IF('Calc'!$E$16=1,0,MAX(Calc!$AM$321*(1+IF(Calc!$AG$322&lt;='财富模型'!$E$11*12,'财富模型'!$E$10,'财富模型'!$E$12)/12)-IF('Calc'!$E$16=1,0,IF(Calc!$AG$322&lt;='财富模型'!$E$11*12,'Calc'!$W$16,'Calc'!$Y$16)),0)))</x:f>
      </x:c>
      <x:c r="AO322" t="n">
        <x:v>301</x:v>
      </x:c>
      <x:c r="AP322" t="str">
        <x:f>IF(Calc!$AO$322&gt;'Calc'!$B$8,"",MAX(Calc!$AP$321*(1+'财富模型'!$E$6/12)+('Calc'!$B$5-'财富模型'!$E$5-(IF('Calc'!$E$17=1,'财富模型'!$E$9,'财富模型'!$M$9+IF(Calc!$AO$322&lt;='财富模型'!$E$11*12,'Calc'!$W$17,'Calc'!$Y$17)-(IF('Calc'!$E$17=1,0,MIN(Calc!$AQ$321*(1+'财富模型'!$E$20/12)+'Calc'!$B$6,IF(Calc!$AO$322&lt;='财富模型'!$E$11*12,'Calc'!$W$17,'Calc'!$Y$17))))))),0))</x:f>
      </x:c>
      <x:c r="AQ322" t="str">
        <x:f>IF(Calc!$AO$322&gt;'Calc'!$B$8,"",MAX(Calc!$AQ$321*(1+'财富模型'!$E$20/12)+'Calc'!$B$6-(IF('Calc'!$E$17=1,0,MIN(Calc!$AQ$321*(1+'财富模型'!$E$20/12)+'Calc'!$B$6,IF(Calc!$AO$322&lt;='财富模型'!$E$11*12,'Calc'!$W$17,'Calc'!$Y$17)))),0))</x:f>
      </x:c>
      <x:c r="AR322" t="str">
        <x:f>IF(Calc!$AO$322&gt;'Calc'!$B$8,"",IF('Calc'!$E$17=1,'财富模型'!$E$9,'财富模型'!$M$9+IF(Calc!$AO$322&lt;='财富模型'!$E$11*12,'Calc'!$W$17,'Calc'!$Y$17)-(IF('Calc'!$E$17=1,0,MIN(Calc!$AQ$321*(1+'财富模型'!$E$20/12)+'Calc'!$B$6,IF(Calc!$AO$322&lt;='财富模型'!$E$11*12,'Calc'!$W$17,'Calc'!$Y$17))))))</x:f>
      </x:c>
      <x:c r="AS322" t="str">
        <x:f>IF(Calc!$AO$322&gt;'Calc'!$B$8,"",IF('Calc'!$E$17=1,0,MIN(Calc!$AQ$321*(1+'财富模型'!$E$20/12)+'Calc'!$B$6,IF(Calc!$AO$322&lt;='财富模型'!$E$11*12,'Calc'!$W$17,'Calc'!$Y$17))))</x:f>
      </x:c>
      <x:c r="AT322" t="str">
        <x:f>IF(Calc!$AO$322&gt;'Calc'!$B$8,"",'Calc'!$B$5-'财富模型'!$E$5-(IF('Calc'!$E$17=1,'财富模型'!$E$9,'财富模型'!$M$9+IF(Calc!$AO$322&lt;='财富模型'!$E$11*12,'Calc'!$W$17,'Calc'!$Y$17)-(IF('Calc'!$E$17=1,0,MIN(Calc!$AQ$321*(1+'财富模型'!$E$20/12)+'Calc'!$B$6,IF(Calc!$AO$322&lt;='财富模型'!$E$11*12,'Calc'!$W$17,'Calc'!$Y$17)))))))</x:f>
      </x:c>
      <x:c r="AU322" t="str">
        <x:f>IF(Calc!$AO$322&gt;'Calc'!$B$8,"",IF('Calc'!$E$17=1,0,MAX(Calc!$AU$321*(1+IF(Calc!$AO$322&lt;='财富模型'!$E$11*12,'财富模型'!$E$10,'财富模型'!$E$12)/12)-IF('Calc'!$E$17=1,0,IF(Calc!$AO$322&lt;='财富模型'!$E$11*12,'Calc'!$W$17,'Calc'!$Y$17)),0)))</x:f>
      </x:c>
    </x:row>
    <x:row r="323">
      <x:c r="A323" t="n">
        <x:v>302</x:v>
      </x:c>
      <x:c r="B323" t="str">
        <x:f>IF(Calc!$A$323&gt;'Calc'!$B$8,"",MAX(Calc!$B$322*(1+'财富模型'!$E$6/12)+('Calc'!$B$5-'财富模型'!$E$5-(IF('Calc'!$E$12=1,'财富模型'!$E$9,'财富模型'!$M$4+IF(Calc!$A$323&lt;='财富模型'!$E$11*12,'Calc'!$W$12,'Calc'!$Y$12)-(IF('Calc'!$E$12=1,0,MIN(Calc!$C$322*(1+'财富模型'!$E$20/12)+'Calc'!$B$6,IF(Calc!$A$323&lt;='财富模型'!$E$11*12,'Calc'!$W$12,'Calc'!$Y$12))))))),0))</x:f>
      </x:c>
      <x:c r="C323" t="str">
        <x:f>IF(Calc!$A$323&gt;'Calc'!$B$8,"",MAX(Calc!$C$322*(1+'财富模型'!$E$20/12)+'Calc'!$B$6-(IF('Calc'!$E$12=1,0,MIN(Calc!$C$322*(1+'财富模型'!$E$20/12)+'Calc'!$B$6,IF(Calc!$A$323&lt;='财富模型'!$E$11*12,'Calc'!$W$12,'Calc'!$Y$12)))),0))</x:f>
      </x:c>
      <x:c r="D323" t="str">
        <x:f>IF(Calc!$A$323&gt;'Calc'!$B$8,"",IF('Calc'!$E$12=1,'财富模型'!$E$9,'财富模型'!$M$4+IF(Calc!$A$323&lt;='财富模型'!$E$11*12,'Calc'!$W$12,'Calc'!$Y$12)-(IF('Calc'!$E$12=1,0,MIN(Calc!$C$322*(1+'财富模型'!$E$20/12)+'Calc'!$B$6,IF(Calc!$A$323&lt;='财富模型'!$E$11*12,'Calc'!$W$12,'Calc'!$Y$12))))))</x:f>
      </x:c>
      <x:c r="E323" t="str">
        <x:f>IF(Calc!$A$323&gt;'Calc'!$B$8,"",IF('Calc'!$E$12=1,0,MIN(Calc!$C$322*(1+'财富模型'!$E$20/12)+'Calc'!$B$6,IF(Calc!$A$323&lt;='财富模型'!$E$11*12,'Calc'!$W$12,'Calc'!$Y$12))))</x:f>
      </x:c>
      <x:c r="F323" t="str">
        <x:f>IF(Calc!$A$323&gt;'Calc'!$B$8,"",'Calc'!$B$5-'财富模型'!$E$5-(IF('Calc'!$E$12=1,'财富模型'!$E$9,'财富模型'!$M$4+IF(Calc!$A$323&lt;='财富模型'!$E$11*12,'Calc'!$W$12,'Calc'!$Y$12)-(IF('Calc'!$E$12=1,0,MIN(Calc!$C$322*(1+'财富模型'!$E$20/12)+'Calc'!$B$6,IF(Calc!$A$323&lt;='财富模型'!$E$11*12,'Calc'!$W$12,'Calc'!$Y$12)))))))</x:f>
      </x:c>
      <x:c r="G323" t="str">
        <x:f>IF(Calc!$A$323&gt;'Calc'!$B$8,"",IF('Calc'!$E$12=1,0,MAX(Calc!$G$322*(1+IF(Calc!$A$323&lt;='财富模型'!$E$11*12,'财富模型'!$E$10,'财富模型'!$E$12)/12)-IF('Calc'!$E$12=1,0,IF(Calc!$A$323&lt;='财富模型'!$E$11*12,'Calc'!$W$12,'Calc'!$Y$12)),0)))</x:f>
      </x:c>
      <x:c r="I323" t="n">
        <x:v>302</x:v>
      </x:c>
      <x:c r="J323" t="str">
        <x:f>IF(Calc!$I$323&gt;'Calc'!$B$8,"",MAX(Calc!$J$322*(1+'财富模型'!$E$6/12)+('Calc'!$B$5-'财富模型'!$E$5-(IF('Calc'!$E$13=1,'财富模型'!$E$9,'财富模型'!$M$5+IF(Calc!$I$323&lt;='财富模型'!$E$11*12,'Calc'!$W$13,'Calc'!$Y$13)-(IF('Calc'!$E$13=1,0,MIN(Calc!$K$322*(1+'财富模型'!$E$20/12)+'Calc'!$B$6,IF(Calc!$I$323&lt;='财富模型'!$E$11*12,'Calc'!$W$13,'Calc'!$Y$13))))))),0))</x:f>
      </x:c>
      <x:c r="K323" t="str">
        <x:f>IF(Calc!$I$323&gt;'Calc'!$B$8,"",MAX(Calc!$K$322*(1+'财富模型'!$E$20/12)+'Calc'!$B$6-(IF('Calc'!$E$13=1,0,MIN(Calc!$K$322*(1+'财富模型'!$E$20/12)+'Calc'!$B$6,IF(Calc!$I$323&lt;='财富模型'!$E$11*12,'Calc'!$W$13,'Calc'!$Y$13)))),0))</x:f>
      </x:c>
      <x:c r="L323" t="str">
        <x:f>IF(Calc!$I$323&gt;'Calc'!$B$8,"",IF('Calc'!$E$13=1,'财富模型'!$E$9,'财富模型'!$M$5+IF(Calc!$I$323&lt;='财富模型'!$E$11*12,'Calc'!$W$13,'Calc'!$Y$13)-(IF('Calc'!$E$13=1,0,MIN(Calc!$K$322*(1+'财富模型'!$E$20/12)+'Calc'!$B$6,IF(Calc!$I$323&lt;='财富模型'!$E$11*12,'Calc'!$W$13,'Calc'!$Y$13))))))</x:f>
      </x:c>
      <x:c r="M323" t="str">
        <x:f>IF(Calc!$I$323&gt;'Calc'!$B$8,"",IF('Calc'!$E$13=1,0,MIN(Calc!$K$322*(1+'财富模型'!$E$20/12)+'Calc'!$B$6,IF(Calc!$I$323&lt;='财富模型'!$E$11*12,'Calc'!$W$13,'Calc'!$Y$13))))</x:f>
      </x:c>
      <x:c r="N323" t="str">
        <x:f>IF(Calc!$I$323&gt;'Calc'!$B$8,"",'Calc'!$B$5-'财富模型'!$E$5-(IF('Calc'!$E$13=1,'财富模型'!$E$9,'财富模型'!$M$5+IF(Calc!$I$323&lt;='财富模型'!$E$11*12,'Calc'!$W$13,'Calc'!$Y$13)-(IF('Calc'!$E$13=1,0,MIN(Calc!$K$322*(1+'财富模型'!$E$20/12)+'Calc'!$B$6,IF(Calc!$I$323&lt;='财富模型'!$E$11*12,'Calc'!$W$13,'Calc'!$Y$13)))))))</x:f>
      </x:c>
      <x:c r="O323" t="str">
        <x:f>IF(Calc!$I$323&gt;'Calc'!$B$8,"",IF('Calc'!$E$13=1,0,MAX(Calc!$O$322*(1+IF(Calc!$I$323&lt;='财富模型'!$E$11*12,'财富模型'!$E$10,'财富模型'!$E$12)/12)-IF('Calc'!$E$13=1,0,IF(Calc!$I$323&lt;='财富模型'!$E$11*12,'Calc'!$W$13,'Calc'!$Y$13)),0)))</x:f>
      </x:c>
      <x:c r="Q323" t="n">
        <x:v>302</x:v>
      </x:c>
      <x:c r="R323" t="str">
        <x:f>IF(Calc!$Q$323&gt;'Calc'!$B$8,"",MAX(Calc!$R$322*(1+'财富模型'!$E$6/12)+('Calc'!$B$5-'财富模型'!$E$5-(IF('Calc'!$E$14=1,'财富模型'!$E$9,'财富模型'!$M$6+IF(Calc!$Q$323&lt;='财富模型'!$E$11*12,'Calc'!$W$14,'Calc'!$Y$14)-(IF('Calc'!$E$14=1,0,MIN(Calc!$S$322*(1+'财富模型'!$E$20/12)+'Calc'!$B$6,IF(Calc!$Q$323&lt;='财富模型'!$E$11*12,'Calc'!$W$14,'Calc'!$Y$14))))))),0))</x:f>
      </x:c>
      <x:c r="S323" t="str">
        <x:f>IF(Calc!$Q$323&gt;'Calc'!$B$8,"",MAX(Calc!$S$322*(1+'财富模型'!$E$20/12)+'Calc'!$B$6-(IF('Calc'!$E$14=1,0,MIN(Calc!$S$322*(1+'财富模型'!$E$20/12)+'Calc'!$B$6,IF(Calc!$Q$323&lt;='财富模型'!$E$11*12,'Calc'!$W$14,'Calc'!$Y$14)))),0))</x:f>
      </x:c>
      <x:c r="T323" t="str">
        <x:f>IF(Calc!$Q$323&gt;'Calc'!$B$8,"",IF('Calc'!$E$14=1,'财富模型'!$E$9,'财富模型'!$M$6+IF(Calc!$Q$323&lt;='财富模型'!$E$11*12,'Calc'!$W$14,'Calc'!$Y$14)-(IF('Calc'!$E$14=1,0,MIN(Calc!$S$322*(1+'财富模型'!$E$20/12)+'Calc'!$B$6,IF(Calc!$Q$323&lt;='财富模型'!$E$11*12,'Calc'!$W$14,'Calc'!$Y$14))))))</x:f>
      </x:c>
      <x:c r="U323" t="str">
        <x:f>IF(Calc!$Q$323&gt;'Calc'!$B$8,"",IF('Calc'!$E$14=1,0,MIN(Calc!$S$322*(1+'财富模型'!$E$20/12)+'Calc'!$B$6,IF(Calc!$Q$323&lt;='财富模型'!$E$11*12,'Calc'!$W$14,'Calc'!$Y$14))))</x:f>
      </x:c>
      <x:c r="V323" t="str">
        <x:f>IF(Calc!$Q$323&gt;'Calc'!$B$8,"",'Calc'!$B$5-'财富模型'!$E$5-(IF('Calc'!$E$14=1,'财富模型'!$E$9,'财富模型'!$M$6+IF(Calc!$Q$323&lt;='财富模型'!$E$11*12,'Calc'!$W$14,'Calc'!$Y$14)-(IF('Calc'!$E$14=1,0,MIN(Calc!$S$322*(1+'财富模型'!$E$20/12)+'Calc'!$B$6,IF(Calc!$Q$323&lt;='财富模型'!$E$11*12,'Calc'!$W$14,'Calc'!$Y$14)))))))</x:f>
      </x:c>
      <x:c r="W323" t="str">
        <x:f>IF(Calc!$Q$323&gt;'Calc'!$B$8,"",IF('Calc'!$E$14=1,0,MAX(Calc!$W$322*(1+IF(Calc!$Q$323&lt;='财富模型'!$E$11*12,'财富模型'!$E$10,'财富模型'!$E$12)/12)-IF('Calc'!$E$14=1,0,IF(Calc!$Q$323&lt;='财富模型'!$E$11*12,'Calc'!$W$14,'Calc'!$Y$14)),0)))</x:f>
      </x:c>
      <x:c r="Y323" t="n">
        <x:v>302</x:v>
      </x:c>
      <x:c r="Z323" t="str">
        <x:f>IF(Calc!$Y$323&gt;'Calc'!$B$8,"",MAX(Calc!$Z$322*(1+'财富模型'!$E$6/12)+('Calc'!$B$5-'财富模型'!$E$5-(IF('Calc'!$E$15=1,'财富模型'!$E$9,'财富模型'!$M$7+IF(Calc!$Y$323&lt;='财富模型'!$E$11*12,'Calc'!$W$15,'Calc'!$Y$15)-(IF('Calc'!$E$15=1,0,MIN(Calc!$AA$322*(1+'财富模型'!$E$20/12)+'Calc'!$B$6,IF(Calc!$Y$323&lt;='财富模型'!$E$11*12,'Calc'!$W$15,'Calc'!$Y$15))))))),0))</x:f>
      </x:c>
      <x:c r="AA323" t="str">
        <x:f>IF(Calc!$Y$323&gt;'Calc'!$B$8,"",MAX(Calc!$AA$322*(1+'财富模型'!$E$20/12)+'Calc'!$B$6-(IF('Calc'!$E$15=1,0,MIN(Calc!$AA$322*(1+'财富模型'!$E$20/12)+'Calc'!$B$6,IF(Calc!$Y$323&lt;='财富模型'!$E$11*12,'Calc'!$W$15,'Calc'!$Y$15)))),0))</x:f>
      </x:c>
      <x:c r="AB323" t="str">
        <x:f>IF(Calc!$Y$323&gt;'Calc'!$B$8,"",IF('Calc'!$E$15=1,'财富模型'!$E$9,'财富模型'!$M$7+IF(Calc!$Y$323&lt;='财富模型'!$E$11*12,'Calc'!$W$15,'Calc'!$Y$15)-(IF('Calc'!$E$15=1,0,MIN(Calc!$AA$322*(1+'财富模型'!$E$20/12)+'Calc'!$B$6,IF(Calc!$Y$323&lt;='财富模型'!$E$11*12,'Calc'!$W$15,'Calc'!$Y$15))))))</x:f>
      </x:c>
      <x:c r="AC323" t="str">
        <x:f>IF(Calc!$Y$323&gt;'Calc'!$B$8,"",IF('Calc'!$E$15=1,0,MIN(Calc!$AA$322*(1+'财富模型'!$E$20/12)+'Calc'!$B$6,IF(Calc!$Y$323&lt;='财富模型'!$E$11*12,'Calc'!$W$15,'Calc'!$Y$15))))</x:f>
      </x:c>
      <x:c r="AD323" t="str">
        <x:f>IF(Calc!$Y$323&gt;'Calc'!$B$8,"",'Calc'!$B$5-'财富模型'!$E$5-(IF('Calc'!$E$15=1,'财富模型'!$E$9,'财富模型'!$M$7+IF(Calc!$Y$323&lt;='财富模型'!$E$11*12,'Calc'!$W$15,'Calc'!$Y$15)-(IF('Calc'!$E$15=1,0,MIN(Calc!$AA$322*(1+'财富模型'!$E$20/12)+'Calc'!$B$6,IF(Calc!$Y$323&lt;='财富模型'!$E$11*12,'Calc'!$W$15,'Calc'!$Y$15)))))))</x:f>
      </x:c>
      <x:c r="AE323" t="str">
        <x:f>IF(Calc!$Y$323&gt;'Calc'!$B$8,"",IF('Calc'!$E$15=1,0,MAX(Calc!$AE$322*(1+IF(Calc!$Y$323&lt;='财富模型'!$E$11*12,'财富模型'!$E$10,'财富模型'!$E$12)/12)-IF('Calc'!$E$15=1,0,IF(Calc!$Y$323&lt;='财富模型'!$E$11*12,'Calc'!$W$15,'Calc'!$Y$15)),0)))</x:f>
      </x:c>
      <x:c r="AG323" t="n">
        <x:v>302</x:v>
      </x:c>
      <x:c r="AH323" t="str">
        <x:f>IF(Calc!$AG$323&gt;'Calc'!$B$8,"",MAX(Calc!$AH$322*(1+'财富模型'!$E$6/12)+('Calc'!$B$5-'财富模型'!$E$5-(IF('Calc'!$E$16=1,'财富模型'!$E$9,'财富模型'!$M$8+IF(Calc!$AG$323&lt;='财富模型'!$E$11*12,'Calc'!$W$16,'Calc'!$Y$16)-(IF('Calc'!$E$16=1,0,MIN(Calc!$AI$322*(1+'财富模型'!$E$20/12)+'Calc'!$B$6,IF(Calc!$AG$323&lt;='财富模型'!$E$11*12,'Calc'!$W$16,'Calc'!$Y$16))))))),0))</x:f>
      </x:c>
      <x:c r="AI323" t="str">
        <x:f>IF(Calc!$AG$323&gt;'Calc'!$B$8,"",MAX(Calc!$AI$322*(1+'财富模型'!$E$20/12)+'Calc'!$B$6-(IF('Calc'!$E$16=1,0,MIN(Calc!$AI$322*(1+'财富模型'!$E$20/12)+'Calc'!$B$6,IF(Calc!$AG$323&lt;='财富模型'!$E$11*12,'Calc'!$W$16,'Calc'!$Y$16)))),0))</x:f>
      </x:c>
      <x:c r="AJ323" t="str">
        <x:f>IF(Calc!$AG$323&gt;'Calc'!$B$8,"",IF('Calc'!$E$16=1,'财富模型'!$E$9,'财富模型'!$M$8+IF(Calc!$AG$323&lt;='财富模型'!$E$11*12,'Calc'!$W$16,'Calc'!$Y$16)-(IF('Calc'!$E$16=1,0,MIN(Calc!$AI$322*(1+'财富模型'!$E$20/12)+'Calc'!$B$6,IF(Calc!$AG$323&lt;='财富模型'!$E$11*12,'Calc'!$W$16,'Calc'!$Y$16))))))</x:f>
      </x:c>
      <x:c r="AK323" t="str">
        <x:f>IF(Calc!$AG$323&gt;'Calc'!$B$8,"",IF('Calc'!$E$16=1,0,MIN(Calc!$AI$322*(1+'财富模型'!$E$20/12)+'Calc'!$B$6,IF(Calc!$AG$323&lt;='财富模型'!$E$11*12,'Calc'!$W$16,'Calc'!$Y$16))))</x:f>
      </x:c>
      <x:c r="AL323" t="str">
        <x:f>IF(Calc!$AG$323&gt;'Calc'!$B$8,"",'Calc'!$B$5-'财富模型'!$E$5-(IF('Calc'!$E$16=1,'财富模型'!$E$9,'财富模型'!$M$8+IF(Calc!$AG$323&lt;='财富模型'!$E$11*12,'Calc'!$W$16,'Calc'!$Y$16)-(IF('Calc'!$E$16=1,0,MIN(Calc!$AI$322*(1+'财富模型'!$E$20/12)+'Calc'!$B$6,IF(Calc!$AG$323&lt;='财富模型'!$E$11*12,'Calc'!$W$16,'Calc'!$Y$16)))))))</x:f>
      </x:c>
      <x:c r="AM323" t="str">
        <x:f>IF(Calc!$AG$323&gt;'Calc'!$B$8,"",IF('Calc'!$E$16=1,0,MAX(Calc!$AM$322*(1+IF(Calc!$AG$323&lt;='财富模型'!$E$11*12,'财富模型'!$E$10,'财富模型'!$E$12)/12)-IF('Calc'!$E$16=1,0,IF(Calc!$AG$323&lt;='财富模型'!$E$11*12,'Calc'!$W$16,'Calc'!$Y$16)),0)))</x:f>
      </x:c>
      <x:c r="AO323" t="n">
        <x:v>302</x:v>
      </x:c>
      <x:c r="AP323" t="str">
        <x:f>IF(Calc!$AO$323&gt;'Calc'!$B$8,"",MAX(Calc!$AP$322*(1+'财富模型'!$E$6/12)+('Calc'!$B$5-'财富模型'!$E$5-(IF('Calc'!$E$17=1,'财富模型'!$E$9,'财富模型'!$M$9+IF(Calc!$AO$323&lt;='财富模型'!$E$11*12,'Calc'!$W$17,'Calc'!$Y$17)-(IF('Calc'!$E$17=1,0,MIN(Calc!$AQ$322*(1+'财富模型'!$E$20/12)+'Calc'!$B$6,IF(Calc!$AO$323&lt;='财富模型'!$E$11*12,'Calc'!$W$17,'Calc'!$Y$17))))))),0))</x:f>
      </x:c>
      <x:c r="AQ323" t="str">
        <x:f>IF(Calc!$AO$323&gt;'Calc'!$B$8,"",MAX(Calc!$AQ$322*(1+'财富模型'!$E$20/12)+'Calc'!$B$6-(IF('Calc'!$E$17=1,0,MIN(Calc!$AQ$322*(1+'财富模型'!$E$20/12)+'Calc'!$B$6,IF(Calc!$AO$323&lt;='财富模型'!$E$11*12,'Calc'!$W$17,'Calc'!$Y$17)))),0))</x:f>
      </x:c>
      <x:c r="AR323" t="str">
        <x:f>IF(Calc!$AO$323&gt;'Calc'!$B$8,"",IF('Calc'!$E$17=1,'财富模型'!$E$9,'财富模型'!$M$9+IF(Calc!$AO$323&lt;='财富模型'!$E$11*12,'Calc'!$W$17,'Calc'!$Y$17)-(IF('Calc'!$E$17=1,0,MIN(Calc!$AQ$322*(1+'财富模型'!$E$20/12)+'Calc'!$B$6,IF(Calc!$AO$323&lt;='财富模型'!$E$11*12,'Calc'!$W$17,'Calc'!$Y$17))))))</x:f>
      </x:c>
      <x:c r="AS323" t="str">
        <x:f>IF(Calc!$AO$323&gt;'Calc'!$B$8,"",IF('Calc'!$E$17=1,0,MIN(Calc!$AQ$322*(1+'财富模型'!$E$20/12)+'Calc'!$B$6,IF(Calc!$AO$323&lt;='财富模型'!$E$11*12,'Calc'!$W$17,'Calc'!$Y$17))))</x:f>
      </x:c>
      <x:c r="AT323" t="str">
        <x:f>IF(Calc!$AO$323&gt;'Calc'!$B$8,"",'Calc'!$B$5-'财富模型'!$E$5-(IF('Calc'!$E$17=1,'财富模型'!$E$9,'财富模型'!$M$9+IF(Calc!$AO$323&lt;='财富模型'!$E$11*12,'Calc'!$W$17,'Calc'!$Y$17)-(IF('Calc'!$E$17=1,0,MIN(Calc!$AQ$322*(1+'财富模型'!$E$20/12)+'Calc'!$B$6,IF(Calc!$AO$323&lt;='财富模型'!$E$11*12,'Calc'!$W$17,'Calc'!$Y$17)))))))</x:f>
      </x:c>
      <x:c r="AU323" t="str">
        <x:f>IF(Calc!$AO$323&gt;'Calc'!$B$8,"",IF('Calc'!$E$17=1,0,MAX(Calc!$AU$322*(1+IF(Calc!$AO$323&lt;='财富模型'!$E$11*12,'财富模型'!$E$10,'财富模型'!$E$12)/12)-IF('Calc'!$E$17=1,0,IF(Calc!$AO$323&lt;='财富模型'!$E$11*12,'Calc'!$W$17,'Calc'!$Y$17)),0)))</x:f>
      </x:c>
    </x:row>
    <x:row r="324">
      <x:c r="A324" t="n">
        <x:v>303</x:v>
      </x:c>
      <x:c r="B324" t="str">
        <x:f>IF(Calc!$A$324&gt;'Calc'!$B$8,"",MAX(Calc!$B$323*(1+'财富模型'!$E$6/12)+('Calc'!$B$5-'财富模型'!$E$5-(IF('Calc'!$E$12=1,'财富模型'!$E$9,'财富模型'!$M$4+IF(Calc!$A$324&lt;='财富模型'!$E$11*12,'Calc'!$W$12,'Calc'!$Y$12)-(IF('Calc'!$E$12=1,0,MIN(Calc!$C$323*(1+'财富模型'!$E$20/12)+'Calc'!$B$6,IF(Calc!$A$324&lt;='财富模型'!$E$11*12,'Calc'!$W$12,'Calc'!$Y$12))))))),0))</x:f>
      </x:c>
      <x:c r="C324" t="str">
        <x:f>IF(Calc!$A$324&gt;'Calc'!$B$8,"",MAX(Calc!$C$323*(1+'财富模型'!$E$20/12)+'Calc'!$B$6-(IF('Calc'!$E$12=1,0,MIN(Calc!$C$323*(1+'财富模型'!$E$20/12)+'Calc'!$B$6,IF(Calc!$A$324&lt;='财富模型'!$E$11*12,'Calc'!$W$12,'Calc'!$Y$12)))),0))</x:f>
      </x:c>
      <x:c r="D324" t="str">
        <x:f>IF(Calc!$A$324&gt;'Calc'!$B$8,"",IF('Calc'!$E$12=1,'财富模型'!$E$9,'财富模型'!$M$4+IF(Calc!$A$324&lt;='财富模型'!$E$11*12,'Calc'!$W$12,'Calc'!$Y$12)-(IF('Calc'!$E$12=1,0,MIN(Calc!$C$323*(1+'财富模型'!$E$20/12)+'Calc'!$B$6,IF(Calc!$A$324&lt;='财富模型'!$E$11*12,'Calc'!$W$12,'Calc'!$Y$12))))))</x:f>
      </x:c>
      <x:c r="E324" t="str">
        <x:f>IF(Calc!$A$324&gt;'Calc'!$B$8,"",IF('Calc'!$E$12=1,0,MIN(Calc!$C$323*(1+'财富模型'!$E$20/12)+'Calc'!$B$6,IF(Calc!$A$324&lt;='财富模型'!$E$11*12,'Calc'!$W$12,'Calc'!$Y$12))))</x:f>
      </x:c>
      <x:c r="F324" t="str">
        <x:f>IF(Calc!$A$324&gt;'Calc'!$B$8,"",'Calc'!$B$5-'财富模型'!$E$5-(IF('Calc'!$E$12=1,'财富模型'!$E$9,'财富模型'!$M$4+IF(Calc!$A$324&lt;='财富模型'!$E$11*12,'Calc'!$W$12,'Calc'!$Y$12)-(IF('Calc'!$E$12=1,0,MIN(Calc!$C$323*(1+'财富模型'!$E$20/12)+'Calc'!$B$6,IF(Calc!$A$324&lt;='财富模型'!$E$11*12,'Calc'!$W$12,'Calc'!$Y$12)))))))</x:f>
      </x:c>
      <x:c r="G324" t="str">
        <x:f>IF(Calc!$A$324&gt;'Calc'!$B$8,"",IF('Calc'!$E$12=1,0,MAX(Calc!$G$323*(1+IF(Calc!$A$324&lt;='财富模型'!$E$11*12,'财富模型'!$E$10,'财富模型'!$E$12)/12)-IF('Calc'!$E$12=1,0,IF(Calc!$A$324&lt;='财富模型'!$E$11*12,'Calc'!$W$12,'Calc'!$Y$12)),0)))</x:f>
      </x:c>
      <x:c r="I324" t="n">
        <x:v>303</x:v>
      </x:c>
      <x:c r="J324" t="str">
        <x:f>IF(Calc!$I$324&gt;'Calc'!$B$8,"",MAX(Calc!$J$323*(1+'财富模型'!$E$6/12)+('Calc'!$B$5-'财富模型'!$E$5-(IF('Calc'!$E$13=1,'财富模型'!$E$9,'财富模型'!$M$5+IF(Calc!$I$324&lt;='财富模型'!$E$11*12,'Calc'!$W$13,'Calc'!$Y$13)-(IF('Calc'!$E$13=1,0,MIN(Calc!$K$323*(1+'财富模型'!$E$20/12)+'Calc'!$B$6,IF(Calc!$I$324&lt;='财富模型'!$E$11*12,'Calc'!$W$13,'Calc'!$Y$13))))))),0))</x:f>
      </x:c>
      <x:c r="K324" t="str">
        <x:f>IF(Calc!$I$324&gt;'Calc'!$B$8,"",MAX(Calc!$K$323*(1+'财富模型'!$E$20/12)+'Calc'!$B$6-(IF('Calc'!$E$13=1,0,MIN(Calc!$K$323*(1+'财富模型'!$E$20/12)+'Calc'!$B$6,IF(Calc!$I$324&lt;='财富模型'!$E$11*12,'Calc'!$W$13,'Calc'!$Y$13)))),0))</x:f>
      </x:c>
      <x:c r="L324" t="str">
        <x:f>IF(Calc!$I$324&gt;'Calc'!$B$8,"",IF('Calc'!$E$13=1,'财富模型'!$E$9,'财富模型'!$M$5+IF(Calc!$I$324&lt;='财富模型'!$E$11*12,'Calc'!$W$13,'Calc'!$Y$13)-(IF('Calc'!$E$13=1,0,MIN(Calc!$K$323*(1+'财富模型'!$E$20/12)+'Calc'!$B$6,IF(Calc!$I$324&lt;='财富模型'!$E$11*12,'Calc'!$W$13,'Calc'!$Y$13))))))</x:f>
      </x:c>
      <x:c r="M324" t="str">
        <x:f>IF(Calc!$I$324&gt;'Calc'!$B$8,"",IF('Calc'!$E$13=1,0,MIN(Calc!$K$323*(1+'财富模型'!$E$20/12)+'Calc'!$B$6,IF(Calc!$I$324&lt;='财富模型'!$E$11*12,'Calc'!$W$13,'Calc'!$Y$13))))</x:f>
      </x:c>
      <x:c r="N324" t="str">
        <x:f>IF(Calc!$I$324&gt;'Calc'!$B$8,"",'Calc'!$B$5-'财富模型'!$E$5-(IF('Calc'!$E$13=1,'财富模型'!$E$9,'财富模型'!$M$5+IF(Calc!$I$324&lt;='财富模型'!$E$11*12,'Calc'!$W$13,'Calc'!$Y$13)-(IF('Calc'!$E$13=1,0,MIN(Calc!$K$323*(1+'财富模型'!$E$20/12)+'Calc'!$B$6,IF(Calc!$I$324&lt;='财富模型'!$E$11*12,'Calc'!$W$13,'Calc'!$Y$13)))))))</x:f>
      </x:c>
      <x:c r="O324" t="str">
        <x:f>IF(Calc!$I$324&gt;'Calc'!$B$8,"",IF('Calc'!$E$13=1,0,MAX(Calc!$O$323*(1+IF(Calc!$I$324&lt;='财富模型'!$E$11*12,'财富模型'!$E$10,'财富模型'!$E$12)/12)-IF('Calc'!$E$13=1,0,IF(Calc!$I$324&lt;='财富模型'!$E$11*12,'Calc'!$W$13,'Calc'!$Y$13)),0)))</x:f>
      </x:c>
      <x:c r="Q324" t="n">
        <x:v>303</x:v>
      </x:c>
      <x:c r="R324" t="str">
        <x:f>IF(Calc!$Q$324&gt;'Calc'!$B$8,"",MAX(Calc!$R$323*(1+'财富模型'!$E$6/12)+('Calc'!$B$5-'财富模型'!$E$5-(IF('Calc'!$E$14=1,'财富模型'!$E$9,'财富模型'!$M$6+IF(Calc!$Q$324&lt;='财富模型'!$E$11*12,'Calc'!$W$14,'Calc'!$Y$14)-(IF('Calc'!$E$14=1,0,MIN(Calc!$S$323*(1+'财富模型'!$E$20/12)+'Calc'!$B$6,IF(Calc!$Q$324&lt;='财富模型'!$E$11*12,'Calc'!$W$14,'Calc'!$Y$14))))))),0))</x:f>
      </x:c>
      <x:c r="S324" t="str">
        <x:f>IF(Calc!$Q$324&gt;'Calc'!$B$8,"",MAX(Calc!$S$323*(1+'财富模型'!$E$20/12)+'Calc'!$B$6-(IF('Calc'!$E$14=1,0,MIN(Calc!$S$323*(1+'财富模型'!$E$20/12)+'Calc'!$B$6,IF(Calc!$Q$324&lt;='财富模型'!$E$11*12,'Calc'!$W$14,'Calc'!$Y$14)))),0))</x:f>
      </x:c>
      <x:c r="T324" t="str">
        <x:f>IF(Calc!$Q$324&gt;'Calc'!$B$8,"",IF('Calc'!$E$14=1,'财富模型'!$E$9,'财富模型'!$M$6+IF(Calc!$Q$324&lt;='财富模型'!$E$11*12,'Calc'!$W$14,'Calc'!$Y$14)-(IF('Calc'!$E$14=1,0,MIN(Calc!$S$323*(1+'财富模型'!$E$20/12)+'Calc'!$B$6,IF(Calc!$Q$324&lt;='财富模型'!$E$11*12,'Calc'!$W$14,'Calc'!$Y$14))))))</x:f>
      </x:c>
      <x:c r="U324" t="str">
        <x:f>IF(Calc!$Q$324&gt;'Calc'!$B$8,"",IF('Calc'!$E$14=1,0,MIN(Calc!$S$323*(1+'财富模型'!$E$20/12)+'Calc'!$B$6,IF(Calc!$Q$324&lt;='财富模型'!$E$11*12,'Calc'!$W$14,'Calc'!$Y$14))))</x:f>
      </x:c>
      <x:c r="V324" t="str">
        <x:f>IF(Calc!$Q$324&gt;'Calc'!$B$8,"",'Calc'!$B$5-'财富模型'!$E$5-(IF('Calc'!$E$14=1,'财富模型'!$E$9,'财富模型'!$M$6+IF(Calc!$Q$324&lt;='财富模型'!$E$11*12,'Calc'!$W$14,'Calc'!$Y$14)-(IF('Calc'!$E$14=1,0,MIN(Calc!$S$323*(1+'财富模型'!$E$20/12)+'Calc'!$B$6,IF(Calc!$Q$324&lt;='财富模型'!$E$11*12,'Calc'!$W$14,'Calc'!$Y$14)))))))</x:f>
      </x:c>
      <x:c r="W324" t="str">
        <x:f>IF(Calc!$Q$324&gt;'Calc'!$B$8,"",IF('Calc'!$E$14=1,0,MAX(Calc!$W$323*(1+IF(Calc!$Q$324&lt;='财富模型'!$E$11*12,'财富模型'!$E$10,'财富模型'!$E$12)/12)-IF('Calc'!$E$14=1,0,IF(Calc!$Q$324&lt;='财富模型'!$E$11*12,'Calc'!$W$14,'Calc'!$Y$14)),0)))</x:f>
      </x:c>
      <x:c r="Y324" t="n">
        <x:v>303</x:v>
      </x:c>
      <x:c r="Z324" t="str">
        <x:f>IF(Calc!$Y$324&gt;'Calc'!$B$8,"",MAX(Calc!$Z$323*(1+'财富模型'!$E$6/12)+('Calc'!$B$5-'财富模型'!$E$5-(IF('Calc'!$E$15=1,'财富模型'!$E$9,'财富模型'!$M$7+IF(Calc!$Y$324&lt;='财富模型'!$E$11*12,'Calc'!$W$15,'Calc'!$Y$15)-(IF('Calc'!$E$15=1,0,MIN(Calc!$AA$323*(1+'财富模型'!$E$20/12)+'Calc'!$B$6,IF(Calc!$Y$324&lt;='财富模型'!$E$11*12,'Calc'!$W$15,'Calc'!$Y$15))))))),0))</x:f>
      </x:c>
      <x:c r="AA324" t="str">
        <x:f>IF(Calc!$Y$324&gt;'Calc'!$B$8,"",MAX(Calc!$AA$323*(1+'财富模型'!$E$20/12)+'Calc'!$B$6-(IF('Calc'!$E$15=1,0,MIN(Calc!$AA$323*(1+'财富模型'!$E$20/12)+'Calc'!$B$6,IF(Calc!$Y$324&lt;='财富模型'!$E$11*12,'Calc'!$W$15,'Calc'!$Y$15)))),0))</x:f>
      </x:c>
      <x:c r="AB324" t="str">
        <x:f>IF(Calc!$Y$324&gt;'Calc'!$B$8,"",IF('Calc'!$E$15=1,'财富模型'!$E$9,'财富模型'!$M$7+IF(Calc!$Y$324&lt;='财富模型'!$E$11*12,'Calc'!$W$15,'Calc'!$Y$15)-(IF('Calc'!$E$15=1,0,MIN(Calc!$AA$323*(1+'财富模型'!$E$20/12)+'Calc'!$B$6,IF(Calc!$Y$324&lt;='财富模型'!$E$11*12,'Calc'!$W$15,'Calc'!$Y$15))))))</x:f>
      </x:c>
      <x:c r="AC324" t="str">
        <x:f>IF(Calc!$Y$324&gt;'Calc'!$B$8,"",IF('Calc'!$E$15=1,0,MIN(Calc!$AA$323*(1+'财富模型'!$E$20/12)+'Calc'!$B$6,IF(Calc!$Y$324&lt;='财富模型'!$E$11*12,'Calc'!$W$15,'Calc'!$Y$15))))</x:f>
      </x:c>
      <x:c r="AD324" t="str">
        <x:f>IF(Calc!$Y$324&gt;'Calc'!$B$8,"",'Calc'!$B$5-'财富模型'!$E$5-(IF('Calc'!$E$15=1,'财富模型'!$E$9,'财富模型'!$M$7+IF(Calc!$Y$324&lt;='财富模型'!$E$11*12,'Calc'!$W$15,'Calc'!$Y$15)-(IF('Calc'!$E$15=1,0,MIN(Calc!$AA$323*(1+'财富模型'!$E$20/12)+'Calc'!$B$6,IF(Calc!$Y$324&lt;='财富模型'!$E$11*12,'Calc'!$W$15,'Calc'!$Y$15)))))))</x:f>
      </x:c>
      <x:c r="AE324" t="str">
        <x:f>IF(Calc!$Y$324&gt;'Calc'!$B$8,"",IF('Calc'!$E$15=1,0,MAX(Calc!$AE$323*(1+IF(Calc!$Y$324&lt;='财富模型'!$E$11*12,'财富模型'!$E$10,'财富模型'!$E$12)/12)-IF('Calc'!$E$15=1,0,IF(Calc!$Y$324&lt;='财富模型'!$E$11*12,'Calc'!$W$15,'Calc'!$Y$15)),0)))</x:f>
      </x:c>
      <x:c r="AG324" t="n">
        <x:v>303</x:v>
      </x:c>
      <x:c r="AH324" t="str">
        <x:f>IF(Calc!$AG$324&gt;'Calc'!$B$8,"",MAX(Calc!$AH$323*(1+'财富模型'!$E$6/12)+('Calc'!$B$5-'财富模型'!$E$5-(IF('Calc'!$E$16=1,'财富模型'!$E$9,'财富模型'!$M$8+IF(Calc!$AG$324&lt;='财富模型'!$E$11*12,'Calc'!$W$16,'Calc'!$Y$16)-(IF('Calc'!$E$16=1,0,MIN(Calc!$AI$323*(1+'财富模型'!$E$20/12)+'Calc'!$B$6,IF(Calc!$AG$324&lt;='财富模型'!$E$11*12,'Calc'!$W$16,'Calc'!$Y$16))))))),0))</x:f>
      </x:c>
      <x:c r="AI324" t="str">
        <x:f>IF(Calc!$AG$324&gt;'Calc'!$B$8,"",MAX(Calc!$AI$323*(1+'财富模型'!$E$20/12)+'Calc'!$B$6-(IF('Calc'!$E$16=1,0,MIN(Calc!$AI$323*(1+'财富模型'!$E$20/12)+'Calc'!$B$6,IF(Calc!$AG$324&lt;='财富模型'!$E$11*12,'Calc'!$W$16,'Calc'!$Y$16)))),0))</x:f>
      </x:c>
      <x:c r="AJ324" t="str">
        <x:f>IF(Calc!$AG$324&gt;'Calc'!$B$8,"",IF('Calc'!$E$16=1,'财富模型'!$E$9,'财富模型'!$M$8+IF(Calc!$AG$324&lt;='财富模型'!$E$11*12,'Calc'!$W$16,'Calc'!$Y$16)-(IF('Calc'!$E$16=1,0,MIN(Calc!$AI$323*(1+'财富模型'!$E$20/12)+'Calc'!$B$6,IF(Calc!$AG$324&lt;='财富模型'!$E$11*12,'Calc'!$W$16,'Calc'!$Y$16))))))</x:f>
      </x:c>
      <x:c r="AK324" t="str">
        <x:f>IF(Calc!$AG$324&gt;'Calc'!$B$8,"",IF('Calc'!$E$16=1,0,MIN(Calc!$AI$323*(1+'财富模型'!$E$20/12)+'Calc'!$B$6,IF(Calc!$AG$324&lt;='财富模型'!$E$11*12,'Calc'!$W$16,'Calc'!$Y$16))))</x:f>
      </x:c>
      <x:c r="AL324" t="str">
        <x:f>IF(Calc!$AG$324&gt;'Calc'!$B$8,"",'Calc'!$B$5-'财富模型'!$E$5-(IF('Calc'!$E$16=1,'财富模型'!$E$9,'财富模型'!$M$8+IF(Calc!$AG$324&lt;='财富模型'!$E$11*12,'Calc'!$W$16,'Calc'!$Y$16)-(IF('Calc'!$E$16=1,0,MIN(Calc!$AI$323*(1+'财富模型'!$E$20/12)+'Calc'!$B$6,IF(Calc!$AG$324&lt;='财富模型'!$E$11*12,'Calc'!$W$16,'Calc'!$Y$16)))))))</x:f>
      </x:c>
      <x:c r="AM324" t="str">
        <x:f>IF(Calc!$AG$324&gt;'Calc'!$B$8,"",IF('Calc'!$E$16=1,0,MAX(Calc!$AM$323*(1+IF(Calc!$AG$324&lt;='财富模型'!$E$11*12,'财富模型'!$E$10,'财富模型'!$E$12)/12)-IF('Calc'!$E$16=1,0,IF(Calc!$AG$324&lt;='财富模型'!$E$11*12,'Calc'!$W$16,'Calc'!$Y$16)),0)))</x:f>
      </x:c>
      <x:c r="AO324" t="n">
        <x:v>303</x:v>
      </x:c>
      <x:c r="AP324" t="str">
        <x:f>IF(Calc!$AO$324&gt;'Calc'!$B$8,"",MAX(Calc!$AP$323*(1+'财富模型'!$E$6/12)+('Calc'!$B$5-'财富模型'!$E$5-(IF('Calc'!$E$17=1,'财富模型'!$E$9,'财富模型'!$M$9+IF(Calc!$AO$324&lt;='财富模型'!$E$11*12,'Calc'!$W$17,'Calc'!$Y$17)-(IF('Calc'!$E$17=1,0,MIN(Calc!$AQ$323*(1+'财富模型'!$E$20/12)+'Calc'!$B$6,IF(Calc!$AO$324&lt;='财富模型'!$E$11*12,'Calc'!$W$17,'Calc'!$Y$17))))))),0))</x:f>
      </x:c>
      <x:c r="AQ324" t="str">
        <x:f>IF(Calc!$AO$324&gt;'Calc'!$B$8,"",MAX(Calc!$AQ$323*(1+'财富模型'!$E$20/12)+'Calc'!$B$6-(IF('Calc'!$E$17=1,0,MIN(Calc!$AQ$323*(1+'财富模型'!$E$20/12)+'Calc'!$B$6,IF(Calc!$AO$324&lt;='财富模型'!$E$11*12,'Calc'!$W$17,'Calc'!$Y$17)))),0))</x:f>
      </x:c>
      <x:c r="AR324" t="str">
        <x:f>IF(Calc!$AO$324&gt;'Calc'!$B$8,"",IF('Calc'!$E$17=1,'财富模型'!$E$9,'财富模型'!$M$9+IF(Calc!$AO$324&lt;='财富模型'!$E$11*12,'Calc'!$W$17,'Calc'!$Y$17)-(IF('Calc'!$E$17=1,0,MIN(Calc!$AQ$323*(1+'财富模型'!$E$20/12)+'Calc'!$B$6,IF(Calc!$AO$324&lt;='财富模型'!$E$11*12,'Calc'!$W$17,'Calc'!$Y$17))))))</x:f>
      </x:c>
      <x:c r="AS324" t="str">
        <x:f>IF(Calc!$AO$324&gt;'Calc'!$B$8,"",IF('Calc'!$E$17=1,0,MIN(Calc!$AQ$323*(1+'财富模型'!$E$20/12)+'Calc'!$B$6,IF(Calc!$AO$324&lt;='财富模型'!$E$11*12,'Calc'!$W$17,'Calc'!$Y$17))))</x:f>
      </x:c>
      <x:c r="AT324" t="str">
        <x:f>IF(Calc!$AO$324&gt;'Calc'!$B$8,"",'Calc'!$B$5-'财富模型'!$E$5-(IF('Calc'!$E$17=1,'财富模型'!$E$9,'财富模型'!$M$9+IF(Calc!$AO$324&lt;='财富模型'!$E$11*12,'Calc'!$W$17,'Calc'!$Y$17)-(IF('Calc'!$E$17=1,0,MIN(Calc!$AQ$323*(1+'财富模型'!$E$20/12)+'Calc'!$B$6,IF(Calc!$AO$324&lt;='财富模型'!$E$11*12,'Calc'!$W$17,'Calc'!$Y$17)))))))</x:f>
      </x:c>
      <x:c r="AU324" t="str">
        <x:f>IF(Calc!$AO$324&gt;'Calc'!$B$8,"",IF('Calc'!$E$17=1,0,MAX(Calc!$AU$323*(1+IF(Calc!$AO$324&lt;='财富模型'!$E$11*12,'财富模型'!$E$10,'财富模型'!$E$12)/12)-IF('Calc'!$E$17=1,0,IF(Calc!$AO$324&lt;='财富模型'!$E$11*12,'Calc'!$W$17,'Calc'!$Y$17)),0)))</x:f>
      </x:c>
    </x:row>
    <x:row r="325">
      <x:c r="A325" t="n">
        <x:v>304</x:v>
      </x:c>
      <x:c r="B325" t="str">
        <x:f>IF(Calc!$A$325&gt;'Calc'!$B$8,"",MAX(Calc!$B$324*(1+'财富模型'!$E$6/12)+('Calc'!$B$5-'财富模型'!$E$5-(IF('Calc'!$E$12=1,'财富模型'!$E$9,'财富模型'!$M$4+IF(Calc!$A$325&lt;='财富模型'!$E$11*12,'Calc'!$W$12,'Calc'!$Y$12)-(IF('Calc'!$E$12=1,0,MIN(Calc!$C$324*(1+'财富模型'!$E$20/12)+'Calc'!$B$6,IF(Calc!$A$325&lt;='财富模型'!$E$11*12,'Calc'!$W$12,'Calc'!$Y$12))))))),0))</x:f>
      </x:c>
      <x:c r="C325" t="str">
        <x:f>IF(Calc!$A$325&gt;'Calc'!$B$8,"",MAX(Calc!$C$324*(1+'财富模型'!$E$20/12)+'Calc'!$B$6-(IF('Calc'!$E$12=1,0,MIN(Calc!$C$324*(1+'财富模型'!$E$20/12)+'Calc'!$B$6,IF(Calc!$A$325&lt;='财富模型'!$E$11*12,'Calc'!$W$12,'Calc'!$Y$12)))),0))</x:f>
      </x:c>
      <x:c r="D325" t="str">
        <x:f>IF(Calc!$A$325&gt;'Calc'!$B$8,"",IF('Calc'!$E$12=1,'财富模型'!$E$9,'财富模型'!$M$4+IF(Calc!$A$325&lt;='财富模型'!$E$11*12,'Calc'!$W$12,'Calc'!$Y$12)-(IF('Calc'!$E$12=1,0,MIN(Calc!$C$324*(1+'财富模型'!$E$20/12)+'Calc'!$B$6,IF(Calc!$A$325&lt;='财富模型'!$E$11*12,'Calc'!$W$12,'Calc'!$Y$12))))))</x:f>
      </x:c>
      <x:c r="E325" t="str">
        <x:f>IF(Calc!$A$325&gt;'Calc'!$B$8,"",IF('Calc'!$E$12=1,0,MIN(Calc!$C$324*(1+'财富模型'!$E$20/12)+'Calc'!$B$6,IF(Calc!$A$325&lt;='财富模型'!$E$11*12,'Calc'!$W$12,'Calc'!$Y$12))))</x:f>
      </x:c>
      <x:c r="F325" t="str">
        <x:f>IF(Calc!$A$325&gt;'Calc'!$B$8,"",'Calc'!$B$5-'财富模型'!$E$5-(IF('Calc'!$E$12=1,'财富模型'!$E$9,'财富模型'!$M$4+IF(Calc!$A$325&lt;='财富模型'!$E$11*12,'Calc'!$W$12,'Calc'!$Y$12)-(IF('Calc'!$E$12=1,0,MIN(Calc!$C$324*(1+'财富模型'!$E$20/12)+'Calc'!$B$6,IF(Calc!$A$325&lt;='财富模型'!$E$11*12,'Calc'!$W$12,'Calc'!$Y$12)))))))</x:f>
      </x:c>
      <x:c r="G325" t="str">
        <x:f>IF(Calc!$A$325&gt;'Calc'!$B$8,"",IF('Calc'!$E$12=1,0,MAX(Calc!$G$324*(1+IF(Calc!$A$325&lt;='财富模型'!$E$11*12,'财富模型'!$E$10,'财富模型'!$E$12)/12)-IF('Calc'!$E$12=1,0,IF(Calc!$A$325&lt;='财富模型'!$E$11*12,'Calc'!$W$12,'Calc'!$Y$12)),0)))</x:f>
      </x:c>
      <x:c r="I325" t="n">
        <x:v>304</x:v>
      </x:c>
      <x:c r="J325" t="str">
        <x:f>IF(Calc!$I$325&gt;'Calc'!$B$8,"",MAX(Calc!$J$324*(1+'财富模型'!$E$6/12)+('Calc'!$B$5-'财富模型'!$E$5-(IF('Calc'!$E$13=1,'财富模型'!$E$9,'财富模型'!$M$5+IF(Calc!$I$325&lt;='财富模型'!$E$11*12,'Calc'!$W$13,'Calc'!$Y$13)-(IF('Calc'!$E$13=1,0,MIN(Calc!$K$324*(1+'财富模型'!$E$20/12)+'Calc'!$B$6,IF(Calc!$I$325&lt;='财富模型'!$E$11*12,'Calc'!$W$13,'Calc'!$Y$13))))))),0))</x:f>
      </x:c>
      <x:c r="K325" t="str">
        <x:f>IF(Calc!$I$325&gt;'Calc'!$B$8,"",MAX(Calc!$K$324*(1+'财富模型'!$E$20/12)+'Calc'!$B$6-(IF('Calc'!$E$13=1,0,MIN(Calc!$K$324*(1+'财富模型'!$E$20/12)+'Calc'!$B$6,IF(Calc!$I$325&lt;='财富模型'!$E$11*12,'Calc'!$W$13,'Calc'!$Y$13)))),0))</x:f>
      </x:c>
      <x:c r="L325" t="str">
        <x:f>IF(Calc!$I$325&gt;'Calc'!$B$8,"",IF('Calc'!$E$13=1,'财富模型'!$E$9,'财富模型'!$M$5+IF(Calc!$I$325&lt;='财富模型'!$E$11*12,'Calc'!$W$13,'Calc'!$Y$13)-(IF('Calc'!$E$13=1,0,MIN(Calc!$K$324*(1+'财富模型'!$E$20/12)+'Calc'!$B$6,IF(Calc!$I$325&lt;='财富模型'!$E$11*12,'Calc'!$W$13,'Calc'!$Y$13))))))</x:f>
      </x:c>
      <x:c r="M325" t="str">
        <x:f>IF(Calc!$I$325&gt;'Calc'!$B$8,"",IF('Calc'!$E$13=1,0,MIN(Calc!$K$324*(1+'财富模型'!$E$20/12)+'Calc'!$B$6,IF(Calc!$I$325&lt;='财富模型'!$E$11*12,'Calc'!$W$13,'Calc'!$Y$13))))</x:f>
      </x:c>
      <x:c r="N325" t="str">
        <x:f>IF(Calc!$I$325&gt;'Calc'!$B$8,"",'Calc'!$B$5-'财富模型'!$E$5-(IF('Calc'!$E$13=1,'财富模型'!$E$9,'财富模型'!$M$5+IF(Calc!$I$325&lt;='财富模型'!$E$11*12,'Calc'!$W$13,'Calc'!$Y$13)-(IF('Calc'!$E$13=1,0,MIN(Calc!$K$324*(1+'财富模型'!$E$20/12)+'Calc'!$B$6,IF(Calc!$I$325&lt;='财富模型'!$E$11*12,'Calc'!$W$13,'Calc'!$Y$13)))))))</x:f>
      </x:c>
      <x:c r="O325" t="str">
        <x:f>IF(Calc!$I$325&gt;'Calc'!$B$8,"",IF('Calc'!$E$13=1,0,MAX(Calc!$O$324*(1+IF(Calc!$I$325&lt;='财富模型'!$E$11*12,'财富模型'!$E$10,'财富模型'!$E$12)/12)-IF('Calc'!$E$13=1,0,IF(Calc!$I$325&lt;='财富模型'!$E$11*12,'Calc'!$W$13,'Calc'!$Y$13)),0)))</x:f>
      </x:c>
      <x:c r="Q325" t="n">
        <x:v>304</x:v>
      </x:c>
      <x:c r="R325" t="str">
        <x:f>IF(Calc!$Q$325&gt;'Calc'!$B$8,"",MAX(Calc!$R$324*(1+'财富模型'!$E$6/12)+('Calc'!$B$5-'财富模型'!$E$5-(IF('Calc'!$E$14=1,'财富模型'!$E$9,'财富模型'!$M$6+IF(Calc!$Q$325&lt;='财富模型'!$E$11*12,'Calc'!$W$14,'Calc'!$Y$14)-(IF('Calc'!$E$14=1,0,MIN(Calc!$S$324*(1+'财富模型'!$E$20/12)+'Calc'!$B$6,IF(Calc!$Q$325&lt;='财富模型'!$E$11*12,'Calc'!$W$14,'Calc'!$Y$14))))))),0))</x:f>
      </x:c>
      <x:c r="S325" t="str">
        <x:f>IF(Calc!$Q$325&gt;'Calc'!$B$8,"",MAX(Calc!$S$324*(1+'财富模型'!$E$20/12)+'Calc'!$B$6-(IF('Calc'!$E$14=1,0,MIN(Calc!$S$324*(1+'财富模型'!$E$20/12)+'Calc'!$B$6,IF(Calc!$Q$325&lt;='财富模型'!$E$11*12,'Calc'!$W$14,'Calc'!$Y$14)))),0))</x:f>
      </x:c>
      <x:c r="T325" t="str">
        <x:f>IF(Calc!$Q$325&gt;'Calc'!$B$8,"",IF('Calc'!$E$14=1,'财富模型'!$E$9,'财富模型'!$M$6+IF(Calc!$Q$325&lt;='财富模型'!$E$11*12,'Calc'!$W$14,'Calc'!$Y$14)-(IF('Calc'!$E$14=1,0,MIN(Calc!$S$324*(1+'财富模型'!$E$20/12)+'Calc'!$B$6,IF(Calc!$Q$325&lt;='财富模型'!$E$11*12,'Calc'!$W$14,'Calc'!$Y$14))))))</x:f>
      </x:c>
      <x:c r="U325" t="str">
        <x:f>IF(Calc!$Q$325&gt;'Calc'!$B$8,"",IF('Calc'!$E$14=1,0,MIN(Calc!$S$324*(1+'财富模型'!$E$20/12)+'Calc'!$B$6,IF(Calc!$Q$325&lt;='财富模型'!$E$11*12,'Calc'!$W$14,'Calc'!$Y$14))))</x:f>
      </x:c>
      <x:c r="V325" t="str">
        <x:f>IF(Calc!$Q$325&gt;'Calc'!$B$8,"",'Calc'!$B$5-'财富模型'!$E$5-(IF('Calc'!$E$14=1,'财富模型'!$E$9,'财富模型'!$M$6+IF(Calc!$Q$325&lt;='财富模型'!$E$11*12,'Calc'!$W$14,'Calc'!$Y$14)-(IF('Calc'!$E$14=1,0,MIN(Calc!$S$324*(1+'财富模型'!$E$20/12)+'Calc'!$B$6,IF(Calc!$Q$325&lt;='财富模型'!$E$11*12,'Calc'!$W$14,'Calc'!$Y$14)))))))</x:f>
      </x:c>
      <x:c r="W325" t="str">
        <x:f>IF(Calc!$Q$325&gt;'Calc'!$B$8,"",IF('Calc'!$E$14=1,0,MAX(Calc!$W$324*(1+IF(Calc!$Q$325&lt;='财富模型'!$E$11*12,'财富模型'!$E$10,'财富模型'!$E$12)/12)-IF('Calc'!$E$14=1,0,IF(Calc!$Q$325&lt;='财富模型'!$E$11*12,'Calc'!$W$14,'Calc'!$Y$14)),0)))</x:f>
      </x:c>
      <x:c r="Y325" t="n">
        <x:v>304</x:v>
      </x:c>
      <x:c r="Z325" t="str">
        <x:f>IF(Calc!$Y$325&gt;'Calc'!$B$8,"",MAX(Calc!$Z$324*(1+'财富模型'!$E$6/12)+('Calc'!$B$5-'财富模型'!$E$5-(IF('Calc'!$E$15=1,'财富模型'!$E$9,'财富模型'!$M$7+IF(Calc!$Y$325&lt;='财富模型'!$E$11*12,'Calc'!$W$15,'Calc'!$Y$15)-(IF('Calc'!$E$15=1,0,MIN(Calc!$AA$324*(1+'财富模型'!$E$20/12)+'Calc'!$B$6,IF(Calc!$Y$325&lt;='财富模型'!$E$11*12,'Calc'!$W$15,'Calc'!$Y$15))))))),0))</x:f>
      </x:c>
      <x:c r="AA325" t="str">
        <x:f>IF(Calc!$Y$325&gt;'Calc'!$B$8,"",MAX(Calc!$AA$324*(1+'财富模型'!$E$20/12)+'Calc'!$B$6-(IF('Calc'!$E$15=1,0,MIN(Calc!$AA$324*(1+'财富模型'!$E$20/12)+'Calc'!$B$6,IF(Calc!$Y$325&lt;='财富模型'!$E$11*12,'Calc'!$W$15,'Calc'!$Y$15)))),0))</x:f>
      </x:c>
      <x:c r="AB325" t="str">
        <x:f>IF(Calc!$Y$325&gt;'Calc'!$B$8,"",IF('Calc'!$E$15=1,'财富模型'!$E$9,'财富模型'!$M$7+IF(Calc!$Y$325&lt;='财富模型'!$E$11*12,'Calc'!$W$15,'Calc'!$Y$15)-(IF('Calc'!$E$15=1,0,MIN(Calc!$AA$324*(1+'财富模型'!$E$20/12)+'Calc'!$B$6,IF(Calc!$Y$325&lt;='财富模型'!$E$11*12,'Calc'!$W$15,'Calc'!$Y$15))))))</x:f>
      </x:c>
      <x:c r="AC325" t="str">
        <x:f>IF(Calc!$Y$325&gt;'Calc'!$B$8,"",IF('Calc'!$E$15=1,0,MIN(Calc!$AA$324*(1+'财富模型'!$E$20/12)+'Calc'!$B$6,IF(Calc!$Y$325&lt;='财富模型'!$E$11*12,'Calc'!$W$15,'Calc'!$Y$15))))</x:f>
      </x:c>
      <x:c r="AD325" t="str">
        <x:f>IF(Calc!$Y$325&gt;'Calc'!$B$8,"",'Calc'!$B$5-'财富模型'!$E$5-(IF('Calc'!$E$15=1,'财富模型'!$E$9,'财富模型'!$M$7+IF(Calc!$Y$325&lt;='财富模型'!$E$11*12,'Calc'!$W$15,'Calc'!$Y$15)-(IF('Calc'!$E$15=1,0,MIN(Calc!$AA$324*(1+'财富模型'!$E$20/12)+'Calc'!$B$6,IF(Calc!$Y$325&lt;='财富模型'!$E$11*12,'Calc'!$W$15,'Calc'!$Y$15)))))))</x:f>
      </x:c>
      <x:c r="AE325" t="str">
        <x:f>IF(Calc!$Y$325&gt;'Calc'!$B$8,"",IF('Calc'!$E$15=1,0,MAX(Calc!$AE$324*(1+IF(Calc!$Y$325&lt;='财富模型'!$E$11*12,'财富模型'!$E$10,'财富模型'!$E$12)/12)-IF('Calc'!$E$15=1,0,IF(Calc!$Y$325&lt;='财富模型'!$E$11*12,'Calc'!$W$15,'Calc'!$Y$15)),0)))</x:f>
      </x:c>
      <x:c r="AG325" t="n">
        <x:v>304</x:v>
      </x:c>
      <x:c r="AH325" t="str">
        <x:f>IF(Calc!$AG$325&gt;'Calc'!$B$8,"",MAX(Calc!$AH$324*(1+'财富模型'!$E$6/12)+('Calc'!$B$5-'财富模型'!$E$5-(IF('Calc'!$E$16=1,'财富模型'!$E$9,'财富模型'!$M$8+IF(Calc!$AG$325&lt;='财富模型'!$E$11*12,'Calc'!$W$16,'Calc'!$Y$16)-(IF('Calc'!$E$16=1,0,MIN(Calc!$AI$324*(1+'财富模型'!$E$20/12)+'Calc'!$B$6,IF(Calc!$AG$325&lt;='财富模型'!$E$11*12,'Calc'!$W$16,'Calc'!$Y$16))))))),0))</x:f>
      </x:c>
      <x:c r="AI325" t="str">
        <x:f>IF(Calc!$AG$325&gt;'Calc'!$B$8,"",MAX(Calc!$AI$324*(1+'财富模型'!$E$20/12)+'Calc'!$B$6-(IF('Calc'!$E$16=1,0,MIN(Calc!$AI$324*(1+'财富模型'!$E$20/12)+'Calc'!$B$6,IF(Calc!$AG$325&lt;='财富模型'!$E$11*12,'Calc'!$W$16,'Calc'!$Y$16)))),0))</x:f>
      </x:c>
      <x:c r="AJ325" t="str">
        <x:f>IF(Calc!$AG$325&gt;'Calc'!$B$8,"",IF('Calc'!$E$16=1,'财富模型'!$E$9,'财富模型'!$M$8+IF(Calc!$AG$325&lt;='财富模型'!$E$11*12,'Calc'!$W$16,'Calc'!$Y$16)-(IF('Calc'!$E$16=1,0,MIN(Calc!$AI$324*(1+'财富模型'!$E$20/12)+'Calc'!$B$6,IF(Calc!$AG$325&lt;='财富模型'!$E$11*12,'Calc'!$W$16,'Calc'!$Y$16))))))</x:f>
      </x:c>
      <x:c r="AK325" t="str">
        <x:f>IF(Calc!$AG$325&gt;'Calc'!$B$8,"",IF('Calc'!$E$16=1,0,MIN(Calc!$AI$324*(1+'财富模型'!$E$20/12)+'Calc'!$B$6,IF(Calc!$AG$325&lt;='财富模型'!$E$11*12,'Calc'!$W$16,'Calc'!$Y$16))))</x:f>
      </x:c>
      <x:c r="AL325" t="str">
        <x:f>IF(Calc!$AG$325&gt;'Calc'!$B$8,"",'Calc'!$B$5-'财富模型'!$E$5-(IF('Calc'!$E$16=1,'财富模型'!$E$9,'财富模型'!$M$8+IF(Calc!$AG$325&lt;='财富模型'!$E$11*12,'Calc'!$W$16,'Calc'!$Y$16)-(IF('Calc'!$E$16=1,0,MIN(Calc!$AI$324*(1+'财富模型'!$E$20/12)+'Calc'!$B$6,IF(Calc!$AG$325&lt;='财富模型'!$E$11*12,'Calc'!$W$16,'Calc'!$Y$16)))))))</x:f>
      </x:c>
      <x:c r="AM325" t="str">
        <x:f>IF(Calc!$AG$325&gt;'Calc'!$B$8,"",IF('Calc'!$E$16=1,0,MAX(Calc!$AM$324*(1+IF(Calc!$AG$325&lt;='财富模型'!$E$11*12,'财富模型'!$E$10,'财富模型'!$E$12)/12)-IF('Calc'!$E$16=1,0,IF(Calc!$AG$325&lt;='财富模型'!$E$11*12,'Calc'!$W$16,'Calc'!$Y$16)),0)))</x:f>
      </x:c>
      <x:c r="AO325" t="n">
        <x:v>304</x:v>
      </x:c>
      <x:c r="AP325" t="str">
        <x:f>IF(Calc!$AO$325&gt;'Calc'!$B$8,"",MAX(Calc!$AP$324*(1+'财富模型'!$E$6/12)+('Calc'!$B$5-'财富模型'!$E$5-(IF('Calc'!$E$17=1,'财富模型'!$E$9,'财富模型'!$M$9+IF(Calc!$AO$325&lt;='财富模型'!$E$11*12,'Calc'!$W$17,'Calc'!$Y$17)-(IF('Calc'!$E$17=1,0,MIN(Calc!$AQ$324*(1+'财富模型'!$E$20/12)+'Calc'!$B$6,IF(Calc!$AO$325&lt;='财富模型'!$E$11*12,'Calc'!$W$17,'Calc'!$Y$17))))))),0))</x:f>
      </x:c>
      <x:c r="AQ325" t="str">
        <x:f>IF(Calc!$AO$325&gt;'Calc'!$B$8,"",MAX(Calc!$AQ$324*(1+'财富模型'!$E$20/12)+'Calc'!$B$6-(IF('Calc'!$E$17=1,0,MIN(Calc!$AQ$324*(1+'财富模型'!$E$20/12)+'Calc'!$B$6,IF(Calc!$AO$325&lt;='财富模型'!$E$11*12,'Calc'!$W$17,'Calc'!$Y$17)))),0))</x:f>
      </x:c>
      <x:c r="AR325" t="str">
        <x:f>IF(Calc!$AO$325&gt;'Calc'!$B$8,"",IF('Calc'!$E$17=1,'财富模型'!$E$9,'财富模型'!$M$9+IF(Calc!$AO$325&lt;='财富模型'!$E$11*12,'Calc'!$W$17,'Calc'!$Y$17)-(IF('Calc'!$E$17=1,0,MIN(Calc!$AQ$324*(1+'财富模型'!$E$20/12)+'Calc'!$B$6,IF(Calc!$AO$325&lt;='财富模型'!$E$11*12,'Calc'!$W$17,'Calc'!$Y$17))))))</x:f>
      </x:c>
      <x:c r="AS325" t="str">
        <x:f>IF(Calc!$AO$325&gt;'Calc'!$B$8,"",IF('Calc'!$E$17=1,0,MIN(Calc!$AQ$324*(1+'财富模型'!$E$20/12)+'Calc'!$B$6,IF(Calc!$AO$325&lt;='财富模型'!$E$11*12,'Calc'!$W$17,'Calc'!$Y$17))))</x:f>
      </x:c>
      <x:c r="AT325" t="str">
        <x:f>IF(Calc!$AO$325&gt;'Calc'!$B$8,"",'Calc'!$B$5-'财富模型'!$E$5-(IF('Calc'!$E$17=1,'财富模型'!$E$9,'财富模型'!$M$9+IF(Calc!$AO$325&lt;='财富模型'!$E$11*12,'Calc'!$W$17,'Calc'!$Y$17)-(IF('Calc'!$E$17=1,0,MIN(Calc!$AQ$324*(1+'财富模型'!$E$20/12)+'Calc'!$B$6,IF(Calc!$AO$325&lt;='财富模型'!$E$11*12,'Calc'!$W$17,'Calc'!$Y$17)))))))</x:f>
      </x:c>
      <x:c r="AU325" t="str">
        <x:f>IF(Calc!$AO$325&gt;'Calc'!$B$8,"",IF('Calc'!$E$17=1,0,MAX(Calc!$AU$324*(1+IF(Calc!$AO$325&lt;='财富模型'!$E$11*12,'财富模型'!$E$10,'财富模型'!$E$12)/12)-IF('Calc'!$E$17=1,0,IF(Calc!$AO$325&lt;='财富模型'!$E$11*12,'Calc'!$W$17,'Calc'!$Y$17)),0)))</x:f>
      </x:c>
    </x:row>
    <x:row r="326">
      <x:c r="A326" t="n">
        <x:v>305</x:v>
      </x:c>
      <x:c r="B326" t="str">
        <x:f>IF(Calc!$A$326&gt;'Calc'!$B$8,"",MAX(Calc!$B$325*(1+'财富模型'!$E$6/12)+('Calc'!$B$5-'财富模型'!$E$5-(IF('Calc'!$E$12=1,'财富模型'!$E$9,'财富模型'!$M$4+IF(Calc!$A$326&lt;='财富模型'!$E$11*12,'Calc'!$W$12,'Calc'!$Y$12)-(IF('Calc'!$E$12=1,0,MIN(Calc!$C$325*(1+'财富模型'!$E$20/12)+'Calc'!$B$6,IF(Calc!$A$326&lt;='财富模型'!$E$11*12,'Calc'!$W$12,'Calc'!$Y$12))))))),0))</x:f>
      </x:c>
      <x:c r="C326" t="str">
        <x:f>IF(Calc!$A$326&gt;'Calc'!$B$8,"",MAX(Calc!$C$325*(1+'财富模型'!$E$20/12)+'Calc'!$B$6-(IF('Calc'!$E$12=1,0,MIN(Calc!$C$325*(1+'财富模型'!$E$20/12)+'Calc'!$B$6,IF(Calc!$A$326&lt;='财富模型'!$E$11*12,'Calc'!$W$12,'Calc'!$Y$12)))),0))</x:f>
      </x:c>
      <x:c r="D326" t="str">
        <x:f>IF(Calc!$A$326&gt;'Calc'!$B$8,"",IF('Calc'!$E$12=1,'财富模型'!$E$9,'财富模型'!$M$4+IF(Calc!$A$326&lt;='财富模型'!$E$11*12,'Calc'!$W$12,'Calc'!$Y$12)-(IF('Calc'!$E$12=1,0,MIN(Calc!$C$325*(1+'财富模型'!$E$20/12)+'Calc'!$B$6,IF(Calc!$A$326&lt;='财富模型'!$E$11*12,'Calc'!$W$12,'Calc'!$Y$12))))))</x:f>
      </x:c>
      <x:c r="E326" t="str">
        <x:f>IF(Calc!$A$326&gt;'Calc'!$B$8,"",IF('Calc'!$E$12=1,0,MIN(Calc!$C$325*(1+'财富模型'!$E$20/12)+'Calc'!$B$6,IF(Calc!$A$326&lt;='财富模型'!$E$11*12,'Calc'!$W$12,'Calc'!$Y$12))))</x:f>
      </x:c>
      <x:c r="F326" t="str">
        <x:f>IF(Calc!$A$326&gt;'Calc'!$B$8,"",'Calc'!$B$5-'财富模型'!$E$5-(IF('Calc'!$E$12=1,'财富模型'!$E$9,'财富模型'!$M$4+IF(Calc!$A$326&lt;='财富模型'!$E$11*12,'Calc'!$W$12,'Calc'!$Y$12)-(IF('Calc'!$E$12=1,0,MIN(Calc!$C$325*(1+'财富模型'!$E$20/12)+'Calc'!$B$6,IF(Calc!$A$326&lt;='财富模型'!$E$11*12,'Calc'!$W$12,'Calc'!$Y$12)))))))</x:f>
      </x:c>
      <x:c r="G326" t="str">
        <x:f>IF(Calc!$A$326&gt;'Calc'!$B$8,"",IF('Calc'!$E$12=1,0,MAX(Calc!$G$325*(1+IF(Calc!$A$326&lt;='财富模型'!$E$11*12,'财富模型'!$E$10,'财富模型'!$E$12)/12)-IF('Calc'!$E$12=1,0,IF(Calc!$A$326&lt;='财富模型'!$E$11*12,'Calc'!$W$12,'Calc'!$Y$12)),0)))</x:f>
      </x:c>
      <x:c r="I326" t="n">
        <x:v>305</x:v>
      </x:c>
      <x:c r="J326" t="str">
        <x:f>IF(Calc!$I$326&gt;'Calc'!$B$8,"",MAX(Calc!$J$325*(1+'财富模型'!$E$6/12)+('Calc'!$B$5-'财富模型'!$E$5-(IF('Calc'!$E$13=1,'财富模型'!$E$9,'财富模型'!$M$5+IF(Calc!$I$326&lt;='财富模型'!$E$11*12,'Calc'!$W$13,'Calc'!$Y$13)-(IF('Calc'!$E$13=1,0,MIN(Calc!$K$325*(1+'财富模型'!$E$20/12)+'Calc'!$B$6,IF(Calc!$I$326&lt;='财富模型'!$E$11*12,'Calc'!$W$13,'Calc'!$Y$13))))))),0))</x:f>
      </x:c>
      <x:c r="K326" t="str">
        <x:f>IF(Calc!$I$326&gt;'Calc'!$B$8,"",MAX(Calc!$K$325*(1+'财富模型'!$E$20/12)+'Calc'!$B$6-(IF('Calc'!$E$13=1,0,MIN(Calc!$K$325*(1+'财富模型'!$E$20/12)+'Calc'!$B$6,IF(Calc!$I$326&lt;='财富模型'!$E$11*12,'Calc'!$W$13,'Calc'!$Y$13)))),0))</x:f>
      </x:c>
      <x:c r="L326" t="str">
        <x:f>IF(Calc!$I$326&gt;'Calc'!$B$8,"",IF('Calc'!$E$13=1,'财富模型'!$E$9,'财富模型'!$M$5+IF(Calc!$I$326&lt;='财富模型'!$E$11*12,'Calc'!$W$13,'Calc'!$Y$13)-(IF('Calc'!$E$13=1,0,MIN(Calc!$K$325*(1+'财富模型'!$E$20/12)+'Calc'!$B$6,IF(Calc!$I$326&lt;='财富模型'!$E$11*12,'Calc'!$W$13,'Calc'!$Y$13))))))</x:f>
      </x:c>
      <x:c r="M326" t="str">
        <x:f>IF(Calc!$I$326&gt;'Calc'!$B$8,"",IF('Calc'!$E$13=1,0,MIN(Calc!$K$325*(1+'财富模型'!$E$20/12)+'Calc'!$B$6,IF(Calc!$I$326&lt;='财富模型'!$E$11*12,'Calc'!$W$13,'Calc'!$Y$13))))</x:f>
      </x:c>
      <x:c r="N326" t="str">
        <x:f>IF(Calc!$I$326&gt;'Calc'!$B$8,"",'Calc'!$B$5-'财富模型'!$E$5-(IF('Calc'!$E$13=1,'财富模型'!$E$9,'财富模型'!$M$5+IF(Calc!$I$326&lt;='财富模型'!$E$11*12,'Calc'!$W$13,'Calc'!$Y$13)-(IF('Calc'!$E$13=1,0,MIN(Calc!$K$325*(1+'财富模型'!$E$20/12)+'Calc'!$B$6,IF(Calc!$I$326&lt;='财富模型'!$E$11*12,'Calc'!$W$13,'Calc'!$Y$13)))))))</x:f>
      </x:c>
      <x:c r="O326" t="str">
        <x:f>IF(Calc!$I$326&gt;'Calc'!$B$8,"",IF('Calc'!$E$13=1,0,MAX(Calc!$O$325*(1+IF(Calc!$I$326&lt;='财富模型'!$E$11*12,'财富模型'!$E$10,'财富模型'!$E$12)/12)-IF('Calc'!$E$13=1,0,IF(Calc!$I$326&lt;='财富模型'!$E$11*12,'Calc'!$W$13,'Calc'!$Y$13)),0)))</x:f>
      </x:c>
      <x:c r="Q326" t="n">
        <x:v>305</x:v>
      </x:c>
      <x:c r="R326" t="str">
        <x:f>IF(Calc!$Q$326&gt;'Calc'!$B$8,"",MAX(Calc!$R$325*(1+'财富模型'!$E$6/12)+('Calc'!$B$5-'财富模型'!$E$5-(IF('Calc'!$E$14=1,'财富模型'!$E$9,'财富模型'!$M$6+IF(Calc!$Q$326&lt;='财富模型'!$E$11*12,'Calc'!$W$14,'Calc'!$Y$14)-(IF('Calc'!$E$14=1,0,MIN(Calc!$S$325*(1+'财富模型'!$E$20/12)+'Calc'!$B$6,IF(Calc!$Q$326&lt;='财富模型'!$E$11*12,'Calc'!$W$14,'Calc'!$Y$14))))))),0))</x:f>
      </x:c>
      <x:c r="S326" t="str">
        <x:f>IF(Calc!$Q$326&gt;'Calc'!$B$8,"",MAX(Calc!$S$325*(1+'财富模型'!$E$20/12)+'Calc'!$B$6-(IF('Calc'!$E$14=1,0,MIN(Calc!$S$325*(1+'财富模型'!$E$20/12)+'Calc'!$B$6,IF(Calc!$Q$326&lt;='财富模型'!$E$11*12,'Calc'!$W$14,'Calc'!$Y$14)))),0))</x:f>
      </x:c>
      <x:c r="T326" t="str">
        <x:f>IF(Calc!$Q$326&gt;'Calc'!$B$8,"",IF('Calc'!$E$14=1,'财富模型'!$E$9,'财富模型'!$M$6+IF(Calc!$Q$326&lt;='财富模型'!$E$11*12,'Calc'!$W$14,'Calc'!$Y$14)-(IF('Calc'!$E$14=1,0,MIN(Calc!$S$325*(1+'财富模型'!$E$20/12)+'Calc'!$B$6,IF(Calc!$Q$326&lt;='财富模型'!$E$11*12,'Calc'!$W$14,'Calc'!$Y$14))))))</x:f>
      </x:c>
      <x:c r="U326" t="str">
        <x:f>IF(Calc!$Q$326&gt;'Calc'!$B$8,"",IF('Calc'!$E$14=1,0,MIN(Calc!$S$325*(1+'财富模型'!$E$20/12)+'Calc'!$B$6,IF(Calc!$Q$326&lt;='财富模型'!$E$11*12,'Calc'!$W$14,'Calc'!$Y$14))))</x:f>
      </x:c>
      <x:c r="V326" t="str">
        <x:f>IF(Calc!$Q$326&gt;'Calc'!$B$8,"",'Calc'!$B$5-'财富模型'!$E$5-(IF('Calc'!$E$14=1,'财富模型'!$E$9,'财富模型'!$M$6+IF(Calc!$Q$326&lt;='财富模型'!$E$11*12,'Calc'!$W$14,'Calc'!$Y$14)-(IF('Calc'!$E$14=1,0,MIN(Calc!$S$325*(1+'财富模型'!$E$20/12)+'Calc'!$B$6,IF(Calc!$Q$326&lt;='财富模型'!$E$11*12,'Calc'!$W$14,'Calc'!$Y$14)))))))</x:f>
      </x:c>
      <x:c r="W326" t="str">
        <x:f>IF(Calc!$Q$326&gt;'Calc'!$B$8,"",IF('Calc'!$E$14=1,0,MAX(Calc!$W$325*(1+IF(Calc!$Q$326&lt;='财富模型'!$E$11*12,'财富模型'!$E$10,'财富模型'!$E$12)/12)-IF('Calc'!$E$14=1,0,IF(Calc!$Q$326&lt;='财富模型'!$E$11*12,'Calc'!$W$14,'Calc'!$Y$14)),0)))</x:f>
      </x:c>
      <x:c r="Y326" t="n">
        <x:v>305</x:v>
      </x:c>
      <x:c r="Z326" t="str">
        <x:f>IF(Calc!$Y$326&gt;'Calc'!$B$8,"",MAX(Calc!$Z$325*(1+'财富模型'!$E$6/12)+('Calc'!$B$5-'财富模型'!$E$5-(IF('Calc'!$E$15=1,'财富模型'!$E$9,'财富模型'!$M$7+IF(Calc!$Y$326&lt;='财富模型'!$E$11*12,'Calc'!$W$15,'Calc'!$Y$15)-(IF('Calc'!$E$15=1,0,MIN(Calc!$AA$325*(1+'财富模型'!$E$20/12)+'Calc'!$B$6,IF(Calc!$Y$326&lt;='财富模型'!$E$11*12,'Calc'!$W$15,'Calc'!$Y$15))))))),0))</x:f>
      </x:c>
      <x:c r="AA326" t="str">
        <x:f>IF(Calc!$Y$326&gt;'Calc'!$B$8,"",MAX(Calc!$AA$325*(1+'财富模型'!$E$20/12)+'Calc'!$B$6-(IF('Calc'!$E$15=1,0,MIN(Calc!$AA$325*(1+'财富模型'!$E$20/12)+'Calc'!$B$6,IF(Calc!$Y$326&lt;='财富模型'!$E$11*12,'Calc'!$W$15,'Calc'!$Y$15)))),0))</x:f>
      </x:c>
      <x:c r="AB326" t="str">
        <x:f>IF(Calc!$Y$326&gt;'Calc'!$B$8,"",IF('Calc'!$E$15=1,'财富模型'!$E$9,'财富模型'!$M$7+IF(Calc!$Y$326&lt;='财富模型'!$E$11*12,'Calc'!$W$15,'Calc'!$Y$15)-(IF('Calc'!$E$15=1,0,MIN(Calc!$AA$325*(1+'财富模型'!$E$20/12)+'Calc'!$B$6,IF(Calc!$Y$326&lt;='财富模型'!$E$11*12,'Calc'!$W$15,'Calc'!$Y$15))))))</x:f>
      </x:c>
      <x:c r="AC326" t="str">
        <x:f>IF(Calc!$Y$326&gt;'Calc'!$B$8,"",IF('Calc'!$E$15=1,0,MIN(Calc!$AA$325*(1+'财富模型'!$E$20/12)+'Calc'!$B$6,IF(Calc!$Y$326&lt;='财富模型'!$E$11*12,'Calc'!$W$15,'Calc'!$Y$15))))</x:f>
      </x:c>
      <x:c r="AD326" t="str">
        <x:f>IF(Calc!$Y$326&gt;'Calc'!$B$8,"",'Calc'!$B$5-'财富模型'!$E$5-(IF('Calc'!$E$15=1,'财富模型'!$E$9,'财富模型'!$M$7+IF(Calc!$Y$326&lt;='财富模型'!$E$11*12,'Calc'!$W$15,'Calc'!$Y$15)-(IF('Calc'!$E$15=1,0,MIN(Calc!$AA$325*(1+'财富模型'!$E$20/12)+'Calc'!$B$6,IF(Calc!$Y$326&lt;='财富模型'!$E$11*12,'Calc'!$W$15,'Calc'!$Y$15)))))))</x:f>
      </x:c>
      <x:c r="AE326" t="str">
        <x:f>IF(Calc!$Y$326&gt;'Calc'!$B$8,"",IF('Calc'!$E$15=1,0,MAX(Calc!$AE$325*(1+IF(Calc!$Y$326&lt;='财富模型'!$E$11*12,'财富模型'!$E$10,'财富模型'!$E$12)/12)-IF('Calc'!$E$15=1,0,IF(Calc!$Y$326&lt;='财富模型'!$E$11*12,'Calc'!$W$15,'Calc'!$Y$15)),0)))</x:f>
      </x:c>
      <x:c r="AG326" t="n">
        <x:v>305</x:v>
      </x:c>
      <x:c r="AH326" t="str">
        <x:f>IF(Calc!$AG$326&gt;'Calc'!$B$8,"",MAX(Calc!$AH$325*(1+'财富模型'!$E$6/12)+('Calc'!$B$5-'财富模型'!$E$5-(IF('Calc'!$E$16=1,'财富模型'!$E$9,'财富模型'!$M$8+IF(Calc!$AG$326&lt;='财富模型'!$E$11*12,'Calc'!$W$16,'Calc'!$Y$16)-(IF('Calc'!$E$16=1,0,MIN(Calc!$AI$325*(1+'财富模型'!$E$20/12)+'Calc'!$B$6,IF(Calc!$AG$326&lt;='财富模型'!$E$11*12,'Calc'!$W$16,'Calc'!$Y$16))))))),0))</x:f>
      </x:c>
      <x:c r="AI326" t="str">
        <x:f>IF(Calc!$AG$326&gt;'Calc'!$B$8,"",MAX(Calc!$AI$325*(1+'财富模型'!$E$20/12)+'Calc'!$B$6-(IF('Calc'!$E$16=1,0,MIN(Calc!$AI$325*(1+'财富模型'!$E$20/12)+'Calc'!$B$6,IF(Calc!$AG$326&lt;='财富模型'!$E$11*12,'Calc'!$W$16,'Calc'!$Y$16)))),0))</x:f>
      </x:c>
      <x:c r="AJ326" t="str">
        <x:f>IF(Calc!$AG$326&gt;'Calc'!$B$8,"",IF('Calc'!$E$16=1,'财富模型'!$E$9,'财富模型'!$M$8+IF(Calc!$AG$326&lt;='财富模型'!$E$11*12,'Calc'!$W$16,'Calc'!$Y$16)-(IF('Calc'!$E$16=1,0,MIN(Calc!$AI$325*(1+'财富模型'!$E$20/12)+'Calc'!$B$6,IF(Calc!$AG$326&lt;='财富模型'!$E$11*12,'Calc'!$W$16,'Calc'!$Y$16))))))</x:f>
      </x:c>
      <x:c r="AK326" t="str">
        <x:f>IF(Calc!$AG$326&gt;'Calc'!$B$8,"",IF('Calc'!$E$16=1,0,MIN(Calc!$AI$325*(1+'财富模型'!$E$20/12)+'Calc'!$B$6,IF(Calc!$AG$326&lt;='财富模型'!$E$11*12,'Calc'!$W$16,'Calc'!$Y$16))))</x:f>
      </x:c>
      <x:c r="AL326" t="str">
        <x:f>IF(Calc!$AG$326&gt;'Calc'!$B$8,"",'Calc'!$B$5-'财富模型'!$E$5-(IF('Calc'!$E$16=1,'财富模型'!$E$9,'财富模型'!$M$8+IF(Calc!$AG$326&lt;='财富模型'!$E$11*12,'Calc'!$W$16,'Calc'!$Y$16)-(IF('Calc'!$E$16=1,0,MIN(Calc!$AI$325*(1+'财富模型'!$E$20/12)+'Calc'!$B$6,IF(Calc!$AG$326&lt;='财富模型'!$E$11*12,'Calc'!$W$16,'Calc'!$Y$16)))))))</x:f>
      </x:c>
      <x:c r="AM326" t="str">
        <x:f>IF(Calc!$AG$326&gt;'Calc'!$B$8,"",IF('Calc'!$E$16=1,0,MAX(Calc!$AM$325*(1+IF(Calc!$AG$326&lt;='财富模型'!$E$11*12,'财富模型'!$E$10,'财富模型'!$E$12)/12)-IF('Calc'!$E$16=1,0,IF(Calc!$AG$326&lt;='财富模型'!$E$11*12,'Calc'!$W$16,'Calc'!$Y$16)),0)))</x:f>
      </x:c>
      <x:c r="AO326" t="n">
        <x:v>305</x:v>
      </x:c>
      <x:c r="AP326" t="str">
        <x:f>IF(Calc!$AO$326&gt;'Calc'!$B$8,"",MAX(Calc!$AP$325*(1+'财富模型'!$E$6/12)+('Calc'!$B$5-'财富模型'!$E$5-(IF('Calc'!$E$17=1,'财富模型'!$E$9,'财富模型'!$M$9+IF(Calc!$AO$326&lt;='财富模型'!$E$11*12,'Calc'!$W$17,'Calc'!$Y$17)-(IF('Calc'!$E$17=1,0,MIN(Calc!$AQ$325*(1+'财富模型'!$E$20/12)+'Calc'!$B$6,IF(Calc!$AO$326&lt;='财富模型'!$E$11*12,'Calc'!$W$17,'Calc'!$Y$17))))))),0))</x:f>
      </x:c>
      <x:c r="AQ326" t="str">
        <x:f>IF(Calc!$AO$326&gt;'Calc'!$B$8,"",MAX(Calc!$AQ$325*(1+'财富模型'!$E$20/12)+'Calc'!$B$6-(IF('Calc'!$E$17=1,0,MIN(Calc!$AQ$325*(1+'财富模型'!$E$20/12)+'Calc'!$B$6,IF(Calc!$AO$326&lt;='财富模型'!$E$11*12,'Calc'!$W$17,'Calc'!$Y$17)))),0))</x:f>
      </x:c>
      <x:c r="AR326" t="str">
        <x:f>IF(Calc!$AO$326&gt;'Calc'!$B$8,"",IF('Calc'!$E$17=1,'财富模型'!$E$9,'财富模型'!$M$9+IF(Calc!$AO$326&lt;='财富模型'!$E$11*12,'Calc'!$W$17,'Calc'!$Y$17)-(IF('Calc'!$E$17=1,0,MIN(Calc!$AQ$325*(1+'财富模型'!$E$20/12)+'Calc'!$B$6,IF(Calc!$AO$326&lt;='财富模型'!$E$11*12,'Calc'!$W$17,'Calc'!$Y$17))))))</x:f>
      </x:c>
      <x:c r="AS326" t="str">
        <x:f>IF(Calc!$AO$326&gt;'Calc'!$B$8,"",IF('Calc'!$E$17=1,0,MIN(Calc!$AQ$325*(1+'财富模型'!$E$20/12)+'Calc'!$B$6,IF(Calc!$AO$326&lt;='财富模型'!$E$11*12,'Calc'!$W$17,'Calc'!$Y$17))))</x:f>
      </x:c>
      <x:c r="AT326" t="str">
        <x:f>IF(Calc!$AO$326&gt;'Calc'!$B$8,"",'Calc'!$B$5-'财富模型'!$E$5-(IF('Calc'!$E$17=1,'财富模型'!$E$9,'财富模型'!$M$9+IF(Calc!$AO$326&lt;='财富模型'!$E$11*12,'Calc'!$W$17,'Calc'!$Y$17)-(IF('Calc'!$E$17=1,0,MIN(Calc!$AQ$325*(1+'财富模型'!$E$20/12)+'Calc'!$B$6,IF(Calc!$AO$326&lt;='财富模型'!$E$11*12,'Calc'!$W$17,'Calc'!$Y$17)))))))</x:f>
      </x:c>
      <x:c r="AU326" t="str">
        <x:f>IF(Calc!$AO$326&gt;'Calc'!$B$8,"",IF('Calc'!$E$17=1,0,MAX(Calc!$AU$325*(1+IF(Calc!$AO$326&lt;='财富模型'!$E$11*12,'财富模型'!$E$10,'财富模型'!$E$12)/12)-IF('Calc'!$E$17=1,0,IF(Calc!$AO$326&lt;='财富模型'!$E$11*12,'Calc'!$W$17,'Calc'!$Y$17)),0)))</x:f>
      </x:c>
    </x:row>
    <x:row r="327">
      <x:c r="A327" t="n">
        <x:v>306</x:v>
      </x:c>
      <x:c r="B327" t="str">
        <x:f>IF(Calc!$A$327&gt;'Calc'!$B$8,"",MAX(Calc!$B$326*(1+'财富模型'!$E$6/12)+('Calc'!$B$5-'财富模型'!$E$5-(IF('Calc'!$E$12=1,'财富模型'!$E$9,'财富模型'!$M$4+IF(Calc!$A$327&lt;='财富模型'!$E$11*12,'Calc'!$W$12,'Calc'!$Y$12)-(IF('Calc'!$E$12=1,0,MIN(Calc!$C$326*(1+'财富模型'!$E$20/12)+'Calc'!$B$6,IF(Calc!$A$327&lt;='财富模型'!$E$11*12,'Calc'!$W$12,'Calc'!$Y$12))))))),0))</x:f>
      </x:c>
      <x:c r="C327" t="str">
        <x:f>IF(Calc!$A$327&gt;'Calc'!$B$8,"",MAX(Calc!$C$326*(1+'财富模型'!$E$20/12)+'Calc'!$B$6-(IF('Calc'!$E$12=1,0,MIN(Calc!$C$326*(1+'财富模型'!$E$20/12)+'Calc'!$B$6,IF(Calc!$A$327&lt;='财富模型'!$E$11*12,'Calc'!$W$12,'Calc'!$Y$12)))),0))</x:f>
      </x:c>
      <x:c r="D327" t="str">
        <x:f>IF(Calc!$A$327&gt;'Calc'!$B$8,"",IF('Calc'!$E$12=1,'财富模型'!$E$9,'财富模型'!$M$4+IF(Calc!$A$327&lt;='财富模型'!$E$11*12,'Calc'!$W$12,'Calc'!$Y$12)-(IF('Calc'!$E$12=1,0,MIN(Calc!$C$326*(1+'财富模型'!$E$20/12)+'Calc'!$B$6,IF(Calc!$A$327&lt;='财富模型'!$E$11*12,'Calc'!$W$12,'Calc'!$Y$12))))))</x:f>
      </x:c>
      <x:c r="E327" t="str">
        <x:f>IF(Calc!$A$327&gt;'Calc'!$B$8,"",IF('Calc'!$E$12=1,0,MIN(Calc!$C$326*(1+'财富模型'!$E$20/12)+'Calc'!$B$6,IF(Calc!$A$327&lt;='财富模型'!$E$11*12,'Calc'!$W$12,'Calc'!$Y$12))))</x:f>
      </x:c>
      <x:c r="F327" t="str">
        <x:f>IF(Calc!$A$327&gt;'Calc'!$B$8,"",'Calc'!$B$5-'财富模型'!$E$5-(IF('Calc'!$E$12=1,'财富模型'!$E$9,'财富模型'!$M$4+IF(Calc!$A$327&lt;='财富模型'!$E$11*12,'Calc'!$W$12,'Calc'!$Y$12)-(IF('Calc'!$E$12=1,0,MIN(Calc!$C$326*(1+'财富模型'!$E$20/12)+'Calc'!$B$6,IF(Calc!$A$327&lt;='财富模型'!$E$11*12,'Calc'!$W$12,'Calc'!$Y$12)))))))</x:f>
      </x:c>
      <x:c r="G327" t="str">
        <x:f>IF(Calc!$A$327&gt;'Calc'!$B$8,"",IF('Calc'!$E$12=1,0,MAX(Calc!$G$326*(1+IF(Calc!$A$327&lt;='财富模型'!$E$11*12,'财富模型'!$E$10,'财富模型'!$E$12)/12)-IF('Calc'!$E$12=1,0,IF(Calc!$A$327&lt;='财富模型'!$E$11*12,'Calc'!$W$12,'Calc'!$Y$12)),0)))</x:f>
      </x:c>
      <x:c r="I327" t="n">
        <x:v>306</x:v>
      </x:c>
      <x:c r="J327" t="str">
        <x:f>IF(Calc!$I$327&gt;'Calc'!$B$8,"",MAX(Calc!$J$326*(1+'财富模型'!$E$6/12)+('Calc'!$B$5-'财富模型'!$E$5-(IF('Calc'!$E$13=1,'财富模型'!$E$9,'财富模型'!$M$5+IF(Calc!$I$327&lt;='财富模型'!$E$11*12,'Calc'!$W$13,'Calc'!$Y$13)-(IF('Calc'!$E$13=1,0,MIN(Calc!$K$326*(1+'财富模型'!$E$20/12)+'Calc'!$B$6,IF(Calc!$I$327&lt;='财富模型'!$E$11*12,'Calc'!$W$13,'Calc'!$Y$13))))))),0))</x:f>
      </x:c>
      <x:c r="K327" t="str">
        <x:f>IF(Calc!$I$327&gt;'Calc'!$B$8,"",MAX(Calc!$K$326*(1+'财富模型'!$E$20/12)+'Calc'!$B$6-(IF('Calc'!$E$13=1,0,MIN(Calc!$K$326*(1+'财富模型'!$E$20/12)+'Calc'!$B$6,IF(Calc!$I$327&lt;='财富模型'!$E$11*12,'Calc'!$W$13,'Calc'!$Y$13)))),0))</x:f>
      </x:c>
      <x:c r="L327" t="str">
        <x:f>IF(Calc!$I$327&gt;'Calc'!$B$8,"",IF('Calc'!$E$13=1,'财富模型'!$E$9,'财富模型'!$M$5+IF(Calc!$I$327&lt;='财富模型'!$E$11*12,'Calc'!$W$13,'Calc'!$Y$13)-(IF('Calc'!$E$13=1,0,MIN(Calc!$K$326*(1+'财富模型'!$E$20/12)+'Calc'!$B$6,IF(Calc!$I$327&lt;='财富模型'!$E$11*12,'Calc'!$W$13,'Calc'!$Y$13))))))</x:f>
      </x:c>
      <x:c r="M327" t="str">
        <x:f>IF(Calc!$I$327&gt;'Calc'!$B$8,"",IF('Calc'!$E$13=1,0,MIN(Calc!$K$326*(1+'财富模型'!$E$20/12)+'Calc'!$B$6,IF(Calc!$I$327&lt;='财富模型'!$E$11*12,'Calc'!$W$13,'Calc'!$Y$13))))</x:f>
      </x:c>
      <x:c r="N327" t="str">
        <x:f>IF(Calc!$I$327&gt;'Calc'!$B$8,"",'Calc'!$B$5-'财富模型'!$E$5-(IF('Calc'!$E$13=1,'财富模型'!$E$9,'财富模型'!$M$5+IF(Calc!$I$327&lt;='财富模型'!$E$11*12,'Calc'!$W$13,'Calc'!$Y$13)-(IF('Calc'!$E$13=1,0,MIN(Calc!$K$326*(1+'财富模型'!$E$20/12)+'Calc'!$B$6,IF(Calc!$I$327&lt;='财富模型'!$E$11*12,'Calc'!$W$13,'Calc'!$Y$13)))))))</x:f>
      </x:c>
      <x:c r="O327" t="str">
        <x:f>IF(Calc!$I$327&gt;'Calc'!$B$8,"",IF('Calc'!$E$13=1,0,MAX(Calc!$O$326*(1+IF(Calc!$I$327&lt;='财富模型'!$E$11*12,'财富模型'!$E$10,'财富模型'!$E$12)/12)-IF('Calc'!$E$13=1,0,IF(Calc!$I$327&lt;='财富模型'!$E$11*12,'Calc'!$W$13,'Calc'!$Y$13)),0)))</x:f>
      </x:c>
      <x:c r="Q327" t="n">
        <x:v>306</x:v>
      </x:c>
      <x:c r="R327" t="str">
        <x:f>IF(Calc!$Q$327&gt;'Calc'!$B$8,"",MAX(Calc!$R$326*(1+'财富模型'!$E$6/12)+('Calc'!$B$5-'财富模型'!$E$5-(IF('Calc'!$E$14=1,'财富模型'!$E$9,'财富模型'!$M$6+IF(Calc!$Q$327&lt;='财富模型'!$E$11*12,'Calc'!$W$14,'Calc'!$Y$14)-(IF('Calc'!$E$14=1,0,MIN(Calc!$S$326*(1+'财富模型'!$E$20/12)+'Calc'!$B$6,IF(Calc!$Q$327&lt;='财富模型'!$E$11*12,'Calc'!$W$14,'Calc'!$Y$14))))))),0))</x:f>
      </x:c>
      <x:c r="S327" t="str">
        <x:f>IF(Calc!$Q$327&gt;'Calc'!$B$8,"",MAX(Calc!$S$326*(1+'财富模型'!$E$20/12)+'Calc'!$B$6-(IF('Calc'!$E$14=1,0,MIN(Calc!$S$326*(1+'财富模型'!$E$20/12)+'Calc'!$B$6,IF(Calc!$Q$327&lt;='财富模型'!$E$11*12,'Calc'!$W$14,'Calc'!$Y$14)))),0))</x:f>
      </x:c>
      <x:c r="T327" t="str">
        <x:f>IF(Calc!$Q$327&gt;'Calc'!$B$8,"",IF('Calc'!$E$14=1,'财富模型'!$E$9,'财富模型'!$M$6+IF(Calc!$Q$327&lt;='财富模型'!$E$11*12,'Calc'!$W$14,'Calc'!$Y$14)-(IF('Calc'!$E$14=1,0,MIN(Calc!$S$326*(1+'财富模型'!$E$20/12)+'Calc'!$B$6,IF(Calc!$Q$327&lt;='财富模型'!$E$11*12,'Calc'!$W$14,'Calc'!$Y$14))))))</x:f>
      </x:c>
      <x:c r="U327" t="str">
        <x:f>IF(Calc!$Q$327&gt;'Calc'!$B$8,"",IF('Calc'!$E$14=1,0,MIN(Calc!$S$326*(1+'财富模型'!$E$20/12)+'Calc'!$B$6,IF(Calc!$Q$327&lt;='财富模型'!$E$11*12,'Calc'!$W$14,'Calc'!$Y$14))))</x:f>
      </x:c>
      <x:c r="V327" t="str">
        <x:f>IF(Calc!$Q$327&gt;'Calc'!$B$8,"",'Calc'!$B$5-'财富模型'!$E$5-(IF('Calc'!$E$14=1,'财富模型'!$E$9,'财富模型'!$M$6+IF(Calc!$Q$327&lt;='财富模型'!$E$11*12,'Calc'!$W$14,'Calc'!$Y$14)-(IF('Calc'!$E$14=1,0,MIN(Calc!$S$326*(1+'财富模型'!$E$20/12)+'Calc'!$B$6,IF(Calc!$Q$327&lt;='财富模型'!$E$11*12,'Calc'!$W$14,'Calc'!$Y$14)))))))</x:f>
      </x:c>
      <x:c r="W327" t="str">
        <x:f>IF(Calc!$Q$327&gt;'Calc'!$B$8,"",IF('Calc'!$E$14=1,0,MAX(Calc!$W$326*(1+IF(Calc!$Q$327&lt;='财富模型'!$E$11*12,'财富模型'!$E$10,'财富模型'!$E$12)/12)-IF('Calc'!$E$14=1,0,IF(Calc!$Q$327&lt;='财富模型'!$E$11*12,'Calc'!$W$14,'Calc'!$Y$14)),0)))</x:f>
      </x:c>
      <x:c r="Y327" t="n">
        <x:v>306</x:v>
      </x:c>
      <x:c r="Z327" t="str">
        <x:f>IF(Calc!$Y$327&gt;'Calc'!$B$8,"",MAX(Calc!$Z$326*(1+'财富模型'!$E$6/12)+('Calc'!$B$5-'财富模型'!$E$5-(IF('Calc'!$E$15=1,'财富模型'!$E$9,'财富模型'!$M$7+IF(Calc!$Y$327&lt;='财富模型'!$E$11*12,'Calc'!$W$15,'Calc'!$Y$15)-(IF('Calc'!$E$15=1,0,MIN(Calc!$AA$326*(1+'财富模型'!$E$20/12)+'Calc'!$B$6,IF(Calc!$Y$327&lt;='财富模型'!$E$11*12,'Calc'!$W$15,'Calc'!$Y$15))))))),0))</x:f>
      </x:c>
      <x:c r="AA327" t="str">
        <x:f>IF(Calc!$Y$327&gt;'Calc'!$B$8,"",MAX(Calc!$AA$326*(1+'财富模型'!$E$20/12)+'Calc'!$B$6-(IF('Calc'!$E$15=1,0,MIN(Calc!$AA$326*(1+'财富模型'!$E$20/12)+'Calc'!$B$6,IF(Calc!$Y$327&lt;='财富模型'!$E$11*12,'Calc'!$W$15,'Calc'!$Y$15)))),0))</x:f>
      </x:c>
      <x:c r="AB327" t="str">
        <x:f>IF(Calc!$Y$327&gt;'Calc'!$B$8,"",IF('Calc'!$E$15=1,'财富模型'!$E$9,'财富模型'!$M$7+IF(Calc!$Y$327&lt;='财富模型'!$E$11*12,'Calc'!$W$15,'Calc'!$Y$15)-(IF('Calc'!$E$15=1,0,MIN(Calc!$AA$326*(1+'财富模型'!$E$20/12)+'Calc'!$B$6,IF(Calc!$Y$327&lt;='财富模型'!$E$11*12,'Calc'!$W$15,'Calc'!$Y$15))))))</x:f>
      </x:c>
      <x:c r="AC327" t="str">
        <x:f>IF(Calc!$Y$327&gt;'Calc'!$B$8,"",IF('Calc'!$E$15=1,0,MIN(Calc!$AA$326*(1+'财富模型'!$E$20/12)+'Calc'!$B$6,IF(Calc!$Y$327&lt;='财富模型'!$E$11*12,'Calc'!$W$15,'Calc'!$Y$15))))</x:f>
      </x:c>
      <x:c r="AD327" t="str">
        <x:f>IF(Calc!$Y$327&gt;'Calc'!$B$8,"",'Calc'!$B$5-'财富模型'!$E$5-(IF('Calc'!$E$15=1,'财富模型'!$E$9,'财富模型'!$M$7+IF(Calc!$Y$327&lt;='财富模型'!$E$11*12,'Calc'!$W$15,'Calc'!$Y$15)-(IF('Calc'!$E$15=1,0,MIN(Calc!$AA$326*(1+'财富模型'!$E$20/12)+'Calc'!$B$6,IF(Calc!$Y$327&lt;='财富模型'!$E$11*12,'Calc'!$W$15,'Calc'!$Y$15)))))))</x:f>
      </x:c>
      <x:c r="AE327" t="str">
        <x:f>IF(Calc!$Y$327&gt;'Calc'!$B$8,"",IF('Calc'!$E$15=1,0,MAX(Calc!$AE$326*(1+IF(Calc!$Y$327&lt;='财富模型'!$E$11*12,'财富模型'!$E$10,'财富模型'!$E$12)/12)-IF('Calc'!$E$15=1,0,IF(Calc!$Y$327&lt;='财富模型'!$E$11*12,'Calc'!$W$15,'Calc'!$Y$15)),0)))</x:f>
      </x:c>
      <x:c r="AG327" t="n">
        <x:v>306</x:v>
      </x:c>
      <x:c r="AH327" t="str">
        <x:f>IF(Calc!$AG$327&gt;'Calc'!$B$8,"",MAX(Calc!$AH$326*(1+'财富模型'!$E$6/12)+('Calc'!$B$5-'财富模型'!$E$5-(IF('Calc'!$E$16=1,'财富模型'!$E$9,'财富模型'!$M$8+IF(Calc!$AG$327&lt;='财富模型'!$E$11*12,'Calc'!$W$16,'Calc'!$Y$16)-(IF('Calc'!$E$16=1,0,MIN(Calc!$AI$326*(1+'财富模型'!$E$20/12)+'Calc'!$B$6,IF(Calc!$AG$327&lt;='财富模型'!$E$11*12,'Calc'!$W$16,'Calc'!$Y$16))))))),0))</x:f>
      </x:c>
      <x:c r="AI327" t="str">
        <x:f>IF(Calc!$AG$327&gt;'Calc'!$B$8,"",MAX(Calc!$AI$326*(1+'财富模型'!$E$20/12)+'Calc'!$B$6-(IF('Calc'!$E$16=1,0,MIN(Calc!$AI$326*(1+'财富模型'!$E$20/12)+'Calc'!$B$6,IF(Calc!$AG$327&lt;='财富模型'!$E$11*12,'Calc'!$W$16,'Calc'!$Y$16)))),0))</x:f>
      </x:c>
      <x:c r="AJ327" t="str">
        <x:f>IF(Calc!$AG$327&gt;'Calc'!$B$8,"",IF('Calc'!$E$16=1,'财富模型'!$E$9,'财富模型'!$M$8+IF(Calc!$AG$327&lt;='财富模型'!$E$11*12,'Calc'!$W$16,'Calc'!$Y$16)-(IF('Calc'!$E$16=1,0,MIN(Calc!$AI$326*(1+'财富模型'!$E$20/12)+'Calc'!$B$6,IF(Calc!$AG$327&lt;='财富模型'!$E$11*12,'Calc'!$W$16,'Calc'!$Y$16))))))</x:f>
      </x:c>
      <x:c r="AK327" t="str">
        <x:f>IF(Calc!$AG$327&gt;'Calc'!$B$8,"",IF('Calc'!$E$16=1,0,MIN(Calc!$AI$326*(1+'财富模型'!$E$20/12)+'Calc'!$B$6,IF(Calc!$AG$327&lt;='财富模型'!$E$11*12,'Calc'!$W$16,'Calc'!$Y$16))))</x:f>
      </x:c>
      <x:c r="AL327" t="str">
        <x:f>IF(Calc!$AG$327&gt;'Calc'!$B$8,"",'Calc'!$B$5-'财富模型'!$E$5-(IF('Calc'!$E$16=1,'财富模型'!$E$9,'财富模型'!$M$8+IF(Calc!$AG$327&lt;='财富模型'!$E$11*12,'Calc'!$W$16,'Calc'!$Y$16)-(IF('Calc'!$E$16=1,0,MIN(Calc!$AI$326*(1+'财富模型'!$E$20/12)+'Calc'!$B$6,IF(Calc!$AG$327&lt;='财富模型'!$E$11*12,'Calc'!$W$16,'Calc'!$Y$16)))))))</x:f>
      </x:c>
      <x:c r="AM327" t="str">
        <x:f>IF(Calc!$AG$327&gt;'Calc'!$B$8,"",IF('Calc'!$E$16=1,0,MAX(Calc!$AM$326*(1+IF(Calc!$AG$327&lt;='财富模型'!$E$11*12,'财富模型'!$E$10,'财富模型'!$E$12)/12)-IF('Calc'!$E$16=1,0,IF(Calc!$AG$327&lt;='财富模型'!$E$11*12,'Calc'!$W$16,'Calc'!$Y$16)),0)))</x:f>
      </x:c>
      <x:c r="AO327" t="n">
        <x:v>306</x:v>
      </x:c>
      <x:c r="AP327" t="str">
        <x:f>IF(Calc!$AO$327&gt;'Calc'!$B$8,"",MAX(Calc!$AP$326*(1+'财富模型'!$E$6/12)+('Calc'!$B$5-'财富模型'!$E$5-(IF('Calc'!$E$17=1,'财富模型'!$E$9,'财富模型'!$M$9+IF(Calc!$AO$327&lt;='财富模型'!$E$11*12,'Calc'!$W$17,'Calc'!$Y$17)-(IF('Calc'!$E$17=1,0,MIN(Calc!$AQ$326*(1+'财富模型'!$E$20/12)+'Calc'!$B$6,IF(Calc!$AO$327&lt;='财富模型'!$E$11*12,'Calc'!$W$17,'Calc'!$Y$17))))))),0))</x:f>
      </x:c>
      <x:c r="AQ327" t="str">
        <x:f>IF(Calc!$AO$327&gt;'Calc'!$B$8,"",MAX(Calc!$AQ$326*(1+'财富模型'!$E$20/12)+'Calc'!$B$6-(IF('Calc'!$E$17=1,0,MIN(Calc!$AQ$326*(1+'财富模型'!$E$20/12)+'Calc'!$B$6,IF(Calc!$AO$327&lt;='财富模型'!$E$11*12,'Calc'!$W$17,'Calc'!$Y$17)))),0))</x:f>
      </x:c>
      <x:c r="AR327" t="str">
        <x:f>IF(Calc!$AO$327&gt;'Calc'!$B$8,"",IF('Calc'!$E$17=1,'财富模型'!$E$9,'财富模型'!$M$9+IF(Calc!$AO$327&lt;='财富模型'!$E$11*12,'Calc'!$W$17,'Calc'!$Y$17)-(IF('Calc'!$E$17=1,0,MIN(Calc!$AQ$326*(1+'财富模型'!$E$20/12)+'Calc'!$B$6,IF(Calc!$AO$327&lt;='财富模型'!$E$11*12,'Calc'!$W$17,'Calc'!$Y$17))))))</x:f>
      </x:c>
      <x:c r="AS327" t="str">
        <x:f>IF(Calc!$AO$327&gt;'Calc'!$B$8,"",IF('Calc'!$E$17=1,0,MIN(Calc!$AQ$326*(1+'财富模型'!$E$20/12)+'Calc'!$B$6,IF(Calc!$AO$327&lt;='财富模型'!$E$11*12,'Calc'!$W$17,'Calc'!$Y$17))))</x:f>
      </x:c>
      <x:c r="AT327" t="str">
        <x:f>IF(Calc!$AO$327&gt;'Calc'!$B$8,"",'Calc'!$B$5-'财富模型'!$E$5-(IF('Calc'!$E$17=1,'财富模型'!$E$9,'财富模型'!$M$9+IF(Calc!$AO$327&lt;='财富模型'!$E$11*12,'Calc'!$W$17,'Calc'!$Y$17)-(IF('Calc'!$E$17=1,0,MIN(Calc!$AQ$326*(1+'财富模型'!$E$20/12)+'Calc'!$B$6,IF(Calc!$AO$327&lt;='财富模型'!$E$11*12,'Calc'!$W$17,'Calc'!$Y$17)))))))</x:f>
      </x:c>
      <x:c r="AU327" t="str">
        <x:f>IF(Calc!$AO$327&gt;'Calc'!$B$8,"",IF('Calc'!$E$17=1,0,MAX(Calc!$AU$326*(1+IF(Calc!$AO$327&lt;='财富模型'!$E$11*12,'财富模型'!$E$10,'财富模型'!$E$12)/12)-IF('Calc'!$E$17=1,0,IF(Calc!$AO$327&lt;='财富模型'!$E$11*12,'Calc'!$W$17,'Calc'!$Y$17)),0)))</x:f>
      </x:c>
    </x:row>
    <x:row r="328">
      <x:c r="A328" t="n">
        <x:v>307</x:v>
      </x:c>
      <x:c r="B328" t="str">
        <x:f>IF(Calc!$A$328&gt;'Calc'!$B$8,"",MAX(Calc!$B$327*(1+'财富模型'!$E$6/12)+('Calc'!$B$5-'财富模型'!$E$5-(IF('Calc'!$E$12=1,'财富模型'!$E$9,'财富模型'!$M$4+IF(Calc!$A$328&lt;='财富模型'!$E$11*12,'Calc'!$W$12,'Calc'!$Y$12)-(IF('Calc'!$E$12=1,0,MIN(Calc!$C$327*(1+'财富模型'!$E$20/12)+'Calc'!$B$6,IF(Calc!$A$328&lt;='财富模型'!$E$11*12,'Calc'!$W$12,'Calc'!$Y$12))))))),0))</x:f>
      </x:c>
      <x:c r="C328" t="str">
        <x:f>IF(Calc!$A$328&gt;'Calc'!$B$8,"",MAX(Calc!$C$327*(1+'财富模型'!$E$20/12)+'Calc'!$B$6-(IF('Calc'!$E$12=1,0,MIN(Calc!$C$327*(1+'财富模型'!$E$20/12)+'Calc'!$B$6,IF(Calc!$A$328&lt;='财富模型'!$E$11*12,'Calc'!$W$12,'Calc'!$Y$12)))),0))</x:f>
      </x:c>
      <x:c r="D328" t="str">
        <x:f>IF(Calc!$A$328&gt;'Calc'!$B$8,"",IF('Calc'!$E$12=1,'财富模型'!$E$9,'财富模型'!$M$4+IF(Calc!$A$328&lt;='财富模型'!$E$11*12,'Calc'!$W$12,'Calc'!$Y$12)-(IF('Calc'!$E$12=1,0,MIN(Calc!$C$327*(1+'财富模型'!$E$20/12)+'Calc'!$B$6,IF(Calc!$A$328&lt;='财富模型'!$E$11*12,'Calc'!$W$12,'Calc'!$Y$12))))))</x:f>
      </x:c>
      <x:c r="E328" t="str">
        <x:f>IF(Calc!$A$328&gt;'Calc'!$B$8,"",IF('Calc'!$E$12=1,0,MIN(Calc!$C$327*(1+'财富模型'!$E$20/12)+'Calc'!$B$6,IF(Calc!$A$328&lt;='财富模型'!$E$11*12,'Calc'!$W$12,'Calc'!$Y$12))))</x:f>
      </x:c>
      <x:c r="F328" t="str">
        <x:f>IF(Calc!$A$328&gt;'Calc'!$B$8,"",'Calc'!$B$5-'财富模型'!$E$5-(IF('Calc'!$E$12=1,'财富模型'!$E$9,'财富模型'!$M$4+IF(Calc!$A$328&lt;='财富模型'!$E$11*12,'Calc'!$W$12,'Calc'!$Y$12)-(IF('Calc'!$E$12=1,0,MIN(Calc!$C$327*(1+'财富模型'!$E$20/12)+'Calc'!$B$6,IF(Calc!$A$328&lt;='财富模型'!$E$11*12,'Calc'!$W$12,'Calc'!$Y$12)))))))</x:f>
      </x:c>
      <x:c r="G328" t="str">
        <x:f>IF(Calc!$A$328&gt;'Calc'!$B$8,"",IF('Calc'!$E$12=1,0,MAX(Calc!$G$327*(1+IF(Calc!$A$328&lt;='财富模型'!$E$11*12,'财富模型'!$E$10,'财富模型'!$E$12)/12)-IF('Calc'!$E$12=1,0,IF(Calc!$A$328&lt;='财富模型'!$E$11*12,'Calc'!$W$12,'Calc'!$Y$12)),0)))</x:f>
      </x:c>
      <x:c r="I328" t="n">
        <x:v>307</x:v>
      </x:c>
      <x:c r="J328" t="str">
        <x:f>IF(Calc!$I$328&gt;'Calc'!$B$8,"",MAX(Calc!$J$327*(1+'财富模型'!$E$6/12)+('Calc'!$B$5-'财富模型'!$E$5-(IF('Calc'!$E$13=1,'财富模型'!$E$9,'财富模型'!$M$5+IF(Calc!$I$328&lt;='财富模型'!$E$11*12,'Calc'!$W$13,'Calc'!$Y$13)-(IF('Calc'!$E$13=1,0,MIN(Calc!$K$327*(1+'财富模型'!$E$20/12)+'Calc'!$B$6,IF(Calc!$I$328&lt;='财富模型'!$E$11*12,'Calc'!$W$13,'Calc'!$Y$13))))))),0))</x:f>
      </x:c>
      <x:c r="K328" t="str">
        <x:f>IF(Calc!$I$328&gt;'Calc'!$B$8,"",MAX(Calc!$K$327*(1+'财富模型'!$E$20/12)+'Calc'!$B$6-(IF('Calc'!$E$13=1,0,MIN(Calc!$K$327*(1+'财富模型'!$E$20/12)+'Calc'!$B$6,IF(Calc!$I$328&lt;='财富模型'!$E$11*12,'Calc'!$W$13,'Calc'!$Y$13)))),0))</x:f>
      </x:c>
      <x:c r="L328" t="str">
        <x:f>IF(Calc!$I$328&gt;'Calc'!$B$8,"",IF('Calc'!$E$13=1,'财富模型'!$E$9,'财富模型'!$M$5+IF(Calc!$I$328&lt;='财富模型'!$E$11*12,'Calc'!$W$13,'Calc'!$Y$13)-(IF('Calc'!$E$13=1,0,MIN(Calc!$K$327*(1+'财富模型'!$E$20/12)+'Calc'!$B$6,IF(Calc!$I$328&lt;='财富模型'!$E$11*12,'Calc'!$W$13,'Calc'!$Y$13))))))</x:f>
      </x:c>
      <x:c r="M328" t="str">
        <x:f>IF(Calc!$I$328&gt;'Calc'!$B$8,"",IF('Calc'!$E$13=1,0,MIN(Calc!$K$327*(1+'财富模型'!$E$20/12)+'Calc'!$B$6,IF(Calc!$I$328&lt;='财富模型'!$E$11*12,'Calc'!$W$13,'Calc'!$Y$13))))</x:f>
      </x:c>
      <x:c r="N328" t="str">
        <x:f>IF(Calc!$I$328&gt;'Calc'!$B$8,"",'Calc'!$B$5-'财富模型'!$E$5-(IF('Calc'!$E$13=1,'财富模型'!$E$9,'财富模型'!$M$5+IF(Calc!$I$328&lt;='财富模型'!$E$11*12,'Calc'!$W$13,'Calc'!$Y$13)-(IF('Calc'!$E$13=1,0,MIN(Calc!$K$327*(1+'财富模型'!$E$20/12)+'Calc'!$B$6,IF(Calc!$I$328&lt;='财富模型'!$E$11*12,'Calc'!$W$13,'Calc'!$Y$13)))))))</x:f>
      </x:c>
      <x:c r="O328" t="str">
        <x:f>IF(Calc!$I$328&gt;'Calc'!$B$8,"",IF('Calc'!$E$13=1,0,MAX(Calc!$O$327*(1+IF(Calc!$I$328&lt;='财富模型'!$E$11*12,'财富模型'!$E$10,'财富模型'!$E$12)/12)-IF('Calc'!$E$13=1,0,IF(Calc!$I$328&lt;='财富模型'!$E$11*12,'Calc'!$W$13,'Calc'!$Y$13)),0)))</x:f>
      </x:c>
      <x:c r="Q328" t="n">
        <x:v>307</x:v>
      </x:c>
      <x:c r="R328" t="str">
        <x:f>IF(Calc!$Q$328&gt;'Calc'!$B$8,"",MAX(Calc!$R$327*(1+'财富模型'!$E$6/12)+('Calc'!$B$5-'财富模型'!$E$5-(IF('Calc'!$E$14=1,'财富模型'!$E$9,'财富模型'!$M$6+IF(Calc!$Q$328&lt;='财富模型'!$E$11*12,'Calc'!$W$14,'Calc'!$Y$14)-(IF('Calc'!$E$14=1,0,MIN(Calc!$S$327*(1+'财富模型'!$E$20/12)+'Calc'!$B$6,IF(Calc!$Q$328&lt;='财富模型'!$E$11*12,'Calc'!$W$14,'Calc'!$Y$14))))))),0))</x:f>
      </x:c>
      <x:c r="S328" t="str">
        <x:f>IF(Calc!$Q$328&gt;'Calc'!$B$8,"",MAX(Calc!$S$327*(1+'财富模型'!$E$20/12)+'Calc'!$B$6-(IF('Calc'!$E$14=1,0,MIN(Calc!$S$327*(1+'财富模型'!$E$20/12)+'Calc'!$B$6,IF(Calc!$Q$328&lt;='财富模型'!$E$11*12,'Calc'!$W$14,'Calc'!$Y$14)))),0))</x:f>
      </x:c>
      <x:c r="T328" t="str">
        <x:f>IF(Calc!$Q$328&gt;'Calc'!$B$8,"",IF('Calc'!$E$14=1,'财富模型'!$E$9,'财富模型'!$M$6+IF(Calc!$Q$328&lt;='财富模型'!$E$11*12,'Calc'!$W$14,'Calc'!$Y$14)-(IF('Calc'!$E$14=1,0,MIN(Calc!$S$327*(1+'财富模型'!$E$20/12)+'Calc'!$B$6,IF(Calc!$Q$328&lt;='财富模型'!$E$11*12,'Calc'!$W$14,'Calc'!$Y$14))))))</x:f>
      </x:c>
      <x:c r="U328" t="str">
        <x:f>IF(Calc!$Q$328&gt;'Calc'!$B$8,"",IF('Calc'!$E$14=1,0,MIN(Calc!$S$327*(1+'财富模型'!$E$20/12)+'Calc'!$B$6,IF(Calc!$Q$328&lt;='财富模型'!$E$11*12,'Calc'!$W$14,'Calc'!$Y$14))))</x:f>
      </x:c>
      <x:c r="V328" t="str">
        <x:f>IF(Calc!$Q$328&gt;'Calc'!$B$8,"",'Calc'!$B$5-'财富模型'!$E$5-(IF('Calc'!$E$14=1,'财富模型'!$E$9,'财富模型'!$M$6+IF(Calc!$Q$328&lt;='财富模型'!$E$11*12,'Calc'!$W$14,'Calc'!$Y$14)-(IF('Calc'!$E$14=1,0,MIN(Calc!$S$327*(1+'财富模型'!$E$20/12)+'Calc'!$B$6,IF(Calc!$Q$328&lt;='财富模型'!$E$11*12,'Calc'!$W$14,'Calc'!$Y$14)))))))</x:f>
      </x:c>
      <x:c r="W328" t="str">
        <x:f>IF(Calc!$Q$328&gt;'Calc'!$B$8,"",IF('Calc'!$E$14=1,0,MAX(Calc!$W$327*(1+IF(Calc!$Q$328&lt;='财富模型'!$E$11*12,'财富模型'!$E$10,'财富模型'!$E$12)/12)-IF('Calc'!$E$14=1,0,IF(Calc!$Q$328&lt;='财富模型'!$E$11*12,'Calc'!$W$14,'Calc'!$Y$14)),0)))</x:f>
      </x:c>
      <x:c r="Y328" t="n">
        <x:v>307</x:v>
      </x:c>
      <x:c r="Z328" t="str">
        <x:f>IF(Calc!$Y$328&gt;'Calc'!$B$8,"",MAX(Calc!$Z$327*(1+'财富模型'!$E$6/12)+('Calc'!$B$5-'财富模型'!$E$5-(IF('Calc'!$E$15=1,'财富模型'!$E$9,'财富模型'!$M$7+IF(Calc!$Y$328&lt;='财富模型'!$E$11*12,'Calc'!$W$15,'Calc'!$Y$15)-(IF('Calc'!$E$15=1,0,MIN(Calc!$AA$327*(1+'财富模型'!$E$20/12)+'Calc'!$B$6,IF(Calc!$Y$328&lt;='财富模型'!$E$11*12,'Calc'!$W$15,'Calc'!$Y$15))))))),0))</x:f>
      </x:c>
      <x:c r="AA328" t="str">
        <x:f>IF(Calc!$Y$328&gt;'Calc'!$B$8,"",MAX(Calc!$AA$327*(1+'财富模型'!$E$20/12)+'Calc'!$B$6-(IF('Calc'!$E$15=1,0,MIN(Calc!$AA$327*(1+'财富模型'!$E$20/12)+'Calc'!$B$6,IF(Calc!$Y$328&lt;='财富模型'!$E$11*12,'Calc'!$W$15,'Calc'!$Y$15)))),0))</x:f>
      </x:c>
      <x:c r="AB328" t="str">
        <x:f>IF(Calc!$Y$328&gt;'Calc'!$B$8,"",IF('Calc'!$E$15=1,'财富模型'!$E$9,'财富模型'!$M$7+IF(Calc!$Y$328&lt;='财富模型'!$E$11*12,'Calc'!$W$15,'Calc'!$Y$15)-(IF('Calc'!$E$15=1,0,MIN(Calc!$AA$327*(1+'财富模型'!$E$20/12)+'Calc'!$B$6,IF(Calc!$Y$328&lt;='财富模型'!$E$11*12,'Calc'!$W$15,'Calc'!$Y$15))))))</x:f>
      </x:c>
      <x:c r="AC328" t="str">
        <x:f>IF(Calc!$Y$328&gt;'Calc'!$B$8,"",IF('Calc'!$E$15=1,0,MIN(Calc!$AA$327*(1+'财富模型'!$E$20/12)+'Calc'!$B$6,IF(Calc!$Y$328&lt;='财富模型'!$E$11*12,'Calc'!$W$15,'Calc'!$Y$15))))</x:f>
      </x:c>
      <x:c r="AD328" t="str">
        <x:f>IF(Calc!$Y$328&gt;'Calc'!$B$8,"",'Calc'!$B$5-'财富模型'!$E$5-(IF('Calc'!$E$15=1,'财富模型'!$E$9,'财富模型'!$M$7+IF(Calc!$Y$328&lt;='财富模型'!$E$11*12,'Calc'!$W$15,'Calc'!$Y$15)-(IF('Calc'!$E$15=1,0,MIN(Calc!$AA$327*(1+'财富模型'!$E$20/12)+'Calc'!$B$6,IF(Calc!$Y$328&lt;='财富模型'!$E$11*12,'Calc'!$W$15,'Calc'!$Y$15)))))))</x:f>
      </x:c>
      <x:c r="AE328" t="str">
        <x:f>IF(Calc!$Y$328&gt;'Calc'!$B$8,"",IF('Calc'!$E$15=1,0,MAX(Calc!$AE$327*(1+IF(Calc!$Y$328&lt;='财富模型'!$E$11*12,'财富模型'!$E$10,'财富模型'!$E$12)/12)-IF('Calc'!$E$15=1,0,IF(Calc!$Y$328&lt;='财富模型'!$E$11*12,'Calc'!$W$15,'Calc'!$Y$15)),0)))</x:f>
      </x:c>
      <x:c r="AG328" t="n">
        <x:v>307</x:v>
      </x:c>
      <x:c r="AH328" t="str">
        <x:f>IF(Calc!$AG$328&gt;'Calc'!$B$8,"",MAX(Calc!$AH$327*(1+'财富模型'!$E$6/12)+('Calc'!$B$5-'财富模型'!$E$5-(IF('Calc'!$E$16=1,'财富模型'!$E$9,'财富模型'!$M$8+IF(Calc!$AG$328&lt;='财富模型'!$E$11*12,'Calc'!$W$16,'Calc'!$Y$16)-(IF('Calc'!$E$16=1,0,MIN(Calc!$AI$327*(1+'财富模型'!$E$20/12)+'Calc'!$B$6,IF(Calc!$AG$328&lt;='财富模型'!$E$11*12,'Calc'!$W$16,'Calc'!$Y$16))))))),0))</x:f>
      </x:c>
      <x:c r="AI328" t="str">
        <x:f>IF(Calc!$AG$328&gt;'Calc'!$B$8,"",MAX(Calc!$AI$327*(1+'财富模型'!$E$20/12)+'Calc'!$B$6-(IF('Calc'!$E$16=1,0,MIN(Calc!$AI$327*(1+'财富模型'!$E$20/12)+'Calc'!$B$6,IF(Calc!$AG$328&lt;='财富模型'!$E$11*12,'Calc'!$W$16,'Calc'!$Y$16)))),0))</x:f>
      </x:c>
      <x:c r="AJ328" t="str">
        <x:f>IF(Calc!$AG$328&gt;'Calc'!$B$8,"",IF('Calc'!$E$16=1,'财富模型'!$E$9,'财富模型'!$M$8+IF(Calc!$AG$328&lt;='财富模型'!$E$11*12,'Calc'!$W$16,'Calc'!$Y$16)-(IF('Calc'!$E$16=1,0,MIN(Calc!$AI$327*(1+'财富模型'!$E$20/12)+'Calc'!$B$6,IF(Calc!$AG$328&lt;='财富模型'!$E$11*12,'Calc'!$W$16,'Calc'!$Y$16))))))</x:f>
      </x:c>
      <x:c r="AK328" t="str">
        <x:f>IF(Calc!$AG$328&gt;'Calc'!$B$8,"",IF('Calc'!$E$16=1,0,MIN(Calc!$AI$327*(1+'财富模型'!$E$20/12)+'Calc'!$B$6,IF(Calc!$AG$328&lt;='财富模型'!$E$11*12,'Calc'!$W$16,'Calc'!$Y$16))))</x:f>
      </x:c>
      <x:c r="AL328" t="str">
        <x:f>IF(Calc!$AG$328&gt;'Calc'!$B$8,"",'Calc'!$B$5-'财富模型'!$E$5-(IF('Calc'!$E$16=1,'财富模型'!$E$9,'财富模型'!$M$8+IF(Calc!$AG$328&lt;='财富模型'!$E$11*12,'Calc'!$W$16,'Calc'!$Y$16)-(IF('Calc'!$E$16=1,0,MIN(Calc!$AI$327*(1+'财富模型'!$E$20/12)+'Calc'!$B$6,IF(Calc!$AG$328&lt;='财富模型'!$E$11*12,'Calc'!$W$16,'Calc'!$Y$16)))))))</x:f>
      </x:c>
      <x:c r="AM328" t="str">
        <x:f>IF(Calc!$AG$328&gt;'Calc'!$B$8,"",IF('Calc'!$E$16=1,0,MAX(Calc!$AM$327*(1+IF(Calc!$AG$328&lt;='财富模型'!$E$11*12,'财富模型'!$E$10,'财富模型'!$E$12)/12)-IF('Calc'!$E$16=1,0,IF(Calc!$AG$328&lt;='财富模型'!$E$11*12,'Calc'!$W$16,'Calc'!$Y$16)),0)))</x:f>
      </x:c>
      <x:c r="AO328" t="n">
        <x:v>307</x:v>
      </x:c>
      <x:c r="AP328" t="str">
        <x:f>IF(Calc!$AO$328&gt;'Calc'!$B$8,"",MAX(Calc!$AP$327*(1+'财富模型'!$E$6/12)+('Calc'!$B$5-'财富模型'!$E$5-(IF('Calc'!$E$17=1,'财富模型'!$E$9,'财富模型'!$M$9+IF(Calc!$AO$328&lt;='财富模型'!$E$11*12,'Calc'!$W$17,'Calc'!$Y$17)-(IF('Calc'!$E$17=1,0,MIN(Calc!$AQ$327*(1+'财富模型'!$E$20/12)+'Calc'!$B$6,IF(Calc!$AO$328&lt;='财富模型'!$E$11*12,'Calc'!$W$17,'Calc'!$Y$17))))))),0))</x:f>
      </x:c>
      <x:c r="AQ328" t="str">
        <x:f>IF(Calc!$AO$328&gt;'Calc'!$B$8,"",MAX(Calc!$AQ$327*(1+'财富模型'!$E$20/12)+'Calc'!$B$6-(IF('Calc'!$E$17=1,0,MIN(Calc!$AQ$327*(1+'财富模型'!$E$20/12)+'Calc'!$B$6,IF(Calc!$AO$328&lt;='财富模型'!$E$11*12,'Calc'!$W$17,'Calc'!$Y$17)))),0))</x:f>
      </x:c>
      <x:c r="AR328" t="str">
        <x:f>IF(Calc!$AO$328&gt;'Calc'!$B$8,"",IF('Calc'!$E$17=1,'财富模型'!$E$9,'财富模型'!$M$9+IF(Calc!$AO$328&lt;='财富模型'!$E$11*12,'Calc'!$W$17,'Calc'!$Y$17)-(IF('Calc'!$E$17=1,0,MIN(Calc!$AQ$327*(1+'财富模型'!$E$20/12)+'Calc'!$B$6,IF(Calc!$AO$328&lt;='财富模型'!$E$11*12,'Calc'!$W$17,'Calc'!$Y$17))))))</x:f>
      </x:c>
      <x:c r="AS328" t="str">
        <x:f>IF(Calc!$AO$328&gt;'Calc'!$B$8,"",IF('Calc'!$E$17=1,0,MIN(Calc!$AQ$327*(1+'财富模型'!$E$20/12)+'Calc'!$B$6,IF(Calc!$AO$328&lt;='财富模型'!$E$11*12,'Calc'!$W$17,'Calc'!$Y$17))))</x:f>
      </x:c>
      <x:c r="AT328" t="str">
        <x:f>IF(Calc!$AO$328&gt;'Calc'!$B$8,"",'Calc'!$B$5-'财富模型'!$E$5-(IF('Calc'!$E$17=1,'财富模型'!$E$9,'财富模型'!$M$9+IF(Calc!$AO$328&lt;='财富模型'!$E$11*12,'Calc'!$W$17,'Calc'!$Y$17)-(IF('Calc'!$E$17=1,0,MIN(Calc!$AQ$327*(1+'财富模型'!$E$20/12)+'Calc'!$B$6,IF(Calc!$AO$328&lt;='财富模型'!$E$11*12,'Calc'!$W$17,'Calc'!$Y$17)))))))</x:f>
      </x:c>
      <x:c r="AU328" t="str">
        <x:f>IF(Calc!$AO$328&gt;'Calc'!$B$8,"",IF('Calc'!$E$17=1,0,MAX(Calc!$AU$327*(1+IF(Calc!$AO$328&lt;='财富模型'!$E$11*12,'财富模型'!$E$10,'财富模型'!$E$12)/12)-IF('Calc'!$E$17=1,0,IF(Calc!$AO$328&lt;='财富模型'!$E$11*12,'Calc'!$W$17,'Calc'!$Y$17)),0)))</x:f>
      </x:c>
    </x:row>
    <x:row r="329">
      <x:c r="A329" t="n">
        <x:v>308</x:v>
      </x:c>
      <x:c r="B329" t="str">
        <x:f>IF(Calc!$A$329&gt;'Calc'!$B$8,"",MAX(Calc!$B$328*(1+'财富模型'!$E$6/12)+('Calc'!$B$5-'财富模型'!$E$5-(IF('Calc'!$E$12=1,'财富模型'!$E$9,'财富模型'!$M$4+IF(Calc!$A$329&lt;='财富模型'!$E$11*12,'Calc'!$W$12,'Calc'!$Y$12)-(IF('Calc'!$E$12=1,0,MIN(Calc!$C$328*(1+'财富模型'!$E$20/12)+'Calc'!$B$6,IF(Calc!$A$329&lt;='财富模型'!$E$11*12,'Calc'!$W$12,'Calc'!$Y$12))))))),0))</x:f>
      </x:c>
      <x:c r="C329" t="str">
        <x:f>IF(Calc!$A$329&gt;'Calc'!$B$8,"",MAX(Calc!$C$328*(1+'财富模型'!$E$20/12)+'Calc'!$B$6-(IF('Calc'!$E$12=1,0,MIN(Calc!$C$328*(1+'财富模型'!$E$20/12)+'Calc'!$B$6,IF(Calc!$A$329&lt;='财富模型'!$E$11*12,'Calc'!$W$12,'Calc'!$Y$12)))),0))</x:f>
      </x:c>
      <x:c r="D329" t="str">
        <x:f>IF(Calc!$A$329&gt;'Calc'!$B$8,"",IF('Calc'!$E$12=1,'财富模型'!$E$9,'财富模型'!$M$4+IF(Calc!$A$329&lt;='财富模型'!$E$11*12,'Calc'!$W$12,'Calc'!$Y$12)-(IF('Calc'!$E$12=1,0,MIN(Calc!$C$328*(1+'财富模型'!$E$20/12)+'Calc'!$B$6,IF(Calc!$A$329&lt;='财富模型'!$E$11*12,'Calc'!$W$12,'Calc'!$Y$12))))))</x:f>
      </x:c>
      <x:c r="E329" t="str">
        <x:f>IF(Calc!$A$329&gt;'Calc'!$B$8,"",IF('Calc'!$E$12=1,0,MIN(Calc!$C$328*(1+'财富模型'!$E$20/12)+'Calc'!$B$6,IF(Calc!$A$329&lt;='财富模型'!$E$11*12,'Calc'!$W$12,'Calc'!$Y$12))))</x:f>
      </x:c>
      <x:c r="F329" t="str">
        <x:f>IF(Calc!$A$329&gt;'Calc'!$B$8,"",'Calc'!$B$5-'财富模型'!$E$5-(IF('Calc'!$E$12=1,'财富模型'!$E$9,'财富模型'!$M$4+IF(Calc!$A$329&lt;='财富模型'!$E$11*12,'Calc'!$W$12,'Calc'!$Y$12)-(IF('Calc'!$E$12=1,0,MIN(Calc!$C$328*(1+'财富模型'!$E$20/12)+'Calc'!$B$6,IF(Calc!$A$329&lt;='财富模型'!$E$11*12,'Calc'!$W$12,'Calc'!$Y$12)))))))</x:f>
      </x:c>
      <x:c r="G329" t="str">
        <x:f>IF(Calc!$A$329&gt;'Calc'!$B$8,"",IF('Calc'!$E$12=1,0,MAX(Calc!$G$328*(1+IF(Calc!$A$329&lt;='财富模型'!$E$11*12,'财富模型'!$E$10,'财富模型'!$E$12)/12)-IF('Calc'!$E$12=1,0,IF(Calc!$A$329&lt;='财富模型'!$E$11*12,'Calc'!$W$12,'Calc'!$Y$12)),0)))</x:f>
      </x:c>
      <x:c r="I329" t="n">
        <x:v>308</x:v>
      </x:c>
      <x:c r="J329" t="str">
        <x:f>IF(Calc!$I$329&gt;'Calc'!$B$8,"",MAX(Calc!$J$328*(1+'财富模型'!$E$6/12)+('Calc'!$B$5-'财富模型'!$E$5-(IF('Calc'!$E$13=1,'财富模型'!$E$9,'财富模型'!$M$5+IF(Calc!$I$329&lt;='财富模型'!$E$11*12,'Calc'!$W$13,'Calc'!$Y$13)-(IF('Calc'!$E$13=1,0,MIN(Calc!$K$328*(1+'财富模型'!$E$20/12)+'Calc'!$B$6,IF(Calc!$I$329&lt;='财富模型'!$E$11*12,'Calc'!$W$13,'Calc'!$Y$13))))))),0))</x:f>
      </x:c>
      <x:c r="K329" t="str">
        <x:f>IF(Calc!$I$329&gt;'Calc'!$B$8,"",MAX(Calc!$K$328*(1+'财富模型'!$E$20/12)+'Calc'!$B$6-(IF('Calc'!$E$13=1,0,MIN(Calc!$K$328*(1+'财富模型'!$E$20/12)+'Calc'!$B$6,IF(Calc!$I$329&lt;='财富模型'!$E$11*12,'Calc'!$W$13,'Calc'!$Y$13)))),0))</x:f>
      </x:c>
      <x:c r="L329" t="str">
        <x:f>IF(Calc!$I$329&gt;'Calc'!$B$8,"",IF('Calc'!$E$13=1,'财富模型'!$E$9,'财富模型'!$M$5+IF(Calc!$I$329&lt;='财富模型'!$E$11*12,'Calc'!$W$13,'Calc'!$Y$13)-(IF('Calc'!$E$13=1,0,MIN(Calc!$K$328*(1+'财富模型'!$E$20/12)+'Calc'!$B$6,IF(Calc!$I$329&lt;='财富模型'!$E$11*12,'Calc'!$W$13,'Calc'!$Y$13))))))</x:f>
      </x:c>
      <x:c r="M329" t="str">
        <x:f>IF(Calc!$I$329&gt;'Calc'!$B$8,"",IF('Calc'!$E$13=1,0,MIN(Calc!$K$328*(1+'财富模型'!$E$20/12)+'Calc'!$B$6,IF(Calc!$I$329&lt;='财富模型'!$E$11*12,'Calc'!$W$13,'Calc'!$Y$13))))</x:f>
      </x:c>
      <x:c r="N329" t="str">
        <x:f>IF(Calc!$I$329&gt;'Calc'!$B$8,"",'Calc'!$B$5-'财富模型'!$E$5-(IF('Calc'!$E$13=1,'财富模型'!$E$9,'财富模型'!$M$5+IF(Calc!$I$329&lt;='财富模型'!$E$11*12,'Calc'!$W$13,'Calc'!$Y$13)-(IF('Calc'!$E$13=1,0,MIN(Calc!$K$328*(1+'财富模型'!$E$20/12)+'Calc'!$B$6,IF(Calc!$I$329&lt;='财富模型'!$E$11*12,'Calc'!$W$13,'Calc'!$Y$13)))))))</x:f>
      </x:c>
      <x:c r="O329" t="str">
        <x:f>IF(Calc!$I$329&gt;'Calc'!$B$8,"",IF('Calc'!$E$13=1,0,MAX(Calc!$O$328*(1+IF(Calc!$I$329&lt;='财富模型'!$E$11*12,'财富模型'!$E$10,'财富模型'!$E$12)/12)-IF('Calc'!$E$13=1,0,IF(Calc!$I$329&lt;='财富模型'!$E$11*12,'Calc'!$W$13,'Calc'!$Y$13)),0)))</x:f>
      </x:c>
      <x:c r="Q329" t="n">
        <x:v>308</x:v>
      </x:c>
      <x:c r="R329" t="str">
        <x:f>IF(Calc!$Q$329&gt;'Calc'!$B$8,"",MAX(Calc!$R$328*(1+'财富模型'!$E$6/12)+('Calc'!$B$5-'财富模型'!$E$5-(IF('Calc'!$E$14=1,'财富模型'!$E$9,'财富模型'!$M$6+IF(Calc!$Q$329&lt;='财富模型'!$E$11*12,'Calc'!$W$14,'Calc'!$Y$14)-(IF('Calc'!$E$14=1,0,MIN(Calc!$S$328*(1+'财富模型'!$E$20/12)+'Calc'!$B$6,IF(Calc!$Q$329&lt;='财富模型'!$E$11*12,'Calc'!$W$14,'Calc'!$Y$14))))))),0))</x:f>
      </x:c>
      <x:c r="S329" t="str">
        <x:f>IF(Calc!$Q$329&gt;'Calc'!$B$8,"",MAX(Calc!$S$328*(1+'财富模型'!$E$20/12)+'Calc'!$B$6-(IF('Calc'!$E$14=1,0,MIN(Calc!$S$328*(1+'财富模型'!$E$20/12)+'Calc'!$B$6,IF(Calc!$Q$329&lt;='财富模型'!$E$11*12,'Calc'!$W$14,'Calc'!$Y$14)))),0))</x:f>
      </x:c>
      <x:c r="T329" t="str">
        <x:f>IF(Calc!$Q$329&gt;'Calc'!$B$8,"",IF('Calc'!$E$14=1,'财富模型'!$E$9,'财富模型'!$M$6+IF(Calc!$Q$329&lt;='财富模型'!$E$11*12,'Calc'!$W$14,'Calc'!$Y$14)-(IF('Calc'!$E$14=1,0,MIN(Calc!$S$328*(1+'财富模型'!$E$20/12)+'Calc'!$B$6,IF(Calc!$Q$329&lt;='财富模型'!$E$11*12,'Calc'!$W$14,'Calc'!$Y$14))))))</x:f>
      </x:c>
      <x:c r="U329" t="str">
        <x:f>IF(Calc!$Q$329&gt;'Calc'!$B$8,"",IF('Calc'!$E$14=1,0,MIN(Calc!$S$328*(1+'财富模型'!$E$20/12)+'Calc'!$B$6,IF(Calc!$Q$329&lt;='财富模型'!$E$11*12,'Calc'!$W$14,'Calc'!$Y$14))))</x:f>
      </x:c>
      <x:c r="V329" t="str">
        <x:f>IF(Calc!$Q$329&gt;'Calc'!$B$8,"",'Calc'!$B$5-'财富模型'!$E$5-(IF('Calc'!$E$14=1,'财富模型'!$E$9,'财富模型'!$M$6+IF(Calc!$Q$329&lt;='财富模型'!$E$11*12,'Calc'!$W$14,'Calc'!$Y$14)-(IF('Calc'!$E$14=1,0,MIN(Calc!$S$328*(1+'财富模型'!$E$20/12)+'Calc'!$B$6,IF(Calc!$Q$329&lt;='财富模型'!$E$11*12,'Calc'!$W$14,'Calc'!$Y$14)))))))</x:f>
      </x:c>
      <x:c r="W329" t="str">
        <x:f>IF(Calc!$Q$329&gt;'Calc'!$B$8,"",IF('Calc'!$E$14=1,0,MAX(Calc!$W$328*(1+IF(Calc!$Q$329&lt;='财富模型'!$E$11*12,'财富模型'!$E$10,'财富模型'!$E$12)/12)-IF('Calc'!$E$14=1,0,IF(Calc!$Q$329&lt;='财富模型'!$E$11*12,'Calc'!$W$14,'Calc'!$Y$14)),0)))</x:f>
      </x:c>
      <x:c r="Y329" t="n">
        <x:v>308</x:v>
      </x:c>
      <x:c r="Z329" t="str">
        <x:f>IF(Calc!$Y$329&gt;'Calc'!$B$8,"",MAX(Calc!$Z$328*(1+'财富模型'!$E$6/12)+('Calc'!$B$5-'财富模型'!$E$5-(IF('Calc'!$E$15=1,'财富模型'!$E$9,'财富模型'!$M$7+IF(Calc!$Y$329&lt;='财富模型'!$E$11*12,'Calc'!$W$15,'Calc'!$Y$15)-(IF('Calc'!$E$15=1,0,MIN(Calc!$AA$328*(1+'财富模型'!$E$20/12)+'Calc'!$B$6,IF(Calc!$Y$329&lt;='财富模型'!$E$11*12,'Calc'!$W$15,'Calc'!$Y$15))))))),0))</x:f>
      </x:c>
      <x:c r="AA329" t="str">
        <x:f>IF(Calc!$Y$329&gt;'Calc'!$B$8,"",MAX(Calc!$AA$328*(1+'财富模型'!$E$20/12)+'Calc'!$B$6-(IF('Calc'!$E$15=1,0,MIN(Calc!$AA$328*(1+'财富模型'!$E$20/12)+'Calc'!$B$6,IF(Calc!$Y$329&lt;='财富模型'!$E$11*12,'Calc'!$W$15,'Calc'!$Y$15)))),0))</x:f>
      </x:c>
      <x:c r="AB329" t="str">
        <x:f>IF(Calc!$Y$329&gt;'Calc'!$B$8,"",IF('Calc'!$E$15=1,'财富模型'!$E$9,'财富模型'!$M$7+IF(Calc!$Y$329&lt;='财富模型'!$E$11*12,'Calc'!$W$15,'Calc'!$Y$15)-(IF('Calc'!$E$15=1,0,MIN(Calc!$AA$328*(1+'财富模型'!$E$20/12)+'Calc'!$B$6,IF(Calc!$Y$329&lt;='财富模型'!$E$11*12,'Calc'!$W$15,'Calc'!$Y$15))))))</x:f>
      </x:c>
      <x:c r="AC329" t="str">
        <x:f>IF(Calc!$Y$329&gt;'Calc'!$B$8,"",IF('Calc'!$E$15=1,0,MIN(Calc!$AA$328*(1+'财富模型'!$E$20/12)+'Calc'!$B$6,IF(Calc!$Y$329&lt;='财富模型'!$E$11*12,'Calc'!$W$15,'Calc'!$Y$15))))</x:f>
      </x:c>
      <x:c r="AD329" t="str">
        <x:f>IF(Calc!$Y$329&gt;'Calc'!$B$8,"",'Calc'!$B$5-'财富模型'!$E$5-(IF('Calc'!$E$15=1,'财富模型'!$E$9,'财富模型'!$M$7+IF(Calc!$Y$329&lt;='财富模型'!$E$11*12,'Calc'!$W$15,'Calc'!$Y$15)-(IF('Calc'!$E$15=1,0,MIN(Calc!$AA$328*(1+'财富模型'!$E$20/12)+'Calc'!$B$6,IF(Calc!$Y$329&lt;='财富模型'!$E$11*12,'Calc'!$W$15,'Calc'!$Y$15)))))))</x:f>
      </x:c>
      <x:c r="AE329" t="str">
        <x:f>IF(Calc!$Y$329&gt;'Calc'!$B$8,"",IF('Calc'!$E$15=1,0,MAX(Calc!$AE$328*(1+IF(Calc!$Y$329&lt;='财富模型'!$E$11*12,'财富模型'!$E$10,'财富模型'!$E$12)/12)-IF('Calc'!$E$15=1,0,IF(Calc!$Y$329&lt;='财富模型'!$E$11*12,'Calc'!$W$15,'Calc'!$Y$15)),0)))</x:f>
      </x:c>
      <x:c r="AG329" t="n">
        <x:v>308</x:v>
      </x:c>
      <x:c r="AH329" t="str">
        <x:f>IF(Calc!$AG$329&gt;'Calc'!$B$8,"",MAX(Calc!$AH$328*(1+'财富模型'!$E$6/12)+('Calc'!$B$5-'财富模型'!$E$5-(IF('Calc'!$E$16=1,'财富模型'!$E$9,'财富模型'!$M$8+IF(Calc!$AG$329&lt;='财富模型'!$E$11*12,'Calc'!$W$16,'Calc'!$Y$16)-(IF('Calc'!$E$16=1,0,MIN(Calc!$AI$328*(1+'财富模型'!$E$20/12)+'Calc'!$B$6,IF(Calc!$AG$329&lt;='财富模型'!$E$11*12,'Calc'!$W$16,'Calc'!$Y$16))))))),0))</x:f>
      </x:c>
      <x:c r="AI329" t="str">
        <x:f>IF(Calc!$AG$329&gt;'Calc'!$B$8,"",MAX(Calc!$AI$328*(1+'财富模型'!$E$20/12)+'Calc'!$B$6-(IF('Calc'!$E$16=1,0,MIN(Calc!$AI$328*(1+'财富模型'!$E$20/12)+'Calc'!$B$6,IF(Calc!$AG$329&lt;='财富模型'!$E$11*12,'Calc'!$W$16,'Calc'!$Y$16)))),0))</x:f>
      </x:c>
      <x:c r="AJ329" t="str">
        <x:f>IF(Calc!$AG$329&gt;'Calc'!$B$8,"",IF('Calc'!$E$16=1,'财富模型'!$E$9,'财富模型'!$M$8+IF(Calc!$AG$329&lt;='财富模型'!$E$11*12,'Calc'!$W$16,'Calc'!$Y$16)-(IF('Calc'!$E$16=1,0,MIN(Calc!$AI$328*(1+'财富模型'!$E$20/12)+'Calc'!$B$6,IF(Calc!$AG$329&lt;='财富模型'!$E$11*12,'Calc'!$W$16,'Calc'!$Y$16))))))</x:f>
      </x:c>
      <x:c r="AK329" t="str">
        <x:f>IF(Calc!$AG$329&gt;'Calc'!$B$8,"",IF('Calc'!$E$16=1,0,MIN(Calc!$AI$328*(1+'财富模型'!$E$20/12)+'Calc'!$B$6,IF(Calc!$AG$329&lt;='财富模型'!$E$11*12,'Calc'!$W$16,'Calc'!$Y$16))))</x:f>
      </x:c>
      <x:c r="AL329" t="str">
        <x:f>IF(Calc!$AG$329&gt;'Calc'!$B$8,"",'Calc'!$B$5-'财富模型'!$E$5-(IF('Calc'!$E$16=1,'财富模型'!$E$9,'财富模型'!$M$8+IF(Calc!$AG$329&lt;='财富模型'!$E$11*12,'Calc'!$W$16,'Calc'!$Y$16)-(IF('Calc'!$E$16=1,0,MIN(Calc!$AI$328*(1+'财富模型'!$E$20/12)+'Calc'!$B$6,IF(Calc!$AG$329&lt;='财富模型'!$E$11*12,'Calc'!$W$16,'Calc'!$Y$16)))))))</x:f>
      </x:c>
      <x:c r="AM329" t="str">
        <x:f>IF(Calc!$AG$329&gt;'Calc'!$B$8,"",IF('Calc'!$E$16=1,0,MAX(Calc!$AM$328*(1+IF(Calc!$AG$329&lt;='财富模型'!$E$11*12,'财富模型'!$E$10,'财富模型'!$E$12)/12)-IF('Calc'!$E$16=1,0,IF(Calc!$AG$329&lt;='财富模型'!$E$11*12,'Calc'!$W$16,'Calc'!$Y$16)),0)))</x:f>
      </x:c>
      <x:c r="AO329" t="n">
        <x:v>308</x:v>
      </x:c>
      <x:c r="AP329" t="str">
        <x:f>IF(Calc!$AO$329&gt;'Calc'!$B$8,"",MAX(Calc!$AP$328*(1+'财富模型'!$E$6/12)+('Calc'!$B$5-'财富模型'!$E$5-(IF('Calc'!$E$17=1,'财富模型'!$E$9,'财富模型'!$M$9+IF(Calc!$AO$329&lt;='财富模型'!$E$11*12,'Calc'!$W$17,'Calc'!$Y$17)-(IF('Calc'!$E$17=1,0,MIN(Calc!$AQ$328*(1+'财富模型'!$E$20/12)+'Calc'!$B$6,IF(Calc!$AO$329&lt;='财富模型'!$E$11*12,'Calc'!$W$17,'Calc'!$Y$17))))))),0))</x:f>
      </x:c>
      <x:c r="AQ329" t="str">
        <x:f>IF(Calc!$AO$329&gt;'Calc'!$B$8,"",MAX(Calc!$AQ$328*(1+'财富模型'!$E$20/12)+'Calc'!$B$6-(IF('Calc'!$E$17=1,0,MIN(Calc!$AQ$328*(1+'财富模型'!$E$20/12)+'Calc'!$B$6,IF(Calc!$AO$329&lt;='财富模型'!$E$11*12,'Calc'!$W$17,'Calc'!$Y$17)))),0))</x:f>
      </x:c>
      <x:c r="AR329" t="str">
        <x:f>IF(Calc!$AO$329&gt;'Calc'!$B$8,"",IF('Calc'!$E$17=1,'财富模型'!$E$9,'财富模型'!$M$9+IF(Calc!$AO$329&lt;='财富模型'!$E$11*12,'Calc'!$W$17,'Calc'!$Y$17)-(IF('Calc'!$E$17=1,0,MIN(Calc!$AQ$328*(1+'财富模型'!$E$20/12)+'Calc'!$B$6,IF(Calc!$AO$329&lt;='财富模型'!$E$11*12,'Calc'!$W$17,'Calc'!$Y$17))))))</x:f>
      </x:c>
      <x:c r="AS329" t="str">
        <x:f>IF(Calc!$AO$329&gt;'Calc'!$B$8,"",IF('Calc'!$E$17=1,0,MIN(Calc!$AQ$328*(1+'财富模型'!$E$20/12)+'Calc'!$B$6,IF(Calc!$AO$329&lt;='财富模型'!$E$11*12,'Calc'!$W$17,'Calc'!$Y$17))))</x:f>
      </x:c>
      <x:c r="AT329" t="str">
        <x:f>IF(Calc!$AO$329&gt;'Calc'!$B$8,"",'Calc'!$B$5-'财富模型'!$E$5-(IF('Calc'!$E$17=1,'财富模型'!$E$9,'财富模型'!$M$9+IF(Calc!$AO$329&lt;='财富模型'!$E$11*12,'Calc'!$W$17,'Calc'!$Y$17)-(IF('Calc'!$E$17=1,0,MIN(Calc!$AQ$328*(1+'财富模型'!$E$20/12)+'Calc'!$B$6,IF(Calc!$AO$329&lt;='财富模型'!$E$11*12,'Calc'!$W$17,'Calc'!$Y$17)))))))</x:f>
      </x:c>
      <x:c r="AU329" t="str">
        <x:f>IF(Calc!$AO$329&gt;'Calc'!$B$8,"",IF('Calc'!$E$17=1,0,MAX(Calc!$AU$328*(1+IF(Calc!$AO$329&lt;='财富模型'!$E$11*12,'财富模型'!$E$10,'财富模型'!$E$12)/12)-IF('Calc'!$E$17=1,0,IF(Calc!$AO$329&lt;='财富模型'!$E$11*12,'Calc'!$W$17,'Calc'!$Y$17)),0)))</x:f>
      </x:c>
    </x:row>
    <x:row r="330">
      <x:c r="A330" t="n">
        <x:v>309</x:v>
      </x:c>
      <x:c r="B330" t="str">
        <x:f>IF(Calc!$A$330&gt;'Calc'!$B$8,"",MAX(Calc!$B$329*(1+'财富模型'!$E$6/12)+('Calc'!$B$5-'财富模型'!$E$5-(IF('Calc'!$E$12=1,'财富模型'!$E$9,'财富模型'!$M$4+IF(Calc!$A$330&lt;='财富模型'!$E$11*12,'Calc'!$W$12,'Calc'!$Y$12)-(IF('Calc'!$E$12=1,0,MIN(Calc!$C$329*(1+'财富模型'!$E$20/12)+'Calc'!$B$6,IF(Calc!$A$330&lt;='财富模型'!$E$11*12,'Calc'!$W$12,'Calc'!$Y$12))))))),0))</x:f>
      </x:c>
      <x:c r="C330" t="str">
        <x:f>IF(Calc!$A$330&gt;'Calc'!$B$8,"",MAX(Calc!$C$329*(1+'财富模型'!$E$20/12)+'Calc'!$B$6-(IF('Calc'!$E$12=1,0,MIN(Calc!$C$329*(1+'财富模型'!$E$20/12)+'Calc'!$B$6,IF(Calc!$A$330&lt;='财富模型'!$E$11*12,'Calc'!$W$12,'Calc'!$Y$12)))),0))</x:f>
      </x:c>
      <x:c r="D330" t="str">
        <x:f>IF(Calc!$A$330&gt;'Calc'!$B$8,"",IF('Calc'!$E$12=1,'财富模型'!$E$9,'财富模型'!$M$4+IF(Calc!$A$330&lt;='财富模型'!$E$11*12,'Calc'!$W$12,'Calc'!$Y$12)-(IF('Calc'!$E$12=1,0,MIN(Calc!$C$329*(1+'财富模型'!$E$20/12)+'Calc'!$B$6,IF(Calc!$A$330&lt;='财富模型'!$E$11*12,'Calc'!$W$12,'Calc'!$Y$12))))))</x:f>
      </x:c>
      <x:c r="E330" t="str">
        <x:f>IF(Calc!$A$330&gt;'Calc'!$B$8,"",IF('Calc'!$E$12=1,0,MIN(Calc!$C$329*(1+'财富模型'!$E$20/12)+'Calc'!$B$6,IF(Calc!$A$330&lt;='财富模型'!$E$11*12,'Calc'!$W$12,'Calc'!$Y$12))))</x:f>
      </x:c>
      <x:c r="F330" t="str">
        <x:f>IF(Calc!$A$330&gt;'Calc'!$B$8,"",'Calc'!$B$5-'财富模型'!$E$5-(IF('Calc'!$E$12=1,'财富模型'!$E$9,'财富模型'!$M$4+IF(Calc!$A$330&lt;='财富模型'!$E$11*12,'Calc'!$W$12,'Calc'!$Y$12)-(IF('Calc'!$E$12=1,0,MIN(Calc!$C$329*(1+'财富模型'!$E$20/12)+'Calc'!$B$6,IF(Calc!$A$330&lt;='财富模型'!$E$11*12,'Calc'!$W$12,'Calc'!$Y$12)))))))</x:f>
      </x:c>
      <x:c r="G330" t="str">
        <x:f>IF(Calc!$A$330&gt;'Calc'!$B$8,"",IF('Calc'!$E$12=1,0,MAX(Calc!$G$329*(1+IF(Calc!$A$330&lt;='财富模型'!$E$11*12,'财富模型'!$E$10,'财富模型'!$E$12)/12)-IF('Calc'!$E$12=1,0,IF(Calc!$A$330&lt;='财富模型'!$E$11*12,'Calc'!$W$12,'Calc'!$Y$12)),0)))</x:f>
      </x:c>
      <x:c r="I330" t="n">
        <x:v>309</x:v>
      </x:c>
      <x:c r="J330" t="str">
        <x:f>IF(Calc!$I$330&gt;'Calc'!$B$8,"",MAX(Calc!$J$329*(1+'财富模型'!$E$6/12)+('Calc'!$B$5-'财富模型'!$E$5-(IF('Calc'!$E$13=1,'财富模型'!$E$9,'财富模型'!$M$5+IF(Calc!$I$330&lt;='财富模型'!$E$11*12,'Calc'!$W$13,'Calc'!$Y$13)-(IF('Calc'!$E$13=1,0,MIN(Calc!$K$329*(1+'财富模型'!$E$20/12)+'Calc'!$B$6,IF(Calc!$I$330&lt;='财富模型'!$E$11*12,'Calc'!$W$13,'Calc'!$Y$13))))))),0))</x:f>
      </x:c>
      <x:c r="K330" t="str">
        <x:f>IF(Calc!$I$330&gt;'Calc'!$B$8,"",MAX(Calc!$K$329*(1+'财富模型'!$E$20/12)+'Calc'!$B$6-(IF('Calc'!$E$13=1,0,MIN(Calc!$K$329*(1+'财富模型'!$E$20/12)+'Calc'!$B$6,IF(Calc!$I$330&lt;='财富模型'!$E$11*12,'Calc'!$W$13,'Calc'!$Y$13)))),0))</x:f>
      </x:c>
      <x:c r="L330" t="str">
        <x:f>IF(Calc!$I$330&gt;'Calc'!$B$8,"",IF('Calc'!$E$13=1,'财富模型'!$E$9,'财富模型'!$M$5+IF(Calc!$I$330&lt;='财富模型'!$E$11*12,'Calc'!$W$13,'Calc'!$Y$13)-(IF('Calc'!$E$13=1,0,MIN(Calc!$K$329*(1+'财富模型'!$E$20/12)+'Calc'!$B$6,IF(Calc!$I$330&lt;='财富模型'!$E$11*12,'Calc'!$W$13,'Calc'!$Y$13))))))</x:f>
      </x:c>
      <x:c r="M330" t="str">
        <x:f>IF(Calc!$I$330&gt;'Calc'!$B$8,"",IF('Calc'!$E$13=1,0,MIN(Calc!$K$329*(1+'财富模型'!$E$20/12)+'Calc'!$B$6,IF(Calc!$I$330&lt;='财富模型'!$E$11*12,'Calc'!$W$13,'Calc'!$Y$13))))</x:f>
      </x:c>
      <x:c r="N330" t="str">
        <x:f>IF(Calc!$I$330&gt;'Calc'!$B$8,"",'Calc'!$B$5-'财富模型'!$E$5-(IF('Calc'!$E$13=1,'财富模型'!$E$9,'财富模型'!$M$5+IF(Calc!$I$330&lt;='财富模型'!$E$11*12,'Calc'!$W$13,'Calc'!$Y$13)-(IF('Calc'!$E$13=1,0,MIN(Calc!$K$329*(1+'财富模型'!$E$20/12)+'Calc'!$B$6,IF(Calc!$I$330&lt;='财富模型'!$E$11*12,'Calc'!$W$13,'Calc'!$Y$13)))))))</x:f>
      </x:c>
      <x:c r="O330" t="str">
        <x:f>IF(Calc!$I$330&gt;'Calc'!$B$8,"",IF('Calc'!$E$13=1,0,MAX(Calc!$O$329*(1+IF(Calc!$I$330&lt;='财富模型'!$E$11*12,'财富模型'!$E$10,'财富模型'!$E$12)/12)-IF('Calc'!$E$13=1,0,IF(Calc!$I$330&lt;='财富模型'!$E$11*12,'Calc'!$W$13,'Calc'!$Y$13)),0)))</x:f>
      </x:c>
      <x:c r="Q330" t="n">
        <x:v>309</x:v>
      </x:c>
      <x:c r="R330" t="str">
        <x:f>IF(Calc!$Q$330&gt;'Calc'!$B$8,"",MAX(Calc!$R$329*(1+'财富模型'!$E$6/12)+('Calc'!$B$5-'财富模型'!$E$5-(IF('Calc'!$E$14=1,'财富模型'!$E$9,'财富模型'!$M$6+IF(Calc!$Q$330&lt;='财富模型'!$E$11*12,'Calc'!$W$14,'Calc'!$Y$14)-(IF('Calc'!$E$14=1,0,MIN(Calc!$S$329*(1+'财富模型'!$E$20/12)+'Calc'!$B$6,IF(Calc!$Q$330&lt;='财富模型'!$E$11*12,'Calc'!$W$14,'Calc'!$Y$14))))))),0))</x:f>
      </x:c>
      <x:c r="S330" t="str">
        <x:f>IF(Calc!$Q$330&gt;'Calc'!$B$8,"",MAX(Calc!$S$329*(1+'财富模型'!$E$20/12)+'Calc'!$B$6-(IF('Calc'!$E$14=1,0,MIN(Calc!$S$329*(1+'财富模型'!$E$20/12)+'Calc'!$B$6,IF(Calc!$Q$330&lt;='财富模型'!$E$11*12,'Calc'!$W$14,'Calc'!$Y$14)))),0))</x:f>
      </x:c>
      <x:c r="T330" t="str">
        <x:f>IF(Calc!$Q$330&gt;'Calc'!$B$8,"",IF('Calc'!$E$14=1,'财富模型'!$E$9,'财富模型'!$M$6+IF(Calc!$Q$330&lt;='财富模型'!$E$11*12,'Calc'!$W$14,'Calc'!$Y$14)-(IF('Calc'!$E$14=1,0,MIN(Calc!$S$329*(1+'财富模型'!$E$20/12)+'Calc'!$B$6,IF(Calc!$Q$330&lt;='财富模型'!$E$11*12,'Calc'!$W$14,'Calc'!$Y$14))))))</x:f>
      </x:c>
      <x:c r="U330" t="str">
        <x:f>IF(Calc!$Q$330&gt;'Calc'!$B$8,"",IF('Calc'!$E$14=1,0,MIN(Calc!$S$329*(1+'财富模型'!$E$20/12)+'Calc'!$B$6,IF(Calc!$Q$330&lt;='财富模型'!$E$11*12,'Calc'!$W$14,'Calc'!$Y$14))))</x:f>
      </x:c>
      <x:c r="V330" t="str">
        <x:f>IF(Calc!$Q$330&gt;'Calc'!$B$8,"",'Calc'!$B$5-'财富模型'!$E$5-(IF('Calc'!$E$14=1,'财富模型'!$E$9,'财富模型'!$M$6+IF(Calc!$Q$330&lt;='财富模型'!$E$11*12,'Calc'!$W$14,'Calc'!$Y$14)-(IF('Calc'!$E$14=1,0,MIN(Calc!$S$329*(1+'财富模型'!$E$20/12)+'Calc'!$B$6,IF(Calc!$Q$330&lt;='财富模型'!$E$11*12,'Calc'!$W$14,'Calc'!$Y$14)))))))</x:f>
      </x:c>
      <x:c r="W330" t="str">
        <x:f>IF(Calc!$Q$330&gt;'Calc'!$B$8,"",IF('Calc'!$E$14=1,0,MAX(Calc!$W$329*(1+IF(Calc!$Q$330&lt;='财富模型'!$E$11*12,'财富模型'!$E$10,'财富模型'!$E$12)/12)-IF('Calc'!$E$14=1,0,IF(Calc!$Q$330&lt;='财富模型'!$E$11*12,'Calc'!$W$14,'Calc'!$Y$14)),0)))</x:f>
      </x:c>
      <x:c r="Y330" t="n">
        <x:v>309</x:v>
      </x:c>
      <x:c r="Z330" t="str">
        <x:f>IF(Calc!$Y$330&gt;'Calc'!$B$8,"",MAX(Calc!$Z$329*(1+'财富模型'!$E$6/12)+('Calc'!$B$5-'财富模型'!$E$5-(IF('Calc'!$E$15=1,'财富模型'!$E$9,'财富模型'!$M$7+IF(Calc!$Y$330&lt;='财富模型'!$E$11*12,'Calc'!$W$15,'Calc'!$Y$15)-(IF('Calc'!$E$15=1,0,MIN(Calc!$AA$329*(1+'财富模型'!$E$20/12)+'Calc'!$B$6,IF(Calc!$Y$330&lt;='财富模型'!$E$11*12,'Calc'!$W$15,'Calc'!$Y$15))))))),0))</x:f>
      </x:c>
      <x:c r="AA330" t="str">
        <x:f>IF(Calc!$Y$330&gt;'Calc'!$B$8,"",MAX(Calc!$AA$329*(1+'财富模型'!$E$20/12)+'Calc'!$B$6-(IF('Calc'!$E$15=1,0,MIN(Calc!$AA$329*(1+'财富模型'!$E$20/12)+'Calc'!$B$6,IF(Calc!$Y$330&lt;='财富模型'!$E$11*12,'Calc'!$W$15,'Calc'!$Y$15)))),0))</x:f>
      </x:c>
      <x:c r="AB330" t="str">
        <x:f>IF(Calc!$Y$330&gt;'Calc'!$B$8,"",IF('Calc'!$E$15=1,'财富模型'!$E$9,'财富模型'!$M$7+IF(Calc!$Y$330&lt;='财富模型'!$E$11*12,'Calc'!$W$15,'Calc'!$Y$15)-(IF('Calc'!$E$15=1,0,MIN(Calc!$AA$329*(1+'财富模型'!$E$20/12)+'Calc'!$B$6,IF(Calc!$Y$330&lt;='财富模型'!$E$11*12,'Calc'!$W$15,'Calc'!$Y$15))))))</x:f>
      </x:c>
      <x:c r="AC330" t="str">
        <x:f>IF(Calc!$Y$330&gt;'Calc'!$B$8,"",IF('Calc'!$E$15=1,0,MIN(Calc!$AA$329*(1+'财富模型'!$E$20/12)+'Calc'!$B$6,IF(Calc!$Y$330&lt;='财富模型'!$E$11*12,'Calc'!$W$15,'Calc'!$Y$15))))</x:f>
      </x:c>
      <x:c r="AD330" t="str">
        <x:f>IF(Calc!$Y$330&gt;'Calc'!$B$8,"",'Calc'!$B$5-'财富模型'!$E$5-(IF('Calc'!$E$15=1,'财富模型'!$E$9,'财富模型'!$M$7+IF(Calc!$Y$330&lt;='财富模型'!$E$11*12,'Calc'!$W$15,'Calc'!$Y$15)-(IF('Calc'!$E$15=1,0,MIN(Calc!$AA$329*(1+'财富模型'!$E$20/12)+'Calc'!$B$6,IF(Calc!$Y$330&lt;='财富模型'!$E$11*12,'Calc'!$W$15,'Calc'!$Y$15)))))))</x:f>
      </x:c>
      <x:c r="AE330" t="str">
        <x:f>IF(Calc!$Y$330&gt;'Calc'!$B$8,"",IF('Calc'!$E$15=1,0,MAX(Calc!$AE$329*(1+IF(Calc!$Y$330&lt;='财富模型'!$E$11*12,'财富模型'!$E$10,'财富模型'!$E$12)/12)-IF('Calc'!$E$15=1,0,IF(Calc!$Y$330&lt;='财富模型'!$E$11*12,'Calc'!$W$15,'Calc'!$Y$15)),0)))</x:f>
      </x:c>
      <x:c r="AG330" t="n">
        <x:v>309</x:v>
      </x:c>
      <x:c r="AH330" t="str">
        <x:f>IF(Calc!$AG$330&gt;'Calc'!$B$8,"",MAX(Calc!$AH$329*(1+'财富模型'!$E$6/12)+('Calc'!$B$5-'财富模型'!$E$5-(IF('Calc'!$E$16=1,'财富模型'!$E$9,'财富模型'!$M$8+IF(Calc!$AG$330&lt;='财富模型'!$E$11*12,'Calc'!$W$16,'Calc'!$Y$16)-(IF('Calc'!$E$16=1,0,MIN(Calc!$AI$329*(1+'财富模型'!$E$20/12)+'Calc'!$B$6,IF(Calc!$AG$330&lt;='财富模型'!$E$11*12,'Calc'!$W$16,'Calc'!$Y$16))))))),0))</x:f>
      </x:c>
      <x:c r="AI330" t="str">
        <x:f>IF(Calc!$AG$330&gt;'Calc'!$B$8,"",MAX(Calc!$AI$329*(1+'财富模型'!$E$20/12)+'Calc'!$B$6-(IF('Calc'!$E$16=1,0,MIN(Calc!$AI$329*(1+'财富模型'!$E$20/12)+'Calc'!$B$6,IF(Calc!$AG$330&lt;='财富模型'!$E$11*12,'Calc'!$W$16,'Calc'!$Y$16)))),0))</x:f>
      </x:c>
      <x:c r="AJ330" t="str">
        <x:f>IF(Calc!$AG$330&gt;'Calc'!$B$8,"",IF('Calc'!$E$16=1,'财富模型'!$E$9,'财富模型'!$M$8+IF(Calc!$AG$330&lt;='财富模型'!$E$11*12,'Calc'!$W$16,'Calc'!$Y$16)-(IF('Calc'!$E$16=1,0,MIN(Calc!$AI$329*(1+'财富模型'!$E$20/12)+'Calc'!$B$6,IF(Calc!$AG$330&lt;='财富模型'!$E$11*12,'Calc'!$W$16,'Calc'!$Y$16))))))</x:f>
      </x:c>
      <x:c r="AK330" t="str">
        <x:f>IF(Calc!$AG$330&gt;'Calc'!$B$8,"",IF('Calc'!$E$16=1,0,MIN(Calc!$AI$329*(1+'财富模型'!$E$20/12)+'Calc'!$B$6,IF(Calc!$AG$330&lt;='财富模型'!$E$11*12,'Calc'!$W$16,'Calc'!$Y$16))))</x:f>
      </x:c>
      <x:c r="AL330" t="str">
        <x:f>IF(Calc!$AG$330&gt;'Calc'!$B$8,"",'Calc'!$B$5-'财富模型'!$E$5-(IF('Calc'!$E$16=1,'财富模型'!$E$9,'财富模型'!$M$8+IF(Calc!$AG$330&lt;='财富模型'!$E$11*12,'Calc'!$W$16,'Calc'!$Y$16)-(IF('Calc'!$E$16=1,0,MIN(Calc!$AI$329*(1+'财富模型'!$E$20/12)+'Calc'!$B$6,IF(Calc!$AG$330&lt;='财富模型'!$E$11*12,'Calc'!$W$16,'Calc'!$Y$16)))))))</x:f>
      </x:c>
      <x:c r="AM330" t="str">
        <x:f>IF(Calc!$AG$330&gt;'Calc'!$B$8,"",IF('Calc'!$E$16=1,0,MAX(Calc!$AM$329*(1+IF(Calc!$AG$330&lt;='财富模型'!$E$11*12,'财富模型'!$E$10,'财富模型'!$E$12)/12)-IF('Calc'!$E$16=1,0,IF(Calc!$AG$330&lt;='财富模型'!$E$11*12,'Calc'!$W$16,'Calc'!$Y$16)),0)))</x:f>
      </x:c>
      <x:c r="AO330" t="n">
        <x:v>309</x:v>
      </x:c>
      <x:c r="AP330" t="str">
        <x:f>IF(Calc!$AO$330&gt;'Calc'!$B$8,"",MAX(Calc!$AP$329*(1+'财富模型'!$E$6/12)+('Calc'!$B$5-'财富模型'!$E$5-(IF('Calc'!$E$17=1,'财富模型'!$E$9,'财富模型'!$M$9+IF(Calc!$AO$330&lt;='财富模型'!$E$11*12,'Calc'!$W$17,'Calc'!$Y$17)-(IF('Calc'!$E$17=1,0,MIN(Calc!$AQ$329*(1+'财富模型'!$E$20/12)+'Calc'!$B$6,IF(Calc!$AO$330&lt;='财富模型'!$E$11*12,'Calc'!$W$17,'Calc'!$Y$17))))))),0))</x:f>
      </x:c>
      <x:c r="AQ330" t="str">
        <x:f>IF(Calc!$AO$330&gt;'Calc'!$B$8,"",MAX(Calc!$AQ$329*(1+'财富模型'!$E$20/12)+'Calc'!$B$6-(IF('Calc'!$E$17=1,0,MIN(Calc!$AQ$329*(1+'财富模型'!$E$20/12)+'Calc'!$B$6,IF(Calc!$AO$330&lt;='财富模型'!$E$11*12,'Calc'!$W$17,'Calc'!$Y$17)))),0))</x:f>
      </x:c>
      <x:c r="AR330" t="str">
        <x:f>IF(Calc!$AO$330&gt;'Calc'!$B$8,"",IF('Calc'!$E$17=1,'财富模型'!$E$9,'财富模型'!$M$9+IF(Calc!$AO$330&lt;='财富模型'!$E$11*12,'Calc'!$W$17,'Calc'!$Y$17)-(IF('Calc'!$E$17=1,0,MIN(Calc!$AQ$329*(1+'财富模型'!$E$20/12)+'Calc'!$B$6,IF(Calc!$AO$330&lt;='财富模型'!$E$11*12,'Calc'!$W$17,'Calc'!$Y$17))))))</x:f>
      </x:c>
      <x:c r="AS330" t="str">
        <x:f>IF(Calc!$AO$330&gt;'Calc'!$B$8,"",IF('Calc'!$E$17=1,0,MIN(Calc!$AQ$329*(1+'财富模型'!$E$20/12)+'Calc'!$B$6,IF(Calc!$AO$330&lt;='财富模型'!$E$11*12,'Calc'!$W$17,'Calc'!$Y$17))))</x:f>
      </x:c>
      <x:c r="AT330" t="str">
        <x:f>IF(Calc!$AO$330&gt;'Calc'!$B$8,"",'Calc'!$B$5-'财富模型'!$E$5-(IF('Calc'!$E$17=1,'财富模型'!$E$9,'财富模型'!$M$9+IF(Calc!$AO$330&lt;='财富模型'!$E$11*12,'Calc'!$W$17,'Calc'!$Y$17)-(IF('Calc'!$E$17=1,0,MIN(Calc!$AQ$329*(1+'财富模型'!$E$20/12)+'Calc'!$B$6,IF(Calc!$AO$330&lt;='财富模型'!$E$11*12,'Calc'!$W$17,'Calc'!$Y$17)))))))</x:f>
      </x:c>
      <x:c r="AU330" t="str">
        <x:f>IF(Calc!$AO$330&gt;'Calc'!$B$8,"",IF('Calc'!$E$17=1,0,MAX(Calc!$AU$329*(1+IF(Calc!$AO$330&lt;='财富模型'!$E$11*12,'财富模型'!$E$10,'财富模型'!$E$12)/12)-IF('Calc'!$E$17=1,0,IF(Calc!$AO$330&lt;='财富模型'!$E$11*12,'Calc'!$W$17,'Calc'!$Y$17)),0)))</x:f>
      </x:c>
    </x:row>
    <x:row r="331">
      <x:c r="A331" t="n">
        <x:v>310</x:v>
      </x:c>
      <x:c r="B331" t="str">
        <x:f>IF(Calc!$A$331&gt;'Calc'!$B$8,"",MAX(Calc!$B$330*(1+'财富模型'!$E$6/12)+('Calc'!$B$5-'财富模型'!$E$5-(IF('Calc'!$E$12=1,'财富模型'!$E$9,'财富模型'!$M$4+IF(Calc!$A$331&lt;='财富模型'!$E$11*12,'Calc'!$W$12,'Calc'!$Y$12)-(IF('Calc'!$E$12=1,0,MIN(Calc!$C$330*(1+'财富模型'!$E$20/12)+'Calc'!$B$6,IF(Calc!$A$331&lt;='财富模型'!$E$11*12,'Calc'!$W$12,'Calc'!$Y$12))))))),0))</x:f>
      </x:c>
      <x:c r="C331" t="str">
        <x:f>IF(Calc!$A$331&gt;'Calc'!$B$8,"",MAX(Calc!$C$330*(1+'财富模型'!$E$20/12)+'Calc'!$B$6-(IF('Calc'!$E$12=1,0,MIN(Calc!$C$330*(1+'财富模型'!$E$20/12)+'Calc'!$B$6,IF(Calc!$A$331&lt;='财富模型'!$E$11*12,'Calc'!$W$12,'Calc'!$Y$12)))),0))</x:f>
      </x:c>
      <x:c r="D331" t="str">
        <x:f>IF(Calc!$A$331&gt;'Calc'!$B$8,"",IF('Calc'!$E$12=1,'财富模型'!$E$9,'财富模型'!$M$4+IF(Calc!$A$331&lt;='财富模型'!$E$11*12,'Calc'!$W$12,'Calc'!$Y$12)-(IF('Calc'!$E$12=1,0,MIN(Calc!$C$330*(1+'财富模型'!$E$20/12)+'Calc'!$B$6,IF(Calc!$A$331&lt;='财富模型'!$E$11*12,'Calc'!$W$12,'Calc'!$Y$12))))))</x:f>
      </x:c>
      <x:c r="E331" t="str">
        <x:f>IF(Calc!$A$331&gt;'Calc'!$B$8,"",IF('Calc'!$E$12=1,0,MIN(Calc!$C$330*(1+'财富模型'!$E$20/12)+'Calc'!$B$6,IF(Calc!$A$331&lt;='财富模型'!$E$11*12,'Calc'!$W$12,'Calc'!$Y$12))))</x:f>
      </x:c>
      <x:c r="F331" t="str">
        <x:f>IF(Calc!$A$331&gt;'Calc'!$B$8,"",'Calc'!$B$5-'财富模型'!$E$5-(IF('Calc'!$E$12=1,'财富模型'!$E$9,'财富模型'!$M$4+IF(Calc!$A$331&lt;='财富模型'!$E$11*12,'Calc'!$W$12,'Calc'!$Y$12)-(IF('Calc'!$E$12=1,0,MIN(Calc!$C$330*(1+'财富模型'!$E$20/12)+'Calc'!$B$6,IF(Calc!$A$331&lt;='财富模型'!$E$11*12,'Calc'!$W$12,'Calc'!$Y$12)))))))</x:f>
      </x:c>
      <x:c r="G331" t="str">
        <x:f>IF(Calc!$A$331&gt;'Calc'!$B$8,"",IF('Calc'!$E$12=1,0,MAX(Calc!$G$330*(1+IF(Calc!$A$331&lt;='财富模型'!$E$11*12,'财富模型'!$E$10,'财富模型'!$E$12)/12)-IF('Calc'!$E$12=1,0,IF(Calc!$A$331&lt;='财富模型'!$E$11*12,'Calc'!$W$12,'Calc'!$Y$12)),0)))</x:f>
      </x:c>
      <x:c r="I331" t="n">
        <x:v>310</x:v>
      </x:c>
      <x:c r="J331" t="str">
        <x:f>IF(Calc!$I$331&gt;'Calc'!$B$8,"",MAX(Calc!$J$330*(1+'财富模型'!$E$6/12)+('Calc'!$B$5-'财富模型'!$E$5-(IF('Calc'!$E$13=1,'财富模型'!$E$9,'财富模型'!$M$5+IF(Calc!$I$331&lt;='财富模型'!$E$11*12,'Calc'!$W$13,'Calc'!$Y$13)-(IF('Calc'!$E$13=1,0,MIN(Calc!$K$330*(1+'财富模型'!$E$20/12)+'Calc'!$B$6,IF(Calc!$I$331&lt;='财富模型'!$E$11*12,'Calc'!$W$13,'Calc'!$Y$13))))))),0))</x:f>
      </x:c>
      <x:c r="K331" t="str">
        <x:f>IF(Calc!$I$331&gt;'Calc'!$B$8,"",MAX(Calc!$K$330*(1+'财富模型'!$E$20/12)+'Calc'!$B$6-(IF('Calc'!$E$13=1,0,MIN(Calc!$K$330*(1+'财富模型'!$E$20/12)+'Calc'!$B$6,IF(Calc!$I$331&lt;='财富模型'!$E$11*12,'Calc'!$W$13,'Calc'!$Y$13)))),0))</x:f>
      </x:c>
      <x:c r="L331" t="str">
        <x:f>IF(Calc!$I$331&gt;'Calc'!$B$8,"",IF('Calc'!$E$13=1,'财富模型'!$E$9,'财富模型'!$M$5+IF(Calc!$I$331&lt;='财富模型'!$E$11*12,'Calc'!$W$13,'Calc'!$Y$13)-(IF('Calc'!$E$13=1,0,MIN(Calc!$K$330*(1+'财富模型'!$E$20/12)+'Calc'!$B$6,IF(Calc!$I$331&lt;='财富模型'!$E$11*12,'Calc'!$W$13,'Calc'!$Y$13))))))</x:f>
      </x:c>
      <x:c r="M331" t="str">
        <x:f>IF(Calc!$I$331&gt;'Calc'!$B$8,"",IF('Calc'!$E$13=1,0,MIN(Calc!$K$330*(1+'财富模型'!$E$20/12)+'Calc'!$B$6,IF(Calc!$I$331&lt;='财富模型'!$E$11*12,'Calc'!$W$13,'Calc'!$Y$13))))</x:f>
      </x:c>
      <x:c r="N331" t="str">
        <x:f>IF(Calc!$I$331&gt;'Calc'!$B$8,"",'Calc'!$B$5-'财富模型'!$E$5-(IF('Calc'!$E$13=1,'财富模型'!$E$9,'财富模型'!$M$5+IF(Calc!$I$331&lt;='财富模型'!$E$11*12,'Calc'!$W$13,'Calc'!$Y$13)-(IF('Calc'!$E$13=1,0,MIN(Calc!$K$330*(1+'财富模型'!$E$20/12)+'Calc'!$B$6,IF(Calc!$I$331&lt;='财富模型'!$E$11*12,'Calc'!$W$13,'Calc'!$Y$13)))))))</x:f>
      </x:c>
      <x:c r="O331" t="str">
        <x:f>IF(Calc!$I$331&gt;'Calc'!$B$8,"",IF('Calc'!$E$13=1,0,MAX(Calc!$O$330*(1+IF(Calc!$I$331&lt;='财富模型'!$E$11*12,'财富模型'!$E$10,'财富模型'!$E$12)/12)-IF('Calc'!$E$13=1,0,IF(Calc!$I$331&lt;='财富模型'!$E$11*12,'Calc'!$W$13,'Calc'!$Y$13)),0)))</x:f>
      </x:c>
      <x:c r="Q331" t="n">
        <x:v>310</x:v>
      </x:c>
      <x:c r="R331" t="str">
        <x:f>IF(Calc!$Q$331&gt;'Calc'!$B$8,"",MAX(Calc!$R$330*(1+'财富模型'!$E$6/12)+('Calc'!$B$5-'财富模型'!$E$5-(IF('Calc'!$E$14=1,'财富模型'!$E$9,'财富模型'!$M$6+IF(Calc!$Q$331&lt;='财富模型'!$E$11*12,'Calc'!$W$14,'Calc'!$Y$14)-(IF('Calc'!$E$14=1,0,MIN(Calc!$S$330*(1+'财富模型'!$E$20/12)+'Calc'!$B$6,IF(Calc!$Q$331&lt;='财富模型'!$E$11*12,'Calc'!$W$14,'Calc'!$Y$14))))))),0))</x:f>
      </x:c>
      <x:c r="S331" t="str">
        <x:f>IF(Calc!$Q$331&gt;'Calc'!$B$8,"",MAX(Calc!$S$330*(1+'财富模型'!$E$20/12)+'Calc'!$B$6-(IF('Calc'!$E$14=1,0,MIN(Calc!$S$330*(1+'财富模型'!$E$20/12)+'Calc'!$B$6,IF(Calc!$Q$331&lt;='财富模型'!$E$11*12,'Calc'!$W$14,'Calc'!$Y$14)))),0))</x:f>
      </x:c>
      <x:c r="T331" t="str">
        <x:f>IF(Calc!$Q$331&gt;'Calc'!$B$8,"",IF('Calc'!$E$14=1,'财富模型'!$E$9,'财富模型'!$M$6+IF(Calc!$Q$331&lt;='财富模型'!$E$11*12,'Calc'!$W$14,'Calc'!$Y$14)-(IF('Calc'!$E$14=1,0,MIN(Calc!$S$330*(1+'财富模型'!$E$20/12)+'Calc'!$B$6,IF(Calc!$Q$331&lt;='财富模型'!$E$11*12,'Calc'!$W$14,'Calc'!$Y$14))))))</x:f>
      </x:c>
      <x:c r="U331" t="str">
        <x:f>IF(Calc!$Q$331&gt;'Calc'!$B$8,"",IF('Calc'!$E$14=1,0,MIN(Calc!$S$330*(1+'财富模型'!$E$20/12)+'Calc'!$B$6,IF(Calc!$Q$331&lt;='财富模型'!$E$11*12,'Calc'!$W$14,'Calc'!$Y$14))))</x:f>
      </x:c>
      <x:c r="V331" t="str">
        <x:f>IF(Calc!$Q$331&gt;'Calc'!$B$8,"",'Calc'!$B$5-'财富模型'!$E$5-(IF('Calc'!$E$14=1,'财富模型'!$E$9,'财富模型'!$M$6+IF(Calc!$Q$331&lt;='财富模型'!$E$11*12,'Calc'!$W$14,'Calc'!$Y$14)-(IF('Calc'!$E$14=1,0,MIN(Calc!$S$330*(1+'财富模型'!$E$20/12)+'Calc'!$B$6,IF(Calc!$Q$331&lt;='财富模型'!$E$11*12,'Calc'!$W$14,'Calc'!$Y$14)))))))</x:f>
      </x:c>
      <x:c r="W331" t="str">
        <x:f>IF(Calc!$Q$331&gt;'Calc'!$B$8,"",IF('Calc'!$E$14=1,0,MAX(Calc!$W$330*(1+IF(Calc!$Q$331&lt;='财富模型'!$E$11*12,'财富模型'!$E$10,'财富模型'!$E$12)/12)-IF('Calc'!$E$14=1,0,IF(Calc!$Q$331&lt;='财富模型'!$E$11*12,'Calc'!$W$14,'Calc'!$Y$14)),0)))</x:f>
      </x:c>
      <x:c r="Y331" t="n">
        <x:v>310</x:v>
      </x:c>
      <x:c r="Z331" t="str">
        <x:f>IF(Calc!$Y$331&gt;'Calc'!$B$8,"",MAX(Calc!$Z$330*(1+'财富模型'!$E$6/12)+('Calc'!$B$5-'财富模型'!$E$5-(IF('Calc'!$E$15=1,'财富模型'!$E$9,'财富模型'!$M$7+IF(Calc!$Y$331&lt;='财富模型'!$E$11*12,'Calc'!$W$15,'Calc'!$Y$15)-(IF('Calc'!$E$15=1,0,MIN(Calc!$AA$330*(1+'财富模型'!$E$20/12)+'Calc'!$B$6,IF(Calc!$Y$331&lt;='财富模型'!$E$11*12,'Calc'!$W$15,'Calc'!$Y$15))))))),0))</x:f>
      </x:c>
      <x:c r="AA331" t="str">
        <x:f>IF(Calc!$Y$331&gt;'Calc'!$B$8,"",MAX(Calc!$AA$330*(1+'财富模型'!$E$20/12)+'Calc'!$B$6-(IF('Calc'!$E$15=1,0,MIN(Calc!$AA$330*(1+'财富模型'!$E$20/12)+'Calc'!$B$6,IF(Calc!$Y$331&lt;='财富模型'!$E$11*12,'Calc'!$W$15,'Calc'!$Y$15)))),0))</x:f>
      </x:c>
      <x:c r="AB331" t="str">
        <x:f>IF(Calc!$Y$331&gt;'Calc'!$B$8,"",IF('Calc'!$E$15=1,'财富模型'!$E$9,'财富模型'!$M$7+IF(Calc!$Y$331&lt;='财富模型'!$E$11*12,'Calc'!$W$15,'Calc'!$Y$15)-(IF('Calc'!$E$15=1,0,MIN(Calc!$AA$330*(1+'财富模型'!$E$20/12)+'Calc'!$B$6,IF(Calc!$Y$331&lt;='财富模型'!$E$11*12,'Calc'!$W$15,'Calc'!$Y$15))))))</x:f>
      </x:c>
      <x:c r="AC331" t="str">
        <x:f>IF(Calc!$Y$331&gt;'Calc'!$B$8,"",IF('Calc'!$E$15=1,0,MIN(Calc!$AA$330*(1+'财富模型'!$E$20/12)+'Calc'!$B$6,IF(Calc!$Y$331&lt;='财富模型'!$E$11*12,'Calc'!$W$15,'Calc'!$Y$15))))</x:f>
      </x:c>
      <x:c r="AD331" t="str">
        <x:f>IF(Calc!$Y$331&gt;'Calc'!$B$8,"",'Calc'!$B$5-'财富模型'!$E$5-(IF('Calc'!$E$15=1,'财富模型'!$E$9,'财富模型'!$M$7+IF(Calc!$Y$331&lt;='财富模型'!$E$11*12,'Calc'!$W$15,'Calc'!$Y$15)-(IF('Calc'!$E$15=1,0,MIN(Calc!$AA$330*(1+'财富模型'!$E$20/12)+'Calc'!$B$6,IF(Calc!$Y$331&lt;='财富模型'!$E$11*12,'Calc'!$W$15,'Calc'!$Y$15)))))))</x:f>
      </x:c>
      <x:c r="AE331" t="str">
        <x:f>IF(Calc!$Y$331&gt;'Calc'!$B$8,"",IF('Calc'!$E$15=1,0,MAX(Calc!$AE$330*(1+IF(Calc!$Y$331&lt;='财富模型'!$E$11*12,'财富模型'!$E$10,'财富模型'!$E$12)/12)-IF('Calc'!$E$15=1,0,IF(Calc!$Y$331&lt;='财富模型'!$E$11*12,'Calc'!$W$15,'Calc'!$Y$15)),0)))</x:f>
      </x:c>
      <x:c r="AG331" t="n">
        <x:v>310</x:v>
      </x:c>
      <x:c r="AH331" t="str">
        <x:f>IF(Calc!$AG$331&gt;'Calc'!$B$8,"",MAX(Calc!$AH$330*(1+'财富模型'!$E$6/12)+('Calc'!$B$5-'财富模型'!$E$5-(IF('Calc'!$E$16=1,'财富模型'!$E$9,'财富模型'!$M$8+IF(Calc!$AG$331&lt;='财富模型'!$E$11*12,'Calc'!$W$16,'Calc'!$Y$16)-(IF('Calc'!$E$16=1,0,MIN(Calc!$AI$330*(1+'财富模型'!$E$20/12)+'Calc'!$B$6,IF(Calc!$AG$331&lt;='财富模型'!$E$11*12,'Calc'!$W$16,'Calc'!$Y$16))))))),0))</x:f>
      </x:c>
      <x:c r="AI331" t="str">
        <x:f>IF(Calc!$AG$331&gt;'Calc'!$B$8,"",MAX(Calc!$AI$330*(1+'财富模型'!$E$20/12)+'Calc'!$B$6-(IF('Calc'!$E$16=1,0,MIN(Calc!$AI$330*(1+'财富模型'!$E$20/12)+'Calc'!$B$6,IF(Calc!$AG$331&lt;='财富模型'!$E$11*12,'Calc'!$W$16,'Calc'!$Y$16)))),0))</x:f>
      </x:c>
      <x:c r="AJ331" t="str">
        <x:f>IF(Calc!$AG$331&gt;'Calc'!$B$8,"",IF('Calc'!$E$16=1,'财富模型'!$E$9,'财富模型'!$M$8+IF(Calc!$AG$331&lt;='财富模型'!$E$11*12,'Calc'!$W$16,'Calc'!$Y$16)-(IF('Calc'!$E$16=1,0,MIN(Calc!$AI$330*(1+'财富模型'!$E$20/12)+'Calc'!$B$6,IF(Calc!$AG$331&lt;='财富模型'!$E$11*12,'Calc'!$W$16,'Calc'!$Y$16))))))</x:f>
      </x:c>
      <x:c r="AK331" t="str">
        <x:f>IF(Calc!$AG$331&gt;'Calc'!$B$8,"",IF('Calc'!$E$16=1,0,MIN(Calc!$AI$330*(1+'财富模型'!$E$20/12)+'Calc'!$B$6,IF(Calc!$AG$331&lt;='财富模型'!$E$11*12,'Calc'!$W$16,'Calc'!$Y$16))))</x:f>
      </x:c>
      <x:c r="AL331" t="str">
        <x:f>IF(Calc!$AG$331&gt;'Calc'!$B$8,"",'Calc'!$B$5-'财富模型'!$E$5-(IF('Calc'!$E$16=1,'财富模型'!$E$9,'财富模型'!$M$8+IF(Calc!$AG$331&lt;='财富模型'!$E$11*12,'Calc'!$W$16,'Calc'!$Y$16)-(IF('Calc'!$E$16=1,0,MIN(Calc!$AI$330*(1+'财富模型'!$E$20/12)+'Calc'!$B$6,IF(Calc!$AG$331&lt;='财富模型'!$E$11*12,'Calc'!$W$16,'Calc'!$Y$16)))))))</x:f>
      </x:c>
      <x:c r="AM331" t="str">
        <x:f>IF(Calc!$AG$331&gt;'Calc'!$B$8,"",IF('Calc'!$E$16=1,0,MAX(Calc!$AM$330*(1+IF(Calc!$AG$331&lt;='财富模型'!$E$11*12,'财富模型'!$E$10,'财富模型'!$E$12)/12)-IF('Calc'!$E$16=1,0,IF(Calc!$AG$331&lt;='财富模型'!$E$11*12,'Calc'!$W$16,'Calc'!$Y$16)),0)))</x:f>
      </x:c>
      <x:c r="AO331" t="n">
        <x:v>310</x:v>
      </x:c>
      <x:c r="AP331" t="str">
        <x:f>IF(Calc!$AO$331&gt;'Calc'!$B$8,"",MAX(Calc!$AP$330*(1+'财富模型'!$E$6/12)+('Calc'!$B$5-'财富模型'!$E$5-(IF('Calc'!$E$17=1,'财富模型'!$E$9,'财富模型'!$M$9+IF(Calc!$AO$331&lt;='财富模型'!$E$11*12,'Calc'!$W$17,'Calc'!$Y$17)-(IF('Calc'!$E$17=1,0,MIN(Calc!$AQ$330*(1+'财富模型'!$E$20/12)+'Calc'!$B$6,IF(Calc!$AO$331&lt;='财富模型'!$E$11*12,'Calc'!$W$17,'Calc'!$Y$17))))))),0))</x:f>
      </x:c>
      <x:c r="AQ331" t="str">
        <x:f>IF(Calc!$AO$331&gt;'Calc'!$B$8,"",MAX(Calc!$AQ$330*(1+'财富模型'!$E$20/12)+'Calc'!$B$6-(IF('Calc'!$E$17=1,0,MIN(Calc!$AQ$330*(1+'财富模型'!$E$20/12)+'Calc'!$B$6,IF(Calc!$AO$331&lt;='财富模型'!$E$11*12,'Calc'!$W$17,'Calc'!$Y$17)))),0))</x:f>
      </x:c>
      <x:c r="AR331" t="str">
        <x:f>IF(Calc!$AO$331&gt;'Calc'!$B$8,"",IF('Calc'!$E$17=1,'财富模型'!$E$9,'财富模型'!$M$9+IF(Calc!$AO$331&lt;='财富模型'!$E$11*12,'Calc'!$W$17,'Calc'!$Y$17)-(IF('Calc'!$E$17=1,0,MIN(Calc!$AQ$330*(1+'财富模型'!$E$20/12)+'Calc'!$B$6,IF(Calc!$AO$331&lt;='财富模型'!$E$11*12,'Calc'!$W$17,'Calc'!$Y$17))))))</x:f>
      </x:c>
      <x:c r="AS331" t="str">
        <x:f>IF(Calc!$AO$331&gt;'Calc'!$B$8,"",IF('Calc'!$E$17=1,0,MIN(Calc!$AQ$330*(1+'财富模型'!$E$20/12)+'Calc'!$B$6,IF(Calc!$AO$331&lt;='财富模型'!$E$11*12,'Calc'!$W$17,'Calc'!$Y$17))))</x:f>
      </x:c>
      <x:c r="AT331" t="str">
        <x:f>IF(Calc!$AO$331&gt;'Calc'!$B$8,"",'Calc'!$B$5-'财富模型'!$E$5-(IF('Calc'!$E$17=1,'财富模型'!$E$9,'财富模型'!$M$9+IF(Calc!$AO$331&lt;='财富模型'!$E$11*12,'Calc'!$W$17,'Calc'!$Y$17)-(IF('Calc'!$E$17=1,0,MIN(Calc!$AQ$330*(1+'财富模型'!$E$20/12)+'Calc'!$B$6,IF(Calc!$AO$331&lt;='财富模型'!$E$11*12,'Calc'!$W$17,'Calc'!$Y$17)))))))</x:f>
      </x:c>
      <x:c r="AU331" t="str">
        <x:f>IF(Calc!$AO$331&gt;'Calc'!$B$8,"",IF('Calc'!$E$17=1,0,MAX(Calc!$AU$330*(1+IF(Calc!$AO$331&lt;='财富模型'!$E$11*12,'财富模型'!$E$10,'财富模型'!$E$12)/12)-IF('Calc'!$E$17=1,0,IF(Calc!$AO$331&lt;='财富模型'!$E$11*12,'Calc'!$W$17,'Calc'!$Y$17)),0)))</x:f>
      </x:c>
    </x:row>
    <x:row r="332">
      <x:c r="A332" t="n">
        <x:v>311</x:v>
      </x:c>
      <x:c r="B332" t="str">
        <x:f>IF(Calc!$A$332&gt;'Calc'!$B$8,"",MAX(Calc!$B$331*(1+'财富模型'!$E$6/12)+('Calc'!$B$5-'财富模型'!$E$5-(IF('Calc'!$E$12=1,'财富模型'!$E$9,'财富模型'!$M$4+IF(Calc!$A$332&lt;='财富模型'!$E$11*12,'Calc'!$W$12,'Calc'!$Y$12)-(IF('Calc'!$E$12=1,0,MIN(Calc!$C$331*(1+'财富模型'!$E$20/12)+'Calc'!$B$6,IF(Calc!$A$332&lt;='财富模型'!$E$11*12,'Calc'!$W$12,'Calc'!$Y$12))))))),0))</x:f>
      </x:c>
      <x:c r="C332" t="str">
        <x:f>IF(Calc!$A$332&gt;'Calc'!$B$8,"",MAX(Calc!$C$331*(1+'财富模型'!$E$20/12)+'Calc'!$B$6-(IF('Calc'!$E$12=1,0,MIN(Calc!$C$331*(1+'财富模型'!$E$20/12)+'Calc'!$B$6,IF(Calc!$A$332&lt;='财富模型'!$E$11*12,'Calc'!$W$12,'Calc'!$Y$12)))),0))</x:f>
      </x:c>
      <x:c r="D332" t="str">
        <x:f>IF(Calc!$A$332&gt;'Calc'!$B$8,"",IF('Calc'!$E$12=1,'财富模型'!$E$9,'财富模型'!$M$4+IF(Calc!$A$332&lt;='财富模型'!$E$11*12,'Calc'!$W$12,'Calc'!$Y$12)-(IF('Calc'!$E$12=1,0,MIN(Calc!$C$331*(1+'财富模型'!$E$20/12)+'Calc'!$B$6,IF(Calc!$A$332&lt;='财富模型'!$E$11*12,'Calc'!$W$12,'Calc'!$Y$12))))))</x:f>
      </x:c>
      <x:c r="E332" t="str">
        <x:f>IF(Calc!$A$332&gt;'Calc'!$B$8,"",IF('Calc'!$E$12=1,0,MIN(Calc!$C$331*(1+'财富模型'!$E$20/12)+'Calc'!$B$6,IF(Calc!$A$332&lt;='财富模型'!$E$11*12,'Calc'!$W$12,'Calc'!$Y$12))))</x:f>
      </x:c>
      <x:c r="F332" t="str">
        <x:f>IF(Calc!$A$332&gt;'Calc'!$B$8,"",'Calc'!$B$5-'财富模型'!$E$5-(IF('Calc'!$E$12=1,'财富模型'!$E$9,'财富模型'!$M$4+IF(Calc!$A$332&lt;='财富模型'!$E$11*12,'Calc'!$W$12,'Calc'!$Y$12)-(IF('Calc'!$E$12=1,0,MIN(Calc!$C$331*(1+'财富模型'!$E$20/12)+'Calc'!$B$6,IF(Calc!$A$332&lt;='财富模型'!$E$11*12,'Calc'!$W$12,'Calc'!$Y$12)))))))</x:f>
      </x:c>
      <x:c r="G332" t="str">
        <x:f>IF(Calc!$A$332&gt;'Calc'!$B$8,"",IF('Calc'!$E$12=1,0,MAX(Calc!$G$331*(1+IF(Calc!$A$332&lt;='财富模型'!$E$11*12,'财富模型'!$E$10,'财富模型'!$E$12)/12)-IF('Calc'!$E$12=1,0,IF(Calc!$A$332&lt;='财富模型'!$E$11*12,'Calc'!$W$12,'Calc'!$Y$12)),0)))</x:f>
      </x:c>
      <x:c r="I332" t="n">
        <x:v>311</x:v>
      </x:c>
      <x:c r="J332" t="str">
        <x:f>IF(Calc!$I$332&gt;'Calc'!$B$8,"",MAX(Calc!$J$331*(1+'财富模型'!$E$6/12)+('Calc'!$B$5-'财富模型'!$E$5-(IF('Calc'!$E$13=1,'财富模型'!$E$9,'财富模型'!$M$5+IF(Calc!$I$332&lt;='财富模型'!$E$11*12,'Calc'!$W$13,'Calc'!$Y$13)-(IF('Calc'!$E$13=1,0,MIN(Calc!$K$331*(1+'财富模型'!$E$20/12)+'Calc'!$B$6,IF(Calc!$I$332&lt;='财富模型'!$E$11*12,'Calc'!$W$13,'Calc'!$Y$13))))))),0))</x:f>
      </x:c>
      <x:c r="K332" t="str">
        <x:f>IF(Calc!$I$332&gt;'Calc'!$B$8,"",MAX(Calc!$K$331*(1+'财富模型'!$E$20/12)+'Calc'!$B$6-(IF('Calc'!$E$13=1,0,MIN(Calc!$K$331*(1+'财富模型'!$E$20/12)+'Calc'!$B$6,IF(Calc!$I$332&lt;='财富模型'!$E$11*12,'Calc'!$W$13,'Calc'!$Y$13)))),0))</x:f>
      </x:c>
      <x:c r="L332" t="str">
        <x:f>IF(Calc!$I$332&gt;'Calc'!$B$8,"",IF('Calc'!$E$13=1,'财富模型'!$E$9,'财富模型'!$M$5+IF(Calc!$I$332&lt;='财富模型'!$E$11*12,'Calc'!$W$13,'Calc'!$Y$13)-(IF('Calc'!$E$13=1,0,MIN(Calc!$K$331*(1+'财富模型'!$E$20/12)+'Calc'!$B$6,IF(Calc!$I$332&lt;='财富模型'!$E$11*12,'Calc'!$W$13,'Calc'!$Y$13))))))</x:f>
      </x:c>
      <x:c r="M332" t="str">
        <x:f>IF(Calc!$I$332&gt;'Calc'!$B$8,"",IF('Calc'!$E$13=1,0,MIN(Calc!$K$331*(1+'财富模型'!$E$20/12)+'Calc'!$B$6,IF(Calc!$I$332&lt;='财富模型'!$E$11*12,'Calc'!$W$13,'Calc'!$Y$13))))</x:f>
      </x:c>
      <x:c r="N332" t="str">
        <x:f>IF(Calc!$I$332&gt;'Calc'!$B$8,"",'Calc'!$B$5-'财富模型'!$E$5-(IF('Calc'!$E$13=1,'财富模型'!$E$9,'财富模型'!$M$5+IF(Calc!$I$332&lt;='财富模型'!$E$11*12,'Calc'!$W$13,'Calc'!$Y$13)-(IF('Calc'!$E$13=1,0,MIN(Calc!$K$331*(1+'财富模型'!$E$20/12)+'Calc'!$B$6,IF(Calc!$I$332&lt;='财富模型'!$E$11*12,'Calc'!$W$13,'Calc'!$Y$13)))))))</x:f>
      </x:c>
      <x:c r="O332" t="str">
        <x:f>IF(Calc!$I$332&gt;'Calc'!$B$8,"",IF('Calc'!$E$13=1,0,MAX(Calc!$O$331*(1+IF(Calc!$I$332&lt;='财富模型'!$E$11*12,'财富模型'!$E$10,'财富模型'!$E$12)/12)-IF('Calc'!$E$13=1,0,IF(Calc!$I$332&lt;='财富模型'!$E$11*12,'Calc'!$W$13,'Calc'!$Y$13)),0)))</x:f>
      </x:c>
      <x:c r="Q332" t="n">
        <x:v>311</x:v>
      </x:c>
      <x:c r="R332" t="str">
        <x:f>IF(Calc!$Q$332&gt;'Calc'!$B$8,"",MAX(Calc!$R$331*(1+'财富模型'!$E$6/12)+('Calc'!$B$5-'财富模型'!$E$5-(IF('Calc'!$E$14=1,'财富模型'!$E$9,'财富模型'!$M$6+IF(Calc!$Q$332&lt;='财富模型'!$E$11*12,'Calc'!$W$14,'Calc'!$Y$14)-(IF('Calc'!$E$14=1,0,MIN(Calc!$S$331*(1+'财富模型'!$E$20/12)+'Calc'!$B$6,IF(Calc!$Q$332&lt;='财富模型'!$E$11*12,'Calc'!$W$14,'Calc'!$Y$14))))))),0))</x:f>
      </x:c>
      <x:c r="S332" t="str">
        <x:f>IF(Calc!$Q$332&gt;'Calc'!$B$8,"",MAX(Calc!$S$331*(1+'财富模型'!$E$20/12)+'Calc'!$B$6-(IF('Calc'!$E$14=1,0,MIN(Calc!$S$331*(1+'财富模型'!$E$20/12)+'Calc'!$B$6,IF(Calc!$Q$332&lt;='财富模型'!$E$11*12,'Calc'!$W$14,'Calc'!$Y$14)))),0))</x:f>
      </x:c>
      <x:c r="T332" t="str">
        <x:f>IF(Calc!$Q$332&gt;'Calc'!$B$8,"",IF('Calc'!$E$14=1,'财富模型'!$E$9,'财富模型'!$M$6+IF(Calc!$Q$332&lt;='财富模型'!$E$11*12,'Calc'!$W$14,'Calc'!$Y$14)-(IF('Calc'!$E$14=1,0,MIN(Calc!$S$331*(1+'财富模型'!$E$20/12)+'Calc'!$B$6,IF(Calc!$Q$332&lt;='财富模型'!$E$11*12,'Calc'!$W$14,'Calc'!$Y$14))))))</x:f>
      </x:c>
      <x:c r="U332" t="str">
        <x:f>IF(Calc!$Q$332&gt;'Calc'!$B$8,"",IF('Calc'!$E$14=1,0,MIN(Calc!$S$331*(1+'财富模型'!$E$20/12)+'Calc'!$B$6,IF(Calc!$Q$332&lt;='财富模型'!$E$11*12,'Calc'!$W$14,'Calc'!$Y$14))))</x:f>
      </x:c>
      <x:c r="V332" t="str">
        <x:f>IF(Calc!$Q$332&gt;'Calc'!$B$8,"",'Calc'!$B$5-'财富模型'!$E$5-(IF('Calc'!$E$14=1,'财富模型'!$E$9,'财富模型'!$M$6+IF(Calc!$Q$332&lt;='财富模型'!$E$11*12,'Calc'!$W$14,'Calc'!$Y$14)-(IF('Calc'!$E$14=1,0,MIN(Calc!$S$331*(1+'财富模型'!$E$20/12)+'Calc'!$B$6,IF(Calc!$Q$332&lt;='财富模型'!$E$11*12,'Calc'!$W$14,'Calc'!$Y$14)))))))</x:f>
      </x:c>
      <x:c r="W332" t="str">
        <x:f>IF(Calc!$Q$332&gt;'Calc'!$B$8,"",IF('Calc'!$E$14=1,0,MAX(Calc!$W$331*(1+IF(Calc!$Q$332&lt;='财富模型'!$E$11*12,'财富模型'!$E$10,'财富模型'!$E$12)/12)-IF('Calc'!$E$14=1,0,IF(Calc!$Q$332&lt;='财富模型'!$E$11*12,'Calc'!$W$14,'Calc'!$Y$14)),0)))</x:f>
      </x:c>
      <x:c r="Y332" t="n">
        <x:v>311</x:v>
      </x:c>
      <x:c r="Z332" t="str">
        <x:f>IF(Calc!$Y$332&gt;'Calc'!$B$8,"",MAX(Calc!$Z$331*(1+'财富模型'!$E$6/12)+('Calc'!$B$5-'财富模型'!$E$5-(IF('Calc'!$E$15=1,'财富模型'!$E$9,'财富模型'!$M$7+IF(Calc!$Y$332&lt;='财富模型'!$E$11*12,'Calc'!$W$15,'Calc'!$Y$15)-(IF('Calc'!$E$15=1,0,MIN(Calc!$AA$331*(1+'财富模型'!$E$20/12)+'Calc'!$B$6,IF(Calc!$Y$332&lt;='财富模型'!$E$11*12,'Calc'!$W$15,'Calc'!$Y$15))))))),0))</x:f>
      </x:c>
      <x:c r="AA332" t="str">
        <x:f>IF(Calc!$Y$332&gt;'Calc'!$B$8,"",MAX(Calc!$AA$331*(1+'财富模型'!$E$20/12)+'Calc'!$B$6-(IF('Calc'!$E$15=1,0,MIN(Calc!$AA$331*(1+'财富模型'!$E$20/12)+'Calc'!$B$6,IF(Calc!$Y$332&lt;='财富模型'!$E$11*12,'Calc'!$W$15,'Calc'!$Y$15)))),0))</x:f>
      </x:c>
      <x:c r="AB332" t="str">
        <x:f>IF(Calc!$Y$332&gt;'Calc'!$B$8,"",IF('Calc'!$E$15=1,'财富模型'!$E$9,'财富模型'!$M$7+IF(Calc!$Y$332&lt;='财富模型'!$E$11*12,'Calc'!$W$15,'Calc'!$Y$15)-(IF('Calc'!$E$15=1,0,MIN(Calc!$AA$331*(1+'财富模型'!$E$20/12)+'Calc'!$B$6,IF(Calc!$Y$332&lt;='财富模型'!$E$11*12,'Calc'!$W$15,'Calc'!$Y$15))))))</x:f>
      </x:c>
      <x:c r="AC332" t="str">
        <x:f>IF(Calc!$Y$332&gt;'Calc'!$B$8,"",IF('Calc'!$E$15=1,0,MIN(Calc!$AA$331*(1+'财富模型'!$E$20/12)+'Calc'!$B$6,IF(Calc!$Y$332&lt;='财富模型'!$E$11*12,'Calc'!$W$15,'Calc'!$Y$15))))</x:f>
      </x:c>
      <x:c r="AD332" t="str">
        <x:f>IF(Calc!$Y$332&gt;'Calc'!$B$8,"",'Calc'!$B$5-'财富模型'!$E$5-(IF('Calc'!$E$15=1,'财富模型'!$E$9,'财富模型'!$M$7+IF(Calc!$Y$332&lt;='财富模型'!$E$11*12,'Calc'!$W$15,'Calc'!$Y$15)-(IF('Calc'!$E$15=1,0,MIN(Calc!$AA$331*(1+'财富模型'!$E$20/12)+'Calc'!$B$6,IF(Calc!$Y$332&lt;='财富模型'!$E$11*12,'Calc'!$W$15,'Calc'!$Y$15)))))))</x:f>
      </x:c>
      <x:c r="AE332" t="str">
        <x:f>IF(Calc!$Y$332&gt;'Calc'!$B$8,"",IF('Calc'!$E$15=1,0,MAX(Calc!$AE$331*(1+IF(Calc!$Y$332&lt;='财富模型'!$E$11*12,'财富模型'!$E$10,'财富模型'!$E$12)/12)-IF('Calc'!$E$15=1,0,IF(Calc!$Y$332&lt;='财富模型'!$E$11*12,'Calc'!$W$15,'Calc'!$Y$15)),0)))</x:f>
      </x:c>
      <x:c r="AG332" t="n">
        <x:v>311</x:v>
      </x:c>
      <x:c r="AH332" t="str">
        <x:f>IF(Calc!$AG$332&gt;'Calc'!$B$8,"",MAX(Calc!$AH$331*(1+'财富模型'!$E$6/12)+('Calc'!$B$5-'财富模型'!$E$5-(IF('Calc'!$E$16=1,'财富模型'!$E$9,'财富模型'!$M$8+IF(Calc!$AG$332&lt;='财富模型'!$E$11*12,'Calc'!$W$16,'Calc'!$Y$16)-(IF('Calc'!$E$16=1,0,MIN(Calc!$AI$331*(1+'财富模型'!$E$20/12)+'Calc'!$B$6,IF(Calc!$AG$332&lt;='财富模型'!$E$11*12,'Calc'!$W$16,'Calc'!$Y$16))))))),0))</x:f>
      </x:c>
      <x:c r="AI332" t="str">
        <x:f>IF(Calc!$AG$332&gt;'Calc'!$B$8,"",MAX(Calc!$AI$331*(1+'财富模型'!$E$20/12)+'Calc'!$B$6-(IF('Calc'!$E$16=1,0,MIN(Calc!$AI$331*(1+'财富模型'!$E$20/12)+'Calc'!$B$6,IF(Calc!$AG$332&lt;='财富模型'!$E$11*12,'Calc'!$W$16,'Calc'!$Y$16)))),0))</x:f>
      </x:c>
      <x:c r="AJ332" t="str">
        <x:f>IF(Calc!$AG$332&gt;'Calc'!$B$8,"",IF('Calc'!$E$16=1,'财富模型'!$E$9,'财富模型'!$M$8+IF(Calc!$AG$332&lt;='财富模型'!$E$11*12,'Calc'!$W$16,'Calc'!$Y$16)-(IF('Calc'!$E$16=1,0,MIN(Calc!$AI$331*(1+'财富模型'!$E$20/12)+'Calc'!$B$6,IF(Calc!$AG$332&lt;='财富模型'!$E$11*12,'Calc'!$W$16,'Calc'!$Y$16))))))</x:f>
      </x:c>
      <x:c r="AK332" t="str">
        <x:f>IF(Calc!$AG$332&gt;'Calc'!$B$8,"",IF('Calc'!$E$16=1,0,MIN(Calc!$AI$331*(1+'财富模型'!$E$20/12)+'Calc'!$B$6,IF(Calc!$AG$332&lt;='财富模型'!$E$11*12,'Calc'!$W$16,'Calc'!$Y$16))))</x:f>
      </x:c>
      <x:c r="AL332" t="str">
        <x:f>IF(Calc!$AG$332&gt;'Calc'!$B$8,"",'Calc'!$B$5-'财富模型'!$E$5-(IF('Calc'!$E$16=1,'财富模型'!$E$9,'财富模型'!$M$8+IF(Calc!$AG$332&lt;='财富模型'!$E$11*12,'Calc'!$W$16,'Calc'!$Y$16)-(IF('Calc'!$E$16=1,0,MIN(Calc!$AI$331*(1+'财富模型'!$E$20/12)+'Calc'!$B$6,IF(Calc!$AG$332&lt;='财富模型'!$E$11*12,'Calc'!$W$16,'Calc'!$Y$16)))))))</x:f>
      </x:c>
      <x:c r="AM332" t="str">
        <x:f>IF(Calc!$AG$332&gt;'Calc'!$B$8,"",IF('Calc'!$E$16=1,0,MAX(Calc!$AM$331*(1+IF(Calc!$AG$332&lt;='财富模型'!$E$11*12,'财富模型'!$E$10,'财富模型'!$E$12)/12)-IF('Calc'!$E$16=1,0,IF(Calc!$AG$332&lt;='财富模型'!$E$11*12,'Calc'!$W$16,'Calc'!$Y$16)),0)))</x:f>
      </x:c>
      <x:c r="AO332" t="n">
        <x:v>311</x:v>
      </x:c>
      <x:c r="AP332" t="str">
        <x:f>IF(Calc!$AO$332&gt;'Calc'!$B$8,"",MAX(Calc!$AP$331*(1+'财富模型'!$E$6/12)+('Calc'!$B$5-'财富模型'!$E$5-(IF('Calc'!$E$17=1,'财富模型'!$E$9,'财富模型'!$M$9+IF(Calc!$AO$332&lt;='财富模型'!$E$11*12,'Calc'!$W$17,'Calc'!$Y$17)-(IF('Calc'!$E$17=1,0,MIN(Calc!$AQ$331*(1+'财富模型'!$E$20/12)+'Calc'!$B$6,IF(Calc!$AO$332&lt;='财富模型'!$E$11*12,'Calc'!$W$17,'Calc'!$Y$17))))))),0))</x:f>
      </x:c>
      <x:c r="AQ332" t="str">
        <x:f>IF(Calc!$AO$332&gt;'Calc'!$B$8,"",MAX(Calc!$AQ$331*(1+'财富模型'!$E$20/12)+'Calc'!$B$6-(IF('Calc'!$E$17=1,0,MIN(Calc!$AQ$331*(1+'财富模型'!$E$20/12)+'Calc'!$B$6,IF(Calc!$AO$332&lt;='财富模型'!$E$11*12,'Calc'!$W$17,'Calc'!$Y$17)))),0))</x:f>
      </x:c>
      <x:c r="AR332" t="str">
        <x:f>IF(Calc!$AO$332&gt;'Calc'!$B$8,"",IF('Calc'!$E$17=1,'财富模型'!$E$9,'财富模型'!$M$9+IF(Calc!$AO$332&lt;='财富模型'!$E$11*12,'Calc'!$W$17,'Calc'!$Y$17)-(IF('Calc'!$E$17=1,0,MIN(Calc!$AQ$331*(1+'财富模型'!$E$20/12)+'Calc'!$B$6,IF(Calc!$AO$332&lt;='财富模型'!$E$11*12,'Calc'!$W$17,'Calc'!$Y$17))))))</x:f>
      </x:c>
      <x:c r="AS332" t="str">
        <x:f>IF(Calc!$AO$332&gt;'Calc'!$B$8,"",IF('Calc'!$E$17=1,0,MIN(Calc!$AQ$331*(1+'财富模型'!$E$20/12)+'Calc'!$B$6,IF(Calc!$AO$332&lt;='财富模型'!$E$11*12,'Calc'!$W$17,'Calc'!$Y$17))))</x:f>
      </x:c>
      <x:c r="AT332" t="str">
        <x:f>IF(Calc!$AO$332&gt;'Calc'!$B$8,"",'Calc'!$B$5-'财富模型'!$E$5-(IF('Calc'!$E$17=1,'财富模型'!$E$9,'财富模型'!$M$9+IF(Calc!$AO$332&lt;='财富模型'!$E$11*12,'Calc'!$W$17,'Calc'!$Y$17)-(IF('Calc'!$E$17=1,0,MIN(Calc!$AQ$331*(1+'财富模型'!$E$20/12)+'Calc'!$B$6,IF(Calc!$AO$332&lt;='财富模型'!$E$11*12,'Calc'!$W$17,'Calc'!$Y$17)))))))</x:f>
      </x:c>
      <x:c r="AU332" t="str">
        <x:f>IF(Calc!$AO$332&gt;'Calc'!$B$8,"",IF('Calc'!$E$17=1,0,MAX(Calc!$AU$331*(1+IF(Calc!$AO$332&lt;='财富模型'!$E$11*12,'财富模型'!$E$10,'财富模型'!$E$12)/12)-IF('Calc'!$E$17=1,0,IF(Calc!$AO$332&lt;='财富模型'!$E$11*12,'Calc'!$W$17,'Calc'!$Y$17)),0)))</x:f>
      </x:c>
    </x:row>
    <x:row r="333">
      <x:c r="A333" t="n">
        <x:v>312</x:v>
      </x:c>
      <x:c r="B333" t="str">
        <x:f>IF(Calc!$A$333&gt;'Calc'!$B$8,"",MAX(Calc!$B$332*(1+'财富模型'!$E$6/12)+('Calc'!$B$5-'财富模型'!$E$5-(IF('Calc'!$E$12=1,'财富模型'!$E$9,'财富模型'!$M$4+IF(Calc!$A$333&lt;='财富模型'!$E$11*12,'Calc'!$W$12,'Calc'!$Y$12)-(IF('Calc'!$E$12=1,0,MIN(Calc!$C$332*(1+'财富模型'!$E$20/12)+'Calc'!$B$6,IF(Calc!$A$333&lt;='财富模型'!$E$11*12,'Calc'!$W$12,'Calc'!$Y$12))))))),0))</x:f>
      </x:c>
      <x:c r="C333" t="str">
        <x:f>IF(Calc!$A$333&gt;'Calc'!$B$8,"",MAX(Calc!$C$332*(1+'财富模型'!$E$20/12)+'Calc'!$B$6-(IF('Calc'!$E$12=1,0,MIN(Calc!$C$332*(1+'财富模型'!$E$20/12)+'Calc'!$B$6,IF(Calc!$A$333&lt;='财富模型'!$E$11*12,'Calc'!$W$12,'Calc'!$Y$12)))),0))</x:f>
      </x:c>
      <x:c r="D333" t="str">
        <x:f>IF(Calc!$A$333&gt;'Calc'!$B$8,"",IF('Calc'!$E$12=1,'财富模型'!$E$9,'财富模型'!$M$4+IF(Calc!$A$333&lt;='财富模型'!$E$11*12,'Calc'!$W$12,'Calc'!$Y$12)-(IF('Calc'!$E$12=1,0,MIN(Calc!$C$332*(1+'财富模型'!$E$20/12)+'Calc'!$B$6,IF(Calc!$A$333&lt;='财富模型'!$E$11*12,'Calc'!$W$12,'Calc'!$Y$12))))))</x:f>
      </x:c>
      <x:c r="E333" t="str">
        <x:f>IF(Calc!$A$333&gt;'Calc'!$B$8,"",IF('Calc'!$E$12=1,0,MIN(Calc!$C$332*(1+'财富模型'!$E$20/12)+'Calc'!$B$6,IF(Calc!$A$333&lt;='财富模型'!$E$11*12,'Calc'!$W$12,'Calc'!$Y$12))))</x:f>
      </x:c>
      <x:c r="F333" t="str">
        <x:f>IF(Calc!$A$333&gt;'Calc'!$B$8,"",'Calc'!$B$5-'财富模型'!$E$5-(IF('Calc'!$E$12=1,'财富模型'!$E$9,'财富模型'!$M$4+IF(Calc!$A$333&lt;='财富模型'!$E$11*12,'Calc'!$W$12,'Calc'!$Y$12)-(IF('Calc'!$E$12=1,0,MIN(Calc!$C$332*(1+'财富模型'!$E$20/12)+'Calc'!$B$6,IF(Calc!$A$333&lt;='财富模型'!$E$11*12,'Calc'!$W$12,'Calc'!$Y$12)))))))</x:f>
      </x:c>
      <x:c r="G333" t="str">
        <x:f>IF(Calc!$A$333&gt;'Calc'!$B$8,"",IF('Calc'!$E$12=1,0,MAX(Calc!$G$332*(1+IF(Calc!$A$333&lt;='财富模型'!$E$11*12,'财富模型'!$E$10,'财富模型'!$E$12)/12)-IF('Calc'!$E$12=1,0,IF(Calc!$A$333&lt;='财富模型'!$E$11*12,'Calc'!$W$12,'Calc'!$Y$12)),0)))</x:f>
      </x:c>
      <x:c r="I333" t="n">
        <x:v>312</x:v>
      </x:c>
      <x:c r="J333" t="str">
        <x:f>IF(Calc!$I$333&gt;'Calc'!$B$8,"",MAX(Calc!$J$332*(1+'财富模型'!$E$6/12)+('Calc'!$B$5-'财富模型'!$E$5-(IF('Calc'!$E$13=1,'财富模型'!$E$9,'财富模型'!$M$5+IF(Calc!$I$333&lt;='财富模型'!$E$11*12,'Calc'!$W$13,'Calc'!$Y$13)-(IF('Calc'!$E$13=1,0,MIN(Calc!$K$332*(1+'财富模型'!$E$20/12)+'Calc'!$B$6,IF(Calc!$I$333&lt;='财富模型'!$E$11*12,'Calc'!$W$13,'Calc'!$Y$13))))))),0))</x:f>
      </x:c>
      <x:c r="K333" t="str">
        <x:f>IF(Calc!$I$333&gt;'Calc'!$B$8,"",MAX(Calc!$K$332*(1+'财富模型'!$E$20/12)+'Calc'!$B$6-(IF('Calc'!$E$13=1,0,MIN(Calc!$K$332*(1+'财富模型'!$E$20/12)+'Calc'!$B$6,IF(Calc!$I$333&lt;='财富模型'!$E$11*12,'Calc'!$W$13,'Calc'!$Y$13)))),0))</x:f>
      </x:c>
      <x:c r="L333" t="str">
        <x:f>IF(Calc!$I$333&gt;'Calc'!$B$8,"",IF('Calc'!$E$13=1,'财富模型'!$E$9,'财富模型'!$M$5+IF(Calc!$I$333&lt;='财富模型'!$E$11*12,'Calc'!$W$13,'Calc'!$Y$13)-(IF('Calc'!$E$13=1,0,MIN(Calc!$K$332*(1+'财富模型'!$E$20/12)+'Calc'!$B$6,IF(Calc!$I$333&lt;='财富模型'!$E$11*12,'Calc'!$W$13,'Calc'!$Y$13))))))</x:f>
      </x:c>
      <x:c r="M333" t="str">
        <x:f>IF(Calc!$I$333&gt;'Calc'!$B$8,"",IF('Calc'!$E$13=1,0,MIN(Calc!$K$332*(1+'财富模型'!$E$20/12)+'Calc'!$B$6,IF(Calc!$I$333&lt;='财富模型'!$E$11*12,'Calc'!$W$13,'Calc'!$Y$13))))</x:f>
      </x:c>
      <x:c r="N333" t="str">
        <x:f>IF(Calc!$I$333&gt;'Calc'!$B$8,"",'Calc'!$B$5-'财富模型'!$E$5-(IF('Calc'!$E$13=1,'财富模型'!$E$9,'财富模型'!$M$5+IF(Calc!$I$333&lt;='财富模型'!$E$11*12,'Calc'!$W$13,'Calc'!$Y$13)-(IF('Calc'!$E$13=1,0,MIN(Calc!$K$332*(1+'财富模型'!$E$20/12)+'Calc'!$B$6,IF(Calc!$I$333&lt;='财富模型'!$E$11*12,'Calc'!$W$13,'Calc'!$Y$13)))))))</x:f>
      </x:c>
      <x:c r="O333" t="str">
        <x:f>IF(Calc!$I$333&gt;'Calc'!$B$8,"",IF('Calc'!$E$13=1,0,MAX(Calc!$O$332*(1+IF(Calc!$I$333&lt;='财富模型'!$E$11*12,'财富模型'!$E$10,'财富模型'!$E$12)/12)-IF('Calc'!$E$13=1,0,IF(Calc!$I$333&lt;='财富模型'!$E$11*12,'Calc'!$W$13,'Calc'!$Y$13)),0)))</x:f>
      </x:c>
      <x:c r="Q333" t="n">
        <x:v>312</x:v>
      </x:c>
      <x:c r="R333" t="str">
        <x:f>IF(Calc!$Q$333&gt;'Calc'!$B$8,"",MAX(Calc!$R$332*(1+'财富模型'!$E$6/12)+('Calc'!$B$5-'财富模型'!$E$5-(IF('Calc'!$E$14=1,'财富模型'!$E$9,'财富模型'!$M$6+IF(Calc!$Q$333&lt;='财富模型'!$E$11*12,'Calc'!$W$14,'Calc'!$Y$14)-(IF('Calc'!$E$14=1,0,MIN(Calc!$S$332*(1+'财富模型'!$E$20/12)+'Calc'!$B$6,IF(Calc!$Q$333&lt;='财富模型'!$E$11*12,'Calc'!$W$14,'Calc'!$Y$14))))))),0))</x:f>
      </x:c>
      <x:c r="S333" t="str">
        <x:f>IF(Calc!$Q$333&gt;'Calc'!$B$8,"",MAX(Calc!$S$332*(1+'财富模型'!$E$20/12)+'Calc'!$B$6-(IF('Calc'!$E$14=1,0,MIN(Calc!$S$332*(1+'财富模型'!$E$20/12)+'Calc'!$B$6,IF(Calc!$Q$333&lt;='财富模型'!$E$11*12,'Calc'!$W$14,'Calc'!$Y$14)))),0))</x:f>
      </x:c>
      <x:c r="T333" t="str">
        <x:f>IF(Calc!$Q$333&gt;'Calc'!$B$8,"",IF('Calc'!$E$14=1,'财富模型'!$E$9,'财富模型'!$M$6+IF(Calc!$Q$333&lt;='财富模型'!$E$11*12,'Calc'!$W$14,'Calc'!$Y$14)-(IF('Calc'!$E$14=1,0,MIN(Calc!$S$332*(1+'财富模型'!$E$20/12)+'Calc'!$B$6,IF(Calc!$Q$333&lt;='财富模型'!$E$11*12,'Calc'!$W$14,'Calc'!$Y$14))))))</x:f>
      </x:c>
      <x:c r="U333" t="str">
        <x:f>IF(Calc!$Q$333&gt;'Calc'!$B$8,"",IF('Calc'!$E$14=1,0,MIN(Calc!$S$332*(1+'财富模型'!$E$20/12)+'Calc'!$B$6,IF(Calc!$Q$333&lt;='财富模型'!$E$11*12,'Calc'!$W$14,'Calc'!$Y$14))))</x:f>
      </x:c>
      <x:c r="V333" t="str">
        <x:f>IF(Calc!$Q$333&gt;'Calc'!$B$8,"",'Calc'!$B$5-'财富模型'!$E$5-(IF('Calc'!$E$14=1,'财富模型'!$E$9,'财富模型'!$M$6+IF(Calc!$Q$333&lt;='财富模型'!$E$11*12,'Calc'!$W$14,'Calc'!$Y$14)-(IF('Calc'!$E$14=1,0,MIN(Calc!$S$332*(1+'财富模型'!$E$20/12)+'Calc'!$B$6,IF(Calc!$Q$333&lt;='财富模型'!$E$11*12,'Calc'!$W$14,'Calc'!$Y$14)))))))</x:f>
      </x:c>
      <x:c r="W333" t="str">
        <x:f>IF(Calc!$Q$333&gt;'Calc'!$B$8,"",IF('Calc'!$E$14=1,0,MAX(Calc!$W$332*(1+IF(Calc!$Q$333&lt;='财富模型'!$E$11*12,'财富模型'!$E$10,'财富模型'!$E$12)/12)-IF('Calc'!$E$14=1,0,IF(Calc!$Q$333&lt;='财富模型'!$E$11*12,'Calc'!$W$14,'Calc'!$Y$14)),0)))</x:f>
      </x:c>
      <x:c r="Y333" t="n">
        <x:v>312</x:v>
      </x:c>
      <x:c r="Z333" t="str">
        <x:f>IF(Calc!$Y$333&gt;'Calc'!$B$8,"",MAX(Calc!$Z$332*(1+'财富模型'!$E$6/12)+('Calc'!$B$5-'财富模型'!$E$5-(IF('Calc'!$E$15=1,'财富模型'!$E$9,'财富模型'!$M$7+IF(Calc!$Y$333&lt;='财富模型'!$E$11*12,'Calc'!$W$15,'Calc'!$Y$15)-(IF('Calc'!$E$15=1,0,MIN(Calc!$AA$332*(1+'财富模型'!$E$20/12)+'Calc'!$B$6,IF(Calc!$Y$333&lt;='财富模型'!$E$11*12,'Calc'!$W$15,'Calc'!$Y$15))))))),0))</x:f>
      </x:c>
      <x:c r="AA333" t="str">
        <x:f>IF(Calc!$Y$333&gt;'Calc'!$B$8,"",MAX(Calc!$AA$332*(1+'财富模型'!$E$20/12)+'Calc'!$B$6-(IF('Calc'!$E$15=1,0,MIN(Calc!$AA$332*(1+'财富模型'!$E$20/12)+'Calc'!$B$6,IF(Calc!$Y$333&lt;='财富模型'!$E$11*12,'Calc'!$W$15,'Calc'!$Y$15)))),0))</x:f>
      </x:c>
      <x:c r="AB333" t="str">
        <x:f>IF(Calc!$Y$333&gt;'Calc'!$B$8,"",IF('Calc'!$E$15=1,'财富模型'!$E$9,'财富模型'!$M$7+IF(Calc!$Y$333&lt;='财富模型'!$E$11*12,'Calc'!$W$15,'Calc'!$Y$15)-(IF('Calc'!$E$15=1,0,MIN(Calc!$AA$332*(1+'财富模型'!$E$20/12)+'Calc'!$B$6,IF(Calc!$Y$333&lt;='财富模型'!$E$11*12,'Calc'!$W$15,'Calc'!$Y$15))))))</x:f>
      </x:c>
      <x:c r="AC333" t="str">
        <x:f>IF(Calc!$Y$333&gt;'Calc'!$B$8,"",IF('Calc'!$E$15=1,0,MIN(Calc!$AA$332*(1+'财富模型'!$E$20/12)+'Calc'!$B$6,IF(Calc!$Y$333&lt;='财富模型'!$E$11*12,'Calc'!$W$15,'Calc'!$Y$15))))</x:f>
      </x:c>
      <x:c r="AD333" t="str">
        <x:f>IF(Calc!$Y$333&gt;'Calc'!$B$8,"",'Calc'!$B$5-'财富模型'!$E$5-(IF('Calc'!$E$15=1,'财富模型'!$E$9,'财富模型'!$M$7+IF(Calc!$Y$333&lt;='财富模型'!$E$11*12,'Calc'!$W$15,'Calc'!$Y$15)-(IF('Calc'!$E$15=1,0,MIN(Calc!$AA$332*(1+'财富模型'!$E$20/12)+'Calc'!$B$6,IF(Calc!$Y$333&lt;='财富模型'!$E$11*12,'Calc'!$W$15,'Calc'!$Y$15)))))))</x:f>
      </x:c>
      <x:c r="AE333" t="str">
        <x:f>IF(Calc!$Y$333&gt;'Calc'!$B$8,"",IF('Calc'!$E$15=1,0,MAX(Calc!$AE$332*(1+IF(Calc!$Y$333&lt;='财富模型'!$E$11*12,'财富模型'!$E$10,'财富模型'!$E$12)/12)-IF('Calc'!$E$15=1,0,IF(Calc!$Y$333&lt;='财富模型'!$E$11*12,'Calc'!$W$15,'Calc'!$Y$15)),0)))</x:f>
      </x:c>
      <x:c r="AG333" t="n">
        <x:v>312</x:v>
      </x:c>
      <x:c r="AH333" t="str">
        <x:f>IF(Calc!$AG$333&gt;'Calc'!$B$8,"",MAX(Calc!$AH$332*(1+'财富模型'!$E$6/12)+('Calc'!$B$5-'财富模型'!$E$5-(IF('Calc'!$E$16=1,'财富模型'!$E$9,'财富模型'!$M$8+IF(Calc!$AG$333&lt;='财富模型'!$E$11*12,'Calc'!$W$16,'Calc'!$Y$16)-(IF('Calc'!$E$16=1,0,MIN(Calc!$AI$332*(1+'财富模型'!$E$20/12)+'Calc'!$B$6,IF(Calc!$AG$333&lt;='财富模型'!$E$11*12,'Calc'!$W$16,'Calc'!$Y$16))))))),0))</x:f>
      </x:c>
      <x:c r="AI333" t="str">
        <x:f>IF(Calc!$AG$333&gt;'Calc'!$B$8,"",MAX(Calc!$AI$332*(1+'财富模型'!$E$20/12)+'Calc'!$B$6-(IF('Calc'!$E$16=1,0,MIN(Calc!$AI$332*(1+'财富模型'!$E$20/12)+'Calc'!$B$6,IF(Calc!$AG$333&lt;='财富模型'!$E$11*12,'Calc'!$W$16,'Calc'!$Y$16)))),0))</x:f>
      </x:c>
      <x:c r="AJ333" t="str">
        <x:f>IF(Calc!$AG$333&gt;'Calc'!$B$8,"",IF('Calc'!$E$16=1,'财富模型'!$E$9,'财富模型'!$M$8+IF(Calc!$AG$333&lt;='财富模型'!$E$11*12,'Calc'!$W$16,'Calc'!$Y$16)-(IF('Calc'!$E$16=1,0,MIN(Calc!$AI$332*(1+'财富模型'!$E$20/12)+'Calc'!$B$6,IF(Calc!$AG$333&lt;='财富模型'!$E$11*12,'Calc'!$W$16,'Calc'!$Y$16))))))</x:f>
      </x:c>
      <x:c r="AK333" t="str">
        <x:f>IF(Calc!$AG$333&gt;'Calc'!$B$8,"",IF('Calc'!$E$16=1,0,MIN(Calc!$AI$332*(1+'财富模型'!$E$20/12)+'Calc'!$B$6,IF(Calc!$AG$333&lt;='财富模型'!$E$11*12,'Calc'!$W$16,'Calc'!$Y$16))))</x:f>
      </x:c>
      <x:c r="AL333" t="str">
        <x:f>IF(Calc!$AG$333&gt;'Calc'!$B$8,"",'Calc'!$B$5-'财富模型'!$E$5-(IF('Calc'!$E$16=1,'财富模型'!$E$9,'财富模型'!$M$8+IF(Calc!$AG$333&lt;='财富模型'!$E$11*12,'Calc'!$W$16,'Calc'!$Y$16)-(IF('Calc'!$E$16=1,0,MIN(Calc!$AI$332*(1+'财富模型'!$E$20/12)+'Calc'!$B$6,IF(Calc!$AG$333&lt;='财富模型'!$E$11*12,'Calc'!$W$16,'Calc'!$Y$16)))))))</x:f>
      </x:c>
      <x:c r="AM333" t="str">
        <x:f>IF(Calc!$AG$333&gt;'Calc'!$B$8,"",IF('Calc'!$E$16=1,0,MAX(Calc!$AM$332*(1+IF(Calc!$AG$333&lt;='财富模型'!$E$11*12,'财富模型'!$E$10,'财富模型'!$E$12)/12)-IF('Calc'!$E$16=1,0,IF(Calc!$AG$333&lt;='财富模型'!$E$11*12,'Calc'!$W$16,'Calc'!$Y$16)),0)))</x:f>
      </x:c>
      <x:c r="AO333" t="n">
        <x:v>312</x:v>
      </x:c>
      <x:c r="AP333" t="str">
        <x:f>IF(Calc!$AO$333&gt;'Calc'!$B$8,"",MAX(Calc!$AP$332*(1+'财富模型'!$E$6/12)+('Calc'!$B$5-'财富模型'!$E$5-(IF('Calc'!$E$17=1,'财富模型'!$E$9,'财富模型'!$M$9+IF(Calc!$AO$333&lt;='财富模型'!$E$11*12,'Calc'!$W$17,'Calc'!$Y$17)-(IF('Calc'!$E$17=1,0,MIN(Calc!$AQ$332*(1+'财富模型'!$E$20/12)+'Calc'!$B$6,IF(Calc!$AO$333&lt;='财富模型'!$E$11*12,'Calc'!$W$17,'Calc'!$Y$17))))))),0))</x:f>
      </x:c>
      <x:c r="AQ333" t="str">
        <x:f>IF(Calc!$AO$333&gt;'Calc'!$B$8,"",MAX(Calc!$AQ$332*(1+'财富模型'!$E$20/12)+'Calc'!$B$6-(IF('Calc'!$E$17=1,0,MIN(Calc!$AQ$332*(1+'财富模型'!$E$20/12)+'Calc'!$B$6,IF(Calc!$AO$333&lt;='财富模型'!$E$11*12,'Calc'!$W$17,'Calc'!$Y$17)))),0))</x:f>
      </x:c>
      <x:c r="AR333" t="str">
        <x:f>IF(Calc!$AO$333&gt;'Calc'!$B$8,"",IF('Calc'!$E$17=1,'财富模型'!$E$9,'财富模型'!$M$9+IF(Calc!$AO$333&lt;='财富模型'!$E$11*12,'Calc'!$W$17,'Calc'!$Y$17)-(IF('Calc'!$E$17=1,0,MIN(Calc!$AQ$332*(1+'财富模型'!$E$20/12)+'Calc'!$B$6,IF(Calc!$AO$333&lt;='财富模型'!$E$11*12,'Calc'!$W$17,'Calc'!$Y$17))))))</x:f>
      </x:c>
      <x:c r="AS333" t="str">
        <x:f>IF(Calc!$AO$333&gt;'Calc'!$B$8,"",IF('Calc'!$E$17=1,0,MIN(Calc!$AQ$332*(1+'财富模型'!$E$20/12)+'Calc'!$B$6,IF(Calc!$AO$333&lt;='财富模型'!$E$11*12,'Calc'!$W$17,'Calc'!$Y$17))))</x:f>
      </x:c>
      <x:c r="AT333" t="str">
        <x:f>IF(Calc!$AO$333&gt;'Calc'!$B$8,"",'Calc'!$B$5-'财富模型'!$E$5-(IF('Calc'!$E$17=1,'财富模型'!$E$9,'财富模型'!$M$9+IF(Calc!$AO$333&lt;='财富模型'!$E$11*12,'Calc'!$W$17,'Calc'!$Y$17)-(IF('Calc'!$E$17=1,0,MIN(Calc!$AQ$332*(1+'财富模型'!$E$20/12)+'Calc'!$B$6,IF(Calc!$AO$333&lt;='财富模型'!$E$11*12,'Calc'!$W$17,'Calc'!$Y$17)))))))</x:f>
      </x:c>
      <x:c r="AU333" t="str">
        <x:f>IF(Calc!$AO$333&gt;'Calc'!$B$8,"",IF('Calc'!$E$17=1,0,MAX(Calc!$AU$332*(1+IF(Calc!$AO$333&lt;='财富模型'!$E$11*12,'财富模型'!$E$10,'财富模型'!$E$12)/12)-IF('Calc'!$E$17=1,0,IF(Calc!$AO$333&lt;='财富模型'!$E$11*12,'Calc'!$W$17,'Calc'!$Y$17)),0)))</x:f>
      </x:c>
    </x:row>
    <x:row r="334">
      <x:c r="A334" t="n">
        <x:v>313</x:v>
      </x:c>
      <x:c r="B334" t="str">
        <x:f>IF(Calc!$A$334&gt;'Calc'!$B$8,"",MAX(Calc!$B$333*(1+'财富模型'!$E$6/12)+('Calc'!$B$5-'财富模型'!$E$5-(IF('Calc'!$E$12=1,'财富模型'!$E$9,'财富模型'!$M$4+IF(Calc!$A$334&lt;='财富模型'!$E$11*12,'Calc'!$W$12,'Calc'!$Y$12)-(IF('Calc'!$E$12=1,0,MIN(Calc!$C$333*(1+'财富模型'!$E$20/12)+'Calc'!$B$6,IF(Calc!$A$334&lt;='财富模型'!$E$11*12,'Calc'!$W$12,'Calc'!$Y$12))))))),0))</x:f>
      </x:c>
      <x:c r="C334" t="str">
        <x:f>IF(Calc!$A$334&gt;'Calc'!$B$8,"",MAX(Calc!$C$333*(1+'财富模型'!$E$20/12)+'Calc'!$B$6-(IF('Calc'!$E$12=1,0,MIN(Calc!$C$333*(1+'财富模型'!$E$20/12)+'Calc'!$B$6,IF(Calc!$A$334&lt;='财富模型'!$E$11*12,'Calc'!$W$12,'Calc'!$Y$12)))),0))</x:f>
      </x:c>
      <x:c r="D334" t="str">
        <x:f>IF(Calc!$A$334&gt;'Calc'!$B$8,"",IF('Calc'!$E$12=1,'财富模型'!$E$9,'财富模型'!$M$4+IF(Calc!$A$334&lt;='财富模型'!$E$11*12,'Calc'!$W$12,'Calc'!$Y$12)-(IF('Calc'!$E$12=1,0,MIN(Calc!$C$333*(1+'财富模型'!$E$20/12)+'Calc'!$B$6,IF(Calc!$A$334&lt;='财富模型'!$E$11*12,'Calc'!$W$12,'Calc'!$Y$12))))))</x:f>
      </x:c>
      <x:c r="E334" t="str">
        <x:f>IF(Calc!$A$334&gt;'Calc'!$B$8,"",IF('Calc'!$E$12=1,0,MIN(Calc!$C$333*(1+'财富模型'!$E$20/12)+'Calc'!$B$6,IF(Calc!$A$334&lt;='财富模型'!$E$11*12,'Calc'!$W$12,'Calc'!$Y$12))))</x:f>
      </x:c>
      <x:c r="F334" t="str">
        <x:f>IF(Calc!$A$334&gt;'Calc'!$B$8,"",'Calc'!$B$5-'财富模型'!$E$5-(IF('Calc'!$E$12=1,'财富模型'!$E$9,'财富模型'!$M$4+IF(Calc!$A$334&lt;='财富模型'!$E$11*12,'Calc'!$W$12,'Calc'!$Y$12)-(IF('Calc'!$E$12=1,0,MIN(Calc!$C$333*(1+'财富模型'!$E$20/12)+'Calc'!$B$6,IF(Calc!$A$334&lt;='财富模型'!$E$11*12,'Calc'!$W$12,'Calc'!$Y$12)))))))</x:f>
      </x:c>
      <x:c r="G334" t="str">
        <x:f>IF(Calc!$A$334&gt;'Calc'!$B$8,"",IF('Calc'!$E$12=1,0,MAX(Calc!$G$333*(1+IF(Calc!$A$334&lt;='财富模型'!$E$11*12,'财富模型'!$E$10,'财富模型'!$E$12)/12)-IF('Calc'!$E$12=1,0,IF(Calc!$A$334&lt;='财富模型'!$E$11*12,'Calc'!$W$12,'Calc'!$Y$12)),0)))</x:f>
      </x:c>
      <x:c r="I334" t="n">
        <x:v>313</x:v>
      </x:c>
      <x:c r="J334" t="str">
        <x:f>IF(Calc!$I$334&gt;'Calc'!$B$8,"",MAX(Calc!$J$333*(1+'财富模型'!$E$6/12)+('Calc'!$B$5-'财富模型'!$E$5-(IF('Calc'!$E$13=1,'财富模型'!$E$9,'财富模型'!$M$5+IF(Calc!$I$334&lt;='财富模型'!$E$11*12,'Calc'!$W$13,'Calc'!$Y$13)-(IF('Calc'!$E$13=1,0,MIN(Calc!$K$333*(1+'财富模型'!$E$20/12)+'Calc'!$B$6,IF(Calc!$I$334&lt;='财富模型'!$E$11*12,'Calc'!$W$13,'Calc'!$Y$13))))))),0))</x:f>
      </x:c>
      <x:c r="K334" t="str">
        <x:f>IF(Calc!$I$334&gt;'Calc'!$B$8,"",MAX(Calc!$K$333*(1+'财富模型'!$E$20/12)+'Calc'!$B$6-(IF('Calc'!$E$13=1,0,MIN(Calc!$K$333*(1+'财富模型'!$E$20/12)+'Calc'!$B$6,IF(Calc!$I$334&lt;='财富模型'!$E$11*12,'Calc'!$W$13,'Calc'!$Y$13)))),0))</x:f>
      </x:c>
      <x:c r="L334" t="str">
        <x:f>IF(Calc!$I$334&gt;'Calc'!$B$8,"",IF('Calc'!$E$13=1,'财富模型'!$E$9,'财富模型'!$M$5+IF(Calc!$I$334&lt;='财富模型'!$E$11*12,'Calc'!$W$13,'Calc'!$Y$13)-(IF('Calc'!$E$13=1,0,MIN(Calc!$K$333*(1+'财富模型'!$E$20/12)+'Calc'!$B$6,IF(Calc!$I$334&lt;='财富模型'!$E$11*12,'Calc'!$W$13,'Calc'!$Y$13))))))</x:f>
      </x:c>
      <x:c r="M334" t="str">
        <x:f>IF(Calc!$I$334&gt;'Calc'!$B$8,"",IF('Calc'!$E$13=1,0,MIN(Calc!$K$333*(1+'财富模型'!$E$20/12)+'Calc'!$B$6,IF(Calc!$I$334&lt;='财富模型'!$E$11*12,'Calc'!$W$13,'Calc'!$Y$13))))</x:f>
      </x:c>
      <x:c r="N334" t="str">
        <x:f>IF(Calc!$I$334&gt;'Calc'!$B$8,"",'Calc'!$B$5-'财富模型'!$E$5-(IF('Calc'!$E$13=1,'财富模型'!$E$9,'财富模型'!$M$5+IF(Calc!$I$334&lt;='财富模型'!$E$11*12,'Calc'!$W$13,'Calc'!$Y$13)-(IF('Calc'!$E$13=1,0,MIN(Calc!$K$333*(1+'财富模型'!$E$20/12)+'Calc'!$B$6,IF(Calc!$I$334&lt;='财富模型'!$E$11*12,'Calc'!$W$13,'Calc'!$Y$13)))))))</x:f>
      </x:c>
      <x:c r="O334" t="str">
        <x:f>IF(Calc!$I$334&gt;'Calc'!$B$8,"",IF('Calc'!$E$13=1,0,MAX(Calc!$O$333*(1+IF(Calc!$I$334&lt;='财富模型'!$E$11*12,'财富模型'!$E$10,'财富模型'!$E$12)/12)-IF('Calc'!$E$13=1,0,IF(Calc!$I$334&lt;='财富模型'!$E$11*12,'Calc'!$W$13,'Calc'!$Y$13)),0)))</x:f>
      </x:c>
      <x:c r="Q334" t="n">
        <x:v>313</x:v>
      </x:c>
      <x:c r="R334" t="str">
        <x:f>IF(Calc!$Q$334&gt;'Calc'!$B$8,"",MAX(Calc!$R$333*(1+'财富模型'!$E$6/12)+('Calc'!$B$5-'财富模型'!$E$5-(IF('Calc'!$E$14=1,'财富模型'!$E$9,'财富模型'!$M$6+IF(Calc!$Q$334&lt;='财富模型'!$E$11*12,'Calc'!$W$14,'Calc'!$Y$14)-(IF('Calc'!$E$14=1,0,MIN(Calc!$S$333*(1+'财富模型'!$E$20/12)+'Calc'!$B$6,IF(Calc!$Q$334&lt;='财富模型'!$E$11*12,'Calc'!$W$14,'Calc'!$Y$14))))))),0))</x:f>
      </x:c>
      <x:c r="S334" t="str">
        <x:f>IF(Calc!$Q$334&gt;'Calc'!$B$8,"",MAX(Calc!$S$333*(1+'财富模型'!$E$20/12)+'Calc'!$B$6-(IF('Calc'!$E$14=1,0,MIN(Calc!$S$333*(1+'财富模型'!$E$20/12)+'Calc'!$B$6,IF(Calc!$Q$334&lt;='财富模型'!$E$11*12,'Calc'!$W$14,'Calc'!$Y$14)))),0))</x:f>
      </x:c>
      <x:c r="T334" t="str">
        <x:f>IF(Calc!$Q$334&gt;'Calc'!$B$8,"",IF('Calc'!$E$14=1,'财富模型'!$E$9,'财富模型'!$M$6+IF(Calc!$Q$334&lt;='财富模型'!$E$11*12,'Calc'!$W$14,'Calc'!$Y$14)-(IF('Calc'!$E$14=1,0,MIN(Calc!$S$333*(1+'财富模型'!$E$20/12)+'Calc'!$B$6,IF(Calc!$Q$334&lt;='财富模型'!$E$11*12,'Calc'!$W$14,'Calc'!$Y$14))))))</x:f>
      </x:c>
      <x:c r="U334" t="str">
        <x:f>IF(Calc!$Q$334&gt;'Calc'!$B$8,"",IF('Calc'!$E$14=1,0,MIN(Calc!$S$333*(1+'财富模型'!$E$20/12)+'Calc'!$B$6,IF(Calc!$Q$334&lt;='财富模型'!$E$11*12,'Calc'!$W$14,'Calc'!$Y$14))))</x:f>
      </x:c>
      <x:c r="V334" t="str">
        <x:f>IF(Calc!$Q$334&gt;'Calc'!$B$8,"",'Calc'!$B$5-'财富模型'!$E$5-(IF('Calc'!$E$14=1,'财富模型'!$E$9,'财富模型'!$M$6+IF(Calc!$Q$334&lt;='财富模型'!$E$11*12,'Calc'!$W$14,'Calc'!$Y$14)-(IF('Calc'!$E$14=1,0,MIN(Calc!$S$333*(1+'财富模型'!$E$20/12)+'Calc'!$B$6,IF(Calc!$Q$334&lt;='财富模型'!$E$11*12,'Calc'!$W$14,'Calc'!$Y$14)))))))</x:f>
      </x:c>
      <x:c r="W334" t="str">
        <x:f>IF(Calc!$Q$334&gt;'Calc'!$B$8,"",IF('Calc'!$E$14=1,0,MAX(Calc!$W$333*(1+IF(Calc!$Q$334&lt;='财富模型'!$E$11*12,'财富模型'!$E$10,'财富模型'!$E$12)/12)-IF('Calc'!$E$14=1,0,IF(Calc!$Q$334&lt;='财富模型'!$E$11*12,'Calc'!$W$14,'Calc'!$Y$14)),0)))</x:f>
      </x:c>
      <x:c r="Y334" t="n">
        <x:v>313</x:v>
      </x:c>
      <x:c r="Z334" t="str">
        <x:f>IF(Calc!$Y$334&gt;'Calc'!$B$8,"",MAX(Calc!$Z$333*(1+'财富模型'!$E$6/12)+('Calc'!$B$5-'财富模型'!$E$5-(IF('Calc'!$E$15=1,'财富模型'!$E$9,'财富模型'!$M$7+IF(Calc!$Y$334&lt;='财富模型'!$E$11*12,'Calc'!$W$15,'Calc'!$Y$15)-(IF('Calc'!$E$15=1,0,MIN(Calc!$AA$333*(1+'财富模型'!$E$20/12)+'Calc'!$B$6,IF(Calc!$Y$334&lt;='财富模型'!$E$11*12,'Calc'!$W$15,'Calc'!$Y$15))))))),0))</x:f>
      </x:c>
      <x:c r="AA334" t="str">
        <x:f>IF(Calc!$Y$334&gt;'Calc'!$B$8,"",MAX(Calc!$AA$333*(1+'财富模型'!$E$20/12)+'Calc'!$B$6-(IF('Calc'!$E$15=1,0,MIN(Calc!$AA$333*(1+'财富模型'!$E$20/12)+'Calc'!$B$6,IF(Calc!$Y$334&lt;='财富模型'!$E$11*12,'Calc'!$W$15,'Calc'!$Y$15)))),0))</x:f>
      </x:c>
      <x:c r="AB334" t="str">
        <x:f>IF(Calc!$Y$334&gt;'Calc'!$B$8,"",IF('Calc'!$E$15=1,'财富模型'!$E$9,'财富模型'!$M$7+IF(Calc!$Y$334&lt;='财富模型'!$E$11*12,'Calc'!$W$15,'Calc'!$Y$15)-(IF('Calc'!$E$15=1,0,MIN(Calc!$AA$333*(1+'财富模型'!$E$20/12)+'Calc'!$B$6,IF(Calc!$Y$334&lt;='财富模型'!$E$11*12,'Calc'!$W$15,'Calc'!$Y$15))))))</x:f>
      </x:c>
      <x:c r="AC334" t="str">
        <x:f>IF(Calc!$Y$334&gt;'Calc'!$B$8,"",IF('Calc'!$E$15=1,0,MIN(Calc!$AA$333*(1+'财富模型'!$E$20/12)+'Calc'!$B$6,IF(Calc!$Y$334&lt;='财富模型'!$E$11*12,'Calc'!$W$15,'Calc'!$Y$15))))</x:f>
      </x:c>
      <x:c r="AD334" t="str">
        <x:f>IF(Calc!$Y$334&gt;'Calc'!$B$8,"",'Calc'!$B$5-'财富模型'!$E$5-(IF('Calc'!$E$15=1,'财富模型'!$E$9,'财富模型'!$M$7+IF(Calc!$Y$334&lt;='财富模型'!$E$11*12,'Calc'!$W$15,'Calc'!$Y$15)-(IF('Calc'!$E$15=1,0,MIN(Calc!$AA$333*(1+'财富模型'!$E$20/12)+'Calc'!$B$6,IF(Calc!$Y$334&lt;='财富模型'!$E$11*12,'Calc'!$W$15,'Calc'!$Y$15)))))))</x:f>
      </x:c>
      <x:c r="AE334" t="str">
        <x:f>IF(Calc!$Y$334&gt;'Calc'!$B$8,"",IF('Calc'!$E$15=1,0,MAX(Calc!$AE$333*(1+IF(Calc!$Y$334&lt;='财富模型'!$E$11*12,'财富模型'!$E$10,'财富模型'!$E$12)/12)-IF('Calc'!$E$15=1,0,IF(Calc!$Y$334&lt;='财富模型'!$E$11*12,'Calc'!$W$15,'Calc'!$Y$15)),0)))</x:f>
      </x:c>
      <x:c r="AG334" t="n">
        <x:v>313</x:v>
      </x:c>
      <x:c r="AH334" t="str">
        <x:f>IF(Calc!$AG$334&gt;'Calc'!$B$8,"",MAX(Calc!$AH$333*(1+'财富模型'!$E$6/12)+('Calc'!$B$5-'财富模型'!$E$5-(IF('Calc'!$E$16=1,'财富模型'!$E$9,'财富模型'!$M$8+IF(Calc!$AG$334&lt;='财富模型'!$E$11*12,'Calc'!$W$16,'Calc'!$Y$16)-(IF('Calc'!$E$16=1,0,MIN(Calc!$AI$333*(1+'财富模型'!$E$20/12)+'Calc'!$B$6,IF(Calc!$AG$334&lt;='财富模型'!$E$11*12,'Calc'!$W$16,'Calc'!$Y$16))))))),0))</x:f>
      </x:c>
      <x:c r="AI334" t="str">
        <x:f>IF(Calc!$AG$334&gt;'Calc'!$B$8,"",MAX(Calc!$AI$333*(1+'财富模型'!$E$20/12)+'Calc'!$B$6-(IF('Calc'!$E$16=1,0,MIN(Calc!$AI$333*(1+'财富模型'!$E$20/12)+'Calc'!$B$6,IF(Calc!$AG$334&lt;='财富模型'!$E$11*12,'Calc'!$W$16,'Calc'!$Y$16)))),0))</x:f>
      </x:c>
      <x:c r="AJ334" t="str">
        <x:f>IF(Calc!$AG$334&gt;'Calc'!$B$8,"",IF('Calc'!$E$16=1,'财富模型'!$E$9,'财富模型'!$M$8+IF(Calc!$AG$334&lt;='财富模型'!$E$11*12,'Calc'!$W$16,'Calc'!$Y$16)-(IF('Calc'!$E$16=1,0,MIN(Calc!$AI$333*(1+'财富模型'!$E$20/12)+'Calc'!$B$6,IF(Calc!$AG$334&lt;='财富模型'!$E$11*12,'Calc'!$W$16,'Calc'!$Y$16))))))</x:f>
      </x:c>
      <x:c r="AK334" t="str">
        <x:f>IF(Calc!$AG$334&gt;'Calc'!$B$8,"",IF('Calc'!$E$16=1,0,MIN(Calc!$AI$333*(1+'财富模型'!$E$20/12)+'Calc'!$B$6,IF(Calc!$AG$334&lt;='财富模型'!$E$11*12,'Calc'!$W$16,'Calc'!$Y$16))))</x:f>
      </x:c>
      <x:c r="AL334" t="str">
        <x:f>IF(Calc!$AG$334&gt;'Calc'!$B$8,"",'Calc'!$B$5-'财富模型'!$E$5-(IF('Calc'!$E$16=1,'财富模型'!$E$9,'财富模型'!$M$8+IF(Calc!$AG$334&lt;='财富模型'!$E$11*12,'Calc'!$W$16,'Calc'!$Y$16)-(IF('Calc'!$E$16=1,0,MIN(Calc!$AI$333*(1+'财富模型'!$E$20/12)+'Calc'!$B$6,IF(Calc!$AG$334&lt;='财富模型'!$E$11*12,'Calc'!$W$16,'Calc'!$Y$16)))))))</x:f>
      </x:c>
      <x:c r="AM334" t="str">
        <x:f>IF(Calc!$AG$334&gt;'Calc'!$B$8,"",IF('Calc'!$E$16=1,0,MAX(Calc!$AM$333*(1+IF(Calc!$AG$334&lt;='财富模型'!$E$11*12,'财富模型'!$E$10,'财富模型'!$E$12)/12)-IF('Calc'!$E$16=1,0,IF(Calc!$AG$334&lt;='财富模型'!$E$11*12,'Calc'!$W$16,'Calc'!$Y$16)),0)))</x:f>
      </x:c>
      <x:c r="AO334" t="n">
        <x:v>313</x:v>
      </x:c>
      <x:c r="AP334" t="str">
        <x:f>IF(Calc!$AO$334&gt;'Calc'!$B$8,"",MAX(Calc!$AP$333*(1+'财富模型'!$E$6/12)+('Calc'!$B$5-'财富模型'!$E$5-(IF('Calc'!$E$17=1,'财富模型'!$E$9,'财富模型'!$M$9+IF(Calc!$AO$334&lt;='财富模型'!$E$11*12,'Calc'!$W$17,'Calc'!$Y$17)-(IF('Calc'!$E$17=1,0,MIN(Calc!$AQ$333*(1+'财富模型'!$E$20/12)+'Calc'!$B$6,IF(Calc!$AO$334&lt;='财富模型'!$E$11*12,'Calc'!$W$17,'Calc'!$Y$17))))))),0))</x:f>
      </x:c>
      <x:c r="AQ334" t="str">
        <x:f>IF(Calc!$AO$334&gt;'Calc'!$B$8,"",MAX(Calc!$AQ$333*(1+'财富模型'!$E$20/12)+'Calc'!$B$6-(IF('Calc'!$E$17=1,0,MIN(Calc!$AQ$333*(1+'财富模型'!$E$20/12)+'Calc'!$B$6,IF(Calc!$AO$334&lt;='财富模型'!$E$11*12,'Calc'!$W$17,'Calc'!$Y$17)))),0))</x:f>
      </x:c>
      <x:c r="AR334" t="str">
        <x:f>IF(Calc!$AO$334&gt;'Calc'!$B$8,"",IF('Calc'!$E$17=1,'财富模型'!$E$9,'财富模型'!$M$9+IF(Calc!$AO$334&lt;='财富模型'!$E$11*12,'Calc'!$W$17,'Calc'!$Y$17)-(IF('Calc'!$E$17=1,0,MIN(Calc!$AQ$333*(1+'财富模型'!$E$20/12)+'Calc'!$B$6,IF(Calc!$AO$334&lt;='财富模型'!$E$11*12,'Calc'!$W$17,'Calc'!$Y$17))))))</x:f>
      </x:c>
      <x:c r="AS334" t="str">
        <x:f>IF(Calc!$AO$334&gt;'Calc'!$B$8,"",IF('Calc'!$E$17=1,0,MIN(Calc!$AQ$333*(1+'财富模型'!$E$20/12)+'Calc'!$B$6,IF(Calc!$AO$334&lt;='财富模型'!$E$11*12,'Calc'!$W$17,'Calc'!$Y$17))))</x:f>
      </x:c>
      <x:c r="AT334" t="str">
        <x:f>IF(Calc!$AO$334&gt;'Calc'!$B$8,"",'Calc'!$B$5-'财富模型'!$E$5-(IF('Calc'!$E$17=1,'财富模型'!$E$9,'财富模型'!$M$9+IF(Calc!$AO$334&lt;='财富模型'!$E$11*12,'Calc'!$W$17,'Calc'!$Y$17)-(IF('Calc'!$E$17=1,0,MIN(Calc!$AQ$333*(1+'财富模型'!$E$20/12)+'Calc'!$B$6,IF(Calc!$AO$334&lt;='财富模型'!$E$11*12,'Calc'!$W$17,'Calc'!$Y$17)))))))</x:f>
      </x:c>
      <x:c r="AU334" t="str">
        <x:f>IF(Calc!$AO$334&gt;'Calc'!$B$8,"",IF('Calc'!$E$17=1,0,MAX(Calc!$AU$333*(1+IF(Calc!$AO$334&lt;='财富模型'!$E$11*12,'财富模型'!$E$10,'财富模型'!$E$12)/12)-IF('Calc'!$E$17=1,0,IF(Calc!$AO$334&lt;='财富模型'!$E$11*12,'Calc'!$W$17,'Calc'!$Y$17)),0)))</x:f>
      </x:c>
    </x:row>
    <x:row r="335">
      <x:c r="A335" t="n">
        <x:v>314</x:v>
      </x:c>
      <x:c r="B335" t="str">
        <x:f>IF(Calc!$A$335&gt;'Calc'!$B$8,"",MAX(Calc!$B$334*(1+'财富模型'!$E$6/12)+('Calc'!$B$5-'财富模型'!$E$5-(IF('Calc'!$E$12=1,'财富模型'!$E$9,'财富模型'!$M$4+IF(Calc!$A$335&lt;='财富模型'!$E$11*12,'Calc'!$W$12,'Calc'!$Y$12)-(IF('Calc'!$E$12=1,0,MIN(Calc!$C$334*(1+'财富模型'!$E$20/12)+'Calc'!$B$6,IF(Calc!$A$335&lt;='财富模型'!$E$11*12,'Calc'!$W$12,'Calc'!$Y$12))))))),0))</x:f>
      </x:c>
      <x:c r="C335" t="str">
        <x:f>IF(Calc!$A$335&gt;'Calc'!$B$8,"",MAX(Calc!$C$334*(1+'财富模型'!$E$20/12)+'Calc'!$B$6-(IF('Calc'!$E$12=1,0,MIN(Calc!$C$334*(1+'财富模型'!$E$20/12)+'Calc'!$B$6,IF(Calc!$A$335&lt;='财富模型'!$E$11*12,'Calc'!$W$12,'Calc'!$Y$12)))),0))</x:f>
      </x:c>
      <x:c r="D335" t="str">
        <x:f>IF(Calc!$A$335&gt;'Calc'!$B$8,"",IF('Calc'!$E$12=1,'财富模型'!$E$9,'财富模型'!$M$4+IF(Calc!$A$335&lt;='财富模型'!$E$11*12,'Calc'!$W$12,'Calc'!$Y$12)-(IF('Calc'!$E$12=1,0,MIN(Calc!$C$334*(1+'财富模型'!$E$20/12)+'Calc'!$B$6,IF(Calc!$A$335&lt;='财富模型'!$E$11*12,'Calc'!$W$12,'Calc'!$Y$12))))))</x:f>
      </x:c>
      <x:c r="E335" t="str">
        <x:f>IF(Calc!$A$335&gt;'Calc'!$B$8,"",IF('Calc'!$E$12=1,0,MIN(Calc!$C$334*(1+'财富模型'!$E$20/12)+'Calc'!$B$6,IF(Calc!$A$335&lt;='财富模型'!$E$11*12,'Calc'!$W$12,'Calc'!$Y$12))))</x:f>
      </x:c>
      <x:c r="F335" t="str">
        <x:f>IF(Calc!$A$335&gt;'Calc'!$B$8,"",'Calc'!$B$5-'财富模型'!$E$5-(IF('Calc'!$E$12=1,'财富模型'!$E$9,'财富模型'!$M$4+IF(Calc!$A$335&lt;='财富模型'!$E$11*12,'Calc'!$W$12,'Calc'!$Y$12)-(IF('Calc'!$E$12=1,0,MIN(Calc!$C$334*(1+'财富模型'!$E$20/12)+'Calc'!$B$6,IF(Calc!$A$335&lt;='财富模型'!$E$11*12,'Calc'!$W$12,'Calc'!$Y$12)))))))</x:f>
      </x:c>
      <x:c r="G335" t="str">
        <x:f>IF(Calc!$A$335&gt;'Calc'!$B$8,"",IF('Calc'!$E$12=1,0,MAX(Calc!$G$334*(1+IF(Calc!$A$335&lt;='财富模型'!$E$11*12,'财富模型'!$E$10,'财富模型'!$E$12)/12)-IF('Calc'!$E$12=1,0,IF(Calc!$A$335&lt;='财富模型'!$E$11*12,'Calc'!$W$12,'Calc'!$Y$12)),0)))</x:f>
      </x:c>
      <x:c r="I335" t="n">
        <x:v>314</x:v>
      </x:c>
      <x:c r="J335" t="str">
        <x:f>IF(Calc!$I$335&gt;'Calc'!$B$8,"",MAX(Calc!$J$334*(1+'财富模型'!$E$6/12)+('Calc'!$B$5-'财富模型'!$E$5-(IF('Calc'!$E$13=1,'财富模型'!$E$9,'财富模型'!$M$5+IF(Calc!$I$335&lt;='财富模型'!$E$11*12,'Calc'!$W$13,'Calc'!$Y$13)-(IF('Calc'!$E$13=1,0,MIN(Calc!$K$334*(1+'财富模型'!$E$20/12)+'Calc'!$B$6,IF(Calc!$I$335&lt;='财富模型'!$E$11*12,'Calc'!$W$13,'Calc'!$Y$13))))))),0))</x:f>
      </x:c>
      <x:c r="K335" t="str">
        <x:f>IF(Calc!$I$335&gt;'Calc'!$B$8,"",MAX(Calc!$K$334*(1+'财富模型'!$E$20/12)+'Calc'!$B$6-(IF('Calc'!$E$13=1,0,MIN(Calc!$K$334*(1+'财富模型'!$E$20/12)+'Calc'!$B$6,IF(Calc!$I$335&lt;='财富模型'!$E$11*12,'Calc'!$W$13,'Calc'!$Y$13)))),0))</x:f>
      </x:c>
      <x:c r="L335" t="str">
        <x:f>IF(Calc!$I$335&gt;'Calc'!$B$8,"",IF('Calc'!$E$13=1,'财富模型'!$E$9,'财富模型'!$M$5+IF(Calc!$I$335&lt;='财富模型'!$E$11*12,'Calc'!$W$13,'Calc'!$Y$13)-(IF('Calc'!$E$13=1,0,MIN(Calc!$K$334*(1+'财富模型'!$E$20/12)+'Calc'!$B$6,IF(Calc!$I$335&lt;='财富模型'!$E$11*12,'Calc'!$W$13,'Calc'!$Y$13))))))</x:f>
      </x:c>
      <x:c r="M335" t="str">
        <x:f>IF(Calc!$I$335&gt;'Calc'!$B$8,"",IF('Calc'!$E$13=1,0,MIN(Calc!$K$334*(1+'财富模型'!$E$20/12)+'Calc'!$B$6,IF(Calc!$I$335&lt;='财富模型'!$E$11*12,'Calc'!$W$13,'Calc'!$Y$13))))</x:f>
      </x:c>
      <x:c r="N335" t="str">
        <x:f>IF(Calc!$I$335&gt;'Calc'!$B$8,"",'Calc'!$B$5-'财富模型'!$E$5-(IF('Calc'!$E$13=1,'财富模型'!$E$9,'财富模型'!$M$5+IF(Calc!$I$335&lt;='财富模型'!$E$11*12,'Calc'!$W$13,'Calc'!$Y$13)-(IF('Calc'!$E$13=1,0,MIN(Calc!$K$334*(1+'财富模型'!$E$20/12)+'Calc'!$B$6,IF(Calc!$I$335&lt;='财富模型'!$E$11*12,'Calc'!$W$13,'Calc'!$Y$13)))))))</x:f>
      </x:c>
      <x:c r="O335" t="str">
        <x:f>IF(Calc!$I$335&gt;'Calc'!$B$8,"",IF('Calc'!$E$13=1,0,MAX(Calc!$O$334*(1+IF(Calc!$I$335&lt;='财富模型'!$E$11*12,'财富模型'!$E$10,'财富模型'!$E$12)/12)-IF('Calc'!$E$13=1,0,IF(Calc!$I$335&lt;='财富模型'!$E$11*12,'Calc'!$W$13,'Calc'!$Y$13)),0)))</x:f>
      </x:c>
      <x:c r="Q335" t="n">
        <x:v>314</x:v>
      </x:c>
      <x:c r="R335" t="str">
        <x:f>IF(Calc!$Q$335&gt;'Calc'!$B$8,"",MAX(Calc!$R$334*(1+'财富模型'!$E$6/12)+('Calc'!$B$5-'财富模型'!$E$5-(IF('Calc'!$E$14=1,'财富模型'!$E$9,'财富模型'!$M$6+IF(Calc!$Q$335&lt;='财富模型'!$E$11*12,'Calc'!$W$14,'Calc'!$Y$14)-(IF('Calc'!$E$14=1,0,MIN(Calc!$S$334*(1+'财富模型'!$E$20/12)+'Calc'!$B$6,IF(Calc!$Q$335&lt;='财富模型'!$E$11*12,'Calc'!$W$14,'Calc'!$Y$14))))))),0))</x:f>
      </x:c>
      <x:c r="S335" t="str">
        <x:f>IF(Calc!$Q$335&gt;'Calc'!$B$8,"",MAX(Calc!$S$334*(1+'财富模型'!$E$20/12)+'Calc'!$B$6-(IF('Calc'!$E$14=1,0,MIN(Calc!$S$334*(1+'财富模型'!$E$20/12)+'Calc'!$B$6,IF(Calc!$Q$335&lt;='财富模型'!$E$11*12,'Calc'!$W$14,'Calc'!$Y$14)))),0))</x:f>
      </x:c>
      <x:c r="T335" t="str">
        <x:f>IF(Calc!$Q$335&gt;'Calc'!$B$8,"",IF('Calc'!$E$14=1,'财富模型'!$E$9,'财富模型'!$M$6+IF(Calc!$Q$335&lt;='财富模型'!$E$11*12,'Calc'!$W$14,'Calc'!$Y$14)-(IF('Calc'!$E$14=1,0,MIN(Calc!$S$334*(1+'财富模型'!$E$20/12)+'Calc'!$B$6,IF(Calc!$Q$335&lt;='财富模型'!$E$11*12,'Calc'!$W$14,'Calc'!$Y$14))))))</x:f>
      </x:c>
      <x:c r="U335" t="str">
        <x:f>IF(Calc!$Q$335&gt;'Calc'!$B$8,"",IF('Calc'!$E$14=1,0,MIN(Calc!$S$334*(1+'财富模型'!$E$20/12)+'Calc'!$B$6,IF(Calc!$Q$335&lt;='财富模型'!$E$11*12,'Calc'!$W$14,'Calc'!$Y$14))))</x:f>
      </x:c>
      <x:c r="V335" t="str">
        <x:f>IF(Calc!$Q$335&gt;'Calc'!$B$8,"",'Calc'!$B$5-'财富模型'!$E$5-(IF('Calc'!$E$14=1,'财富模型'!$E$9,'财富模型'!$M$6+IF(Calc!$Q$335&lt;='财富模型'!$E$11*12,'Calc'!$W$14,'Calc'!$Y$14)-(IF('Calc'!$E$14=1,0,MIN(Calc!$S$334*(1+'财富模型'!$E$20/12)+'Calc'!$B$6,IF(Calc!$Q$335&lt;='财富模型'!$E$11*12,'Calc'!$W$14,'Calc'!$Y$14)))))))</x:f>
      </x:c>
      <x:c r="W335" t="str">
        <x:f>IF(Calc!$Q$335&gt;'Calc'!$B$8,"",IF('Calc'!$E$14=1,0,MAX(Calc!$W$334*(1+IF(Calc!$Q$335&lt;='财富模型'!$E$11*12,'财富模型'!$E$10,'财富模型'!$E$12)/12)-IF('Calc'!$E$14=1,0,IF(Calc!$Q$335&lt;='财富模型'!$E$11*12,'Calc'!$W$14,'Calc'!$Y$14)),0)))</x:f>
      </x:c>
      <x:c r="Y335" t="n">
        <x:v>314</x:v>
      </x:c>
      <x:c r="Z335" t="str">
        <x:f>IF(Calc!$Y$335&gt;'Calc'!$B$8,"",MAX(Calc!$Z$334*(1+'财富模型'!$E$6/12)+('Calc'!$B$5-'财富模型'!$E$5-(IF('Calc'!$E$15=1,'财富模型'!$E$9,'财富模型'!$M$7+IF(Calc!$Y$335&lt;='财富模型'!$E$11*12,'Calc'!$W$15,'Calc'!$Y$15)-(IF('Calc'!$E$15=1,0,MIN(Calc!$AA$334*(1+'财富模型'!$E$20/12)+'Calc'!$B$6,IF(Calc!$Y$335&lt;='财富模型'!$E$11*12,'Calc'!$W$15,'Calc'!$Y$15))))))),0))</x:f>
      </x:c>
      <x:c r="AA335" t="str">
        <x:f>IF(Calc!$Y$335&gt;'Calc'!$B$8,"",MAX(Calc!$AA$334*(1+'财富模型'!$E$20/12)+'Calc'!$B$6-(IF('Calc'!$E$15=1,0,MIN(Calc!$AA$334*(1+'财富模型'!$E$20/12)+'Calc'!$B$6,IF(Calc!$Y$335&lt;='财富模型'!$E$11*12,'Calc'!$W$15,'Calc'!$Y$15)))),0))</x:f>
      </x:c>
      <x:c r="AB335" t="str">
        <x:f>IF(Calc!$Y$335&gt;'Calc'!$B$8,"",IF('Calc'!$E$15=1,'财富模型'!$E$9,'财富模型'!$M$7+IF(Calc!$Y$335&lt;='财富模型'!$E$11*12,'Calc'!$W$15,'Calc'!$Y$15)-(IF('Calc'!$E$15=1,0,MIN(Calc!$AA$334*(1+'财富模型'!$E$20/12)+'Calc'!$B$6,IF(Calc!$Y$335&lt;='财富模型'!$E$11*12,'Calc'!$W$15,'Calc'!$Y$15))))))</x:f>
      </x:c>
      <x:c r="AC335" t="str">
        <x:f>IF(Calc!$Y$335&gt;'Calc'!$B$8,"",IF('Calc'!$E$15=1,0,MIN(Calc!$AA$334*(1+'财富模型'!$E$20/12)+'Calc'!$B$6,IF(Calc!$Y$335&lt;='财富模型'!$E$11*12,'Calc'!$W$15,'Calc'!$Y$15))))</x:f>
      </x:c>
      <x:c r="AD335" t="str">
        <x:f>IF(Calc!$Y$335&gt;'Calc'!$B$8,"",'Calc'!$B$5-'财富模型'!$E$5-(IF('Calc'!$E$15=1,'财富模型'!$E$9,'财富模型'!$M$7+IF(Calc!$Y$335&lt;='财富模型'!$E$11*12,'Calc'!$W$15,'Calc'!$Y$15)-(IF('Calc'!$E$15=1,0,MIN(Calc!$AA$334*(1+'财富模型'!$E$20/12)+'Calc'!$B$6,IF(Calc!$Y$335&lt;='财富模型'!$E$11*12,'Calc'!$W$15,'Calc'!$Y$15)))))))</x:f>
      </x:c>
      <x:c r="AE335" t="str">
        <x:f>IF(Calc!$Y$335&gt;'Calc'!$B$8,"",IF('Calc'!$E$15=1,0,MAX(Calc!$AE$334*(1+IF(Calc!$Y$335&lt;='财富模型'!$E$11*12,'财富模型'!$E$10,'财富模型'!$E$12)/12)-IF('Calc'!$E$15=1,0,IF(Calc!$Y$335&lt;='财富模型'!$E$11*12,'Calc'!$W$15,'Calc'!$Y$15)),0)))</x:f>
      </x:c>
      <x:c r="AG335" t="n">
        <x:v>314</x:v>
      </x:c>
      <x:c r="AH335" t="str">
        <x:f>IF(Calc!$AG$335&gt;'Calc'!$B$8,"",MAX(Calc!$AH$334*(1+'财富模型'!$E$6/12)+('Calc'!$B$5-'财富模型'!$E$5-(IF('Calc'!$E$16=1,'财富模型'!$E$9,'财富模型'!$M$8+IF(Calc!$AG$335&lt;='财富模型'!$E$11*12,'Calc'!$W$16,'Calc'!$Y$16)-(IF('Calc'!$E$16=1,0,MIN(Calc!$AI$334*(1+'财富模型'!$E$20/12)+'Calc'!$B$6,IF(Calc!$AG$335&lt;='财富模型'!$E$11*12,'Calc'!$W$16,'Calc'!$Y$16))))))),0))</x:f>
      </x:c>
      <x:c r="AI335" t="str">
        <x:f>IF(Calc!$AG$335&gt;'Calc'!$B$8,"",MAX(Calc!$AI$334*(1+'财富模型'!$E$20/12)+'Calc'!$B$6-(IF('Calc'!$E$16=1,0,MIN(Calc!$AI$334*(1+'财富模型'!$E$20/12)+'Calc'!$B$6,IF(Calc!$AG$335&lt;='财富模型'!$E$11*12,'Calc'!$W$16,'Calc'!$Y$16)))),0))</x:f>
      </x:c>
      <x:c r="AJ335" t="str">
        <x:f>IF(Calc!$AG$335&gt;'Calc'!$B$8,"",IF('Calc'!$E$16=1,'财富模型'!$E$9,'财富模型'!$M$8+IF(Calc!$AG$335&lt;='财富模型'!$E$11*12,'Calc'!$W$16,'Calc'!$Y$16)-(IF('Calc'!$E$16=1,0,MIN(Calc!$AI$334*(1+'财富模型'!$E$20/12)+'Calc'!$B$6,IF(Calc!$AG$335&lt;='财富模型'!$E$11*12,'Calc'!$W$16,'Calc'!$Y$16))))))</x:f>
      </x:c>
      <x:c r="AK335" t="str">
        <x:f>IF(Calc!$AG$335&gt;'Calc'!$B$8,"",IF('Calc'!$E$16=1,0,MIN(Calc!$AI$334*(1+'财富模型'!$E$20/12)+'Calc'!$B$6,IF(Calc!$AG$335&lt;='财富模型'!$E$11*12,'Calc'!$W$16,'Calc'!$Y$16))))</x:f>
      </x:c>
      <x:c r="AL335" t="str">
        <x:f>IF(Calc!$AG$335&gt;'Calc'!$B$8,"",'Calc'!$B$5-'财富模型'!$E$5-(IF('Calc'!$E$16=1,'财富模型'!$E$9,'财富模型'!$M$8+IF(Calc!$AG$335&lt;='财富模型'!$E$11*12,'Calc'!$W$16,'Calc'!$Y$16)-(IF('Calc'!$E$16=1,0,MIN(Calc!$AI$334*(1+'财富模型'!$E$20/12)+'Calc'!$B$6,IF(Calc!$AG$335&lt;='财富模型'!$E$11*12,'Calc'!$W$16,'Calc'!$Y$16)))))))</x:f>
      </x:c>
      <x:c r="AM335" t="str">
        <x:f>IF(Calc!$AG$335&gt;'Calc'!$B$8,"",IF('Calc'!$E$16=1,0,MAX(Calc!$AM$334*(1+IF(Calc!$AG$335&lt;='财富模型'!$E$11*12,'财富模型'!$E$10,'财富模型'!$E$12)/12)-IF('Calc'!$E$16=1,0,IF(Calc!$AG$335&lt;='财富模型'!$E$11*12,'Calc'!$W$16,'Calc'!$Y$16)),0)))</x:f>
      </x:c>
      <x:c r="AO335" t="n">
        <x:v>314</x:v>
      </x:c>
      <x:c r="AP335" t="str">
        <x:f>IF(Calc!$AO$335&gt;'Calc'!$B$8,"",MAX(Calc!$AP$334*(1+'财富模型'!$E$6/12)+('Calc'!$B$5-'财富模型'!$E$5-(IF('Calc'!$E$17=1,'财富模型'!$E$9,'财富模型'!$M$9+IF(Calc!$AO$335&lt;='财富模型'!$E$11*12,'Calc'!$W$17,'Calc'!$Y$17)-(IF('Calc'!$E$17=1,0,MIN(Calc!$AQ$334*(1+'财富模型'!$E$20/12)+'Calc'!$B$6,IF(Calc!$AO$335&lt;='财富模型'!$E$11*12,'Calc'!$W$17,'Calc'!$Y$17))))))),0))</x:f>
      </x:c>
      <x:c r="AQ335" t="str">
        <x:f>IF(Calc!$AO$335&gt;'Calc'!$B$8,"",MAX(Calc!$AQ$334*(1+'财富模型'!$E$20/12)+'Calc'!$B$6-(IF('Calc'!$E$17=1,0,MIN(Calc!$AQ$334*(1+'财富模型'!$E$20/12)+'Calc'!$B$6,IF(Calc!$AO$335&lt;='财富模型'!$E$11*12,'Calc'!$W$17,'Calc'!$Y$17)))),0))</x:f>
      </x:c>
      <x:c r="AR335" t="str">
        <x:f>IF(Calc!$AO$335&gt;'Calc'!$B$8,"",IF('Calc'!$E$17=1,'财富模型'!$E$9,'财富模型'!$M$9+IF(Calc!$AO$335&lt;='财富模型'!$E$11*12,'Calc'!$W$17,'Calc'!$Y$17)-(IF('Calc'!$E$17=1,0,MIN(Calc!$AQ$334*(1+'财富模型'!$E$20/12)+'Calc'!$B$6,IF(Calc!$AO$335&lt;='财富模型'!$E$11*12,'Calc'!$W$17,'Calc'!$Y$17))))))</x:f>
      </x:c>
      <x:c r="AS335" t="str">
        <x:f>IF(Calc!$AO$335&gt;'Calc'!$B$8,"",IF('Calc'!$E$17=1,0,MIN(Calc!$AQ$334*(1+'财富模型'!$E$20/12)+'Calc'!$B$6,IF(Calc!$AO$335&lt;='财富模型'!$E$11*12,'Calc'!$W$17,'Calc'!$Y$17))))</x:f>
      </x:c>
      <x:c r="AT335" t="str">
        <x:f>IF(Calc!$AO$335&gt;'Calc'!$B$8,"",'Calc'!$B$5-'财富模型'!$E$5-(IF('Calc'!$E$17=1,'财富模型'!$E$9,'财富模型'!$M$9+IF(Calc!$AO$335&lt;='财富模型'!$E$11*12,'Calc'!$W$17,'Calc'!$Y$17)-(IF('Calc'!$E$17=1,0,MIN(Calc!$AQ$334*(1+'财富模型'!$E$20/12)+'Calc'!$B$6,IF(Calc!$AO$335&lt;='财富模型'!$E$11*12,'Calc'!$W$17,'Calc'!$Y$17)))))))</x:f>
      </x:c>
      <x:c r="AU335" t="str">
        <x:f>IF(Calc!$AO$335&gt;'Calc'!$B$8,"",IF('Calc'!$E$17=1,0,MAX(Calc!$AU$334*(1+IF(Calc!$AO$335&lt;='财富模型'!$E$11*12,'财富模型'!$E$10,'财富模型'!$E$12)/12)-IF('Calc'!$E$17=1,0,IF(Calc!$AO$335&lt;='财富模型'!$E$11*12,'Calc'!$W$17,'Calc'!$Y$17)),0)))</x:f>
      </x:c>
    </x:row>
    <x:row r="336">
      <x:c r="A336" t="n">
        <x:v>315</x:v>
      </x:c>
      <x:c r="B336" t="str">
        <x:f>IF(Calc!$A$336&gt;'Calc'!$B$8,"",MAX(Calc!$B$335*(1+'财富模型'!$E$6/12)+('Calc'!$B$5-'财富模型'!$E$5-(IF('Calc'!$E$12=1,'财富模型'!$E$9,'财富模型'!$M$4+IF(Calc!$A$336&lt;='财富模型'!$E$11*12,'Calc'!$W$12,'Calc'!$Y$12)-(IF('Calc'!$E$12=1,0,MIN(Calc!$C$335*(1+'财富模型'!$E$20/12)+'Calc'!$B$6,IF(Calc!$A$336&lt;='财富模型'!$E$11*12,'Calc'!$W$12,'Calc'!$Y$12))))))),0))</x:f>
      </x:c>
      <x:c r="C336" t="str">
        <x:f>IF(Calc!$A$336&gt;'Calc'!$B$8,"",MAX(Calc!$C$335*(1+'财富模型'!$E$20/12)+'Calc'!$B$6-(IF('Calc'!$E$12=1,0,MIN(Calc!$C$335*(1+'财富模型'!$E$20/12)+'Calc'!$B$6,IF(Calc!$A$336&lt;='财富模型'!$E$11*12,'Calc'!$W$12,'Calc'!$Y$12)))),0))</x:f>
      </x:c>
      <x:c r="D336" t="str">
        <x:f>IF(Calc!$A$336&gt;'Calc'!$B$8,"",IF('Calc'!$E$12=1,'财富模型'!$E$9,'财富模型'!$M$4+IF(Calc!$A$336&lt;='财富模型'!$E$11*12,'Calc'!$W$12,'Calc'!$Y$12)-(IF('Calc'!$E$12=1,0,MIN(Calc!$C$335*(1+'财富模型'!$E$20/12)+'Calc'!$B$6,IF(Calc!$A$336&lt;='财富模型'!$E$11*12,'Calc'!$W$12,'Calc'!$Y$12))))))</x:f>
      </x:c>
      <x:c r="E336" t="str">
        <x:f>IF(Calc!$A$336&gt;'Calc'!$B$8,"",IF('Calc'!$E$12=1,0,MIN(Calc!$C$335*(1+'财富模型'!$E$20/12)+'Calc'!$B$6,IF(Calc!$A$336&lt;='财富模型'!$E$11*12,'Calc'!$W$12,'Calc'!$Y$12))))</x:f>
      </x:c>
      <x:c r="F336" t="str">
        <x:f>IF(Calc!$A$336&gt;'Calc'!$B$8,"",'Calc'!$B$5-'财富模型'!$E$5-(IF('Calc'!$E$12=1,'财富模型'!$E$9,'财富模型'!$M$4+IF(Calc!$A$336&lt;='财富模型'!$E$11*12,'Calc'!$W$12,'Calc'!$Y$12)-(IF('Calc'!$E$12=1,0,MIN(Calc!$C$335*(1+'财富模型'!$E$20/12)+'Calc'!$B$6,IF(Calc!$A$336&lt;='财富模型'!$E$11*12,'Calc'!$W$12,'Calc'!$Y$12)))))))</x:f>
      </x:c>
      <x:c r="G336" t="str">
        <x:f>IF(Calc!$A$336&gt;'Calc'!$B$8,"",IF('Calc'!$E$12=1,0,MAX(Calc!$G$335*(1+IF(Calc!$A$336&lt;='财富模型'!$E$11*12,'财富模型'!$E$10,'财富模型'!$E$12)/12)-IF('Calc'!$E$12=1,0,IF(Calc!$A$336&lt;='财富模型'!$E$11*12,'Calc'!$W$12,'Calc'!$Y$12)),0)))</x:f>
      </x:c>
      <x:c r="I336" t="n">
        <x:v>315</x:v>
      </x:c>
      <x:c r="J336" t="str">
        <x:f>IF(Calc!$I$336&gt;'Calc'!$B$8,"",MAX(Calc!$J$335*(1+'财富模型'!$E$6/12)+('Calc'!$B$5-'财富模型'!$E$5-(IF('Calc'!$E$13=1,'财富模型'!$E$9,'财富模型'!$M$5+IF(Calc!$I$336&lt;='财富模型'!$E$11*12,'Calc'!$W$13,'Calc'!$Y$13)-(IF('Calc'!$E$13=1,0,MIN(Calc!$K$335*(1+'财富模型'!$E$20/12)+'Calc'!$B$6,IF(Calc!$I$336&lt;='财富模型'!$E$11*12,'Calc'!$W$13,'Calc'!$Y$13))))))),0))</x:f>
      </x:c>
      <x:c r="K336" t="str">
        <x:f>IF(Calc!$I$336&gt;'Calc'!$B$8,"",MAX(Calc!$K$335*(1+'财富模型'!$E$20/12)+'Calc'!$B$6-(IF('Calc'!$E$13=1,0,MIN(Calc!$K$335*(1+'财富模型'!$E$20/12)+'Calc'!$B$6,IF(Calc!$I$336&lt;='财富模型'!$E$11*12,'Calc'!$W$13,'Calc'!$Y$13)))),0))</x:f>
      </x:c>
      <x:c r="L336" t="str">
        <x:f>IF(Calc!$I$336&gt;'Calc'!$B$8,"",IF('Calc'!$E$13=1,'财富模型'!$E$9,'财富模型'!$M$5+IF(Calc!$I$336&lt;='财富模型'!$E$11*12,'Calc'!$W$13,'Calc'!$Y$13)-(IF('Calc'!$E$13=1,0,MIN(Calc!$K$335*(1+'财富模型'!$E$20/12)+'Calc'!$B$6,IF(Calc!$I$336&lt;='财富模型'!$E$11*12,'Calc'!$W$13,'Calc'!$Y$13))))))</x:f>
      </x:c>
      <x:c r="M336" t="str">
        <x:f>IF(Calc!$I$336&gt;'Calc'!$B$8,"",IF('Calc'!$E$13=1,0,MIN(Calc!$K$335*(1+'财富模型'!$E$20/12)+'Calc'!$B$6,IF(Calc!$I$336&lt;='财富模型'!$E$11*12,'Calc'!$W$13,'Calc'!$Y$13))))</x:f>
      </x:c>
      <x:c r="N336" t="str">
        <x:f>IF(Calc!$I$336&gt;'Calc'!$B$8,"",'Calc'!$B$5-'财富模型'!$E$5-(IF('Calc'!$E$13=1,'财富模型'!$E$9,'财富模型'!$M$5+IF(Calc!$I$336&lt;='财富模型'!$E$11*12,'Calc'!$W$13,'Calc'!$Y$13)-(IF('Calc'!$E$13=1,0,MIN(Calc!$K$335*(1+'财富模型'!$E$20/12)+'Calc'!$B$6,IF(Calc!$I$336&lt;='财富模型'!$E$11*12,'Calc'!$W$13,'Calc'!$Y$13)))))))</x:f>
      </x:c>
      <x:c r="O336" t="str">
        <x:f>IF(Calc!$I$336&gt;'Calc'!$B$8,"",IF('Calc'!$E$13=1,0,MAX(Calc!$O$335*(1+IF(Calc!$I$336&lt;='财富模型'!$E$11*12,'财富模型'!$E$10,'财富模型'!$E$12)/12)-IF('Calc'!$E$13=1,0,IF(Calc!$I$336&lt;='财富模型'!$E$11*12,'Calc'!$W$13,'Calc'!$Y$13)),0)))</x:f>
      </x:c>
      <x:c r="Q336" t="n">
        <x:v>315</x:v>
      </x:c>
      <x:c r="R336" t="str">
        <x:f>IF(Calc!$Q$336&gt;'Calc'!$B$8,"",MAX(Calc!$R$335*(1+'财富模型'!$E$6/12)+('Calc'!$B$5-'财富模型'!$E$5-(IF('Calc'!$E$14=1,'财富模型'!$E$9,'财富模型'!$M$6+IF(Calc!$Q$336&lt;='财富模型'!$E$11*12,'Calc'!$W$14,'Calc'!$Y$14)-(IF('Calc'!$E$14=1,0,MIN(Calc!$S$335*(1+'财富模型'!$E$20/12)+'Calc'!$B$6,IF(Calc!$Q$336&lt;='财富模型'!$E$11*12,'Calc'!$W$14,'Calc'!$Y$14))))))),0))</x:f>
      </x:c>
      <x:c r="S336" t="str">
        <x:f>IF(Calc!$Q$336&gt;'Calc'!$B$8,"",MAX(Calc!$S$335*(1+'财富模型'!$E$20/12)+'Calc'!$B$6-(IF('Calc'!$E$14=1,0,MIN(Calc!$S$335*(1+'财富模型'!$E$20/12)+'Calc'!$B$6,IF(Calc!$Q$336&lt;='财富模型'!$E$11*12,'Calc'!$W$14,'Calc'!$Y$14)))),0))</x:f>
      </x:c>
      <x:c r="T336" t="str">
        <x:f>IF(Calc!$Q$336&gt;'Calc'!$B$8,"",IF('Calc'!$E$14=1,'财富模型'!$E$9,'财富模型'!$M$6+IF(Calc!$Q$336&lt;='财富模型'!$E$11*12,'Calc'!$W$14,'Calc'!$Y$14)-(IF('Calc'!$E$14=1,0,MIN(Calc!$S$335*(1+'财富模型'!$E$20/12)+'Calc'!$B$6,IF(Calc!$Q$336&lt;='财富模型'!$E$11*12,'Calc'!$W$14,'Calc'!$Y$14))))))</x:f>
      </x:c>
      <x:c r="U336" t="str">
        <x:f>IF(Calc!$Q$336&gt;'Calc'!$B$8,"",IF('Calc'!$E$14=1,0,MIN(Calc!$S$335*(1+'财富模型'!$E$20/12)+'Calc'!$B$6,IF(Calc!$Q$336&lt;='财富模型'!$E$11*12,'Calc'!$W$14,'Calc'!$Y$14))))</x:f>
      </x:c>
      <x:c r="V336" t="str">
        <x:f>IF(Calc!$Q$336&gt;'Calc'!$B$8,"",'Calc'!$B$5-'财富模型'!$E$5-(IF('Calc'!$E$14=1,'财富模型'!$E$9,'财富模型'!$M$6+IF(Calc!$Q$336&lt;='财富模型'!$E$11*12,'Calc'!$W$14,'Calc'!$Y$14)-(IF('Calc'!$E$14=1,0,MIN(Calc!$S$335*(1+'财富模型'!$E$20/12)+'Calc'!$B$6,IF(Calc!$Q$336&lt;='财富模型'!$E$11*12,'Calc'!$W$14,'Calc'!$Y$14)))))))</x:f>
      </x:c>
      <x:c r="W336" t="str">
        <x:f>IF(Calc!$Q$336&gt;'Calc'!$B$8,"",IF('Calc'!$E$14=1,0,MAX(Calc!$W$335*(1+IF(Calc!$Q$336&lt;='财富模型'!$E$11*12,'财富模型'!$E$10,'财富模型'!$E$12)/12)-IF('Calc'!$E$14=1,0,IF(Calc!$Q$336&lt;='财富模型'!$E$11*12,'Calc'!$W$14,'Calc'!$Y$14)),0)))</x:f>
      </x:c>
      <x:c r="Y336" t="n">
        <x:v>315</x:v>
      </x:c>
      <x:c r="Z336" t="str">
        <x:f>IF(Calc!$Y$336&gt;'Calc'!$B$8,"",MAX(Calc!$Z$335*(1+'财富模型'!$E$6/12)+('Calc'!$B$5-'财富模型'!$E$5-(IF('Calc'!$E$15=1,'财富模型'!$E$9,'财富模型'!$M$7+IF(Calc!$Y$336&lt;='财富模型'!$E$11*12,'Calc'!$W$15,'Calc'!$Y$15)-(IF('Calc'!$E$15=1,0,MIN(Calc!$AA$335*(1+'财富模型'!$E$20/12)+'Calc'!$B$6,IF(Calc!$Y$336&lt;='财富模型'!$E$11*12,'Calc'!$W$15,'Calc'!$Y$15))))))),0))</x:f>
      </x:c>
      <x:c r="AA336" t="str">
        <x:f>IF(Calc!$Y$336&gt;'Calc'!$B$8,"",MAX(Calc!$AA$335*(1+'财富模型'!$E$20/12)+'Calc'!$B$6-(IF('Calc'!$E$15=1,0,MIN(Calc!$AA$335*(1+'财富模型'!$E$20/12)+'Calc'!$B$6,IF(Calc!$Y$336&lt;='财富模型'!$E$11*12,'Calc'!$W$15,'Calc'!$Y$15)))),0))</x:f>
      </x:c>
      <x:c r="AB336" t="str">
        <x:f>IF(Calc!$Y$336&gt;'Calc'!$B$8,"",IF('Calc'!$E$15=1,'财富模型'!$E$9,'财富模型'!$M$7+IF(Calc!$Y$336&lt;='财富模型'!$E$11*12,'Calc'!$W$15,'Calc'!$Y$15)-(IF('Calc'!$E$15=1,0,MIN(Calc!$AA$335*(1+'财富模型'!$E$20/12)+'Calc'!$B$6,IF(Calc!$Y$336&lt;='财富模型'!$E$11*12,'Calc'!$W$15,'Calc'!$Y$15))))))</x:f>
      </x:c>
      <x:c r="AC336" t="str">
        <x:f>IF(Calc!$Y$336&gt;'Calc'!$B$8,"",IF('Calc'!$E$15=1,0,MIN(Calc!$AA$335*(1+'财富模型'!$E$20/12)+'Calc'!$B$6,IF(Calc!$Y$336&lt;='财富模型'!$E$11*12,'Calc'!$W$15,'Calc'!$Y$15))))</x:f>
      </x:c>
      <x:c r="AD336" t="str">
        <x:f>IF(Calc!$Y$336&gt;'Calc'!$B$8,"",'Calc'!$B$5-'财富模型'!$E$5-(IF('Calc'!$E$15=1,'财富模型'!$E$9,'财富模型'!$M$7+IF(Calc!$Y$336&lt;='财富模型'!$E$11*12,'Calc'!$W$15,'Calc'!$Y$15)-(IF('Calc'!$E$15=1,0,MIN(Calc!$AA$335*(1+'财富模型'!$E$20/12)+'Calc'!$B$6,IF(Calc!$Y$336&lt;='财富模型'!$E$11*12,'Calc'!$W$15,'Calc'!$Y$15)))))))</x:f>
      </x:c>
      <x:c r="AE336" t="str">
        <x:f>IF(Calc!$Y$336&gt;'Calc'!$B$8,"",IF('Calc'!$E$15=1,0,MAX(Calc!$AE$335*(1+IF(Calc!$Y$336&lt;='财富模型'!$E$11*12,'财富模型'!$E$10,'财富模型'!$E$12)/12)-IF('Calc'!$E$15=1,0,IF(Calc!$Y$336&lt;='财富模型'!$E$11*12,'Calc'!$W$15,'Calc'!$Y$15)),0)))</x:f>
      </x:c>
      <x:c r="AG336" t="n">
        <x:v>315</x:v>
      </x:c>
      <x:c r="AH336" t="str">
        <x:f>IF(Calc!$AG$336&gt;'Calc'!$B$8,"",MAX(Calc!$AH$335*(1+'财富模型'!$E$6/12)+('Calc'!$B$5-'财富模型'!$E$5-(IF('Calc'!$E$16=1,'财富模型'!$E$9,'财富模型'!$M$8+IF(Calc!$AG$336&lt;='财富模型'!$E$11*12,'Calc'!$W$16,'Calc'!$Y$16)-(IF('Calc'!$E$16=1,0,MIN(Calc!$AI$335*(1+'财富模型'!$E$20/12)+'Calc'!$B$6,IF(Calc!$AG$336&lt;='财富模型'!$E$11*12,'Calc'!$W$16,'Calc'!$Y$16))))))),0))</x:f>
      </x:c>
      <x:c r="AI336" t="str">
        <x:f>IF(Calc!$AG$336&gt;'Calc'!$B$8,"",MAX(Calc!$AI$335*(1+'财富模型'!$E$20/12)+'Calc'!$B$6-(IF('Calc'!$E$16=1,0,MIN(Calc!$AI$335*(1+'财富模型'!$E$20/12)+'Calc'!$B$6,IF(Calc!$AG$336&lt;='财富模型'!$E$11*12,'Calc'!$W$16,'Calc'!$Y$16)))),0))</x:f>
      </x:c>
      <x:c r="AJ336" t="str">
        <x:f>IF(Calc!$AG$336&gt;'Calc'!$B$8,"",IF('Calc'!$E$16=1,'财富模型'!$E$9,'财富模型'!$M$8+IF(Calc!$AG$336&lt;='财富模型'!$E$11*12,'Calc'!$W$16,'Calc'!$Y$16)-(IF('Calc'!$E$16=1,0,MIN(Calc!$AI$335*(1+'财富模型'!$E$20/12)+'Calc'!$B$6,IF(Calc!$AG$336&lt;='财富模型'!$E$11*12,'Calc'!$W$16,'Calc'!$Y$16))))))</x:f>
      </x:c>
      <x:c r="AK336" t="str">
        <x:f>IF(Calc!$AG$336&gt;'Calc'!$B$8,"",IF('Calc'!$E$16=1,0,MIN(Calc!$AI$335*(1+'财富模型'!$E$20/12)+'Calc'!$B$6,IF(Calc!$AG$336&lt;='财富模型'!$E$11*12,'Calc'!$W$16,'Calc'!$Y$16))))</x:f>
      </x:c>
      <x:c r="AL336" t="str">
        <x:f>IF(Calc!$AG$336&gt;'Calc'!$B$8,"",'Calc'!$B$5-'财富模型'!$E$5-(IF('Calc'!$E$16=1,'财富模型'!$E$9,'财富模型'!$M$8+IF(Calc!$AG$336&lt;='财富模型'!$E$11*12,'Calc'!$W$16,'Calc'!$Y$16)-(IF('Calc'!$E$16=1,0,MIN(Calc!$AI$335*(1+'财富模型'!$E$20/12)+'Calc'!$B$6,IF(Calc!$AG$336&lt;='财富模型'!$E$11*12,'Calc'!$W$16,'Calc'!$Y$16)))))))</x:f>
      </x:c>
      <x:c r="AM336" t="str">
        <x:f>IF(Calc!$AG$336&gt;'Calc'!$B$8,"",IF('Calc'!$E$16=1,0,MAX(Calc!$AM$335*(1+IF(Calc!$AG$336&lt;='财富模型'!$E$11*12,'财富模型'!$E$10,'财富模型'!$E$12)/12)-IF('Calc'!$E$16=1,0,IF(Calc!$AG$336&lt;='财富模型'!$E$11*12,'Calc'!$W$16,'Calc'!$Y$16)),0)))</x:f>
      </x:c>
      <x:c r="AO336" t="n">
        <x:v>315</x:v>
      </x:c>
      <x:c r="AP336" t="str">
        <x:f>IF(Calc!$AO$336&gt;'Calc'!$B$8,"",MAX(Calc!$AP$335*(1+'财富模型'!$E$6/12)+('Calc'!$B$5-'财富模型'!$E$5-(IF('Calc'!$E$17=1,'财富模型'!$E$9,'财富模型'!$M$9+IF(Calc!$AO$336&lt;='财富模型'!$E$11*12,'Calc'!$W$17,'Calc'!$Y$17)-(IF('Calc'!$E$17=1,0,MIN(Calc!$AQ$335*(1+'财富模型'!$E$20/12)+'Calc'!$B$6,IF(Calc!$AO$336&lt;='财富模型'!$E$11*12,'Calc'!$W$17,'Calc'!$Y$17))))))),0))</x:f>
      </x:c>
      <x:c r="AQ336" t="str">
        <x:f>IF(Calc!$AO$336&gt;'Calc'!$B$8,"",MAX(Calc!$AQ$335*(1+'财富模型'!$E$20/12)+'Calc'!$B$6-(IF('Calc'!$E$17=1,0,MIN(Calc!$AQ$335*(1+'财富模型'!$E$20/12)+'Calc'!$B$6,IF(Calc!$AO$336&lt;='财富模型'!$E$11*12,'Calc'!$W$17,'Calc'!$Y$17)))),0))</x:f>
      </x:c>
      <x:c r="AR336" t="str">
        <x:f>IF(Calc!$AO$336&gt;'Calc'!$B$8,"",IF('Calc'!$E$17=1,'财富模型'!$E$9,'财富模型'!$M$9+IF(Calc!$AO$336&lt;='财富模型'!$E$11*12,'Calc'!$W$17,'Calc'!$Y$17)-(IF('Calc'!$E$17=1,0,MIN(Calc!$AQ$335*(1+'财富模型'!$E$20/12)+'Calc'!$B$6,IF(Calc!$AO$336&lt;='财富模型'!$E$11*12,'Calc'!$W$17,'Calc'!$Y$17))))))</x:f>
      </x:c>
      <x:c r="AS336" t="str">
        <x:f>IF(Calc!$AO$336&gt;'Calc'!$B$8,"",IF('Calc'!$E$17=1,0,MIN(Calc!$AQ$335*(1+'财富模型'!$E$20/12)+'Calc'!$B$6,IF(Calc!$AO$336&lt;='财富模型'!$E$11*12,'Calc'!$W$17,'Calc'!$Y$17))))</x:f>
      </x:c>
      <x:c r="AT336" t="str">
        <x:f>IF(Calc!$AO$336&gt;'Calc'!$B$8,"",'Calc'!$B$5-'财富模型'!$E$5-(IF('Calc'!$E$17=1,'财富模型'!$E$9,'财富模型'!$M$9+IF(Calc!$AO$336&lt;='财富模型'!$E$11*12,'Calc'!$W$17,'Calc'!$Y$17)-(IF('Calc'!$E$17=1,0,MIN(Calc!$AQ$335*(1+'财富模型'!$E$20/12)+'Calc'!$B$6,IF(Calc!$AO$336&lt;='财富模型'!$E$11*12,'Calc'!$W$17,'Calc'!$Y$17)))))))</x:f>
      </x:c>
      <x:c r="AU336" t="str">
        <x:f>IF(Calc!$AO$336&gt;'Calc'!$B$8,"",IF('Calc'!$E$17=1,0,MAX(Calc!$AU$335*(1+IF(Calc!$AO$336&lt;='财富模型'!$E$11*12,'财富模型'!$E$10,'财富模型'!$E$12)/12)-IF('Calc'!$E$17=1,0,IF(Calc!$AO$336&lt;='财富模型'!$E$11*12,'Calc'!$W$17,'Calc'!$Y$17)),0)))</x:f>
      </x:c>
    </x:row>
    <x:row r="337">
      <x:c r="A337" t="n">
        <x:v>316</x:v>
      </x:c>
      <x:c r="B337" t="str">
        <x:f>IF(Calc!$A$337&gt;'Calc'!$B$8,"",MAX(Calc!$B$336*(1+'财富模型'!$E$6/12)+('Calc'!$B$5-'财富模型'!$E$5-(IF('Calc'!$E$12=1,'财富模型'!$E$9,'财富模型'!$M$4+IF(Calc!$A$337&lt;='财富模型'!$E$11*12,'Calc'!$W$12,'Calc'!$Y$12)-(IF('Calc'!$E$12=1,0,MIN(Calc!$C$336*(1+'财富模型'!$E$20/12)+'Calc'!$B$6,IF(Calc!$A$337&lt;='财富模型'!$E$11*12,'Calc'!$W$12,'Calc'!$Y$12))))))),0))</x:f>
      </x:c>
      <x:c r="C337" t="str">
        <x:f>IF(Calc!$A$337&gt;'Calc'!$B$8,"",MAX(Calc!$C$336*(1+'财富模型'!$E$20/12)+'Calc'!$B$6-(IF('Calc'!$E$12=1,0,MIN(Calc!$C$336*(1+'财富模型'!$E$20/12)+'Calc'!$B$6,IF(Calc!$A$337&lt;='财富模型'!$E$11*12,'Calc'!$W$12,'Calc'!$Y$12)))),0))</x:f>
      </x:c>
      <x:c r="D337" t="str">
        <x:f>IF(Calc!$A$337&gt;'Calc'!$B$8,"",IF('Calc'!$E$12=1,'财富模型'!$E$9,'财富模型'!$M$4+IF(Calc!$A$337&lt;='财富模型'!$E$11*12,'Calc'!$W$12,'Calc'!$Y$12)-(IF('Calc'!$E$12=1,0,MIN(Calc!$C$336*(1+'财富模型'!$E$20/12)+'Calc'!$B$6,IF(Calc!$A$337&lt;='财富模型'!$E$11*12,'Calc'!$W$12,'Calc'!$Y$12))))))</x:f>
      </x:c>
      <x:c r="E337" t="str">
        <x:f>IF(Calc!$A$337&gt;'Calc'!$B$8,"",IF('Calc'!$E$12=1,0,MIN(Calc!$C$336*(1+'财富模型'!$E$20/12)+'Calc'!$B$6,IF(Calc!$A$337&lt;='财富模型'!$E$11*12,'Calc'!$W$12,'Calc'!$Y$12))))</x:f>
      </x:c>
      <x:c r="F337" t="str">
        <x:f>IF(Calc!$A$337&gt;'Calc'!$B$8,"",'Calc'!$B$5-'财富模型'!$E$5-(IF('Calc'!$E$12=1,'财富模型'!$E$9,'财富模型'!$M$4+IF(Calc!$A$337&lt;='财富模型'!$E$11*12,'Calc'!$W$12,'Calc'!$Y$12)-(IF('Calc'!$E$12=1,0,MIN(Calc!$C$336*(1+'财富模型'!$E$20/12)+'Calc'!$B$6,IF(Calc!$A$337&lt;='财富模型'!$E$11*12,'Calc'!$W$12,'Calc'!$Y$12)))))))</x:f>
      </x:c>
      <x:c r="G337" t="str">
        <x:f>IF(Calc!$A$337&gt;'Calc'!$B$8,"",IF('Calc'!$E$12=1,0,MAX(Calc!$G$336*(1+IF(Calc!$A$337&lt;='财富模型'!$E$11*12,'财富模型'!$E$10,'财富模型'!$E$12)/12)-IF('Calc'!$E$12=1,0,IF(Calc!$A$337&lt;='财富模型'!$E$11*12,'Calc'!$W$12,'Calc'!$Y$12)),0)))</x:f>
      </x:c>
      <x:c r="I337" t="n">
        <x:v>316</x:v>
      </x:c>
      <x:c r="J337" t="str">
        <x:f>IF(Calc!$I$337&gt;'Calc'!$B$8,"",MAX(Calc!$J$336*(1+'财富模型'!$E$6/12)+('Calc'!$B$5-'财富模型'!$E$5-(IF('Calc'!$E$13=1,'财富模型'!$E$9,'财富模型'!$M$5+IF(Calc!$I$337&lt;='财富模型'!$E$11*12,'Calc'!$W$13,'Calc'!$Y$13)-(IF('Calc'!$E$13=1,0,MIN(Calc!$K$336*(1+'财富模型'!$E$20/12)+'Calc'!$B$6,IF(Calc!$I$337&lt;='财富模型'!$E$11*12,'Calc'!$W$13,'Calc'!$Y$13))))))),0))</x:f>
      </x:c>
      <x:c r="K337" t="str">
        <x:f>IF(Calc!$I$337&gt;'Calc'!$B$8,"",MAX(Calc!$K$336*(1+'财富模型'!$E$20/12)+'Calc'!$B$6-(IF('Calc'!$E$13=1,0,MIN(Calc!$K$336*(1+'财富模型'!$E$20/12)+'Calc'!$B$6,IF(Calc!$I$337&lt;='财富模型'!$E$11*12,'Calc'!$W$13,'Calc'!$Y$13)))),0))</x:f>
      </x:c>
      <x:c r="L337" t="str">
        <x:f>IF(Calc!$I$337&gt;'Calc'!$B$8,"",IF('Calc'!$E$13=1,'财富模型'!$E$9,'财富模型'!$M$5+IF(Calc!$I$337&lt;='财富模型'!$E$11*12,'Calc'!$W$13,'Calc'!$Y$13)-(IF('Calc'!$E$13=1,0,MIN(Calc!$K$336*(1+'财富模型'!$E$20/12)+'Calc'!$B$6,IF(Calc!$I$337&lt;='财富模型'!$E$11*12,'Calc'!$W$13,'Calc'!$Y$13))))))</x:f>
      </x:c>
      <x:c r="M337" t="str">
        <x:f>IF(Calc!$I$337&gt;'Calc'!$B$8,"",IF('Calc'!$E$13=1,0,MIN(Calc!$K$336*(1+'财富模型'!$E$20/12)+'Calc'!$B$6,IF(Calc!$I$337&lt;='财富模型'!$E$11*12,'Calc'!$W$13,'Calc'!$Y$13))))</x:f>
      </x:c>
      <x:c r="N337" t="str">
        <x:f>IF(Calc!$I$337&gt;'Calc'!$B$8,"",'Calc'!$B$5-'财富模型'!$E$5-(IF('Calc'!$E$13=1,'财富模型'!$E$9,'财富模型'!$M$5+IF(Calc!$I$337&lt;='财富模型'!$E$11*12,'Calc'!$W$13,'Calc'!$Y$13)-(IF('Calc'!$E$13=1,0,MIN(Calc!$K$336*(1+'财富模型'!$E$20/12)+'Calc'!$B$6,IF(Calc!$I$337&lt;='财富模型'!$E$11*12,'Calc'!$W$13,'Calc'!$Y$13)))))))</x:f>
      </x:c>
      <x:c r="O337" t="str">
        <x:f>IF(Calc!$I$337&gt;'Calc'!$B$8,"",IF('Calc'!$E$13=1,0,MAX(Calc!$O$336*(1+IF(Calc!$I$337&lt;='财富模型'!$E$11*12,'财富模型'!$E$10,'财富模型'!$E$12)/12)-IF('Calc'!$E$13=1,0,IF(Calc!$I$337&lt;='财富模型'!$E$11*12,'Calc'!$W$13,'Calc'!$Y$13)),0)))</x:f>
      </x:c>
      <x:c r="Q337" t="n">
        <x:v>316</x:v>
      </x:c>
      <x:c r="R337" t="str">
        <x:f>IF(Calc!$Q$337&gt;'Calc'!$B$8,"",MAX(Calc!$R$336*(1+'财富模型'!$E$6/12)+('Calc'!$B$5-'财富模型'!$E$5-(IF('Calc'!$E$14=1,'财富模型'!$E$9,'财富模型'!$M$6+IF(Calc!$Q$337&lt;='财富模型'!$E$11*12,'Calc'!$W$14,'Calc'!$Y$14)-(IF('Calc'!$E$14=1,0,MIN(Calc!$S$336*(1+'财富模型'!$E$20/12)+'Calc'!$B$6,IF(Calc!$Q$337&lt;='财富模型'!$E$11*12,'Calc'!$W$14,'Calc'!$Y$14))))))),0))</x:f>
      </x:c>
      <x:c r="S337" t="str">
        <x:f>IF(Calc!$Q$337&gt;'Calc'!$B$8,"",MAX(Calc!$S$336*(1+'财富模型'!$E$20/12)+'Calc'!$B$6-(IF('Calc'!$E$14=1,0,MIN(Calc!$S$336*(1+'财富模型'!$E$20/12)+'Calc'!$B$6,IF(Calc!$Q$337&lt;='财富模型'!$E$11*12,'Calc'!$W$14,'Calc'!$Y$14)))),0))</x:f>
      </x:c>
      <x:c r="T337" t="str">
        <x:f>IF(Calc!$Q$337&gt;'Calc'!$B$8,"",IF('Calc'!$E$14=1,'财富模型'!$E$9,'财富模型'!$M$6+IF(Calc!$Q$337&lt;='财富模型'!$E$11*12,'Calc'!$W$14,'Calc'!$Y$14)-(IF('Calc'!$E$14=1,0,MIN(Calc!$S$336*(1+'财富模型'!$E$20/12)+'Calc'!$B$6,IF(Calc!$Q$337&lt;='财富模型'!$E$11*12,'Calc'!$W$14,'Calc'!$Y$14))))))</x:f>
      </x:c>
      <x:c r="U337" t="str">
        <x:f>IF(Calc!$Q$337&gt;'Calc'!$B$8,"",IF('Calc'!$E$14=1,0,MIN(Calc!$S$336*(1+'财富模型'!$E$20/12)+'Calc'!$B$6,IF(Calc!$Q$337&lt;='财富模型'!$E$11*12,'Calc'!$W$14,'Calc'!$Y$14))))</x:f>
      </x:c>
      <x:c r="V337" t="str">
        <x:f>IF(Calc!$Q$337&gt;'Calc'!$B$8,"",'Calc'!$B$5-'财富模型'!$E$5-(IF('Calc'!$E$14=1,'财富模型'!$E$9,'财富模型'!$M$6+IF(Calc!$Q$337&lt;='财富模型'!$E$11*12,'Calc'!$W$14,'Calc'!$Y$14)-(IF('Calc'!$E$14=1,0,MIN(Calc!$S$336*(1+'财富模型'!$E$20/12)+'Calc'!$B$6,IF(Calc!$Q$337&lt;='财富模型'!$E$11*12,'Calc'!$W$14,'Calc'!$Y$14)))))))</x:f>
      </x:c>
      <x:c r="W337" t="str">
        <x:f>IF(Calc!$Q$337&gt;'Calc'!$B$8,"",IF('Calc'!$E$14=1,0,MAX(Calc!$W$336*(1+IF(Calc!$Q$337&lt;='财富模型'!$E$11*12,'财富模型'!$E$10,'财富模型'!$E$12)/12)-IF('Calc'!$E$14=1,0,IF(Calc!$Q$337&lt;='财富模型'!$E$11*12,'Calc'!$W$14,'Calc'!$Y$14)),0)))</x:f>
      </x:c>
      <x:c r="Y337" t="n">
        <x:v>316</x:v>
      </x:c>
      <x:c r="Z337" t="str">
        <x:f>IF(Calc!$Y$337&gt;'Calc'!$B$8,"",MAX(Calc!$Z$336*(1+'财富模型'!$E$6/12)+('Calc'!$B$5-'财富模型'!$E$5-(IF('Calc'!$E$15=1,'财富模型'!$E$9,'财富模型'!$M$7+IF(Calc!$Y$337&lt;='财富模型'!$E$11*12,'Calc'!$W$15,'Calc'!$Y$15)-(IF('Calc'!$E$15=1,0,MIN(Calc!$AA$336*(1+'财富模型'!$E$20/12)+'Calc'!$B$6,IF(Calc!$Y$337&lt;='财富模型'!$E$11*12,'Calc'!$W$15,'Calc'!$Y$15))))))),0))</x:f>
      </x:c>
      <x:c r="AA337" t="str">
        <x:f>IF(Calc!$Y$337&gt;'Calc'!$B$8,"",MAX(Calc!$AA$336*(1+'财富模型'!$E$20/12)+'Calc'!$B$6-(IF('Calc'!$E$15=1,0,MIN(Calc!$AA$336*(1+'财富模型'!$E$20/12)+'Calc'!$B$6,IF(Calc!$Y$337&lt;='财富模型'!$E$11*12,'Calc'!$W$15,'Calc'!$Y$15)))),0))</x:f>
      </x:c>
      <x:c r="AB337" t="str">
        <x:f>IF(Calc!$Y$337&gt;'Calc'!$B$8,"",IF('Calc'!$E$15=1,'财富模型'!$E$9,'财富模型'!$M$7+IF(Calc!$Y$337&lt;='财富模型'!$E$11*12,'Calc'!$W$15,'Calc'!$Y$15)-(IF('Calc'!$E$15=1,0,MIN(Calc!$AA$336*(1+'财富模型'!$E$20/12)+'Calc'!$B$6,IF(Calc!$Y$337&lt;='财富模型'!$E$11*12,'Calc'!$W$15,'Calc'!$Y$15))))))</x:f>
      </x:c>
      <x:c r="AC337" t="str">
        <x:f>IF(Calc!$Y$337&gt;'Calc'!$B$8,"",IF('Calc'!$E$15=1,0,MIN(Calc!$AA$336*(1+'财富模型'!$E$20/12)+'Calc'!$B$6,IF(Calc!$Y$337&lt;='财富模型'!$E$11*12,'Calc'!$W$15,'Calc'!$Y$15))))</x:f>
      </x:c>
      <x:c r="AD337" t="str">
        <x:f>IF(Calc!$Y$337&gt;'Calc'!$B$8,"",'Calc'!$B$5-'财富模型'!$E$5-(IF('Calc'!$E$15=1,'财富模型'!$E$9,'财富模型'!$M$7+IF(Calc!$Y$337&lt;='财富模型'!$E$11*12,'Calc'!$W$15,'Calc'!$Y$15)-(IF('Calc'!$E$15=1,0,MIN(Calc!$AA$336*(1+'财富模型'!$E$20/12)+'Calc'!$B$6,IF(Calc!$Y$337&lt;='财富模型'!$E$11*12,'Calc'!$W$15,'Calc'!$Y$15)))))))</x:f>
      </x:c>
      <x:c r="AE337" t="str">
        <x:f>IF(Calc!$Y$337&gt;'Calc'!$B$8,"",IF('Calc'!$E$15=1,0,MAX(Calc!$AE$336*(1+IF(Calc!$Y$337&lt;='财富模型'!$E$11*12,'财富模型'!$E$10,'财富模型'!$E$12)/12)-IF('Calc'!$E$15=1,0,IF(Calc!$Y$337&lt;='财富模型'!$E$11*12,'Calc'!$W$15,'Calc'!$Y$15)),0)))</x:f>
      </x:c>
      <x:c r="AG337" t="n">
        <x:v>316</x:v>
      </x:c>
      <x:c r="AH337" t="str">
        <x:f>IF(Calc!$AG$337&gt;'Calc'!$B$8,"",MAX(Calc!$AH$336*(1+'财富模型'!$E$6/12)+('Calc'!$B$5-'财富模型'!$E$5-(IF('Calc'!$E$16=1,'财富模型'!$E$9,'财富模型'!$M$8+IF(Calc!$AG$337&lt;='财富模型'!$E$11*12,'Calc'!$W$16,'Calc'!$Y$16)-(IF('Calc'!$E$16=1,0,MIN(Calc!$AI$336*(1+'财富模型'!$E$20/12)+'Calc'!$B$6,IF(Calc!$AG$337&lt;='财富模型'!$E$11*12,'Calc'!$W$16,'Calc'!$Y$16))))))),0))</x:f>
      </x:c>
      <x:c r="AI337" t="str">
        <x:f>IF(Calc!$AG$337&gt;'Calc'!$B$8,"",MAX(Calc!$AI$336*(1+'财富模型'!$E$20/12)+'Calc'!$B$6-(IF('Calc'!$E$16=1,0,MIN(Calc!$AI$336*(1+'财富模型'!$E$20/12)+'Calc'!$B$6,IF(Calc!$AG$337&lt;='财富模型'!$E$11*12,'Calc'!$W$16,'Calc'!$Y$16)))),0))</x:f>
      </x:c>
      <x:c r="AJ337" t="str">
        <x:f>IF(Calc!$AG$337&gt;'Calc'!$B$8,"",IF('Calc'!$E$16=1,'财富模型'!$E$9,'财富模型'!$M$8+IF(Calc!$AG$337&lt;='财富模型'!$E$11*12,'Calc'!$W$16,'Calc'!$Y$16)-(IF('Calc'!$E$16=1,0,MIN(Calc!$AI$336*(1+'财富模型'!$E$20/12)+'Calc'!$B$6,IF(Calc!$AG$337&lt;='财富模型'!$E$11*12,'Calc'!$W$16,'Calc'!$Y$16))))))</x:f>
      </x:c>
      <x:c r="AK337" t="str">
        <x:f>IF(Calc!$AG$337&gt;'Calc'!$B$8,"",IF('Calc'!$E$16=1,0,MIN(Calc!$AI$336*(1+'财富模型'!$E$20/12)+'Calc'!$B$6,IF(Calc!$AG$337&lt;='财富模型'!$E$11*12,'Calc'!$W$16,'Calc'!$Y$16))))</x:f>
      </x:c>
      <x:c r="AL337" t="str">
        <x:f>IF(Calc!$AG$337&gt;'Calc'!$B$8,"",'Calc'!$B$5-'财富模型'!$E$5-(IF('Calc'!$E$16=1,'财富模型'!$E$9,'财富模型'!$M$8+IF(Calc!$AG$337&lt;='财富模型'!$E$11*12,'Calc'!$W$16,'Calc'!$Y$16)-(IF('Calc'!$E$16=1,0,MIN(Calc!$AI$336*(1+'财富模型'!$E$20/12)+'Calc'!$B$6,IF(Calc!$AG$337&lt;='财富模型'!$E$11*12,'Calc'!$W$16,'Calc'!$Y$16)))))))</x:f>
      </x:c>
      <x:c r="AM337" t="str">
        <x:f>IF(Calc!$AG$337&gt;'Calc'!$B$8,"",IF('Calc'!$E$16=1,0,MAX(Calc!$AM$336*(1+IF(Calc!$AG$337&lt;='财富模型'!$E$11*12,'财富模型'!$E$10,'财富模型'!$E$12)/12)-IF('Calc'!$E$16=1,0,IF(Calc!$AG$337&lt;='财富模型'!$E$11*12,'Calc'!$W$16,'Calc'!$Y$16)),0)))</x:f>
      </x:c>
      <x:c r="AO337" t="n">
        <x:v>316</x:v>
      </x:c>
      <x:c r="AP337" t="str">
        <x:f>IF(Calc!$AO$337&gt;'Calc'!$B$8,"",MAX(Calc!$AP$336*(1+'财富模型'!$E$6/12)+('Calc'!$B$5-'财富模型'!$E$5-(IF('Calc'!$E$17=1,'财富模型'!$E$9,'财富模型'!$M$9+IF(Calc!$AO$337&lt;='财富模型'!$E$11*12,'Calc'!$W$17,'Calc'!$Y$17)-(IF('Calc'!$E$17=1,0,MIN(Calc!$AQ$336*(1+'财富模型'!$E$20/12)+'Calc'!$B$6,IF(Calc!$AO$337&lt;='财富模型'!$E$11*12,'Calc'!$W$17,'Calc'!$Y$17))))))),0))</x:f>
      </x:c>
      <x:c r="AQ337" t="str">
        <x:f>IF(Calc!$AO$337&gt;'Calc'!$B$8,"",MAX(Calc!$AQ$336*(1+'财富模型'!$E$20/12)+'Calc'!$B$6-(IF('Calc'!$E$17=1,0,MIN(Calc!$AQ$336*(1+'财富模型'!$E$20/12)+'Calc'!$B$6,IF(Calc!$AO$337&lt;='财富模型'!$E$11*12,'Calc'!$W$17,'Calc'!$Y$17)))),0))</x:f>
      </x:c>
      <x:c r="AR337" t="str">
        <x:f>IF(Calc!$AO$337&gt;'Calc'!$B$8,"",IF('Calc'!$E$17=1,'财富模型'!$E$9,'财富模型'!$M$9+IF(Calc!$AO$337&lt;='财富模型'!$E$11*12,'Calc'!$W$17,'Calc'!$Y$17)-(IF('Calc'!$E$17=1,0,MIN(Calc!$AQ$336*(1+'财富模型'!$E$20/12)+'Calc'!$B$6,IF(Calc!$AO$337&lt;='财富模型'!$E$11*12,'Calc'!$W$17,'Calc'!$Y$17))))))</x:f>
      </x:c>
      <x:c r="AS337" t="str">
        <x:f>IF(Calc!$AO$337&gt;'Calc'!$B$8,"",IF('Calc'!$E$17=1,0,MIN(Calc!$AQ$336*(1+'财富模型'!$E$20/12)+'Calc'!$B$6,IF(Calc!$AO$337&lt;='财富模型'!$E$11*12,'Calc'!$W$17,'Calc'!$Y$17))))</x:f>
      </x:c>
      <x:c r="AT337" t="str">
        <x:f>IF(Calc!$AO$337&gt;'Calc'!$B$8,"",'Calc'!$B$5-'财富模型'!$E$5-(IF('Calc'!$E$17=1,'财富模型'!$E$9,'财富模型'!$M$9+IF(Calc!$AO$337&lt;='财富模型'!$E$11*12,'Calc'!$W$17,'Calc'!$Y$17)-(IF('Calc'!$E$17=1,0,MIN(Calc!$AQ$336*(1+'财富模型'!$E$20/12)+'Calc'!$B$6,IF(Calc!$AO$337&lt;='财富模型'!$E$11*12,'Calc'!$W$17,'Calc'!$Y$17)))))))</x:f>
      </x:c>
      <x:c r="AU337" t="str">
        <x:f>IF(Calc!$AO$337&gt;'Calc'!$B$8,"",IF('Calc'!$E$17=1,0,MAX(Calc!$AU$336*(1+IF(Calc!$AO$337&lt;='财富模型'!$E$11*12,'财富模型'!$E$10,'财富模型'!$E$12)/12)-IF('Calc'!$E$17=1,0,IF(Calc!$AO$337&lt;='财富模型'!$E$11*12,'Calc'!$W$17,'Calc'!$Y$17)),0)))</x:f>
      </x:c>
    </x:row>
    <x:row r="338">
      <x:c r="A338" t="n">
        <x:v>317</x:v>
      </x:c>
      <x:c r="B338" t="str">
        <x:f>IF(Calc!$A$338&gt;'Calc'!$B$8,"",MAX(Calc!$B$337*(1+'财富模型'!$E$6/12)+('Calc'!$B$5-'财富模型'!$E$5-(IF('Calc'!$E$12=1,'财富模型'!$E$9,'财富模型'!$M$4+IF(Calc!$A$338&lt;='财富模型'!$E$11*12,'Calc'!$W$12,'Calc'!$Y$12)-(IF('Calc'!$E$12=1,0,MIN(Calc!$C$337*(1+'财富模型'!$E$20/12)+'Calc'!$B$6,IF(Calc!$A$338&lt;='财富模型'!$E$11*12,'Calc'!$W$12,'Calc'!$Y$12))))))),0))</x:f>
      </x:c>
      <x:c r="C338" t="str">
        <x:f>IF(Calc!$A$338&gt;'Calc'!$B$8,"",MAX(Calc!$C$337*(1+'财富模型'!$E$20/12)+'Calc'!$B$6-(IF('Calc'!$E$12=1,0,MIN(Calc!$C$337*(1+'财富模型'!$E$20/12)+'Calc'!$B$6,IF(Calc!$A$338&lt;='财富模型'!$E$11*12,'Calc'!$W$12,'Calc'!$Y$12)))),0))</x:f>
      </x:c>
      <x:c r="D338" t="str">
        <x:f>IF(Calc!$A$338&gt;'Calc'!$B$8,"",IF('Calc'!$E$12=1,'财富模型'!$E$9,'财富模型'!$M$4+IF(Calc!$A$338&lt;='财富模型'!$E$11*12,'Calc'!$W$12,'Calc'!$Y$12)-(IF('Calc'!$E$12=1,0,MIN(Calc!$C$337*(1+'财富模型'!$E$20/12)+'Calc'!$B$6,IF(Calc!$A$338&lt;='财富模型'!$E$11*12,'Calc'!$W$12,'Calc'!$Y$12))))))</x:f>
      </x:c>
      <x:c r="E338" t="str">
        <x:f>IF(Calc!$A$338&gt;'Calc'!$B$8,"",IF('Calc'!$E$12=1,0,MIN(Calc!$C$337*(1+'财富模型'!$E$20/12)+'Calc'!$B$6,IF(Calc!$A$338&lt;='财富模型'!$E$11*12,'Calc'!$W$12,'Calc'!$Y$12))))</x:f>
      </x:c>
      <x:c r="F338" t="str">
        <x:f>IF(Calc!$A$338&gt;'Calc'!$B$8,"",'Calc'!$B$5-'财富模型'!$E$5-(IF('Calc'!$E$12=1,'财富模型'!$E$9,'财富模型'!$M$4+IF(Calc!$A$338&lt;='财富模型'!$E$11*12,'Calc'!$W$12,'Calc'!$Y$12)-(IF('Calc'!$E$12=1,0,MIN(Calc!$C$337*(1+'财富模型'!$E$20/12)+'Calc'!$B$6,IF(Calc!$A$338&lt;='财富模型'!$E$11*12,'Calc'!$W$12,'Calc'!$Y$12)))))))</x:f>
      </x:c>
      <x:c r="G338" t="str">
        <x:f>IF(Calc!$A$338&gt;'Calc'!$B$8,"",IF('Calc'!$E$12=1,0,MAX(Calc!$G$337*(1+IF(Calc!$A$338&lt;='财富模型'!$E$11*12,'财富模型'!$E$10,'财富模型'!$E$12)/12)-IF('Calc'!$E$12=1,0,IF(Calc!$A$338&lt;='财富模型'!$E$11*12,'Calc'!$W$12,'Calc'!$Y$12)),0)))</x:f>
      </x:c>
      <x:c r="I338" t="n">
        <x:v>317</x:v>
      </x:c>
      <x:c r="J338" t="str">
        <x:f>IF(Calc!$I$338&gt;'Calc'!$B$8,"",MAX(Calc!$J$337*(1+'财富模型'!$E$6/12)+('Calc'!$B$5-'财富模型'!$E$5-(IF('Calc'!$E$13=1,'财富模型'!$E$9,'财富模型'!$M$5+IF(Calc!$I$338&lt;='财富模型'!$E$11*12,'Calc'!$W$13,'Calc'!$Y$13)-(IF('Calc'!$E$13=1,0,MIN(Calc!$K$337*(1+'财富模型'!$E$20/12)+'Calc'!$B$6,IF(Calc!$I$338&lt;='财富模型'!$E$11*12,'Calc'!$W$13,'Calc'!$Y$13))))))),0))</x:f>
      </x:c>
      <x:c r="K338" t="str">
        <x:f>IF(Calc!$I$338&gt;'Calc'!$B$8,"",MAX(Calc!$K$337*(1+'财富模型'!$E$20/12)+'Calc'!$B$6-(IF('Calc'!$E$13=1,0,MIN(Calc!$K$337*(1+'财富模型'!$E$20/12)+'Calc'!$B$6,IF(Calc!$I$338&lt;='财富模型'!$E$11*12,'Calc'!$W$13,'Calc'!$Y$13)))),0))</x:f>
      </x:c>
      <x:c r="L338" t="str">
        <x:f>IF(Calc!$I$338&gt;'Calc'!$B$8,"",IF('Calc'!$E$13=1,'财富模型'!$E$9,'财富模型'!$M$5+IF(Calc!$I$338&lt;='财富模型'!$E$11*12,'Calc'!$W$13,'Calc'!$Y$13)-(IF('Calc'!$E$13=1,0,MIN(Calc!$K$337*(1+'财富模型'!$E$20/12)+'Calc'!$B$6,IF(Calc!$I$338&lt;='财富模型'!$E$11*12,'Calc'!$W$13,'Calc'!$Y$13))))))</x:f>
      </x:c>
      <x:c r="M338" t="str">
        <x:f>IF(Calc!$I$338&gt;'Calc'!$B$8,"",IF('Calc'!$E$13=1,0,MIN(Calc!$K$337*(1+'财富模型'!$E$20/12)+'Calc'!$B$6,IF(Calc!$I$338&lt;='财富模型'!$E$11*12,'Calc'!$W$13,'Calc'!$Y$13))))</x:f>
      </x:c>
      <x:c r="N338" t="str">
        <x:f>IF(Calc!$I$338&gt;'Calc'!$B$8,"",'Calc'!$B$5-'财富模型'!$E$5-(IF('Calc'!$E$13=1,'财富模型'!$E$9,'财富模型'!$M$5+IF(Calc!$I$338&lt;='财富模型'!$E$11*12,'Calc'!$W$13,'Calc'!$Y$13)-(IF('Calc'!$E$13=1,0,MIN(Calc!$K$337*(1+'财富模型'!$E$20/12)+'Calc'!$B$6,IF(Calc!$I$338&lt;='财富模型'!$E$11*12,'Calc'!$W$13,'Calc'!$Y$13)))))))</x:f>
      </x:c>
      <x:c r="O338" t="str">
        <x:f>IF(Calc!$I$338&gt;'Calc'!$B$8,"",IF('Calc'!$E$13=1,0,MAX(Calc!$O$337*(1+IF(Calc!$I$338&lt;='财富模型'!$E$11*12,'财富模型'!$E$10,'财富模型'!$E$12)/12)-IF('Calc'!$E$13=1,0,IF(Calc!$I$338&lt;='财富模型'!$E$11*12,'Calc'!$W$13,'Calc'!$Y$13)),0)))</x:f>
      </x:c>
      <x:c r="Q338" t="n">
        <x:v>317</x:v>
      </x:c>
      <x:c r="R338" t="str">
        <x:f>IF(Calc!$Q$338&gt;'Calc'!$B$8,"",MAX(Calc!$R$337*(1+'财富模型'!$E$6/12)+('Calc'!$B$5-'财富模型'!$E$5-(IF('Calc'!$E$14=1,'财富模型'!$E$9,'财富模型'!$M$6+IF(Calc!$Q$338&lt;='财富模型'!$E$11*12,'Calc'!$W$14,'Calc'!$Y$14)-(IF('Calc'!$E$14=1,0,MIN(Calc!$S$337*(1+'财富模型'!$E$20/12)+'Calc'!$B$6,IF(Calc!$Q$338&lt;='财富模型'!$E$11*12,'Calc'!$W$14,'Calc'!$Y$14))))))),0))</x:f>
      </x:c>
      <x:c r="S338" t="str">
        <x:f>IF(Calc!$Q$338&gt;'Calc'!$B$8,"",MAX(Calc!$S$337*(1+'财富模型'!$E$20/12)+'Calc'!$B$6-(IF('Calc'!$E$14=1,0,MIN(Calc!$S$337*(1+'财富模型'!$E$20/12)+'Calc'!$B$6,IF(Calc!$Q$338&lt;='财富模型'!$E$11*12,'Calc'!$W$14,'Calc'!$Y$14)))),0))</x:f>
      </x:c>
      <x:c r="T338" t="str">
        <x:f>IF(Calc!$Q$338&gt;'Calc'!$B$8,"",IF('Calc'!$E$14=1,'财富模型'!$E$9,'财富模型'!$M$6+IF(Calc!$Q$338&lt;='财富模型'!$E$11*12,'Calc'!$W$14,'Calc'!$Y$14)-(IF('Calc'!$E$14=1,0,MIN(Calc!$S$337*(1+'财富模型'!$E$20/12)+'Calc'!$B$6,IF(Calc!$Q$338&lt;='财富模型'!$E$11*12,'Calc'!$W$14,'Calc'!$Y$14))))))</x:f>
      </x:c>
      <x:c r="U338" t="str">
        <x:f>IF(Calc!$Q$338&gt;'Calc'!$B$8,"",IF('Calc'!$E$14=1,0,MIN(Calc!$S$337*(1+'财富模型'!$E$20/12)+'Calc'!$B$6,IF(Calc!$Q$338&lt;='财富模型'!$E$11*12,'Calc'!$W$14,'Calc'!$Y$14))))</x:f>
      </x:c>
      <x:c r="V338" t="str">
        <x:f>IF(Calc!$Q$338&gt;'Calc'!$B$8,"",'Calc'!$B$5-'财富模型'!$E$5-(IF('Calc'!$E$14=1,'财富模型'!$E$9,'财富模型'!$M$6+IF(Calc!$Q$338&lt;='财富模型'!$E$11*12,'Calc'!$W$14,'Calc'!$Y$14)-(IF('Calc'!$E$14=1,0,MIN(Calc!$S$337*(1+'财富模型'!$E$20/12)+'Calc'!$B$6,IF(Calc!$Q$338&lt;='财富模型'!$E$11*12,'Calc'!$W$14,'Calc'!$Y$14)))))))</x:f>
      </x:c>
      <x:c r="W338" t="str">
        <x:f>IF(Calc!$Q$338&gt;'Calc'!$B$8,"",IF('Calc'!$E$14=1,0,MAX(Calc!$W$337*(1+IF(Calc!$Q$338&lt;='财富模型'!$E$11*12,'财富模型'!$E$10,'财富模型'!$E$12)/12)-IF('Calc'!$E$14=1,0,IF(Calc!$Q$338&lt;='财富模型'!$E$11*12,'Calc'!$W$14,'Calc'!$Y$14)),0)))</x:f>
      </x:c>
      <x:c r="Y338" t="n">
        <x:v>317</x:v>
      </x:c>
      <x:c r="Z338" t="str">
        <x:f>IF(Calc!$Y$338&gt;'Calc'!$B$8,"",MAX(Calc!$Z$337*(1+'财富模型'!$E$6/12)+('Calc'!$B$5-'财富模型'!$E$5-(IF('Calc'!$E$15=1,'财富模型'!$E$9,'财富模型'!$M$7+IF(Calc!$Y$338&lt;='财富模型'!$E$11*12,'Calc'!$W$15,'Calc'!$Y$15)-(IF('Calc'!$E$15=1,0,MIN(Calc!$AA$337*(1+'财富模型'!$E$20/12)+'Calc'!$B$6,IF(Calc!$Y$338&lt;='财富模型'!$E$11*12,'Calc'!$W$15,'Calc'!$Y$15))))))),0))</x:f>
      </x:c>
      <x:c r="AA338" t="str">
        <x:f>IF(Calc!$Y$338&gt;'Calc'!$B$8,"",MAX(Calc!$AA$337*(1+'财富模型'!$E$20/12)+'Calc'!$B$6-(IF('Calc'!$E$15=1,0,MIN(Calc!$AA$337*(1+'财富模型'!$E$20/12)+'Calc'!$B$6,IF(Calc!$Y$338&lt;='财富模型'!$E$11*12,'Calc'!$W$15,'Calc'!$Y$15)))),0))</x:f>
      </x:c>
      <x:c r="AB338" t="str">
        <x:f>IF(Calc!$Y$338&gt;'Calc'!$B$8,"",IF('Calc'!$E$15=1,'财富模型'!$E$9,'财富模型'!$M$7+IF(Calc!$Y$338&lt;='财富模型'!$E$11*12,'Calc'!$W$15,'Calc'!$Y$15)-(IF('Calc'!$E$15=1,0,MIN(Calc!$AA$337*(1+'财富模型'!$E$20/12)+'Calc'!$B$6,IF(Calc!$Y$338&lt;='财富模型'!$E$11*12,'Calc'!$W$15,'Calc'!$Y$15))))))</x:f>
      </x:c>
      <x:c r="AC338" t="str">
        <x:f>IF(Calc!$Y$338&gt;'Calc'!$B$8,"",IF('Calc'!$E$15=1,0,MIN(Calc!$AA$337*(1+'财富模型'!$E$20/12)+'Calc'!$B$6,IF(Calc!$Y$338&lt;='财富模型'!$E$11*12,'Calc'!$W$15,'Calc'!$Y$15))))</x:f>
      </x:c>
      <x:c r="AD338" t="str">
        <x:f>IF(Calc!$Y$338&gt;'Calc'!$B$8,"",'Calc'!$B$5-'财富模型'!$E$5-(IF('Calc'!$E$15=1,'财富模型'!$E$9,'财富模型'!$M$7+IF(Calc!$Y$338&lt;='财富模型'!$E$11*12,'Calc'!$W$15,'Calc'!$Y$15)-(IF('Calc'!$E$15=1,0,MIN(Calc!$AA$337*(1+'财富模型'!$E$20/12)+'Calc'!$B$6,IF(Calc!$Y$338&lt;='财富模型'!$E$11*12,'Calc'!$W$15,'Calc'!$Y$15)))))))</x:f>
      </x:c>
      <x:c r="AE338" t="str">
        <x:f>IF(Calc!$Y$338&gt;'Calc'!$B$8,"",IF('Calc'!$E$15=1,0,MAX(Calc!$AE$337*(1+IF(Calc!$Y$338&lt;='财富模型'!$E$11*12,'财富模型'!$E$10,'财富模型'!$E$12)/12)-IF('Calc'!$E$15=1,0,IF(Calc!$Y$338&lt;='财富模型'!$E$11*12,'Calc'!$W$15,'Calc'!$Y$15)),0)))</x:f>
      </x:c>
      <x:c r="AG338" t="n">
        <x:v>317</x:v>
      </x:c>
      <x:c r="AH338" t="str">
        <x:f>IF(Calc!$AG$338&gt;'Calc'!$B$8,"",MAX(Calc!$AH$337*(1+'财富模型'!$E$6/12)+('Calc'!$B$5-'财富模型'!$E$5-(IF('Calc'!$E$16=1,'财富模型'!$E$9,'财富模型'!$M$8+IF(Calc!$AG$338&lt;='财富模型'!$E$11*12,'Calc'!$W$16,'Calc'!$Y$16)-(IF('Calc'!$E$16=1,0,MIN(Calc!$AI$337*(1+'财富模型'!$E$20/12)+'Calc'!$B$6,IF(Calc!$AG$338&lt;='财富模型'!$E$11*12,'Calc'!$W$16,'Calc'!$Y$16))))))),0))</x:f>
      </x:c>
      <x:c r="AI338" t="str">
        <x:f>IF(Calc!$AG$338&gt;'Calc'!$B$8,"",MAX(Calc!$AI$337*(1+'财富模型'!$E$20/12)+'Calc'!$B$6-(IF('Calc'!$E$16=1,0,MIN(Calc!$AI$337*(1+'财富模型'!$E$20/12)+'Calc'!$B$6,IF(Calc!$AG$338&lt;='财富模型'!$E$11*12,'Calc'!$W$16,'Calc'!$Y$16)))),0))</x:f>
      </x:c>
      <x:c r="AJ338" t="str">
        <x:f>IF(Calc!$AG$338&gt;'Calc'!$B$8,"",IF('Calc'!$E$16=1,'财富模型'!$E$9,'财富模型'!$M$8+IF(Calc!$AG$338&lt;='财富模型'!$E$11*12,'Calc'!$W$16,'Calc'!$Y$16)-(IF('Calc'!$E$16=1,0,MIN(Calc!$AI$337*(1+'财富模型'!$E$20/12)+'Calc'!$B$6,IF(Calc!$AG$338&lt;='财富模型'!$E$11*12,'Calc'!$W$16,'Calc'!$Y$16))))))</x:f>
      </x:c>
      <x:c r="AK338" t="str">
        <x:f>IF(Calc!$AG$338&gt;'Calc'!$B$8,"",IF('Calc'!$E$16=1,0,MIN(Calc!$AI$337*(1+'财富模型'!$E$20/12)+'Calc'!$B$6,IF(Calc!$AG$338&lt;='财富模型'!$E$11*12,'Calc'!$W$16,'Calc'!$Y$16))))</x:f>
      </x:c>
      <x:c r="AL338" t="str">
        <x:f>IF(Calc!$AG$338&gt;'Calc'!$B$8,"",'Calc'!$B$5-'财富模型'!$E$5-(IF('Calc'!$E$16=1,'财富模型'!$E$9,'财富模型'!$M$8+IF(Calc!$AG$338&lt;='财富模型'!$E$11*12,'Calc'!$W$16,'Calc'!$Y$16)-(IF('Calc'!$E$16=1,0,MIN(Calc!$AI$337*(1+'财富模型'!$E$20/12)+'Calc'!$B$6,IF(Calc!$AG$338&lt;='财富模型'!$E$11*12,'Calc'!$W$16,'Calc'!$Y$16)))))))</x:f>
      </x:c>
      <x:c r="AM338" t="str">
        <x:f>IF(Calc!$AG$338&gt;'Calc'!$B$8,"",IF('Calc'!$E$16=1,0,MAX(Calc!$AM$337*(1+IF(Calc!$AG$338&lt;='财富模型'!$E$11*12,'财富模型'!$E$10,'财富模型'!$E$12)/12)-IF('Calc'!$E$16=1,0,IF(Calc!$AG$338&lt;='财富模型'!$E$11*12,'Calc'!$W$16,'Calc'!$Y$16)),0)))</x:f>
      </x:c>
      <x:c r="AO338" t="n">
        <x:v>317</x:v>
      </x:c>
      <x:c r="AP338" t="str">
        <x:f>IF(Calc!$AO$338&gt;'Calc'!$B$8,"",MAX(Calc!$AP$337*(1+'财富模型'!$E$6/12)+('Calc'!$B$5-'财富模型'!$E$5-(IF('Calc'!$E$17=1,'财富模型'!$E$9,'财富模型'!$M$9+IF(Calc!$AO$338&lt;='财富模型'!$E$11*12,'Calc'!$W$17,'Calc'!$Y$17)-(IF('Calc'!$E$17=1,0,MIN(Calc!$AQ$337*(1+'财富模型'!$E$20/12)+'Calc'!$B$6,IF(Calc!$AO$338&lt;='财富模型'!$E$11*12,'Calc'!$W$17,'Calc'!$Y$17))))))),0))</x:f>
      </x:c>
      <x:c r="AQ338" t="str">
        <x:f>IF(Calc!$AO$338&gt;'Calc'!$B$8,"",MAX(Calc!$AQ$337*(1+'财富模型'!$E$20/12)+'Calc'!$B$6-(IF('Calc'!$E$17=1,0,MIN(Calc!$AQ$337*(1+'财富模型'!$E$20/12)+'Calc'!$B$6,IF(Calc!$AO$338&lt;='财富模型'!$E$11*12,'Calc'!$W$17,'Calc'!$Y$17)))),0))</x:f>
      </x:c>
      <x:c r="AR338" t="str">
        <x:f>IF(Calc!$AO$338&gt;'Calc'!$B$8,"",IF('Calc'!$E$17=1,'财富模型'!$E$9,'财富模型'!$M$9+IF(Calc!$AO$338&lt;='财富模型'!$E$11*12,'Calc'!$W$17,'Calc'!$Y$17)-(IF('Calc'!$E$17=1,0,MIN(Calc!$AQ$337*(1+'财富模型'!$E$20/12)+'Calc'!$B$6,IF(Calc!$AO$338&lt;='财富模型'!$E$11*12,'Calc'!$W$17,'Calc'!$Y$17))))))</x:f>
      </x:c>
      <x:c r="AS338" t="str">
        <x:f>IF(Calc!$AO$338&gt;'Calc'!$B$8,"",IF('Calc'!$E$17=1,0,MIN(Calc!$AQ$337*(1+'财富模型'!$E$20/12)+'Calc'!$B$6,IF(Calc!$AO$338&lt;='财富模型'!$E$11*12,'Calc'!$W$17,'Calc'!$Y$17))))</x:f>
      </x:c>
      <x:c r="AT338" t="str">
        <x:f>IF(Calc!$AO$338&gt;'Calc'!$B$8,"",'Calc'!$B$5-'财富模型'!$E$5-(IF('Calc'!$E$17=1,'财富模型'!$E$9,'财富模型'!$M$9+IF(Calc!$AO$338&lt;='财富模型'!$E$11*12,'Calc'!$W$17,'Calc'!$Y$17)-(IF('Calc'!$E$17=1,0,MIN(Calc!$AQ$337*(1+'财富模型'!$E$20/12)+'Calc'!$B$6,IF(Calc!$AO$338&lt;='财富模型'!$E$11*12,'Calc'!$W$17,'Calc'!$Y$17)))))))</x:f>
      </x:c>
      <x:c r="AU338" t="str">
        <x:f>IF(Calc!$AO$338&gt;'Calc'!$B$8,"",IF('Calc'!$E$17=1,0,MAX(Calc!$AU$337*(1+IF(Calc!$AO$338&lt;='财富模型'!$E$11*12,'财富模型'!$E$10,'财富模型'!$E$12)/12)-IF('Calc'!$E$17=1,0,IF(Calc!$AO$338&lt;='财富模型'!$E$11*12,'Calc'!$W$17,'Calc'!$Y$17)),0)))</x:f>
      </x:c>
    </x:row>
    <x:row r="339">
      <x:c r="A339" t="n">
        <x:v>318</x:v>
      </x:c>
      <x:c r="B339" t="str">
        <x:f>IF(Calc!$A$339&gt;'Calc'!$B$8,"",MAX(Calc!$B$338*(1+'财富模型'!$E$6/12)+('Calc'!$B$5-'财富模型'!$E$5-(IF('Calc'!$E$12=1,'财富模型'!$E$9,'财富模型'!$M$4+IF(Calc!$A$339&lt;='财富模型'!$E$11*12,'Calc'!$W$12,'Calc'!$Y$12)-(IF('Calc'!$E$12=1,0,MIN(Calc!$C$338*(1+'财富模型'!$E$20/12)+'Calc'!$B$6,IF(Calc!$A$339&lt;='财富模型'!$E$11*12,'Calc'!$W$12,'Calc'!$Y$12))))))),0))</x:f>
      </x:c>
      <x:c r="C339" t="str">
        <x:f>IF(Calc!$A$339&gt;'Calc'!$B$8,"",MAX(Calc!$C$338*(1+'财富模型'!$E$20/12)+'Calc'!$B$6-(IF('Calc'!$E$12=1,0,MIN(Calc!$C$338*(1+'财富模型'!$E$20/12)+'Calc'!$B$6,IF(Calc!$A$339&lt;='财富模型'!$E$11*12,'Calc'!$W$12,'Calc'!$Y$12)))),0))</x:f>
      </x:c>
      <x:c r="D339" t="str">
        <x:f>IF(Calc!$A$339&gt;'Calc'!$B$8,"",IF('Calc'!$E$12=1,'财富模型'!$E$9,'财富模型'!$M$4+IF(Calc!$A$339&lt;='财富模型'!$E$11*12,'Calc'!$W$12,'Calc'!$Y$12)-(IF('Calc'!$E$12=1,0,MIN(Calc!$C$338*(1+'财富模型'!$E$20/12)+'Calc'!$B$6,IF(Calc!$A$339&lt;='财富模型'!$E$11*12,'Calc'!$W$12,'Calc'!$Y$12))))))</x:f>
      </x:c>
      <x:c r="E339" t="str">
        <x:f>IF(Calc!$A$339&gt;'Calc'!$B$8,"",IF('Calc'!$E$12=1,0,MIN(Calc!$C$338*(1+'财富模型'!$E$20/12)+'Calc'!$B$6,IF(Calc!$A$339&lt;='财富模型'!$E$11*12,'Calc'!$W$12,'Calc'!$Y$12))))</x:f>
      </x:c>
      <x:c r="F339" t="str">
        <x:f>IF(Calc!$A$339&gt;'Calc'!$B$8,"",'Calc'!$B$5-'财富模型'!$E$5-(IF('Calc'!$E$12=1,'财富模型'!$E$9,'财富模型'!$M$4+IF(Calc!$A$339&lt;='财富模型'!$E$11*12,'Calc'!$W$12,'Calc'!$Y$12)-(IF('Calc'!$E$12=1,0,MIN(Calc!$C$338*(1+'财富模型'!$E$20/12)+'Calc'!$B$6,IF(Calc!$A$339&lt;='财富模型'!$E$11*12,'Calc'!$W$12,'Calc'!$Y$12)))))))</x:f>
      </x:c>
      <x:c r="G339" t="str">
        <x:f>IF(Calc!$A$339&gt;'Calc'!$B$8,"",IF('Calc'!$E$12=1,0,MAX(Calc!$G$338*(1+IF(Calc!$A$339&lt;='财富模型'!$E$11*12,'财富模型'!$E$10,'财富模型'!$E$12)/12)-IF('Calc'!$E$12=1,0,IF(Calc!$A$339&lt;='财富模型'!$E$11*12,'Calc'!$W$12,'Calc'!$Y$12)),0)))</x:f>
      </x:c>
      <x:c r="I339" t="n">
        <x:v>318</x:v>
      </x:c>
      <x:c r="J339" t="str">
        <x:f>IF(Calc!$I$339&gt;'Calc'!$B$8,"",MAX(Calc!$J$338*(1+'财富模型'!$E$6/12)+('Calc'!$B$5-'财富模型'!$E$5-(IF('Calc'!$E$13=1,'财富模型'!$E$9,'财富模型'!$M$5+IF(Calc!$I$339&lt;='财富模型'!$E$11*12,'Calc'!$W$13,'Calc'!$Y$13)-(IF('Calc'!$E$13=1,0,MIN(Calc!$K$338*(1+'财富模型'!$E$20/12)+'Calc'!$B$6,IF(Calc!$I$339&lt;='财富模型'!$E$11*12,'Calc'!$W$13,'Calc'!$Y$13))))))),0))</x:f>
      </x:c>
      <x:c r="K339" t="str">
        <x:f>IF(Calc!$I$339&gt;'Calc'!$B$8,"",MAX(Calc!$K$338*(1+'财富模型'!$E$20/12)+'Calc'!$B$6-(IF('Calc'!$E$13=1,0,MIN(Calc!$K$338*(1+'财富模型'!$E$20/12)+'Calc'!$B$6,IF(Calc!$I$339&lt;='财富模型'!$E$11*12,'Calc'!$W$13,'Calc'!$Y$13)))),0))</x:f>
      </x:c>
      <x:c r="L339" t="str">
        <x:f>IF(Calc!$I$339&gt;'Calc'!$B$8,"",IF('Calc'!$E$13=1,'财富模型'!$E$9,'财富模型'!$M$5+IF(Calc!$I$339&lt;='财富模型'!$E$11*12,'Calc'!$W$13,'Calc'!$Y$13)-(IF('Calc'!$E$13=1,0,MIN(Calc!$K$338*(1+'财富模型'!$E$20/12)+'Calc'!$B$6,IF(Calc!$I$339&lt;='财富模型'!$E$11*12,'Calc'!$W$13,'Calc'!$Y$13))))))</x:f>
      </x:c>
      <x:c r="M339" t="str">
        <x:f>IF(Calc!$I$339&gt;'Calc'!$B$8,"",IF('Calc'!$E$13=1,0,MIN(Calc!$K$338*(1+'财富模型'!$E$20/12)+'Calc'!$B$6,IF(Calc!$I$339&lt;='财富模型'!$E$11*12,'Calc'!$W$13,'Calc'!$Y$13))))</x:f>
      </x:c>
      <x:c r="N339" t="str">
        <x:f>IF(Calc!$I$339&gt;'Calc'!$B$8,"",'Calc'!$B$5-'财富模型'!$E$5-(IF('Calc'!$E$13=1,'财富模型'!$E$9,'财富模型'!$M$5+IF(Calc!$I$339&lt;='财富模型'!$E$11*12,'Calc'!$W$13,'Calc'!$Y$13)-(IF('Calc'!$E$13=1,0,MIN(Calc!$K$338*(1+'财富模型'!$E$20/12)+'Calc'!$B$6,IF(Calc!$I$339&lt;='财富模型'!$E$11*12,'Calc'!$W$13,'Calc'!$Y$13)))))))</x:f>
      </x:c>
      <x:c r="O339" t="str">
        <x:f>IF(Calc!$I$339&gt;'Calc'!$B$8,"",IF('Calc'!$E$13=1,0,MAX(Calc!$O$338*(1+IF(Calc!$I$339&lt;='财富模型'!$E$11*12,'财富模型'!$E$10,'财富模型'!$E$12)/12)-IF('Calc'!$E$13=1,0,IF(Calc!$I$339&lt;='财富模型'!$E$11*12,'Calc'!$W$13,'Calc'!$Y$13)),0)))</x:f>
      </x:c>
      <x:c r="Q339" t="n">
        <x:v>318</x:v>
      </x:c>
      <x:c r="R339" t="str">
        <x:f>IF(Calc!$Q$339&gt;'Calc'!$B$8,"",MAX(Calc!$R$338*(1+'财富模型'!$E$6/12)+('Calc'!$B$5-'财富模型'!$E$5-(IF('Calc'!$E$14=1,'财富模型'!$E$9,'财富模型'!$M$6+IF(Calc!$Q$339&lt;='财富模型'!$E$11*12,'Calc'!$W$14,'Calc'!$Y$14)-(IF('Calc'!$E$14=1,0,MIN(Calc!$S$338*(1+'财富模型'!$E$20/12)+'Calc'!$B$6,IF(Calc!$Q$339&lt;='财富模型'!$E$11*12,'Calc'!$W$14,'Calc'!$Y$14))))))),0))</x:f>
      </x:c>
      <x:c r="S339" t="str">
        <x:f>IF(Calc!$Q$339&gt;'Calc'!$B$8,"",MAX(Calc!$S$338*(1+'财富模型'!$E$20/12)+'Calc'!$B$6-(IF('Calc'!$E$14=1,0,MIN(Calc!$S$338*(1+'财富模型'!$E$20/12)+'Calc'!$B$6,IF(Calc!$Q$339&lt;='财富模型'!$E$11*12,'Calc'!$W$14,'Calc'!$Y$14)))),0))</x:f>
      </x:c>
      <x:c r="T339" t="str">
        <x:f>IF(Calc!$Q$339&gt;'Calc'!$B$8,"",IF('Calc'!$E$14=1,'财富模型'!$E$9,'财富模型'!$M$6+IF(Calc!$Q$339&lt;='财富模型'!$E$11*12,'Calc'!$W$14,'Calc'!$Y$14)-(IF('Calc'!$E$14=1,0,MIN(Calc!$S$338*(1+'财富模型'!$E$20/12)+'Calc'!$B$6,IF(Calc!$Q$339&lt;='财富模型'!$E$11*12,'Calc'!$W$14,'Calc'!$Y$14))))))</x:f>
      </x:c>
      <x:c r="U339" t="str">
        <x:f>IF(Calc!$Q$339&gt;'Calc'!$B$8,"",IF('Calc'!$E$14=1,0,MIN(Calc!$S$338*(1+'财富模型'!$E$20/12)+'Calc'!$B$6,IF(Calc!$Q$339&lt;='财富模型'!$E$11*12,'Calc'!$W$14,'Calc'!$Y$14))))</x:f>
      </x:c>
      <x:c r="V339" t="str">
        <x:f>IF(Calc!$Q$339&gt;'Calc'!$B$8,"",'Calc'!$B$5-'财富模型'!$E$5-(IF('Calc'!$E$14=1,'财富模型'!$E$9,'财富模型'!$M$6+IF(Calc!$Q$339&lt;='财富模型'!$E$11*12,'Calc'!$W$14,'Calc'!$Y$14)-(IF('Calc'!$E$14=1,0,MIN(Calc!$S$338*(1+'财富模型'!$E$20/12)+'Calc'!$B$6,IF(Calc!$Q$339&lt;='财富模型'!$E$11*12,'Calc'!$W$14,'Calc'!$Y$14)))))))</x:f>
      </x:c>
      <x:c r="W339" t="str">
        <x:f>IF(Calc!$Q$339&gt;'Calc'!$B$8,"",IF('Calc'!$E$14=1,0,MAX(Calc!$W$338*(1+IF(Calc!$Q$339&lt;='财富模型'!$E$11*12,'财富模型'!$E$10,'财富模型'!$E$12)/12)-IF('Calc'!$E$14=1,0,IF(Calc!$Q$339&lt;='财富模型'!$E$11*12,'Calc'!$W$14,'Calc'!$Y$14)),0)))</x:f>
      </x:c>
      <x:c r="Y339" t="n">
        <x:v>318</x:v>
      </x:c>
      <x:c r="Z339" t="str">
        <x:f>IF(Calc!$Y$339&gt;'Calc'!$B$8,"",MAX(Calc!$Z$338*(1+'财富模型'!$E$6/12)+('Calc'!$B$5-'财富模型'!$E$5-(IF('Calc'!$E$15=1,'财富模型'!$E$9,'财富模型'!$M$7+IF(Calc!$Y$339&lt;='财富模型'!$E$11*12,'Calc'!$W$15,'Calc'!$Y$15)-(IF('Calc'!$E$15=1,0,MIN(Calc!$AA$338*(1+'财富模型'!$E$20/12)+'Calc'!$B$6,IF(Calc!$Y$339&lt;='财富模型'!$E$11*12,'Calc'!$W$15,'Calc'!$Y$15))))))),0))</x:f>
      </x:c>
      <x:c r="AA339" t="str">
        <x:f>IF(Calc!$Y$339&gt;'Calc'!$B$8,"",MAX(Calc!$AA$338*(1+'财富模型'!$E$20/12)+'Calc'!$B$6-(IF('Calc'!$E$15=1,0,MIN(Calc!$AA$338*(1+'财富模型'!$E$20/12)+'Calc'!$B$6,IF(Calc!$Y$339&lt;='财富模型'!$E$11*12,'Calc'!$W$15,'Calc'!$Y$15)))),0))</x:f>
      </x:c>
      <x:c r="AB339" t="str">
        <x:f>IF(Calc!$Y$339&gt;'Calc'!$B$8,"",IF('Calc'!$E$15=1,'财富模型'!$E$9,'财富模型'!$M$7+IF(Calc!$Y$339&lt;='财富模型'!$E$11*12,'Calc'!$W$15,'Calc'!$Y$15)-(IF('Calc'!$E$15=1,0,MIN(Calc!$AA$338*(1+'财富模型'!$E$20/12)+'Calc'!$B$6,IF(Calc!$Y$339&lt;='财富模型'!$E$11*12,'Calc'!$W$15,'Calc'!$Y$15))))))</x:f>
      </x:c>
      <x:c r="AC339" t="str">
        <x:f>IF(Calc!$Y$339&gt;'Calc'!$B$8,"",IF('Calc'!$E$15=1,0,MIN(Calc!$AA$338*(1+'财富模型'!$E$20/12)+'Calc'!$B$6,IF(Calc!$Y$339&lt;='财富模型'!$E$11*12,'Calc'!$W$15,'Calc'!$Y$15))))</x:f>
      </x:c>
      <x:c r="AD339" t="str">
        <x:f>IF(Calc!$Y$339&gt;'Calc'!$B$8,"",'Calc'!$B$5-'财富模型'!$E$5-(IF('Calc'!$E$15=1,'财富模型'!$E$9,'财富模型'!$M$7+IF(Calc!$Y$339&lt;='财富模型'!$E$11*12,'Calc'!$W$15,'Calc'!$Y$15)-(IF('Calc'!$E$15=1,0,MIN(Calc!$AA$338*(1+'财富模型'!$E$20/12)+'Calc'!$B$6,IF(Calc!$Y$339&lt;='财富模型'!$E$11*12,'Calc'!$W$15,'Calc'!$Y$15)))))))</x:f>
      </x:c>
      <x:c r="AE339" t="str">
        <x:f>IF(Calc!$Y$339&gt;'Calc'!$B$8,"",IF('Calc'!$E$15=1,0,MAX(Calc!$AE$338*(1+IF(Calc!$Y$339&lt;='财富模型'!$E$11*12,'财富模型'!$E$10,'财富模型'!$E$12)/12)-IF('Calc'!$E$15=1,0,IF(Calc!$Y$339&lt;='财富模型'!$E$11*12,'Calc'!$W$15,'Calc'!$Y$15)),0)))</x:f>
      </x:c>
      <x:c r="AG339" t="n">
        <x:v>318</x:v>
      </x:c>
      <x:c r="AH339" t="str">
        <x:f>IF(Calc!$AG$339&gt;'Calc'!$B$8,"",MAX(Calc!$AH$338*(1+'财富模型'!$E$6/12)+('Calc'!$B$5-'财富模型'!$E$5-(IF('Calc'!$E$16=1,'财富模型'!$E$9,'财富模型'!$M$8+IF(Calc!$AG$339&lt;='财富模型'!$E$11*12,'Calc'!$W$16,'Calc'!$Y$16)-(IF('Calc'!$E$16=1,0,MIN(Calc!$AI$338*(1+'财富模型'!$E$20/12)+'Calc'!$B$6,IF(Calc!$AG$339&lt;='财富模型'!$E$11*12,'Calc'!$W$16,'Calc'!$Y$16))))))),0))</x:f>
      </x:c>
      <x:c r="AI339" t="str">
        <x:f>IF(Calc!$AG$339&gt;'Calc'!$B$8,"",MAX(Calc!$AI$338*(1+'财富模型'!$E$20/12)+'Calc'!$B$6-(IF('Calc'!$E$16=1,0,MIN(Calc!$AI$338*(1+'财富模型'!$E$20/12)+'Calc'!$B$6,IF(Calc!$AG$339&lt;='财富模型'!$E$11*12,'Calc'!$W$16,'Calc'!$Y$16)))),0))</x:f>
      </x:c>
      <x:c r="AJ339" t="str">
        <x:f>IF(Calc!$AG$339&gt;'Calc'!$B$8,"",IF('Calc'!$E$16=1,'财富模型'!$E$9,'财富模型'!$M$8+IF(Calc!$AG$339&lt;='财富模型'!$E$11*12,'Calc'!$W$16,'Calc'!$Y$16)-(IF('Calc'!$E$16=1,0,MIN(Calc!$AI$338*(1+'财富模型'!$E$20/12)+'Calc'!$B$6,IF(Calc!$AG$339&lt;='财富模型'!$E$11*12,'Calc'!$W$16,'Calc'!$Y$16))))))</x:f>
      </x:c>
      <x:c r="AK339" t="str">
        <x:f>IF(Calc!$AG$339&gt;'Calc'!$B$8,"",IF('Calc'!$E$16=1,0,MIN(Calc!$AI$338*(1+'财富模型'!$E$20/12)+'Calc'!$B$6,IF(Calc!$AG$339&lt;='财富模型'!$E$11*12,'Calc'!$W$16,'Calc'!$Y$16))))</x:f>
      </x:c>
      <x:c r="AL339" t="str">
        <x:f>IF(Calc!$AG$339&gt;'Calc'!$B$8,"",'Calc'!$B$5-'财富模型'!$E$5-(IF('Calc'!$E$16=1,'财富模型'!$E$9,'财富模型'!$M$8+IF(Calc!$AG$339&lt;='财富模型'!$E$11*12,'Calc'!$W$16,'Calc'!$Y$16)-(IF('Calc'!$E$16=1,0,MIN(Calc!$AI$338*(1+'财富模型'!$E$20/12)+'Calc'!$B$6,IF(Calc!$AG$339&lt;='财富模型'!$E$11*12,'Calc'!$W$16,'Calc'!$Y$16)))))))</x:f>
      </x:c>
      <x:c r="AM339" t="str">
        <x:f>IF(Calc!$AG$339&gt;'Calc'!$B$8,"",IF('Calc'!$E$16=1,0,MAX(Calc!$AM$338*(1+IF(Calc!$AG$339&lt;='财富模型'!$E$11*12,'财富模型'!$E$10,'财富模型'!$E$12)/12)-IF('Calc'!$E$16=1,0,IF(Calc!$AG$339&lt;='财富模型'!$E$11*12,'Calc'!$W$16,'Calc'!$Y$16)),0)))</x:f>
      </x:c>
      <x:c r="AO339" t="n">
        <x:v>318</x:v>
      </x:c>
      <x:c r="AP339" t="str">
        <x:f>IF(Calc!$AO$339&gt;'Calc'!$B$8,"",MAX(Calc!$AP$338*(1+'财富模型'!$E$6/12)+('Calc'!$B$5-'财富模型'!$E$5-(IF('Calc'!$E$17=1,'财富模型'!$E$9,'财富模型'!$M$9+IF(Calc!$AO$339&lt;='财富模型'!$E$11*12,'Calc'!$W$17,'Calc'!$Y$17)-(IF('Calc'!$E$17=1,0,MIN(Calc!$AQ$338*(1+'财富模型'!$E$20/12)+'Calc'!$B$6,IF(Calc!$AO$339&lt;='财富模型'!$E$11*12,'Calc'!$W$17,'Calc'!$Y$17))))))),0))</x:f>
      </x:c>
      <x:c r="AQ339" t="str">
        <x:f>IF(Calc!$AO$339&gt;'Calc'!$B$8,"",MAX(Calc!$AQ$338*(1+'财富模型'!$E$20/12)+'Calc'!$B$6-(IF('Calc'!$E$17=1,0,MIN(Calc!$AQ$338*(1+'财富模型'!$E$20/12)+'Calc'!$B$6,IF(Calc!$AO$339&lt;='财富模型'!$E$11*12,'Calc'!$W$17,'Calc'!$Y$17)))),0))</x:f>
      </x:c>
      <x:c r="AR339" t="str">
        <x:f>IF(Calc!$AO$339&gt;'Calc'!$B$8,"",IF('Calc'!$E$17=1,'财富模型'!$E$9,'财富模型'!$M$9+IF(Calc!$AO$339&lt;='财富模型'!$E$11*12,'Calc'!$W$17,'Calc'!$Y$17)-(IF('Calc'!$E$17=1,0,MIN(Calc!$AQ$338*(1+'财富模型'!$E$20/12)+'Calc'!$B$6,IF(Calc!$AO$339&lt;='财富模型'!$E$11*12,'Calc'!$W$17,'Calc'!$Y$17))))))</x:f>
      </x:c>
      <x:c r="AS339" t="str">
        <x:f>IF(Calc!$AO$339&gt;'Calc'!$B$8,"",IF('Calc'!$E$17=1,0,MIN(Calc!$AQ$338*(1+'财富模型'!$E$20/12)+'Calc'!$B$6,IF(Calc!$AO$339&lt;='财富模型'!$E$11*12,'Calc'!$W$17,'Calc'!$Y$17))))</x:f>
      </x:c>
      <x:c r="AT339" t="str">
        <x:f>IF(Calc!$AO$339&gt;'Calc'!$B$8,"",'Calc'!$B$5-'财富模型'!$E$5-(IF('Calc'!$E$17=1,'财富模型'!$E$9,'财富模型'!$M$9+IF(Calc!$AO$339&lt;='财富模型'!$E$11*12,'Calc'!$W$17,'Calc'!$Y$17)-(IF('Calc'!$E$17=1,0,MIN(Calc!$AQ$338*(1+'财富模型'!$E$20/12)+'Calc'!$B$6,IF(Calc!$AO$339&lt;='财富模型'!$E$11*12,'Calc'!$W$17,'Calc'!$Y$17)))))))</x:f>
      </x:c>
      <x:c r="AU339" t="str">
        <x:f>IF(Calc!$AO$339&gt;'Calc'!$B$8,"",IF('Calc'!$E$17=1,0,MAX(Calc!$AU$338*(1+IF(Calc!$AO$339&lt;='财富模型'!$E$11*12,'财富模型'!$E$10,'财富模型'!$E$12)/12)-IF('Calc'!$E$17=1,0,IF(Calc!$AO$339&lt;='财富模型'!$E$11*12,'Calc'!$W$17,'Calc'!$Y$17)),0)))</x:f>
      </x:c>
    </x:row>
    <x:row r="340">
      <x:c r="A340" t="n">
        <x:v>319</x:v>
      </x:c>
      <x:c r="B340" t="str">
        <x:f>IF(Calc!$A$340&gt;'Calc'!$B$8,"",MAX(Calc!$B$339*(1+'财富模型'!$E$6/12)+('Calc'!$B$5-'财富模型'!$E$5-(IF('Calc'!$E$12=1,'财富模型'!$E$9,'财富模型'!$M$4+IF(Calc!$A$340&lt;='财富模型'!$E$11*12,'Calc'!$W$12,'Calc'!$Y$12)-(IF('Calc'!$E$12=1,0,MIN(Calc!$C$339*(1+'财富模型'!$E$20/12)+'Calc'!$B$6,IF(Calc!$A$340&lt;='财富模型'!$E$11*12,'Calc'!$W$12,'Calc'!$Y$12))))))),0))</x:f>
      </x:c>
      <x:c r="C340" t="str">
        <x:f>IF(Calc!$A$340&gt;'Calc'!$B$8,"",MAX(Calc!$C$339*(1+'财富模型'!$E$20/12)+'Calc'!$B$6-(IF('Calc'!$E$12=1,0,MIN(Calc!$C$339*(1+'财富模型'!$E$20/12)+'Calc'!$B$6,IF(Calc!$A$340&lt;='财富模型'!$E$11*12,'Calc'!$W$12,'Calc'!$Y$12)))),0))</x:f>
      </x:c>
      <x:c r="D340" t="str">
        <x:f>IF(Calc!$A$340&gt;'Calc'!$B$8,"",IF('Calc'!$E$12=1,'财富模型'!$E$9,'财富模型'!$M$4+IF(Calc!$A$340&lt;='财富模型'!$E$11*12,'Calc'!$W$12,'Calc'!$Y$12)-(IF('Calc'!$E$12=1,0,MIN(Calc!$C$339*(1+'财富模型'!$E$20/12)+'Calc'!$B$6,IF(Calc!$A$340&lt;='财富模型'!$E$11*12,'Calc'!$W$12,'Calc'!$Y$12))))))</x:f>
      </x:c>
      <x:c r="E340" t="str">
        <x:f>IF(Calc!$A$340&gt;'Calc'!$B$8,"",IF('Calc'!$E$12=1,0,MIN(Calc!$C$339*(1+'财富模型'!$E$20/12)+'Calc'!$B$6,IF(Calc!$A$340&lt;='财富模型'!$E$11*12,'Calc'!$W$12,'Calc'!$Y$12))))</x:f>
      </x:c>
      <x:c r="F340" t="str">
        <x:f>IF(Calc!$A$340&gt;'Calc'!$B$8,"",'Calc'!$B$5-'财富模型'!$E$5-(IF('Calc'!$E$12=1,'财富模型'!$E$9,'财富模型'!$M$4+IF(Calc!$A$340&lt;='财富模型'!$E$11*12,'Calc'!$W$12,'Calc'!$Y$12)-(IF('Calc'!$E$12=1,0,MIN(Calc!$C$339*(1+'财富模型'!$E$20/12)+'Calc'!$B$6,IF(Calc!$A$340&lt;='财富模型'!$E$11*12,'Calc'!$W$12,'Calc'!$Y$12)))))))</x:f>
      </x:c>
      <x:c r="G340" t="str">
        <x:f>IF(Calc!$A$340&gt;'Calc'!$B$8,"",IF('Calc'!$E$12=1,0,MAX(Calc!$G$339*(1+IF(Calc!$A$340&lt;='财富模型'!$E$11*12,'财富模型'!$E$10,'财富模型'!$E$12)/12)-IF('Calc'!$E$12=1,0,IF(Calc!$A$340&lt;='财富模型'!$E$11*12,'Calc'!$W$12,'Calc'!$Y$12)),0)))</x:f>
      </x:c>
      <x:c r="I340" t="n">
        <x:v>319</x:v>
      </x:c>
      <x:c r="J340" t="str">
        <x:f>IF(Calc!$I$340&gt;'Calc'!$B$8,"",MAX(Calc!$J$339*(1+'财富模型'!$E$6/12)+('Calc'!$B$5-'财富模型'!$E$5-(IF('Calc'!$E$13=1,'财富模型'!$E$9,'财富模型'!$M$5+IF(Calc!$I$340&lt;='财富模型'!$E$11*12,'Calc'!$W$13,'Calc'!$Y$13)-(IF('Calc'!$E$13=1,0,MIN(Calc!$K$339*(1+'财富模型'!$E$20/12)+'Calc'!$B$6,IF(Calc!$I$340&lt;='财富模型'!$E$11*12,'Calc'!$W$13,'Calc'!$Y$13))))))),0))</x:f>
      </x:c>
      <x:c r="K340" t="str">
        <x:f>IF(Calc!$I$340&gt;'Calc'!$B$8,"",MAX(Calc!$K$339*(1+'财富模型'!$E$20/12)+'Calc'!$B$6-(IF('Calc'!$E$13=1,0,MIN(Calc!$K$339*(1+'财富模型'!$E$20/12)+'Calc'!$B$6,IF(Calc!$I$340&lt;='财富模型'!$E$11*12,'Calc'!$W$13,'Calc'!$Y$13)))),0))</x:f>
      </x:c>
      <x:c r="L340" t="str">
        <x:f>IF(Calc!$I$340&gt;'Calc'!$B$8,"",IF('Calc'!$E$13=1,'财富模型'!$E$9,'财富模型'!$M$5+IF(Calc!$I$340&lt;='财富模型'!$E$11*12,'Calc'!$W$13,'Calc'!$Y$13)-(IF('Calc'!$E$13=1,0,MIN(Calc!$K$339*(1+'财富模型'!$E$20/12)+'Calc'!$B$6,IF(Calc!$I$340&lt;='财富模型'!$E$11*12,'Calc'!$W$13,'Calc'!$Y$13))))))</x:f>
      </x:c>
      <x:c r="M340" t="str">
        <x:f>IF(Calc!$I$340&gt;'Calc'!$B$8,"",IF('Calc'!$E$13=1,0,MIN(Calc!$K$339*(1+'财富模型'!$E$20/12)+'Calc'!$B$6,IF(Calc!$I$340&lt;='财富模型'!$E$11*12,'Calc'!$W$13,'Calc'!$Y$13))))</x:f>
      </x:c>
      <x:c r="N340" t="str">
        <x:f>IF(Calc!$I$340&gt;'Calc'!$B$8,"",'Calc'!$B$5-'财富模型'!$E$5-(IF('Calc'!$E$13=1,'财富模型'!$E$9,'财富模型'!$M$5+IF(Calc!$I$340&lt;='财富模型'!$E$11*12,'Calc'!$W$13,'Calc'!$Y$13)-(IF('Calc'!$E$13=1,0,MIN(Calc!$K$339*(1+'财富模型'!$E$20/12)+'Calc'!$B$6,IF(Calc!$I$340&lt;='财富模型'!$E$11*12,'Calc'!$W$13,'Calc'!$Y$13)))))))</x:f>
      </x:c>
      <x:c r="O340" t="str">
        <x:f>IF(Calc!$I$340&gt;'Calc'!$B$8,"",IF('Calc'!$E$13=1,0,MAX(Calc!$O$339*(1+IF(Calc!$I$340&lt;='财富模型'!$E$11*12,'财富模型'!$E$10,'财富模型'!$E$12)/12)-IF('Calc'!$E$13=1,0,IF(Calc!$I$340&lt;='财富模型'!$E$11*12,'Calc'!$W$13,'Calc'!$Y$13)),0)))</x:f>
      </x:c>
      <x:c r="Q340" t="n">
        <x:v>319</x:v>
      </x:c>
      <x:c r="R340" t="str">
        <x:f>IF(Calc!$Q$340&gt;'Calc'!$B$8,"",MAX(Calc!$R$339*(1+'财富模型'!$E$6/12)+('Calc'!$B$5-'财富模型'!$E$5-(IF('Calc'!$E$14=1,'财富模型'!$E$9,'财富模型'!$M$6+IF(Calc!$Q$340&lt;='财富模型'!$E$11*12,'Calc'!$W$14,'Calc'!$Y$14)-(IF('Calc'!$E$14=1,0,MIN(Calc!$S$339*(1+'财富模型'!$E$20/12)+'Calc'!$B$6,IF(Calc!$Q$340&lt;='财富模型'!$E$11*12,'Calc'!$W$14,'Calc'!$Y$14))))))),0))</x:f>
      </x:c>
      <x:c r="S340" t="str">
        <x:f>IF(Calc!$Q$340&gt;'Calc'!$B$8,"",MAX(Calc!$S$339*(1+'财富模型'!$E$20/12)+'Calc'!$B$6-(IF('Calc'!$E$14=1,0,MIN(Calc!$S$339*(1+'财富模型'!$E$20/12)+'Calc'!$B$6,IF(Calc!$Q$340&lt;='财富模型'!$E$11*12,'Calc'!$W$14,'Calc'!$Y$14)))),0))</x:f>
      </x:c>
      <x:c r="T340" t="str">
        <x:f>IF(Calc!$Q$340&gt;'Calc'!$B$8,"",IF('Calc'!$E$14=1,'财富模型'!$E$9,'财富模型'!$M$6+IF(Calc!$Q$340&lt;='财富模型'!$E$11*12,'Calc'!$W$14,'Calc'!$Y$14)-(IF('Calc'!$E$14=1,0,MIN(Calc!$S$339*(1+'财富模型'!$E$20/12)+'Calc'!$B$6,IF(Calc!$Q$340&lt;='财富模型'!$E$11*12,'Calc'!$W$14,'Calc'!$Y$14))))))</x:f>
      </x:c>
      <x:c r="U340" t="str">
        <x:f>IF(Calc!$Q$340&gt;'Calc'!$B$8,"",IF('Calc'!$E$14=1,0,MIN(Calc!$S$339*(1+'财富模型'!$E$20/12)+'Calc'!$B$6,IF(Calc!$Q$340&lt;='财富模型'!$E$11*12,'Calc'!$W$14,'Calc'!$Y$14))))</x:f>
      </x:c>
      <x:c r="V340" t="str">
        <x:f>IF(Calc!$Q$340&gt;'Calc'!$B$8,"",'Calc'!$B$5-'财富模型'!$E$5-(IF('Calc'!$E$14=1,'财富模型'!$E$9,'财富模型'!$M$6+IF(Calc!$Q$340&lt;='财富模型'!$E$11*12,'Calc'!$W$14,'Calc'!$Y$14)-(IF('Calc'!$E$14=1,0,MIN(Calc!$S$339*(1+'财富模型'!$E$20/12)+'Calc'!$B$6,IF(Calc!$Q$340&lt;='财富模型'!$E$11*12,'Calc'!$W$14,'Calc'!$Y$14)))))))</x:f>
      </x:c>
      <x:c r="W340" t="str">
        <x:f>IF(Calc!$Q$340&gt;'Calc'!$B$8,"",IF('Calc'!$E$14=1,0,MAX(Calc!$W$339*(1+IF(Calc!$Q$340&lt;='财富模型'!$E$11*12,'财富模型'!$E$10,'财富模型'!$E$12)/12)-IF('Calc'!$E$14=1,0,IF(Calc!$Q$340&lt;='财富模型'!$E$11*12,'Calc'!$W$14,'Calc'!$Y$14)),0)))</x:f>
      </x:c>
      <x:c r="Y340" t="n">
        <x:v>319</x:v>
      </x:c>
      <x:c r="Z340" t="str">
        <x:f>IF(Calc!$Y$340&gt;'Calc'!$B$8,"",MAX(Calc!$Z$339*(1+'财富模型'!$E$6/12)+('Calc'!$B$5-'财富模型'!$E$5-(IF('Calc'!$E$15=1,'财富模型'!$E$9,'财富模型'!$M$7+IF(Calc!$Y$340&lt;='财富模型'!$E$11*12,'Calc'!$W$15,'Calc'!$Y$15)-(IF('Calc'!$E$15=1,0,MIN(Calc!$AA$339*(1+'财富模型'!$E$20/12)+'Calc'!$B$6,IF(Calc!$Y$340&lt;='财富模型'!$E$11*12,'Calc'!$W$15,'Calc'!$Y$15))))))),0))</x:f>
      </x:c>
      <x:c r="AA340" t="str">
        <x:f>IF(Calc!$Y$340&gt;'Calc'!$B$8,"",MAX(Calc!$AA$339*(1+'财富模型'!$E$20/12)+'Calc'!$B$6-(IF('Calc'!$E$15=1,0,MIN(Calc!$AA$339*(1+'财富模型'!$E$20/12)+'Calc'!$B$6,IF(Calc!$Y$340&lt;='财富模型'!$E$11*12,'Calc'!$W$15,'Calc'!$Y$15)))),0))</x:f>
      </x:c>
      <x:c r="AB340" t="str">
        <x:f>IF(Calc!$Y$340&gt;'Calc'!$B$8,"",IF('Calc'!$E$15=1,'财富模型'!$E$9,'财富模型'!$M$7+IF(Calc!$Y$340&lt;='财富模型'!$E$11*12,'Calc'!$W$15,'Calc'!$Y$15)-(IF('Calc'!$E$15=1,0,MIN(Calc!$AA$339*(1+'财富模型'!$E$20/12)+'Calc'!$B$6,IF(Calc!$Y$340&lt;='财富模型'!$E$11*12,'Calc'!$W$15,'Calc'!$Y$15))))))</x:f>
      </x:c>
      <x:c r="AC340" t="str">
        <x:f>IF(Calc!$Y$340&gt;'Calc'!$B$8,"",IF('Calc'!$E$15=1,0,MIN(Calc!$AA$339*(1+'财富模型'!$E$20/12)+'Calc'!$B$6,IF(Calc!$Y$340&lt;='财富模型'!$E$11*12,'Calc'!$W$15,'Calc'!$Y$15))))</x:f>
      </x:c>
      <x:c r="AD340" t="str">
        <x:f>IF(Calc!$Y$340&gt;'Calc'!$B$8,"",'Calc'!$B$5-'财富模型'!$E$5-(IF('Calc'!$E$15=1,'财富模型'!$E$9,'财富模型'!$M$7+IF(Calc!$Y$340&lt;='财富模型'!$E$11*12,'Calc'!$W$15,'Calc'!$Y$15)-(IF('Calc'!$E$15=1,0,MIN(Calc!$AA$339*(1+'财富模型'!$E$20/12)+'Calc'!$B$6,IF(Calc!$Y$340&lt;='财富模型'!$E$11*12,'Calc'!$W$15,'Calc'!$Y$15)))))))</x:f>
      </x:c>
      <x:c r="AE340" t="str">
        <x:f>IF(Calc!$Y$340&gt;'Calc'!$B$8,"",IF('Calc'!$E$15=1,0,MAX(Calc!$AE$339*(1+IF(Calc!$Y$340&lt;='财富模型'!$E$11*12,'财富模型'!$E$10,'财富模型'!$E$12)/12)-IF('Calc'!$E$15=1,0,IF(Calc!$Y$340&lt;='财富模型'!$E$11*12,'Calc'!$W$15,'Calc'!$Y$15)),0)))</x:f>
      </x:c>
      <x:c r="AG340" t="n">
        <x:v>319</x:v>
      </x:c>
      <x:c r="AH340" t="str">
        <x:f>IF(Calc!$AG$340&gt;'Calc'!$B$8,"",MAX(Calc!$AH$339*(1+'财富模型'!$E$6/12)+('Calc'!$B$5-'财富模型'!$E$5-(IF('Calc'!$E$16=1,'财富模型'!$E$9,'财富模型'!$M$8+IF(Calc!$AG$340&lt;='财富模型'!$E$11*12,'Calc'!$W$16,'Calc'!$Y$16)-(IF('Calc'!$E$16=1,0,MIN(Calc!$AI$339*(1+'财富模型'!$E$20/12)+'Calc'!$B$6,IF(Calc!$AG$340&lt;='财富模型'!$E$11*12,'Calc'!$W$16,'Calc'!$Y$16))))))),0))</x:f>
      </x:c>
      <x:c r="AI340" t="str">
        <x:f>IF(Calc!$AG$340&gt;'Calc'!$B$8,"",MAX(Calc!$AI$339*(1+'财富模型'!$E$20/12)+'Calc'!$B$6-(IF('Calc'!$E$16=1,0,MIN(Calc!$AI$339*(1+'财富模型'!$E$20/12)+'Calc'!$B$6,IF(Calc!$AG$340&lt;='财富模型'!$E$11*12,'Calc'!$W$16,'Calc'!$Y$16)))),0))</x:f>
      </x:c>
      <x:c r="AJ340" t="str">
        <x:f>IF(Calc!$AG$340&gt;'Calc'!$B$8,"",IF('Calc'!$E$16=1,'财富模型'!$E$9,'财富模型'!$M$8+IF(Calc!$AG$340&lt;='财富模型'!$E$11*12,'Calc'!$W$16,'Calc'!$Y$16)-(IF('Calc'!$E$16=1,0,MIN(Calc!$AI$339*(1+'财富模型'!$E$20/12)+'Calc'!$B$6,IF(Calc!$AG$340&lt;='财富模型'!$E$11*12,'Calc'!$W$16,'Calc'!$Y$16))))))</x:f>
      </x:c>
      <x:c r="AK340" t="str">
        <x:f>IF(Calc!$AG$340&gt;'Calc'!$B$8,"",IF('Calc'!$E$16=1,0,MIN(Calc!$AI$339*(1+'财富模型'!$E$20/12)+'Calc'!$B$6,IF(Calc!$AG$340&lt;='财富模型'!$E$11*12,'Calc'!$W$16,'Calc'!$Y$16))))</x:f>
      </x:c>
      <x:c r="AL340" t="str">
        <x:f>IF(Calc!$AG$340&gt;'Calc'!$B$8,"",'Calc'!$B$5-'财富模型'!$E$5-(IF('Calc'!$E$16=1,'财富模型'!$E$9,'财富模型'!$M$8+IF(Calc!$AG$340&lt;='财富模型'!$E$11*12,'Calc'!$W$16,'Calc'!$Y$16)-(IF('Calc'!$E$16=1,0,MIN(Calc!$AI$339*(1+'财富模型'!$E$20/12)+'Calc'!$B$6,IF(Calc!$AG$340&lt;='财富模型'!$E$11*12,'Calc'!$W$16,'Calc'!$Y$16)))))))</x:f>
      </x:c>
      <x:c r="AM340" t="str">
        <x:f>IF(Calc!$AG$340&gt;'Calc'!$B$8,"",IF('Calc'!$E$16=1,0,MAX(Calc!$AM$339*(1+IF(Calc!$AG$340&lt;='财富模型'!$E$11*12,'财富模型'!$E$10,'财富模型'!$E$12)/12)-IF('Calc'!$E$16=1,0,IF(Calc!$AG$340&lt;='财富模型'!$E$11*12,'Calc'!$W$16,'Calc'!$Y$16)),0)))</x:f>
      </x:c>
      <x:c r="AO340" t="n">
        <x:v>319</x:v>
      </x:c>
      <x:c r="AP340" t="str">
        <x:f>IF(Calc!$AO$340&gt;'Calc'!$B$8,"",MAX(Calc!$AP$339*(1+'财富模型'!$E$6/12)+('Calc'!$B$5-'财富模型'!$E$5-(IF('Calc'!$E$17=1,'财富模型'!$E$9,'财富模型'!$M$9+IF(Calc!$AO$340&lt;='财富模型'!$E$11*12,'Calc'!$W$17,'Calc'!$Y$17)-(IF('Calc'!$E$17=1,0,MIN(Calc!$AQ$339*(1+'财富模型'!$E$20/12)+'Calc'!$B$6,IF(Calc!$AO$340&lt;='财富模型'!$E$11*12,'Calc'!$W$17,'Calc'!$Y$17))))))),0))</x:f>
      </x:c>
      <x:c r="AQ340" t="str">
        <x:f>IF(Calc!$AO$340&gt;'Calc'!$B$8,"",MAX(Calc!$AQ$339*(1+'财富模型'!$E$20/12)+'Calc'!$B$6-(IF('Calc'!$E$17=1,0,MIN(Calc!$AQ$339*(1+'财富模型'!$E$20/12)+'Calc'!$B$6,IF(Calc!$AO$340&lt;='财富模型'!$E$11*12,'Calc'!$W$17,'Calc'!$Y$17)))),0))</x:f>
      </x:c>
      <x:c r="AR340" t="str">
        <x:f>IF(Calc!$AO$340&gt;'Calc'!$B$8,"",IF('Calc'!$E$17=1,'财富模型'!$E$9,'财富模型'!$M$9+IF(Calc!$AO$340&lt;='财富模型'!$E$11*12,'Calc'!$W$17,'Calc'!$Y$17)-(IF('Calc'!$E$17=1,0,MIN(Calc!$AQ$339*(1+'财富模型'!$E$20/12)+'Calc'!$B$6,IF(Calc!$AO$340&lt;='财富模型'!$E$11*12,'Calc'!$W$17,'Calc'!$Y$17))))))</x:f>
      </x:c>
      <x:c r="AS340" t="str">
        <x:f>IF(Calc!$AO$340&gt;'Calc'!$B$8,"",IF('Calc'!$E$17=1,0,MIN(Calc!$AQ$339*(1+'财富模型'!$E$20/12)+'Calc'!$B$6,IF(Calc!$AO$340&lt;='财富模型'!$E$11*12,'Calc'!$W$17,'Calc'!$Y$17))))</x:f>
      </x:c>
      <x:c r="AT340" t="str">
        <x:f>IF(Calc!$AO$340&gt;'Calc'!$B$8,"",'Calc'!$B$5-'财富模型'!$E$5-(IF('Calc'!$E$17=1,'财富模型'!$E$9,'财富模型'!$M$9+IF(Calc!$AO$340&lt;='财富模型'!$E$11*12,'Calc'!$W$17,'Calc'!$Y$17)-(IF('Calc'!$E$17=1,0,MIN(Calc!$AQ$339*(1+'财富模型'!$E$20/12)+'Calc'!$B$6,IF(Calc!$AO$340&lt;='财富模型'!$E$11*12,'Calc'!$W$17,'Calc'!$Y$17)))))))</x:f>
      </x:c>
      <x:c r="AU340" t="str">
        <x:f>IF(Calc!$AO$340&gt;'Calc'!$B$8,"",IF('Calc'!$E$17=1,0,MAX(Calc!$AU$339*(1+IF(Calc!$AO$340&lt;='财富模型'!$E$11*12,'财富模型'!$E$10,'财富模型'!$E$12)/12)-IF('Calc'!$E$17=1,0,IF(Calc!$AO$340&lt;='财富模型'!$E$11*12,'Calc'!$W$17,'Calc'!$Y$17)),0)))</x:f>
      </x:c>
    </x:row>
    <x:row r="341">
      <x:c r="A341" t="n">
        <x:v>320</x:v>
      </x:c>
      <x:c r="B341" t="str">
        <x:f>IF(Calc!$A$341&gt;'Calc'!$B$8,"",MAX(Calc!$B$340*(1+'财富模型'!$E$6/12)+('Calc'!$B$5-'财富模型'!$E$5-(IF('Calc'!$E$12=1,'财富模型'!$E$9,'财富模型'!$M$4+IF(Calc!$A$341&lt;='财富模型'!$E$11*12,'Calc'!$W$12,'Calc'!$Y$12)-(IF('Calc'!$E$12=1,0,MIN(Calc!$C$340*(1+'财富模型'!$E$20/12)+'Calc'!$B$6,IF(Calc!$A$341&lt;='财富模型'!$E$11*12,'Calc'!$W$12,'Calc'!$Y$12))))))),0))</x:f>
      </x:c>
      <x:c r="C341" t="str">
        <x:f>IF(Calc!$A$341&gt;'Calc'!$B$8,"",MAX(Calc!$C$340*(1+'财富模型'!$E$20/12)+'Calc'!$B$6-(IF('Calc'!$E$12=1,0,MIN(Calc!$C$340*(1+'财富模型'!$E$20/12)+'Calc'!$B$6,IF(Calc!$A$341&lt;='财富模型'!$E$11*12,'Calc'!$W$12,'Calc'!$Y$12)))),0))</x:f>
      </x:c>
      <x:c r="D341" t="str">
        <x:f>IF(Calc!$A$341&gt;'Calc'!$B$8,"",IF('Calc'!$E$12=1,'财富模型'!$E$9,'财富模型'!$M$4+IF(Calc!$A$341&lt;='财富模型'!$E$11*12,'Calc'!$W$12,'Calc'!$Y$12)-(IF('Calc'!$E$12=1,0,MIN(Calc!$C$340*(1+'财富模型'!$E$20/12)+'Calc'!$B$6,IF(Calc!$A$341&lt;='财富模型'!$E$11*12,'Calc'!$W$12,'Calc'!$Y$12))))))</x:f>
      </x:c>
      <x:c r="E341" t="str">
        <x:f>IF(Calc!$A$341&gt;'Calc'!$B$8,"",IF('Calc'!$E$12=1,0,MIN(Calc!$C$340*(1+'财富模型'!$E$20/12)+'Calc'!$B$6,IF(Calc!$A$341&lt;='财富模型'!$E$11*12,'Calc'!$W$12,'Calc'!$Y$12))))</x:f>
      </x:c>
      <x:c r="F341" t="str">
        <x:f>IF(Calc!$A$341&gt;'Calc'!$B$8,"",'Calc'!$B$5-'财富模型'!$E$5-(IF('Calc'!$E$12=1,'财富模型'!$E$9,'财富模型'!$M$4+IF(Calc!$A$341&lt;='财富模型'!$E$11*12,'Calc'!$W$12,'Calc'!$Y$12)-(IF('Calc'!$E$12=1,0,MIN(Calc!$C$340*(1+'财富模型'!$E$20/12)+'Calc'!$B$6,IF(Calc!$A$341&lt;='财富模型'!$E$11*12,'Calc'!$W$12,'Calc'!$Y$12)))))))</x:f>
      </x:c>
      <x:c r="G341" t="str">
        <x:f>IF(Calc!$A$341&gt;'Calc'!$B$8,"",IF('Calc'!$E$12=1,0,MAX(Calc!$G$340*(1+IF(Calc!$A$341&lt;='财富模型'!$E$11*12,'财富模型'!$E$10,'财富模型'!$E$12)/12)-IF('Calc'!$E$12=1,0,IF(Calc!$A$341&lt;='财富模型'!$E$11*12,'Calc'!$W$12,'Calc'!$Y$12)),0)))</x:f>
      </x:c>
      <x:c r="I341" t="n">
        <x:v>320</x:v>
      </x:c>
      <x:c r="J341" t="str">
        <x:f>IF(Calc!$I$341&gt;'Calc'!$B$8,"",MAX(Calc!$J$340*(1+'财富模型'!$E$6/12)+('Calc'!$B$5-'财富模型'!$E$5-(IF('Calc'!$E$13=1,'财富模型'!$E$9,'财富模型'!$M$5+IF(Calc!$I$341&lt;='财富模型'!$E$11*12,'Calc'!$W$13,'Calc'!$Y$13)-(IF('Calc'!$E$13=1,0,MIN(Calc!$K$340*(1+'财富模型'!$E$20/12)+'Calc'!$B$6,IF(Calc!$I$341&lt;='财富模型'!$E$11*12,'Calc'!$W$13,'Calc'!$Y$13))))))),0))</x:f>
      </x:c>
      <x:c r="K341" t="str">
        <x:f>IF(Calc!$I$341&gt;'Calc'!$B$8,"",MAX(Calc!$K$340*(1+'财富模型'!$E$20/12)+'Calc'!$B$6-(IF('Calc'!$E$13=1,0,MIN(Calc!$K$340*(1+'财富模型'!$E$20/12)+'Calc'!$B$6,IF(Calc!$I$341&lt;='财富模型'!$E$11*12,'Calc'!$W$13,'Calc'!$Y$13)))),0))</x:f>
      </x:c>
      <x:c r="L341" t="str">
        <x:f>IF(Calc!$I$341&gt;'Calc'!$B$8,"",IF('Calc'!$E$13=1,'财富模型'!$E$9,'财富模型'!$M$5+IF(Calc!$I$341&lt;='财富模型'!$E$11*12,'Calc'!$W$13,'Calc'!$Y$13)-(IF('Calc'!$E$13=1,0,MIN(Calc!$K$340*(1+'财富模型'!$E$20/12)+'Calc'!$B$6,IF(Calc!$I$341&lt;='财富模型'!$E$11*12,'Calc'!$W$13,'Calc'!$Y$13))))))</x:f>
      </x:c>
      <x:c r="M341" t="str">
        <x:f>IF(Calc!$I$341&gt;'Calc'!$B$8,"",IF('Calc'!$E$13=1,0,MIN(Calc!$K$340*(1+'财富模型'!$E$20/12)+'Calc'!$B$6,IF(Calc!$I$341&lt;='财富模型'!$E$11*12,'Calc'!$W$13,'Calc'!$Y$13))))</x:f>
      </x:c>
      <x:c r="N341" t="str">
        <x:f>IF(Calc!$I$341&gt;'Calc'!$B$8,"",'Calc'!$B$5-'财富模型'!$E$5-(IF('Calc'!$E$13=1,'财富模型'!$E$9,'财富模型'!$M$5+IF(Calc!$I$341&lt;='财富模型'!$E$11*12,'Calc'!$W$13,'Calc'!$Y$13)-(IF('Calc'!$E$13=1,0,MIN(Calc!$K$340*(1+'财富模型'!$E$20/12)+'Calc'!$B$6,IF(Calc!$I$341&lt;='财富模型'!$E$11*12,'Calc'!$W$13,'Calc'!$Y$13)))))))</x:f>
      </x:c>
      <x:c r="O341" t="str">
        <x:f>IF(Calc!$I$341&gt;'Calc'!$B$8,"",IF('Calc'!$E$13=1,0,MAX(Calc!$O$340*(1+IF(Calc!$I$341&lt;='财富模型'!$E$11*12,'财富模型'!$E$10,'财富模型'!$E$12)/12)-IF('Calc'!$E$13=1,0,IF(Calc!$I$341&lt;='财富模型'!$E$11*12,'Calc'!$W$13,'Calc'!$Y$13)),0)))</x:f>
      </x:c>
      <x:c r="Q341" t="n">
        <x:v>320</x:v>
      </x:c>
      <x:c r="R341" t="str">
        <x:f>IF(Calc!$Q$341&gt;'Calc'!$B$8,"",MAX(Calc!$R$340*(1+'财富模型'!$E$6/12)+('Calc'!$B$5-'财富模型'!$E$5-(IF('Calc'!$E$14=1,'财富模型'!$E$9,'财富模型'!$M$6+IF(Calc!$Q$341&lt;='财富模型'!$E$11*12,'Calc'!$W$14,'Calc'!$Y$14)-(IF('Calc'!$E$14=1,0,MIN(Calc!$S$340*(1+'财富模型'!$E$20/12)+'Calc'!$B$6,IF(Calc!$Q$341&lt;='财富模型'!$E$11*12,'Calc'!$W$14,'Calc'!$Y$14))))))),0))</x:f>
      </x:c>
      <x:c r="S341" t="str">
        <x:f>IF(Calc!$Q$341&gt;'Calc'!$B$8,"",MAX(Calc!$S$340*(1+'财富模型'!$E$20/12)+'Calc'!$B$6-(IF('Calc'!$E$14=1,0,MIN(Calc!$S$340*(1+'财富模型'!$E$20/12)+'Calc'!$B$6,IF(Calc!$Q$341&lt;='财富模型'!$E$11*12,'Calc'!$W$14,'Calc'!$Y$14)))),0))</x:f>
      </x:c>
      <x:c r="T341" t="str">
        <x:f>IF(Calc!$Q$341&gt;'Calc'!$B$8,"",IF('Calc'!$E$14=1,'财富模型'!$E$9,'财富模型'!$M$6+IF(Calc!$Q$341&lt;='财富模型'!$E$11*12,'Calc'!$W$14,'Calc'!$Y$14)-(IF('Calc'!$E$14=1,0,MIN(Calc!$S$340*(1+'财富模型'!$E$20/12)+'Calc'!$B$6,IF(Calc!$Q$341&lt;='财富模型'!$E$11*12,'Calc'!$W$14,'Calc'!$Y$14))))))</x:f>
      </x:c>
      <x:c r="U341" t="str">
        <x:f>IF(Calc!$Q$341&gt;'Calc'!$B$8,"",IF('Calc'!$E$14=1,0,MIN(Calc!$S$340*(1+'财富模型'!$E$20/12)+'Calc'!$B$6,IF(Calc!$Q$341&lt;='财富模型'!$E$11*12,'Calc'!$W$14,'Calc'!$Y$14))))</x:f>
      </x:c>
      <x:c r="V341" t="str">
        <x:f>IF(Calc!$Q$341&gt;'Calc'!$B$8,"",'Calc'!$B$5-'财富模型'!$E$5-(IF('Calc'!$E$14=1,'财富模型'!$E$9,'财富模型'!$M$6+IF(Calc!$Q$341&lt;='财富模型'!$E$11*12,'Calc'!$W$14,'Calc'!$Y$14)-(IF('Calc'!$E$14=1,0,MIN(Calc!$S$340*(1+'财富模型'!$E$20/12)+'Calc'!$B$6,IF(Calc!$Q$341&lt;='财富模型'!$E$11*12,'Calc'!$W$14,'Calc'!$Y$14)))))))</x:f>
      </x:c>
      <x:c r="W341" t="str">
        <x:f>IF(Calc!$Q$341&gt;'Calc'!$B$8,"",IF('Calc'!$E$14=1,0,MAX(Calc!$W$340*(1+IF(Calc!$Q$341&lt;='财富模型'!$E$11*12,'财富模型'!$E$10,'财富模型'!$E$12)/12)-IF('Calc'!$E$14=1,0,IF(Calc!$Q$341&lt;='财富模型'!$E$11*12,'Calc'!$W$14,'Calc'!$Y$14)),0)))</x:f>
      </x:c>
      <x:c r="Y341" t="n">
        <x:v>320</x:v>
      </x:c>
      <x:c r="Z341" t="str">
        <x:f>IF(Calc!$Y$341&gt;'Calc'!$B$8,"",MAX(Calc!$Z$340*(1+'财富模型'!$E$6/12)+('Calc'!$B$5-'财富模型'!$E$5-(IF('Calc'!$E$15=1,'财富模型'!$E$9,'财富模型'!$M$7+IF(Calc!$Y$341&lt;='财富模型'!$E$11*12,'Calc'!$W$15,'Calc'!$Y$15)-(IF('Calc'!$E$15=1,0,MIN(Calc!$AA$340*(1+'财富模型'!$E$20/12)+'Calc'!$B$6,IF(Calc!$Y$341&lt;='财富模型'!$E$11*12,'Calc'!$W$15,'Calc'!$Y$15))))))),0))</x:f>
      </x:c>
      <x:c r="AA341" t="str">
        <x:f>IF(Calc!$Y$341&gt;'Calc'!$B$8,"",MAX(Calc!$AA$340*(1+'财富模型'!$E$20/12)+'Calc'!$B$6-(IF('Calc'!$E$15=1,0,MIN(Calc!$AA$340*(1+'财富模型'!$E$20/12)+'Calc'!$B$6,IF(Calc!$Y$341&lt;='财富模型'!$E$11*12,'Calc'!$W$15,'Calc'!$Y$15)))),0))</x:f>
      </x:c>
      <x:c r="AB341" t="str">
        <x:f>IF(Calc!$Y$341&gt;'Calc'!$B$8,"",IF('Calc'!$E$15=1,'财富模型'!$E$9,'财富模型'!$M$7+IF(Calc!$Y$341&lt;='财富模型'!$E$11*12,'Calc'!$W$15,'Calc'!$Y$15)-(IF('Calc'!$E$15=1,0,MIN(Calc!$AA$340*(1+'财富模型'!$E$20/12)+'Calc'!$B$6,IF(Calc!$Y$341&lt;='财富模型'!$E$11*12,'Calc'!$W$15,'Calc'!$Y$15))))))</x:f>
      </x:c>
      <x:c r="AC341" t="str">
        <x:f>IF(Calc!$Y$341&gt;'Calc'!$B$8,"",IF('Calc'!$E$15=1,0,MIN(Calc!$AA$340*(1+'财富模型'!$E$20/12)+'Calc'!$B$6,IF(Calc!$Y$341&lt;='财富模型'!$E$11*12,'Calc'!$W$15,'Calc'!$Y$15))))</x:f>
      </x:c>
      <x:c r="AD341" t="str">
        <x:f>IF(Calc!$Y$341&gt;'Calc'!$B$8,"",'Calc'!$B$5-'财富模型'!$E$5-(IF('Calc'!$E$15=1,'财富模型'!$E$9,'财富模型'!$M$7+IF(Calc!$Y$341&lt;='财富模型'!$E$11*12,'Calc'!$W$15,'Calc'!$Y$15)-(IF('Calc'!$E$15=1,0,MIN(Calc!$AA$340*(1+'财富模型'!$E$20/12)+'Calc'!$B$6,IF(Calc!$Y$341&lt;='财富模型'!$E$11*12,'Calc'!$W$15,'Calc'!$Y$15)))))))</x:f>
      </x:c>
      <x:c r="AE341" t="str">
        <x:f>IF(Calc!$Y$341&gt;'Calc'!$B$8,"",IF('Calc'!$E$15=1,0,MAX(Calc!$AE$340*(1+IF(Calc!$Y$341&lt;='财富模型'!$E$11*12,'财富模型'!$E$10,'财富模型'!$E$12)/12)-IF('Calc'!$E$15=1,0,IF(Calc!$Y$341&lt;='财富模型'!$E$11*12,'Calc'!$W$15,'Calc'!$Y$15)),0)))</x:f>
      </x:c>
      <x:c r="AG341" t="n">
        <x:v>320</x:v>
      </x:c>
      <x:c r="AH341" t="str">
        <x:f>IF(Calc!$AG$341&gt;'Calc'!$B$8,"",MAX(Calc!$AH$340*(1+'财富模型'!$E$6/12)+('Calc'!$B$5-'财富模型'!$E$5-(IF('Calc'!$E$16=1,'财富模型'!$E$9,'财富模型'!$M$8+IF(Calc!$AG$341&lt;='财富模型'!$E$11*12,'Calc'!$W$16,'Calc'!$Y$16)-(IF('Calc'!$E$16=1,0,MIN(Calc!$AI$340*(1+'财富模型'!$E$20/12)+'Calc'!$B$6,IF(Calc!$AG$341&lt;='财富模型'!$E$11*12,'Calc'!$W$16,'Calc'!$Y$16))))))),0))</x:f>
      </x:c>
      <x:c r="AI341" t="str">
        <x:f>IF(Calc!$AG$341&gt;'Calc'!$B$8,"",MAX(Calc!$AI$340*(1+'财富模型'!$E$20/12)+'Calc'!$B$6-(IF('Calc'!$E$16=1,0,MIN(Calc!$AI$340*(1+'财富模型'!$E$20/12)+'Calc'!$B$6,IF(Calc!$AG$341&lt;='财富模型'!$E$11*12,'Calc'!$W$16,'Calc'!$Y$16)))),0))</x:f>
      </x:c>
      <x:c r="AJ341" t="str">
        <x:f>IF(Calc!$AG$341&gt;'Calc'!$B$8,"",IF('Calc'!$E$16=1,'财富模型'!$E$9,'财富模型'!$M$8+IF(Calc!$AG$341&lt;='财富模型'!$E$11*12,'Calc'!$W$16,'Calc'!$Y$16)-(IF('Calc'!$E$16=1,0,MIN(Calc!$AI$340*(1+'财富模型'!$E$20/12)+'Calc'!$B$6,IF(Calc!$AG$341&lt;='财富模型'!$E$11*12,'Calc'!$W$16,'Calc'!$Y$16))))))</x:f>
      </x:c>
      <x:c r="AK341" t="str">
        <x:f>IF(Calc!$AG$341&gt;'Calc'!$B$8,"",IF('Calc'!$E$16=1,0,MIN(Calc!$AI$340*(1+'财富模型'!$E$20/12)+'Calc'!$B$6,IF(Calc!$AG$341&lt;='财富模型'!$E$11*12,'Calc'!$W$16,'Calc'!$Y$16))))</x:f>
      </x:c>
      <x:c r="AL341" t="str">
        <x:f>IF(Calc!$AG$341&gt;'Calc'!$B$8,"",'Calc'!$B$5-'财富模型'!$E$5-(IF('Calc'!$E$16=1,'财富模型'!$E$9,'财富模型'!$M$8+IF(Calc!$AG$341&lt;='财富模型'!$E$11*12,'Calc'!$W$16,'Calc'!$Y$16)-(IF('Calc'!$E$16=1,0,MIN(Calc!$AI$340*(1+'财富模型'!$E$20/12)+'Calc'!$B$6,IF(Calc!$AG$341&lt;='财富模型'!$E$11*12,'Calc'!$W$16,'Calc'!$Y$16)))))))</x:f>
      </x:c>
      <x:c r="AM341" t="str">
        <x:f>IF(Calc!$AG$341&gt;'Calc'!$B$8,"",IF('Calc'!$E$16=1,0,MAX(Calc!$AM$340*(1+IF(Calc!$AG$341&lt;='财富模型'!$E$11*12,'财富模型'!$E$10,'财富模型'!$E$12)/12)-IF('Calc'!$E$16=1,0,IF(Calc!$AG$341&lt;='财富模型'!$E$11*12,'Calc'!$W$16,'Calc'!$Y$16)),0)))</x:f>
      </x:c>
      <x:c r="AO341" t="n">
        <x:v>320</x:v>
      </x:c>
      <x:c r="AP341" t="str">
        <x:f>IF(Calc!$AO$341&gt;'Calc'!$B$8,"",MAX(Calc!$AP$340*(1+'财富模型'!$E$6/12)+('Calc'!$B$5-'财富模型'!$E$5-(IF('Calc'!$E$17=1,'财富模型'!$E$9,'财富模型'!$M$9+IF(Calc!$AO$341&lt;='财富模型'!$E$11*12,'Calc'!$W$17,'Calc'!$Y$17)-(IF('Calc'!$E$17=1,0,MIN(Calc!$AQ$340*(1+'财富模型'!$E$20/12)+'Calc'!$B$6,IF(Calc!$AO$341&lt;='财富模型'!$E$11*12,'Calc'!$W$17,'Calc'!$Y$17))))))),0))</x:f>
      </x:c>
      <x:c r="AQ341" t="str">
        <x:f>IF(Calc!$AO$341&gt;'Calc'!$B$8,"",MAX(Calc!$AQ$340*(1+'财富模型'!$E$20/12)+'Calc'!$B$6-(IF('Calc'!$E$17=1,0,MIN(Calc!$AQ$340*(1+'财富模型'!$E$20/12)+'Calc'!$B$6,IF(Calc!$AO$341&lt;='财富模型'!$E$11*12,'Calc'!$W$17,'Calc'!$Y$17)))),0))</x:f>
      </x:c>
      <x:c r="AR341" t="str">
        <x:f>IF(Calc!$AO$341&gt;'Calc'!$B$8,"",IF('Calc'!$E$17=1,'财富模型'!$E$9,'财富模型'!$M$9+IF(Calc!$AO$341&lt;='财富模型'!$E$11*12,'Calc'!$W$17,'Calc'!$Y$17)-(IF('Calc'!$E$17=1,0,MIN(Calc!$AQ$340*(1+'财富模型'!$E$20/12)+'Calc'!$B$6,IF(Calc!$AO$341&lt;='财富模型'!$E$11*12,'Calc'!$W$17,'Calc'!$Y$17))))))</x:f>
      </x:c>
      <x:c r="AS341" t="str">
        <x:f>IF(Calc!$AO$341&gt;'Calc'!$B$8,"",IF('Calc'!$E$17=1,0,MIN(Calc!$AQ$340*(1+'财富模型'!$E$20/12)+'Calc'!$B$6,IF(Calc!$AO$341&lt;='财富模型'!$E$11*12,'Calc'!$W$17,'Calc'!$Y$17))))</x:f>
      </x:c>
      <x:c r="AT341" t="str">
        <x:f>IF(Calc!$AO$341&gt;'Calc'!$B$8,"",'Calc'!$B$5-'财富模型'!$E$5-(IF('Calc'!$E$17=1,'财富模型'!$E$9,'财富模型'!$M$9+IF(Calc!$AO$341&lt;='财富模型'!$E$11*12,'Calc'!$W$17,'Calc'!$Y$17)-(IF('Calc'!$E$17=1,0,MIN(Calc!$AQ$340*(1+'财富模型'!$E$20/12)+'Calc'!$B$6,IF(Calc!$AO$341&lt;='财富模型'!$E$11*12,'Calc'!$W$17,'Calc'!$Y$17)))))))</x:f>
      </x:c>
      <x:c r="AU341" t="str">
        <x:f>IF(Calc!$AO$341&gt;'Calc'!$B$8,"",IF('Calc'!$E$17=1,0,MAX(Calc!$AU$340*(1+IF(Calc!$AO$341&lt;='财富模型'!$E$11*12,'财富模型'!$E$10,'财富模型'!$E$12)/12)-IF('Calc'!$E$17=1,0,IF(Calc!$AO$341&lt;='财富模型'!$E$11*12,'Calc'!$W$17,'Calc'!$Y$17)),0)))</x:f>
      </x:c>
    </x:row>
    <x:row r="342">
      <x:c r="A342" t="n">
        <x:v>321</x:v>
      </x:c>
      <x:c r="B342" t="str">
        <x:f>IF(Calc!$A$342&gt;'Calc'!$B$8,"",MAX(Calc!$B$341*(1+'财富模型'!$E$6/12)+('Calc'!$B$5-'财富模型'!$E$5-(IF('Calc'!$E$12=1,'财富模型'!$E$9,'财富模型'!$M$4+IF(Calc!$A$342&lt;='财富模型'!$E$11*12,'Calc'!$W$12,'Calc'!$Y$12)-(IF('Calc'!$E$12=1,0,MIN(Calc!$C$341*(1+'财富模型'!$E$20/12)+'Calc'!$B$6,IF(Calc!$A$342&lt;='财富模型'!$E$11*12,'Calc'!$W$12,'Calc'!$Y$12))))))),0))</x:f>
      </x:c>
      <x:c r="C342" t="str">
        <x:f>IF(Calc!$A$342&gt;'Calc'!$B$8,"",MAX(Calc!$C$341*(1+'财富模型'!$E$20/12)+'Calc'!$B$6-(IF('Calc'!$E$12=1,0,MIN(Calc!$C$341*(1+'财富模型'!$E$20/12)+'Calc'!$B$6,IF(Calc!$A$342&lt;='财富模型'!$E$11*12,'Calc'!$W$12,'Calc'!$Y$12)))),0))</x:f>
      </x:c>
      <x:c r="D342" t="str">
        <x:f>IF(Calc!$A$342&gt;'Calc'!$B$8,"",IF('Calc'!$E$12=1,'财富模型'!$E$9,'财富模型'!$M$4+IF(Calc!$A$342&lt;='财富模型'!$E$11*12,'Calc'!$W$12,'Calc'!$Y$12)-(IF('Calc'!$E$12=1,0,MIN(Calc!$C$341*(1+'财富模型'!$E$20/12)+'Calc'!$B$6,IF(Calc!$A$342&lt;='财富模型'!$E$11*12,'Calc'!$W$12,'Calc'!$Y$12))))))</x:f>
      </x:c>
      <x:c r="E342" t="str">
        <x:f>IF(Calc!$A$342&gt;'Calc'!$B$8,"",IF('Calc'!$E$12=1,0,MIN(Calc!$C$341*(1+'财富模型'!$E$20/12)+'Calc'!$B$6,IF(Calc!$A$342&lt;='财富模型'!$E$11*12,'Calc'!$W$12,'Calc'!$Y$12))))</x:f>
      </x:c>
      <x:c r="F342" t="str">
        <x:f>IF(Calc!$A$342&gt;'Calc'!$B$8,"",'Calc'!$B$5-'财富模型'!$E$5-(IF('Calc'!$E$12=1,'财富模型'!$E$9,'财富模型'!$M$4+IF(Calc!$A$342&lt;='财富模型'!$E$11*12,'Calc'!$W$12,'Calc'!$Y$12)-(IF('Calc'!$E$12=1,0,MIN(Calc!$C$341*(1+'财富模型'!$E$20/12)+'Calc'!$B$6,IF(Calc!$A$342&lt;='财富模型'!$E$11*12,'Calc'!$W$12,'Calc'!$Y$12)))))))</x:f>
      </x:c>
      <x:c r="G342" t="str">
        <x:f>IF(Calc!$A$342&gt;'Calc'!$B$8,"",IF('Calc'!$E$12=1,0,MAX(Calc!$G$341*(1+IF(Calc!$A$342&lt;='财富模型'!$E$11*12,'财富模型'!$E$10,'财富模型'!$E$12)/12)-IF('Calc'!$E$12=1,0,IF(Calc!$A$342&lt;='财富模型'!$E$11*12,'Calc'!$W$12,'Calc'!$Y$12)),0)))</x:f>
      </x:c>
      <x:c r="I342" t="n">
        <x:v>321</x:v>
      </x:c>
      <x:c r="J342" t="str">
        <x:f>IF(Calc!$I$342&gt;'Calc'!$B$8,"",MAX(Calc!$J$341*(1+'财富模型'!$E$6/12)+('Calc'!$B$5-'财富模型'!$E$5-(IF('Calc'!$E$13=1,'财富模型'!$E$9,'财富模型'!$M$5+IF(Calc!$I$342&lt;='财富模型'!$E$11*12,'Calc'!$W$13,'Calc'!$Y$13)-(IF('Calc'!$E$13=1,0,MIN(Calc!$K$341*(1+'财富模型'!$E$20/12)+'Calc'!$B$6,IF(Calc!$I$342&lt;='财富模型'!$E$11*12,'Calc'!$W$13,'Calc'!$Y$13))))))),0))</x:f>
      </x:c>
      <x:c r="K342" t="str">
        <x:f>IF(Calc!$I$342&gt;'Calc'!$B$8,"",MAX(Calc!$K$341*(1+'财富模型'!$E$20/12)+'Calc'!$B$6-(IF('Calc'!$E$13=1,0,MIN(Calc!$K$341*(1+'财富模型'!$E$20/12)+'Calc'!$B$6,IF(Calc!$I$342&lt;='财富模型'!$E$11*12,'Calc'!$W$13,'Calc'!$Y$13)))),0))</x:f>
      </x:c>
      <x:c r="L342" t="str">
        <x:f>IF(Calc!$I$342&gt;'Calc'!$B$8,"",IF('Calc'!$E$13=1,'财富模型'!$E$9,'财富模型'!$M$5+IF(Calc!$I$342&lt;='财富模型'!$E$11*12,'Calc'!$W$13,'Calc'!$Y$13)-(IF('Calc'!$E$13=1,0,MIN(Calc!$K$341*(1+'财富模型'!$E$20/12)+'Calc'!$B$6,IF(Calc!$I$342&lt;='财富模型'!$E$11*12,'Calc'!$W$13,'Calc'!$Y$13))))))</x:f>
      </x:c>
      <x:c r="M342" t="str">
        <x:f>IF(Calc!$I$342&gt;'Calc'!$B$8,"",IF('Calc'!$E$13=1,0,MIN(Calc!$K$341*(1+'财富模型'!$E$20/12)+'Calc'!$B$6,IF(Calc!$I$342&lt;='财富模型'!$E$11*12,'Calc'!$W$13,'Calc'!$Y$13))))</x:f>
      </x:c>
      <x:c r="N342" t="str">
        <x:f>IF(Calc!$I$342&gt;'Calc'!$B$8,"",'Calc'!$B$5-'财富模型'!$E$5-(IF('Calc'!$E$13=1,'财富模型'!$E$9,'财富模型'!$M$5+IF(Calc!$I$342&lt;='财富模型'!$E$11*12,'Calc'!$W$13,'Calc'!$Y$13)-(IF('Calc'!$E$13=1,0,MIN(Calc!$K$341*(1+'财富模型'!$E$20/12)+'Calc'!$B$6,IF(Calc!$I$342&lt;='财富模型'!$E$11*12,'Calc'!$W$13,'Calc'!$Y$13)))))))</x:f>
      </x:c>
      <x:c r="O342" t="str">
        <x:f>IF(Calc!$I$342&gt;'Calc'!$B$8,"",IF('Calc'!$E$13=1,0,MAX(Calc!$O$341*(1+IF(Calc!$I$342&lt;='财富模型'!$E$11*12,'财富模型'!$E$10,'财富模型'!$E$12)/12)-IF('Calc'!$E$13=1,0,IF(Calc!$I$342&lt;='财富模型'!$E$11*12,'Calc'!$W$13,'Calc'!$Y$13)),0)))</x:f>
      </x:c>
      <x:c r="Q342" t="n">
        <x:v>321</x:v>
      </x:c>
      <x:c r="R342" t="str">
        <x:f>IF(Calc!$Q$342&gt;'Calc'!$B$8,"",MAX(Calc!$R$341*(1+'财富模型'!$E$6/12)+('Calc'!$B$5-'财富模型'!$E$5-(IF('Calc'!$E$14=1,'财富模型'!$E$9,'财富模型'!$M$6+IF(Calc!$Q$342&lt;='财富模型'!$E$11*12,'Calc'!$W$14,'Calc'!$Y$14)-(IF('Calc'!$E$14=1,0,MIN(Calc!$S$341*(1+'财富模型'!$E$20/12)+'Calc'!$B$6,IF(Calc!$Q$342&lt;='财富模型'!$E$11*12,'Calc'!$W$14,'Calc'!$Y$14))))))),0))</x:f>
      </x:c>
      <x:c r="S342" t="str">
        <x:f>IF(Calc!$Q$342&gt;'Calc'!$B$8,"",MAX(Calc!$S$341*(1+'财富模型'!$E$20/12)+'Calc'!$B$6-(IF('Calc'!$E$14=1,0,MIN(Calc!$S$341*(1+'财富模型'!$E$20/12)+'Calc'!$B$6,IF(Calc!$Q$342&lt;='财富模型'!$E$11*12,'Calc'!$W$14,'Calc'!$Y$14)))),0))</x:f>
      </x:c>
      <x:c r="T342" t="str">
        <x:f>IF(Calc!$Q$342&gt;'Calc'!$B$8,"",IF('Calc'!$E$14=1,'财富模型'!$E$9,'财富模型'!$M$6+IF(Calc!$Q$342&lt;='财富模型'!$E$11*12,'Calc'!$W$14,'Calc'!$Y$14)-(IF('Calc'!$E$14=1,0,MIN(Calc!$S$341*(1+'财富模型'!$E$20/12)+'Calc'!$B$6,IF(Calc!$Q$342&lt;='财富模型'!$E$11*12,'Calc'!$W$14,'Calc'!$Y$14))))))</x:f>
      </x:c>
      <x:c r="U342" t="str">
        <x:f>IF(Calc!$Q$342&gt;'Calc'!$B$8,"",IF('Calc'!$E$14=1,0,MIN(Calc!$S$341*(1+'财富模型'!$E$20/12)+'Calc'!$B$6,IF(Calc!$Q$342&lt;='财富模型'!$E$11*12,'Calc'!$W$14,'Calc'!$Y$14))))</x:f>
      </x:c>
      <x:c r="V342" t="str">
        <x:f>IF(Calc!$Q$342&gt;'Calc'!$B$8,"",'Calc'!$B$5-'财富模型'!$E$5-(IF('Calc'!$E$14=1,'财富模型'!$E$9,'财富模型'!$M$6+IF(Calc!$Q$342&lt;='财富模型'!$E$11*12,'Calc'!$W$14,'Calc'!$Y$14)-(IF('Calc'!$E$14=1,0,MIN(Calc!$S$341*(1+'财富模型'!$E$20/12)+'Calc'!$B$6,IF(Calc!$Q$342&lt;='财富模型'!$E$11*12,'Calc'!$W$14,'Calc'!$Y$14)))))))</x:f>
      </x:c>
      <x:c r="W342" t="str">
        <x:f>IF(Calc!$Q$342&gt;'Calc'!$B$8,"",IF('Calc'!$E$14=1,0,MAX(Calc!$W$341*(1+IF(Calc!$Q$342&lt;='财富模型'!$E$11*12,'财富模型'!$E$10,'财富模型'!$E$12)/12)-IF('Calc'!$E$14=1,0,IF(Calc!$Q$342&lt;='财富模型'!$E$11*12,'Calc'!$W$14,'Calc'!$Y$14)),0)))</x:f>
      </x:c>
      <x:c r="Y342" t="n">
        <x:v>321</x:v>
      </x:c>
      <x:c r="Z342" t="str">
        <x:f>IF(Calc!$Y$342&gt;'Calc'!$B$8,"",MAX(Calc!$Z$341*(1+'财富模型'!$E$6/12)+('Calc'!$B$5-'财富模型'!$E$5-(IF('Calc'!$E$15=1,'财富模型'!$E$9,'财富模型'!$M$7+IF(Calc!$Y$342&lt;='财富模型'!$E$11*12,'Calc'!$W$15,'Calc'!$Y$15)-(IF('Calc'!$E$15=1,0,MIN(Calc!$AA$341*(1+'财富模型'!$E$20/12)+'Calc'!$B$6,IF(Calc!$Y$342&lt;='财富模型'!$E$11*12,'Calc'!$W$15,'Calc'!$Y$15))))))),0))</x:f>
      </x:c>
      <x:c r="AA342" t="str">
        <x:f>IF(Calc!$Y$342&gt;'Calc'!$B$8,"",MAX(Calc!$AA$341*(1+'财富模型'!$E$20/12)+'Calc'!$B$6-(IF('Calc'!$E$15=1,0,MIN(Calc!$AA$341*(1+'财富模型'!$E$20/12)+'Calc'!$B$6,IF(Calc!$Y$342&lt;='财富模型'!$E$11*12,'Calc'!$W$15,'Calc'!$Y$15)))),0))</x:f>
      </x:c>
      <x:c r="AB342" t="str">
        <x:f>IF(Calc!$Y$342&gt;'Calc'!$B$8,"",IF('Calc'!$E$15=1,'财富模型'!$E$9,'财富模型'!$M$7+IF(Calc!$Y$342&lt;='财富模型'!$E$11*12,'Calc'!$W$15,'Calc'!$Y$15)-(IF('Calc'!$E$15=1,0,MIN(Calc!$AA$341*(1+'财富模型'!$E$20/12)+'Calc'!$B$6,IF(Calc!$Y$342&lt;='财富模型'!$E$11*12,'Calc'!$W$15,'Calc'!$Y$15))))))</x:f>
      </x:c>
      <x:c r="AC342" t="str">
        <x:f>IF(Calc!$Y$342&gt;'Calc'!$B$8,"",IF('Calc'!$E$15=1,0,MIN(Calc!$AA$341*(1+'财富模型'!$E$20/12)+'Calc'!$B$6,IF(Calc!$Y$342&lt;='财富模型'!$E$11*12,'Calc'!$W$15,'Calc'!$Y$15))))</x:f>
      </x:c>
      <x:c r="AD342" t="str">
        <x:f>IF(Calc!$Y$342&gt;'Calc'!$B$8,"",'Calc'!$B$5-'财富模型'!$E$5-(IF('Calc'!$E$15=1,'财富模型'!$E$9,'财富模型'!$M$7+IF(Calc!$Y$342&lt;='财富模型'!$E$11*12,'Calc'!$W$15,'Calc'!$Y$15)-(IF('Calc'!$E$15=1,0,MIN(Calc!$AA$341*(1+'财富模型'!$E$20/12)+'Calc'!$B$6,IF(Calc!$Y$342&lt;='财富模型'!$E$11*12,'Calc'!$W$15,'Calc'!$Y$15)))))))</x:f>
      </x:c>
      <x:c r="AE342" t="str">
        <x:f>IF(Calc!$Y$342&gt;'Calc'!$B$8,"",IF('Calc'!$E$15=1,0,MAX(Calc!$AE$341*(1+IF(Calc!$Y$342&lt;='财富模型'!$E$11*12,'财富模型'!$E$10,'财富模型'!$E$12)/12)-IF('Calc'!$E$15=1,0,IF(Calc!$Y$342&lt;='财富模型'!$E$11*12,'Calc'!$W$15,'Calc'!$Y$15)),0)))</x:f>
      </x:c>
      <x:c r="AG342" t="n">
        <x:v>321</x:v>
      </x:c>
      <x:c r="AH342" t="str">
        <x:f>IF(Calc!$AG$342&gt;'Calc'!$B$8,"",MAX(Calc!$AH$341*(1+'财富模型'!$E$6/12)+('Calc'!$B$5-'财富模型'!$E$5-(IF('Calc'!$E$16=1,'财富模型'!$E$9,'财富模型'!$M$8+IF(Calc!$AG$342&lt;='财富模型'!$E$11*12,'Calc'!$W$16,'Calc'!$Y$16)-(IF('Calc'!$E$16=1,0,MIN(Calc!$AI$341*(1+'财富模型'!$E$20/12)+'Calc'!$B$6,IF(Calc!$AG$342&lt;='财富模型'!$E$11*12,'Calc'!$W$16,'Calc'!$Y$16))))))),0))</x:f>
      </x:c>
      <x:c r="AI342" t="str">
        <x:f>IF(Calc!$AG$342&gt;'Calc'!$B$8,"",MAX(Calc!$AI$341*(1+'财富模型'!$E$20/12)+'Calc'!$B$6-(IF('Calc'!$E$16=1,0,MIN(Calc!$AI$341*(1+'财富模型'!$E$20/12)+'Calc'!$B$6,IF(Calc!$AG$342&lt;='财富模型'!$E$11*12,'Calc'!$W$16,'Calc'!$Y$16)))),0))</x:f>
      </x:c>
      <x:c r="AJ342" t="str">
        <x:f>IF(Calc!$AG$342&gt;'Calc'!$B$8,"",IF('Calc'!$E$16=1,'财富模型'!$E$9,'财富模型'!$M$8+IF(Calc!$AG$342&lt;='财富模型'!$E$11*12,'Calc'!$W$16,'Calc'!$Y$16)-(IF('Calc'!$E$16=1,0,MIN(Calc!$AI$341*(1+'财富模型'!$E$20/12)+'Calc'!$B$6,IF(Calc!$AG$342&lt;='财富模型'!$E$11*12,'Calc'!$W$16,'Calc'!$Y$16))))))</x:f>
      </x:c>
      <x:c r="AK342" t="str">
        <x:f>IF(Calc!$AG$342&gt;'Calc'!$B$8,"",IF('Calc'!$E$16=1,0,MIN(Calc!$AI$341*(1+'财富模型'!$E$20/12)+'Calc'!$B$6,IF(Calc!$AG$342&lt;='财富模型'!$E$11*12,'Calc'!$W$16,'Calc'!$Y$16))))</x:f>
      </x:c>
      <x:c r="AL342" t="str">
        <x:f>IF(Calc!$AG$342&gt;'Calc'!$B$8,"",'Calc'!$B$5-'财富模型'!$E$5-(IF('Calc'!$E$16=1,'财富模型'!$E$9,'财富模型'!$M$8+IF(Calc!$AG$342&lt;='财富模型'!$E$11*12,'Calc'!$W$16,'Calc'!$Y$16)-(IF('Calc'!$E$16=1,0,MIN(Calc!$AI$341*(1+'财富模型'!$E$20/12)+'Calc'!$B$6,IF(Calc!$AG$342&lt;='财富模型'!$E$11*12,'Calc'!$W$16,'Calc'!$Y$16)))))))</x:f>
      </x:c>
      <x:c r="AM342" t="str">
        <x:f>IF(Calc!$AG$342&gt;'Calc'!$B$8,"",IF('Calc'!$E$16=1,0,MAX(Calc!$AM$341*(1+IF(Calc!$AG$342&lt;='财富模型'!$E$11*12,'财富模型'!$E$10,'财富模型'!$E$12)/12)-IF('Calc'!$E$16=1,0,IF(Calc!$AG$342&lt;='财富模型'!$E$11*12,'Calc'!$W$16,'Calc'!$Y$16)),0)))</x:f>
      </x:c>
      <x:c r="AO342" t="n">
        <x:v>321</x:v>
      </x:c>
      <x:c r="AP342" t="str">
        <x:f>IF(Calc!$AO$342&gt;'Calc'!$B$8,"",MAX(Calc!$AP$341*(1+'财富模型'!$E$6/12)+('Calc'!$B$5-'财富模型'!$E$5-(IF('Calc'!$E$17=1,'财富模型'!$E$9,'财富模型'!$M$9+IF(Calc!$AO$342&lt;='财富模型'!$E$11*12,'Calc'!$W$17,'Calc'!$Y$17)-(IF('Calc'!$E$17=1,0,MIN(Calc!$AQ$341*(1+'财富模型'!$E$20/12)+'Calc'!$B$6,IF(Calc!$AO$342&lt;='财富模型'!$E$11*12,'Calc'!$W$17,'Calc'!$Y$17))))))),0))</x:f>
      </x:c>
      <x:c r="AQ342" t="str">
        <x:f>IF(Calc!$AO$342&gt;'Calc'!$B$8,"",MAX(Calc!$AQ$341*(1+'财富模型'!$E$20/12)+'Calc'!$B$6-(IF('Calc'!$E$17=1,0,MIN(Calc!$AQ$341*(1+'财富模型'!$E$20/12)+'Calc'!$B$6,IF(Calc!$AO$342&lt;='财富模型'!$E$11*12,'Calc'!$W$17,'Calc'!$Y$17)))),0))</x:f>
      </x:c>
      <x:c r="AR342" t="str">
        <x:f>IF(Calc!$AO$342&gt;'Calc'!$B$8,"",IF('Calc'!$E$17=1,'财富模型'!$E$9,'财富模型'!$M$9+IF(Calc!$AO$342&lt;='财富模型'!$E$11*12,'Calc'!$W$17,'Calc'!$Y$17)-(IF('Calc'!$E$17=1,0,MIN(Calc!$AQ$341*(1+'财富模型'!$E$20/12)+'Calc'!$B$6,IF(Calc!$AO$342&lt;='财富模型'!$E$11*12,'Calc'!$W$17,'Calc'!$Y$17))))))</x:f>
      </x:c>
      <x:c r="AS342" t="str">
        <x:f>IF(Calc!$AO$342&gt;'Calc'!$B$8,"",IF('Calc'!$E$17=1,0,MIN(Calc!$AQ$341*(1+'财富模型'!$E$20/12)+'Calc'!$B$6,IF(Calc!$AO$342&lt;='财富模型'!$E$11*12,'Calc'!$W$17,'Calc'!$Y$17))))</x:f>
      </x:c>
      <x:c r="AT342" t="str">
        <x:f>IF(Calc!$AO$342&gt;'Calc'!$B$8,"",'Calc'!$B$5-'财富模型'!$E$5-(IF('Calc'!$E$17=1,'财富模型'!$E$9,'财富模型'!$M$9+IF(Calc!$AO$342&lt;='财富模型'!$E$11*12,'Calc'!$W$17,'Calc'!$Y$17)-(IF('Calc'!$E$17=1,0,MIN(Calc!$AQ$341*(1+'财富模型'!$E$20/12)+'Calc'!$B$6,IF(Calc!$AO$342&lt;='财富模型'!$E$11*12,'Calc'!$W$17,'Calc'!$Y$17)))))))</x:f>
      </x:c>
      <x:c r="AU342" t="str">
        <x:f>IF(Calc!$AO$342&gt;'Calc'!$B$8,"",IF('Calc'!$E$17=1,0,MAX(Calc!$AU$341*(1+IF(Calc!$AO$342&lt;='财富模型'!$E$11*12,'财富模型'!$E$10,'财富模型'!$E$12)/12)-IF('Calc'!$E$17=1,0,IF(Calc!$AO$342&lt;='财富模型'!$E$11*12,'Calc'!$W$17,'Calc'!$Y$17)),0)))</x:f>
      </x:c>
    </x:row>
    <x:row r="343">
      <x:c r="A343" t="n">
        <x:v>322</x:v>
      </x:c>
      <x:c r="B343" t="str">
        <x:f>IF(Calc!$A$343&gt;'Calc'!$B$8,"",MAX(Calc!$B$342*(1+'财富模型'!$E$6/12)+('Calc'!$B$5-'财富模型'!$E$5-(IF('Calc'!$E$12=1,'财富模型'!$E$9,'财富模型'!$M$4+IF(Calc!$A$343&lt;='财富模型'!$E$11*12,'Calc'!$W$12,'Calc'!$Y$12)-(IF('Calc'!$E$12=1,0,MIN(Calc!$C$342*(1+'财富模型'!$E$20/12)+'Calc'!$B$6,IF(Calc!$A$343&lt;='财富模型'!$E$11*12,'Calc'!$W$12,'Calc'!$Y$12))))))),0))</x:f>
      </x:c>
      <x:c r="C343" t="str">
        <x:f>IF(Calc!$A$343&gt;'Calc'!$B$8,"",MAX(Calc!$C$342*(1+'财富模型'!$E$20/12)+'Calc'!$B$6-(IF('Calc'!$E$12=1,0,MIN(Calc!$C$342*(1+'财富模型'!$E$20/12)+'Calc'!$B$6,IF(Calc!$A$343&lt;='财富模型'!$E$11*12,'Calc'!$W$12,'Calc'!$Y$12)))),0))</x:f>
      </x:c>
      <x:c r="D343" t="str">
        <x:f>IF(Calc!$A$343&gt;'Calc'!$B$8,"",IF('Calc'!$E$12=1,'财富模型'!$E$9,'财富模型'!$M$4+IF(Calc!$A$343&lt;='财富模型'!$E$11*12,'Calc'!$W$12,'Calc'!$Y$12)-(IF('Calc'!$E$12=1,0,MIN(Calc!$C$342*(1+'财富模型'!$E$20/12)+'Calc'!$B$6,IF(Calc!$A$343&lt;='财富模型'!$E$11*12,'Calc'!$W$12,'Calc'!$Y$12))))))</x:f>
      </x:c>
      <x:c r="E343" t="str">
        <x:f>IF(Calc!$A$343&gt;'Calc'!$B$8,"",IF('Calc'!$E$12=1,0,MIN(Calc!$C$342*(1+'财富模型'!$E$20/12)+'Calc'!$B$6,IF(Calc!$A$343&lt;='财富模型'!$E$11*12,'Calc'!$W$12,'Calc'!$Y$12))))</x:f>
      </x:c>
      <x:c r="F343" t="str">
        <x:f>IF(Calc!$A$343&gt;'Calc'!$B$8,"",'Calc'!$B$5-'财富模型'!$E$5-(IF('Calc'!$E$12=1,'财富模型'!$E$9,'财富模型'!$M$4+IF(Calc!$A$343&lt;='财富模型'!$E$11*12,'Calc'!$W$12,'Calc'!$Y$12)-(IF('Calc'!$E$12=1,0,MIN(Calc!$C$342*(1+'财富模型'!$E$20/12)+'Calc'!$B$6,IF(Calc!$A$343&lt;='财富模型'!$E$11*12,'Calc'!$W$12,'Calc'!$Y$12)))))))</x:f>
      </x:c>
      <x:c r="G343" t="str">
        <x:f>IF(Calc!$A$343&gt;'Calc'!$B$8,"",IF('Calc'!$E$12=1,0,MAX(Calc!$G$342*(1+IF(Calc!$A$343&lt;='财富模型'!$E$11*12,'财富模型'!$E$10,'财富模型'!$E$12)/12)-IF('Calc'!$E$12=1,0,IF(Calc!$A$343&lt;='财富模型'!$E$11*12,'Calc'!$W$12,'Calc'!$Y$12)),0)))</x:f>
      </x:c>
      <x:c r="I343" t="n">
        <x:v>322</x:v>
      </x:c>
      <x:c r="J343" t="str">
        <x:f>IF(Calc!$I$343&gt;'Calc'!$B$8,"",MAX(Calc!$J$342*(1+'财富模型'!$E$6/12)+('Calc'!$B$5-'财富模型'!$E$5-(IF('Calc'!$E$13=1,'财富模型'!$E$9,'财富模型'!$M$5+IF(Calc!$I$343&lt;='财富模型'!$E$11*12,'Calc'!$W$13,'Calc'!$Y$13)-(IF('Calc'!$E$13=1,0,MIN(Calc!$K$342*(1+'财富模型'!$E$20/12)+'Calc'!$B$6,IF(Calc!$I$343&lt;='财富模型'!$E$11*12,'Calc'!$W$13,'Calc'!$Y$13))))))),0))</x:f>
      </x:c>
      <x:c r="K343" t="str">
        <x:f>IF(Calc!$I$343&gt;'Calc'!$B$8,"",MAX(Calc!$K$342*(1+'财富模型'!$E$20/12)+'Calc'!$B$6-(IF('Calc'!$E$13=1,0,MIN(Calc!$K$342*(1+'财富模型'!$E$20/12)+'Calc'!$B$6,IF(Calc!$I$343&lt;='财富模型'!$E$11*12,'Calc'!$W$13,'Calc'!$Y$13)))),0))</x:f>
      </x:c>
      <x:c r="L343" t="str">
        <x:f>IF(Calc!$I$343&gt;'Calc'!$B$8,"",IF('Calc'!$E$13=1,'财富模型'!$E$9,'财富模型'!$M$5+IF(Calc!$I$343&lt;='财富模型'!$E$11*12,'Calc'!$W$13,'Calc'!$Y$13)-(IF('Calc'!$E$13=1,0,MIN(Calc!$K$342*(1+'财富模型'!$E$20/12)+'Calc'!$B$6,IF(Calc!$I$343&lt;='财富模型'!$E$11*12,'Calc'!$W$13,'Calc'!$Y$13))))))</x:f>
      </x:c>
      <x:c r="M343" t="str">
        <x:f>IF(Calc!$I$343&gt;'Calc'!$B$8,"",IF('Calc'!$E$13=1,0,MIN(Calc!$K$342*(1+'财富模型'!$E$20/12)+'Calc'!$B$6,IF(Calc!$I$343&lt;='财富模型'!$E$11*12,'Calc'!$W$13,'Calc'!$Y$13))))</x:f>
      </x:c>
      <x:c r="N343" t="str">
        <x:f>IF(Calc!$I$343&gt;'Calc'!$B$8,"",'Calc'!$B$5-'财富模型'!$E$5-(IF('Calc'!$E$13=1,'财富模型'!$E$9,'财富模型'!$M$5+IF(Calc!$I$343&lt;='财富模型'!$E$11*12,'Calc'!$W$13,'Calc'!$Y$13)-(IF('Calc'!$E$13=1,0,MIN(Calc!$K$342*(1+'财富模型'!$E$20/12)+'Calc'!$B$6,IF(Calc!$I$343&lt;='财富模型'!$E$11*12,'Calc'!$W$13,'Calc'!$Y$13)))))))</x:f>
      </x:c>
      <x:c r="O343" t="str">
        <x:f>IF(Calc!$I$343&gt;'Calc'!$B$8,"",IF('Calc'!$E$13=1,0,MAX(Calc!$O$342*(1+IF(Calc!$I$343&lt;='财富模型'!$E$11*12,'财富模型'!$E$10,'财富模型'!$E$12)/12)-IF('Calc'!$E$13=1,0,IF(Calc!$I$343&lt;='财富模型'!$E$11*12,'Calc'!$W$13,'Calc'!$Y$13)),0)))</x:f>
      </x:c>
      <x:c r="Q343" t="n">
        <x:v>322</x:v>
      </x:c>
      <x:c r="R343" t="str">
        <x:f>IF(Calc!$Q$343&gt;'Calc'!$B$8,"",MAX(Calc!$R$342*(1+'财富模型'!$E$6/12)+('Calc'!$B$5-'财富模型'!$E$5-(IF('Calc'!$E$14=1,'财富模型'!$E$9,'财富模型'!$M$6+IF(Calc!$Q$343&lt;='财富模型'!$E$11*12,'Calc'!$W$14,'Calc'!$Y$14)-(IF('Calc'!$E$14=1,0,MIN(Calc!$S$342*(1+'财富模型'!$E$20/12)+'Calc'!$B$6,IF(Calc!$Q$343&lt;='财富模型'!$E$11*12,'Calc'!$W$14,'Calc'!$Y$14))))))),0))</x:f>
      </x:c>
      <x:c r="S343" t="str">
        <x:f>IF(Calc!$Q$343&gt;'Calc'!$B$8,"",MAX(Calc!$S$342*(1+'财富模型'!$E$20/12)+'Calc'!$B$6-(IF('Calc'!$E$14=1,0,MIN(Calc!$S$342*(1+'财富模型'!$E$20/12)+'Calc'!$B$6,IF(Calc!$Q$343&lt;='财富模型'!$E$11*12,'Calc'!$W$14,'Calc'!$Y$14)))),0))</x:f>
      </x:c>
      <x:c r="T343" t="str">
        <x:f>IF(Calc!$Q$343&gt;'Calc'!$B$8,"",IF('Calc'!$E$14=1,'财富模型'!$E$9,'财富模型'!$M$6+IF(Calc!$Q$343&lt;='财富模型'!$E$11*12,'Calc'!$W$14,'Calc'!$Y$14)-(IF('Calc'!$E$14=1,0,MIN(Calc!$S$342*(1+'财富模型'!$E$20/12)+'Calc'!$B$6,IF(Calc!$Q$343&lt;='财富模型'!$E$11*12,'Calc'!$W$14,'Calc'!$Y$14))))))</x:f>
      </x:c>
      <x:c r="U343" t="str">
        <x:f>IF(Calc!$Q$343&gt;'Calc'!$B$8,"",IF('Calc'!$E$14=1,0,MIN(Calc!$S$342*(1+'财富模型'!$E$20/12)+'Calc'!$B$6,IF(Calc!$Q$343&lt;='财富模型'!$E$11*12,'Calc'!$W$14,'Calc'!$Y$14))))</x:f>
      </x:c>
      <x:c r="V343" t="str">
        <x:f>IF(Calc!$Q$343&gt;'Calc'!$B$8,"",'Calc'!$B$5-'财富模型'!$E$5-(IF('Calc'!$E$14=1,'财富模型'!$E$9,'财富模型'!$M$6+IF(Calc!$Q$343&lt;='财富模型'!$E$11*12,'Calc'!$W$14,'Calc'!$Y$14)-(IF('Calc'!$E$14=1,0,MIN(Calc!$S$342*(1+'财富模型'!$E$20/12)+'Calc'!$B$6,IF(Calc!$Q$343&lt;='财富模型'!$E$11*12,'Calc'!$W$14,'Calc'!$Y$14)))))))</x:f>
      </x:c>
      <x:c r="W343" t="str">
        <x:f>IF(Calc!$Q$343&gt;'Calc'!$B$8,"",IF('Calc'!$E$14=1,0,MAX(Calc!$W$342*(1+IF(Calc!$Q$343&lt;='财富模型'!$E$11*12,'财富模型'!$E$10,'财富模型'!$E$12)/12)-IF('Calc'!$E$14=1,0,IF(Calc!$Q$343&lt;='财富模型'!$E$11*12,'Calc'!$W$14,'Calc'!$Y$14)),0)))</x:f>
      </x:c>
      <x:c r="Y343" t="n">
        <x:v>322</x:v>
      </x:c>
      <x:c r="Z343" t="str">
        <x:f>IF(Calc!$Y$343&gt;'Calc'!$B$8,"",MAX(Calc!$Z$342*(1+'财富模型'!$E$6/12)+('Calc'!$B$5-'财富模型'!$E$5-(IF('Calc'!$E$15=1,'财富模型'!$E$9,'财富模型'!$M$7+IF(Calc!$Y$343&lt;='财富模型'!$E$11*12,'Calc'!$W$15,'Calc'!$Y$15)-(IF('Calc'!$E$15=1,0,MIN(Calc!$AA$342*(1+'财富模型'!$E$20/12)+'Calc'!$B$6,IF(Calc!$Y$343&lt;='财富模型'!$E$11*12,'Calc'!$W$15,'Calc'!$Y$15))))))),0))</x:f>
      </x:c>
      <x:c r="AA343" t="str">
        <x:f>IF(Calc!$Y$343&gt;'Calc'!$B$8,"",MAX(Calc!$AA$342*(1+'财富模型'!$E$20/12)+'Calc'!$B$6-(IF('Calc'!$E$15=1,0,MIN(Calc!$AA$342*(1+'财富模型'!$E$20/12)+'Calc'!$B$6,IF(Calc!$Y$343&lt;='财富模型'!$E$11*12,'Calc'!$W$15,'Calc'!$Y$15)))),0))</x:f>
      </x:c>
      <x:c r="AB343" t="str">
        <x:f>IF(Calc!$Y$343&gt;'Calc'!$B$8,"",IF('Calc'!$E$15=1,'财富模型'!$E$9,'财富模型'!$M$7+IF(Calc!$Y$343&lt;='财富模型'!$E$11*12,'Calc'!$W$15,'Calc'!$Y$15)-(IF('Calc'!$E$15=1,0,MIN(Calc!$AA$342*(1+'财富模型'!$E$20/12)+'Calc'!$B$6,IF(Calc!$Y$343&lt;='财富模型'!$E$11*12,'Calc'!$W$15,'Calc'!$Y$15))))))</x:f>
      </x:c>
      <x:c r="AC343" t="str">
        <x:f>IF(Calc!$Y$343&gt;'Calc'!$B$8,"",IF('Calc'!$E$15=1,0,MIN(Calc!$AA$342*(1+'财富模型'!$E$20/12)+'Calc'!$B$6,IF(Calc!$Y$343&lt;='财富模型'!$E$11*12,'Calc'!$W$15,'Calc'!$Y$15))))</x:f>
      </x:c>
      <x:c r="AD343" t="str">
        <x:f>IF(Calc!$Y$343&gt;'Calc'!$B$8,"",'Calc'!$B$5-'财富模型'!$E$5-(IF('Calc'!$E$15=1,'财富模型'!$E$9,'财富模型'!$M$7+IF(Calc!$Y$343&lt;='财富模型'!$E$11*12,'Calc'!$W$15,'Calc'!$Y$15)-(IF('Calc'!$E$15=1,0,MIN(Calc!$AA$342*(1+'财富模型'!$E$20/12)+'Calc'!$B$6,IF(Calc!$Y$343&lt;='财富模型'!$E$11*12,'Calc'!$W$15,'Calc'!$Y$15)))))))</x:f>
      </x:c>
      <x:c r="AE343" t="str">
        <x:f>IF(Calc!$Y$343&gt;'Calc'!$B$8,"",IF('Calc'!$E$15=1,0,MAX(Calc!$AE$342*(1+IF(Calc!$Y$343&lt;='财富模型'!$E$11*12,'财富模型'!$E$10,'财富模型'!$E$12)/12)-IF('Calc'!$E$15=1,0,IF(Calc!$Y$343&lt;='财富模型'!$E$11*12,'Calc'!$W$15,'Calc'!$Y$15)),0)))</x:f>
      </x:c>
      <x:c r="AG343" t="n">
        <x:v>322</x:v>
      </x:c>
      <x:c r="AH343" t="str">
        <x:f>IF(Calc!$AG$343&gt;'Calc'!$B$8,"",MAX(Calc!$AH$342*(1+'财富模型'!$E$6/12)+('Calc'!$B$5-'财富模型'!$E$5-(IF('Calc'!$E$16=1,'财富模型'!$E$9,'财富模型'!$M$8+IF(Calc!$AG$343&lt;='财富模型'!$E$11*12,'Calc'!$W$16,'Calc'!$Y$16)-(IF('Calc'!$E$16=1,0,MIN(Calc!$AI$342*(1+'财富模型'!$E$20/12)+'Calc'!$B$6,IF(Calc!$AG$343&lt;='财富模型'!$E$11*12,'Calc'!$W$16,'Calc'!$Y$16))))))),0))</x:f>
      </x:c>
      <x:c r="AI343" t="str">
        <x:f>IF(Calc!$AG$343&gt;'Calc'!$B$8,"",MAX(Calc!$AI$342*(1+'财富模型'!$E$20/12)+'Calc'!$B$6-(IF('Calc'!$E$16=1,0,MIN(Calc!$AI$342*(1+'财富模型'!$E$20/12)+'Calc'!$B$6,IF(Calc!$AG$343&lt;='财富模型'!$E$11*12,'Calc'!$W$16,'Calc'!$Y$16)))),0))</x:f>
      </x:c>
      <x:c r="AJ343" t="str">
        <x:f>IF(Calc!$AG$343&gt;'Calc'!$B$8,"",IF('Calc'!$E$16=1,'财富模型'!$E$9,'财富模型'!$M$8+IF(Calc!$AG$343&lt;='财富模型'!$E$11*12,'Calc'!$W$16,'Calc'!$Y$16)-(IF('Calc'!$E$16=1,0,MIN(Calc!$AI$342*(1+'财富模型'!$E$20/12)+'Calc'!$B$6,IF(Calc!$AG$343&lt;='财富模型'!$E$11*12,'Calc'!$W$16,'Calc'!$Y$16))))))</x:f>
      </x:c>
      <x:c r="AK343" t="str">
        <x:f>IF(Calc!$AG$343&gt;'Calc'!$B$8,"",IF('Calc'!$E$16=1,0,MIN(Calc!$AI$342*(1+'财富模型'!$E$20/12)+'Calc'!$B$6,IF(Calc!$AG$343&lt;='财富模型'!$E$11*12,'Calc'!$W$16,'Calc'!$Y$16))))</x:f>
      </x:c>
      <x:c r="AL343" t="str">
        <x:f>IF(Calc!$AG$343&gt;'Calc'!$B$8,"",'Calc'!$B$5-'财富模型'!$E$5-(IF('Calc'!$E$16=1,'财富模型'!$E$9,'财富模型'!$M$8+IF(Calc!$AG$343&lt;='财富模型'!$E$11*12,'Calc'!$W$16,'Calc'!$Y$16)-(IF('Calc'!$E$16=1,0,MIN(Calc!$AI$342*(1+'财富模型'!$E$20/12)+'Calc'!$B$6,IF(Calc!$AG$343&lt;='财富模型'!$E$11*12,'Calc'!$W$16,'Calc'!$Y$16)))))))</x:f>
      </x:c>
      <x:c r="AM343" t="str">
        <x:f>IF(Calc!$AG$343&gt;'Calc'!$B$8,"",IF('Calc'!$E$16=1,0,MAX(Calc!$AM$342*(1+IF(Calc!$AG$343&lt;='财富模型'!$E$11*12,'财富模型'!$E$10,'财富模型'!$E$12)/12)-IF('Calc'!$E$16=1,0,IF(Calc!$AG$343&lt;='财富模型'!$E$11*12,'Calc'!$W$16,'Calc'!$Y$16)),0)))</x:f>
      </x:c>
      <x:c r="AO343" t="n">
        <x:v>322</x:v>
      </x:c>
      <x:c r="AP343" t="str">
        <x:f>IF(Calc!$AO$343&gt;'Calc'!$B$8,"",MAX(Calc!$AP$342*(1+'财富模型'!$E$6/12)+('Calc'!$B$5-'财富模型'!$E$5-(IF('Calc'!$E$17=1,'财富模型'!$E$9,'财富模型'!$M$9+IF(Calc!$AO$343&lt;='财富模型'!$E$11*12,'Calc'!$W$17,'Calc'!$Y$17)-(IF('Calc'!$E$17=1,0,MIN(Calc!$AQ$342*(1+'财富模型'!$E$20/12)+'Calc'!$B$6,IF(Calc!$AO$343&lt;='财富模型'!$E$11*12,'Calc'!$W$17,'Calc'!$Y$17))))))),0))</x:f>
      </x:c>
      <x:c r="AQ343" t="str">
        <x:f>IF(Calc!$AO$343&gt;'Calc'!$B$8,"",MAX(Calc!$AQ$342*(1+'财富模型'!$E$20/12)+'Calc'!$B$6-(IF('Calc'!$E$17=1,0,MIN(Calc!$AQ$342*(1+'财富模型'!$E$20/12)+'Calc'!$B$6,IF(Calc!$AO$343&lt;='财富模型'!$E$11*12,'Calc'!$W$17,'Calc'!$Y$17)))),0))</x:f>
      </x:c>
      <x:c r="AR343" t="str">
        <x:f>IF(Calc!$AO$343&gt;'Calc'!$B$8,"",IF('Calc'!$E$17=1,'财富模型'!$E$9,'财富模型'!$M$9+IF(Calc!$AO$343&lt;='财富模型'!$E$11*12,'Calc'!$W$17,'Calc'!$Y$17)-(IF('Calc'!$E$17=1,0,MIN(Calc!$AQ$342*(1+'财富模型'!$E$20/12)+'Calc'!$B$6,IF(Calc!$AO$343&lt;='财富模型'!$E$11*12,'Calc'!$W$17,'Calc'!$Y$17))))))</x:f>
      </x:c>
      <x:c r="AS343" t="str">
        <x:f>IF(Calc!$AO$343&gt;'Calc'!$B$8,"",IF('Calc'!$E$17=1,0,MIN(Calc!$AQ$342*(1+'财富模型'!$E$20/12)+'Calc'!$B$6,IF(Calc!$AO$343&lt;='财富模型'!$E$11*12,'Calc'!$W$17,'Calc'!$Y$17))))</x:f>
      </x:c>
      <x:c r="AT343" t="str">
        <x:f>IF(Calc!$AO$343&gt;'Calc'!$B$8,"",'Calc'!$B$5-'财富模型'!$E$5-(IF('Calc'!$E$17=1,'财富模型'!$E$9,'财富模型'!$M$9+IF(Calc!$AO$343&lt;='财富模型'!$E$11*12,'Calc'!$W$17,'Calc'!$Y$17)-(IF('Calc'!$E$17=1,0,MIN(Calc!$AQ$342*(1+'财富模型'!$E$20/12)+'Calc'!$B$6,IF(Calc!$AO$343&lt;='财富模型'!$E$11*12,'Calc'!$W$17,'Calc'!$Y$17)))))))</x:f>
      </x:c>
      <x:c r="AU343" t="str">
        <x:f>IF(Calc!$AO$343&gt;'Calc'!$B$8,"",IF('Calc'!$E$17=1,0,MAX(Calc!$AU$342*(1+IF(Calc!$AO$343&lt;='财富模型'!$E$11*12,'财富模型'!$E$10,'财富模型'!$E$12)/12)-IF('Calc'!$E$17=1,0,IF(Calc!$AO$343&lt;='财富模型'!$E$11*12,'Calc'!$W$17,'Calc'!$Y$17)),0)))</x:f>
      </x:c>
    </x:row>
    <x:row r="344">
      <x:c r="A344" t="n">
        <x:v>323</x:v>
      </x:c>
      <x:c r="B344" t="str">
        <x:f>IF(Calc!$A$344&gt;'Calc'!$B$8,"",MAX(Calc!$B$343*(1+'财富模型'!$E$6/12)+('Calc'!$B$5-'财富模型'!$E$5-(IF('Calc'!$E$12=1,'财富模型'!$E$9,'财富模型'!$M$4+IF(Calc!$A$344&lt;='财富模型'!$E$11*12,'Calc'!$W$12,'Calc'!$Y$12)-(IF('Calc'!$E$12=1,0,MIN(Calc!$C$343*(1+'财富模型'!$E$20/12)+'Calc'!$B$6,IF(Calc!$A$344&lt;='财富模型'!$E$11*12,'Calc'!$W$12,'Calc'!$Y$12))))))),0))</x:f>
      </x:c>
      <x:c r="C344" t="str">
        <x:f>IF(Calc!$A$344&gt;'Calc'!$B$8,"",MAX(Calc!$C$343*(1+'财富模型'!$E$20/12)+'Calc'!$B$6-(IF('Calc'!$E$12=1,0,MIN(Calc!$C$343*(1+'财富模型'!$E$20/12)+'Calc'!$B$6,IF(Calc!$A$344&lt;='财富模型'!$E$11*12,'Calc'!$W$12,'Calc'!$Y$12)))),0))</x:f>
      </x:c>
      <x:c r="D344" t="str">
        <x:f>IF(Calc!$A$344&gt;'Calc'!$B$8,"",IF('Calc'!$E$12=1,'财富模型'!$E$9,'财富模型'!$M$4+IF(Calc!$A$344&lt;='财富模型'!$E$11*12,'Calc'!$W$12,'Calc'!$Y$12)-(IF('Calc'!$E$12=1,0,MIN(Calc!$C$343*(1+'财富模型'!$E$20/12)+'Calc'!$B$6,IF(Calc!$A$344&lt;='财富模型'!$E$11*12,'Calc'!$W$12,'Calc'!$Y$12))))))</x:f>
      </x:c>
      <x:c r="E344" t="str">
        <x:f>IF(Calc!$A$344&gt;'Calc'!$B$8,"",IF('Calc'!$E$12=1,0,MIN(Calc!$C$343*(1+'财富模型'!$E$20/12)+'Calc'!$B$6,IF(Calc!$A$344&lt;='财富模型'!$E$11*12,'Calc'!$W$12,'Calc'!$Y$12))))</x:f>
      </x:c>
      <x:c r="F344" t="str">
        <x:f>IF(Calc!$A$344&gt;'Calc'!$B$8,"",'Calc'!$B$5-'财富模型'!$E$5-(IF('Calc'!$E$12=1,'财富模型'!$E$9,'财富模型'!$M$4+IF(Calc!$A$344&lt;='财富模型'!$E$11*12,'Calc'!$W$12,'Calc'!$Y$12)-(IF('Calc'!$E$12=1,0,MIN(Calc!$C$343*(1+'财富模型'!$E$20/12)+'Calc'!$B$6,IF(Calc!$A$344&lt;='财富模型'!$E$11*12,'Calc'!$W$12,'Calc'!$Y$12)))))))</x:f>
      </x:c>
      <x:c r="G344" t="str">
        <x:f>IF(Calc!$A$344&gt;'Calc'!$B$8,"",IF('Calc'!$E$12=1,0,MAX(Calc!$G$343*(1+IF(Calc!$A$344&lt;='财富模型'!$E$11*12,'财富模型'!$E$10,'财富模型'!$E$12)/12)-IF('Calc'!$E$12=1,0,IF(Calc!$A$344&lt;='财富模型'!$E$11*12,'Calc'!$W$12,'Calc'!$Y$12)),0)))</x:f>
      </x:c>
      <x:c r="I344" t="n">
        <x:v>323</x:v>
      </x:c>
      <x:c r="J344" t="str">
        <x:f>IF(Calc!$I$344&gt;'Calc'!$B$8,"",MAX(Calc!$J$343*(1+'财富模型'!$E$6/12)+('Calc'!$B$5-'财富模型'!$E$5-(IF('Calc'!$E$13=1,'财富模型'!$E$9,'财富模型'!$M$5+IF(Calc!$I$344&lt;='财富模型'!$E$11*12,'Calc'!$W$13,'Calc'!$Y$13)-(IF('Calc'!$E$13=1,0,MIN(Calc!$K$343*(1+'财富模型'!$E$20/12)+'Calc'!$B$6,IF(Calc!$I$344&lt;='财富模型'!$E$11*12,'Calc'!$W$13,'Calc'!$Y$13))))))),0))</x:f>
      </x:c>
      <x:c r="K344" t="str">
        <x:f>IF(Calc!$I$344&gt;'Calc'!$B$8,"",MAX(Calc!$K$343*(1+'财富模型'!$E$20/12)+'Calc'!$B$6-(IF('Calc'!$E$13=1,0,MIN(Calc!$K$343*(1+'财富模型'!$E$20/12)+'Calc'!$B$6,IF(Calc!$I$344&lt;='财富模型'!$E$11*12,'Calc'!$W$13,'Calc'!$Y$13)))),0))</x:f>
      </x:c>
      <x:c r="L344" t="str">
        <x:f>IF(Calc!$I$344&gt;'Calc'!$B$8,"",IF('Calc'!$E$13=1,'财富模型'!$E$9,'财富模型'!$M$5+IF(Calc!$I$344&lt;='财富模型'!$E$11*12,'Calc'!$W$13,'Calc'!$Y$13)-(IF('Calc'!$E$13=1,0,MIN(Calc!$K$343*(1+'财富模型'!$E$20/12)+'Calc'!$B$6,IF(Calc!$I$344&lt;='财富模型'!$E$11*12,'Calc'!$W$13,'Calc'!$Y$13))))))</x:f>
      </x:c>
      <x:c r="M344" t="str">
        <x:f>IF(Calc!$I$344&gt;'Calc'!$B$8,"",IF('Calc'!$E$13=1,0,MIN(Calc!$K$343*(1+'财富模型'!$E$20/12)+'Calc'!$B$6,IF(Calc!$I$344&lt;='财富模型'!$E$11*12,'Calc'!$W$13,'Calc'!$Y$13))))</x:f>
      </x:c>
      <x:c r="N344" t="str">
        <x:f>IF(Calc!$I$344&gt;'Calc'!$B$8,"",'Calc'!$B$5-'财富模型'!$E$5-(IF('Calc'!$E$13=1,'财富模型'!$E$9,'财富模型'!$M$5+IF(Calc!$I$344&lt;='财富模型'!$E$11*12,'Calc'!$W$13,'Calc'!$Y$13)-(IF('Calc'!$E$13=1,0,MIN(Calc!$K$343*(1+'财富模型'!$E$20/12)+'Calc'!$B$6,IF(Calc!$I$344&lt;='财富模型'!$E$11*12,'Calc'!$W$13,'Calc'!$Y$13)))))))</x:f>
      </x:c>
      <x:c r="O344" t="str">
        <x:f>IF(Calc!$I$344&gt;'Calc'!$B$8,"",IF('Calc'!$E$13=1,0,MAX(Calc!$O$343*(1+IF(Calc!$I$344&lt;='财富模型'!$E$11*12,'财富模型'!$E$10,'财富模型'!$E$12)/12)-IF('Calc'!$E$13=1,0,IF(Calc!$I$344&lt;='财富模型'!$E$11*12,'Calc'!$W$13,'Calc'!$Y$13)),0)))</x:f>
      </x:c>
      <x:c r="Q344" t="n">
        <x:v>323</x:v>
      </x:c>
      <x:c r="R344" t="str">
        <x:f>IF(Calc!$Q$344&gt;'Calc'!$B$8,"",MAX(Calc!$R$343*(1+'财富模型'!$E$6/12)+('Calc'!$B$5-'财富模型'!$E$5-(IF('Calc'!$E$14=1,'财富模型'!$E$9,'财富模型'!$M$6+IF(Calc!$Q$344&lt;='财富模型'!$E$11*12,'Calc'!$W$14,'Calc'!$Y$14)-(IF('Calc'!$E$14=1,0,MIN(Calc!$S$343*(1+'财富模型'!$E$20/12)+'Calc'!$B$6,IF(Calc!$Q$344&lt;='财富模型'!$E$11*12,'Calc'!$W$14,'Calc'!$Y$14))))))),0))</x:f>
      </x:c>
      <x:c r="S344" t="str">
        <x:f>IF(Calc!$Q$344&gt;'Calc'!$B$8,"",MAX(Calc!$S$343*(1+'财富模型'!$E$20/12)+'Calc'!$B$6-(IF('Calc'!$E$14=1,0,MIN(Calc!$S$343*(1+'财富模型'!$E$20/12)+'Calc'!$B$6,IF(Calc!$Q$344&lt;='财富模型'!$E$11*12,'Calc'!$W$14,'Calc'!$Y$14)))),0))</x:f>
      </x:c>
      <x:c r="T344" t="str">
        <x:f>IF(Calc!$Q$344&gt;'Calc'!$B$8,"",IF('Calc'!$E$14=1,'财富模型'!$E$9,'财富模型'!$M$6+IF(Calc!$Q$344&lt;='财富模型'!$E$11*12,'Calc'!$W$14,'Calc'!$Y$14)-(IF('Calc'!$E$14=1,0,MIN(Calc!$S$343*(1+'财富模型'!$E$20/12)+'Calc'!$B$6,IF(Calc!$Q$344&lt;='财富模型'!$E$11*12,'Calc'!$W$14,'Calc'!$Y$14))))))</x:f>
      </x:c>
      <x:c r="U344" t="str">
        <x:f>IF(Calc!$Q$344&gt;'Calc'!$B$8,"",IF('Calc'!$E$14=1,0,MIN(Calc!$S$343*(1+'财富模型'!$E$20/12)+'Calc'!$B$6,IF(Calc!$Q$344&lt;='财富模型'!$E$11*12,'Calc'!$W$14,'Calc'!$Y$14))))</x:f>
      </x:c>
      <x:c r="V344" t="str">
        <x:f>IF(Calc!$Q$344&gt;'Calc'!$B$8,"",'Calc'!$B$5-'财富模型'!$E$5-(IF('Calc'!$E$14=1,'财富模型'!$E$9,'财富模型'!$M$6+IF(Calc!$Q$344&lt;='财富模型'!$E$11*12,'Calc'!$W$14,'Calc'!$Y$14)-(IF('Calc'!$E$14=1,0,MIN(Calc!$S$343*(1+'财富模型'!$E$20/12)+'Calc'!$B$6,IF(Calc!$Q$344&lt;='财富模型'!$E$11*12,'Calc'!$W$14,'Calc'!$Y$14)))))))</x:f>
      </x:c>
      <x:c r="W344" t="str">
        <x:f>IF(Calc!$Q$344&gt;'Calc'!$B$8,"",IF('Calc'!$E$14=1,0,MAX(Calc!$W$343*(1+IF(Calc!$Q$344&lt;='财富模型'!$E$11*12,'财富模型'!$E$10,'财富模型'!$E$12)/12)-IF('Calc'!$E$14=1,0,IF(Calc!$Q$344&lt;='财富模型'!$E$11*12,'Calc'!$W$14,'Calc'!$Y$14)),0)))</x:f>
      </x:c>
      <x:c r="Y344" t="n">
        <x:v>323</x:v>
      </x:c>
      <x:c r="Z344" t="str">
        <x:f>IF(Calc!$Y$344&gt;'Calc'!$B$8,"",MAX(Calc!$Z$343*(1+'财富模型'!$E$6/12)+('Calc'!$B$5-'财富模型'!$E$5-(IF('Calc'!$E$15=1,'财富模型'!$E$9,'财富模型'!$M$7+IF(Calc!$Y$344&lt;='财富模型'!$E$11*12,'Calc'!$W$15,'Calc'!$Y$15)-(IF('Calc'!$E$15=1,0,MIN(Calc!$AA$343*(1+'财富模型'!$E$20/12)+'Calc'!$B$6,IF(Calc!$Y$344&lt;='财富模型'!$E$11*12,'Calc'!$W$15,'Calc'!$Y$15))))))),0))</x:f>
      </x:c>
      <x:c r="AA344" t="str">
        <x:f>IF(Calc!$Y$344&gt;'Calc'!$B$8,"",MAX(Calc!$AA$343*(1+'财富模型'!$E$20/12)+'Calc'!$B$6-(IF('Calc'!$E$15=1,0,MIN(Calc!$AA$343*(1+'财富模型'!$E$20/12)+'Calc'!$B$6,IF(Calc!$Y$344&lt;='财富模型'!$E$11*12,'Calc'!$W$15,'Calc'!$Y$15)))),0))</x:f>
      </x:c>
      <x:c r="AB344" t="str">
        <x:f>IF(Calc!$Y$344&gt;'Calc'!$B$8,"",IF('Calc'!$E$15=1,'财富模型'!$E$9,'财富模型'!$M$7+IF(Calc!$Y$344&lt;='财富模型'!$E$11*12,'Calc'!$W$15,'Calc'!$Y$15)-(IF('Calc'!$E$15=1,0,MIN(Calc!$AA$343*(1+'财富模型'!$E$20/12)+'Calc'!$B$6,IF(Calc!$Y$344&lt;='财富模型'!$E$11*12,'Calc'!$W$15,'Calc'!$Y$15))))))</x:f>
      </x:c>
      <x:c r="AC344" t="str">
        <x:f>IF(Calc!$Y$344&gt;'Calc'!$B$8,"",IF('Calc'!$E$15=1,0,MIN(Calc!$AA$343*(1+'财富模型'!$E$20/12)+'Calc'!$B$6,IF(Calc!$Y$344&lt;='财富模型'!$E$11*12,'Calc'!$W$15,'Calc'!$Y$15))))</x:f>
      </x:c>
      <x:c r="AD344" t="str">
        <x:f>IF(Calc!$Y$344&gt;'Calc'!$B$8,"",'Calc'!$B$5-'财富模型'!$E$5-(IF('Calc'!$E$15=1,'财富模型'!$E$9,'财富模型'!$M$7+IF(Calc!$Y$344&lt;='财富模型'!$E$11*12,'Calc'!$W$15,'Calc'!$Y$15)-(IF('Calc'!$E$15=1,0,MIN(Calc!$AA$343*(1+'财富模型'!$E$20/12)+'Calc'!$B$6,IF(Calc!$Y$344&lt;='财富模型'!$E$11*12,'Calc'!$W$15,'Calc'!$Y$15)))))))</x:f>
      </x:c>
      <x:c r="AE344" t="str">
        <x:f>IF(Calc!$Y$344&gt;'Calc'!$B$8,"",IF('Calc'!$E$15=1,0,MAX(Calc!$AE$343*(1+IF(Calc!$Y$344&lt;='财富模型'!$E$11*12,'财富模型'!$E$10,'财富模型'!$E$12)/12)-IF('Calc'!$E$15=1,0,IF(Calc!$Y$344&lt;='财富模型'!$E$11*12,'Calc'!$W$15,'Calc'!$Y$15)),0)))</x:f>
      </x:c>
      <x:c r="AG344" t="n">
        <x:v>323</x:v>
      </x:c>
      <x:c r="AH344" t="str">
        <x:f>IF(Calc!$AG$344&gt;'Calc'!$B$8,"",MAX(Calc!$AH$343*(1+'财富模型'!$E$6/12)+('Calc'!$B$5-'财富模型'!$E$5-(IF('Calc'!$E$16=1,'财富模型'!$E$9,'财富模型'!$M$8+IF(Calc!$AG$344&lt;='财富模型'!$E$11*12,'Calc'!$W$16,'Calc'!$Y$16)-(IF('Calc'!$E$16=1,0,MIN(Calc!$AI$343*(1+'财富模型'!$E$20/12)+'Calc'!$B$6,IF(Calc!$AG$344&lt;='财富模型'!$E$11*12,'Calc'!$W$16,'Calc'!$Y$16))))))),0))</x:f>
      </x:c>
      <x:c r="AI344" t="str">
        <x:f>IF(Calc!$AG$344&gt;'Calc'!$B$8,"",MAX(Calc!$AI$343*(1+'财富模型'!$E$20/12)+'Calc'!$B$6-(IF('Calc'!$E$16=1,0,MIN(Calc!$AI$343*(1+'财富模型'!$E$20/12)+'Calc'!$B$6,IF(Calc!$AG$344&lt;='财富模型'!$E$11*12,'Calc'!$W$16,'Calc'!$Y$16)))),0))</x:f>
      </x:c>
      <x:c r="AJ344" t="str">
        <x:f>IF(Calc!$AG$344&gt;'Calc'!$B$8,"",IF('Calc'!$E$16=1,'财富模型'!$E$9,'财富模型'!$M$8+IF(Calc!$AG$344&lt;='财富模型'!$E$11*12,'Calc'!$W$16,'Calc'!$Y$16)-(IF('Calc'!$E$16=1,0,MIN(Calc!$AI$343*(1+'财富模型'!$E$20/12)+'Calc'!$B$6,IF(Calc!$AG$344&lt;='财富模型'!$E$11*12,'Calc'!$W$16,'Calc'!$Y$16))))))</x:f>
      </x:c>
      <x:c r="AK344" t="str">
        <x:f>IF(Calc!$AG$344&gt;'Calc'!$B$8,"",IF('Calc'!$E$16=1,0,MIN(Calc!$AI$343*(1+'财富模型'!$E$20/12)+'Calc'!$B$6,IF(Calc!$AG$344&lt;='财富模型'!$E$11*12,'Calc'!$W$16,'Calc'!$Y$16))))</x:f>
      </x:c>
      <x:c r="AL344" t="str">
        <x:f>IF(Calc!$AG$344&gt;'Calc'!$B$8,"",'Calc'!$B$5-'财富模型'!$E$5-(IF('Calc'!$E$16=1,'财富模型'!$E$9,'财富模型'!$M$8+IF(Calc!$AG$344&lt;='财富模型'!$E$11*12,'Calc'!$W$16,'Calc'!$Y$16)-(IF('Calc'!$E$16=1,0,MIN(Calc!$AI$343*(1+'财富模型'!$E$20/12)+'Calc'!$B$6,IF(Calc!$AG$344&lt;='财富模型'!$E$11*12,'Calc'!$W$16,'Calc'!$Y$16)))))))</x:f>
      </x:c>
      <x:c r="AM344" t="str">
        <x:f>IF(Calc!$AG$344&gt;'Calc'!$B$8,"",IF('Calc'!$E$16=1,0,MAX(Calc!$AM$343*(1+IF(Calc!$AG$344&lt;='财富模型'!$E$11*12,'财富模型'!$E$10,'财富模型'!$E$12)/12)-IF('Calc'!$E$16=1,0,IF(Calc!$AG$344&lt;='财富模型'!$E$11*12,'Calc'!$W$16,'Calc'!$Y$16)),0)))</x:f>
      </x:c>
      <x:c r="AO344" t="n">
        <x:v>323</x:v>
      </x:c>
      <x:c r="AP344" t="str">
        <x:f>IF(Calc!$AO$344&gt;'Calc'!$B$8,"",MAX(Calc!$AP$343*(1+'财富模型'!$E$6/12)+('Calc'!$B$5-'财富模型'!$E$5-(IF('Calc'!$E$17=1,'财富模型'!$E$9,'财富模型'!$M$9+IF(Calc!$AO$344&lt;='财富模型'!$E$11*12,'Calc'!$W$17,'Calc'!$Y$17)-(IF('Calc'!$E$17=1,0,MIN(Calc!$AQ$343*(1+'财富模型'!$E$20/12)+'Calc'!$B$6,IF(Calc!$AO$344&lt;='财富模型'!$E$11*12,'Calc'!$W$17,'Calc'!$Y$17))))))),0))</x:f>
      </x:c>
      <x:c r="AQ344" t="str">
        <x:f>IF(Calc!$AO$344&gt;'Calc'!$B$8,"",MAX(Calc!$AQ$343*(1+'财富模型'!$E$20/12)+'Calc'!$B$6-(IF('Calc'!$E$17=1,0,MIN(Calc!$AQ$343*(1+'财富模型'!$E$20/12)+'Calc'!$B$6,IF(Calc!$AO$344&lt;='财富模型'!$E$11*12,'Calc'!$W$17,'Calc'!$Y$17)))),0))</x:f>
      </x:c>
      <x:c r="AR344" t="str">
        <x:f>IF(Calc!$AO$344&gt;'Calc'!$B$8,"",IF('Calc'!$E$17=1,'财富模型'!$E$9,'财富模型'!$M$9+IF(Calc!$AO$344&lt;='财富模型'!$E$11*12,'Calc'!$W$17,'Calc'!$Y$17)-(IF('Calc'!$E$17=1,0,MIN(Calc!$AQ$343*(1+'财富模型'!$E$20/12)+'Calc'!$B$6,IF(Calc!$AO$344&lt;='财富模型'!$E$11*12,'Calc'!$W$17,'Calc'!$Y$17))))))</x:f>
      </x:c>
      <x:c r="AS344" t="str">
        <x:f>IF(Calc!$AO$344&gt;'Calc'!$B$8,"",IF('Calc'!$E$17=1,0,MIN(Calc!$AQ$343*(1+'财富模型'!$E$20/12)+'Calc'!$B$6,IF(Calc!$AO$344&lt;='财富模型'!$E$11*12,'Calc'!$W$17,'Calc'!$Y$17))))</x:f>
      </x:c>
      <x:c r="AT344" t="str">
        <x:f>IF(Calc!$AO$344&gt;'Calc'!$B$8,"",'Calc'!$B$5-'财富模型'!$E$5-(IF('Calc'!$E$17=1,'财富模型'!$E$9,'财富模型'!$M$9+IF(Calc!$AO$344&lt;='财富模型'!$E$11*12,'Calc'!$W$17,'Calc'!$Y$17)-(IF('Calc'!$E$17=1,0,MIN(Calc!$AQ$343*(1+'财富模型'!$E$20/12)+'Calc'!$B$6,IF(Calc!$AO$344&lt;='财富模型'!$E$11*12,'Calc'!$W$17,'Calc'!$Y$17)))))))</x:f>
      </x:c>
      <x:c r="AU344" t="str">
        <x:f>IF(Calc!$AO$344&gt;'Calc'!$B$8,"",IF('Calc'!$E$17=1,0,MAX(Calc!$AU$343*(1+IF(Calc!$AO$344&lt;='财富模型'!$E$11*12,'财富模型'!$E$10,'财富模型'!$E$12)/12)-IF('Calc'!$E$17=1,0,IF(Calc!$AO$344&lt;='财富模型'!$E$11*12,'Calc'!$W$17,'Calc'!$Y$17)),0)))</x:f>
      </x:c>
    </x:row>
    <x:row r="345">
      <x:c r="A345" t="n">
        <x:v>324</x:v>
      </x:c>
      <x:c r="B345" t="str">
        <x:f>IF(Calc!$A$345&gt;'Calc'!$B$8,"",MAX(Calc!$B$344*(1+'财富模型'!$E$6/12)+('Calc'!$B$5-'财富模型'!$E$5-(IF('Calc'!$E$12=1,'财富模型'!$E$9,'财富模型'!$M$4+IF(Calc!$A$345&lt;='财富模型'!$E$11*12,'Calc'!$W$12,'Calc'!$Y$12)-(IF('Calc'!$E$12=1,0,MIN(Calc!$C$344*(1+'财富模型'!$E$20/12)+'Calc'!$B$6,IF(Calc!$A$345&lt;='财富模型'!$E$11*12,'Calc'!$W$12,'Calc'!$Y$12))))))),0))</x:f>
      </x:c>
      <x:c r="C345" t="str">
        <x:f>IF(Calc!$A$345&gt;'Calc'!$B$8,"",MAX(Calc!$C$344*(1+'财富模型'!$E$20/12)+'Calc'!$B$6-(IF('Calc'!$E$12=1,0,MIN(Calc!$C$344*(1+'财富模型'!$E$20/12)+'Calc'!$B$6,IF(Calc!$A$345&lt;='财富模型'!$E$11*12,'Calc'!$W$12,'Calc'!$Y$12)))),0))</x:f>
      </x:c>
      <x:c r="D345" t="str">
        <x:f>IF(Calc!$A$345&gt;'Calc'!$B$8,"",IF('Calc'!$E$12=1,'财富模型'!$E$9,'财富模型'!$M$4+IF(Calc!$A$345&lt;='财富模型'!$E$11*12,'Calc'!$W$12,'Calc'!$Y$12)-(IF('Calc'!$E$12=1,0,MIN(Calc!$C$344*(1+'财富模型'!$E$20/12)+'Calc'!$B$6,IF(Calc!$A$345&lt;='财富模型'!$E$11*12,'Calc'!$W$12,'Calc'!$Y$12))))))</x:f>
      </x:c>
      <x:c r="E345" t="str">
        <x:f>IF(Calc!$A$345&gt;'Calc'!$B$8,"",IF('Calc'!$E$12=1,0,MIN(Calc!$C$344*(1+'财富模型'!$E$20/12)+'Calc'!$B$6,IF(Calc!$A$345&lt;='财富模型'!$E$11*12,'Calc'!$W$12,'Calc'!$Y$12))))</x:f>
      </x:c>
      <x:c r="F345" t="str">
        <x:f>IF(Calc!$A$345&gt;'Calc'!$B$8,"",'Calc'!$B$5-'财富模型'!$E$5-(IF('Calc'!$E$12=1,'财富模型'!$E$9,'财富模型'!$M$4+IF(Calc!$A$345&lt;='财富模型'!$E$11*12,'Calc'!$W$12,'Calc'!$Y$12)-(IF('Calc'!$E$12=1,0,MIN(Calc!$C$344*(1+'财富模型'!$E$20/12)+'Calc'!$B$6,IF(Calc!$A$345&lt;='财富模型'!$E$11*12,'Calc'!$W$12,'Calc'!$Y$12)))))))</x:f>
      </x:c>
      <x:c r="G345" t="str">
        <x:f>IF(Calc!$A$345&gt;'Calc'!$B$8,"",IF('Calc'!$E$12=1,0,MAX(Calc!$G$344*(1+IF(Calc!$A$345&lt;='财富模型'!$E$11*12,'财富模型'!$E$10,'财富模型'!$E$12)/12)-IF('Calc'!$E$12=1,0,IF(Calc!$A$345&lt;='财富模型'!$E$11*12,'Calc'!$W$12,'Calc'!$Y$12)),0)))</x:f>
      </x:c>
      <x:c r="I345" t="n">
        <x:v>324</x:v>
      </x:c>
      <x:c r="J345" t="str">
        <x:f>IF(Calc!$I$345&gt;'Calc'!$B$8,"",MAX(Calc!$J$344*(1+'财富模型'!$E$6/12)+('Calc'!$B$5-'财富模型'!$E$5-(IF('Calc'!$E$13=1,'财富模型'!$E$9,'财富模型'!$M$5+IF(Calc!$I$345&lt;='财富模型'!$E$11*12,'Calc'!$W$13,'Calc'!$Y$13)-(IF('Calc'!$E$13=1,0,MIN(Calc!$K$344*(1+'财富模型'!$E$20/12)+'Calc'!$B$6,IF(Calc!$I$345&lt;='财富模型'!$E$11*12,'Calc'!$W$13,'Calc'!$Y$13))))))),0))</x:f>
      </x:c>
      <x:c r="K345" t="str">
        <x:f>IF(Calc!$I$345&gt;'Calc'!$B$8,"",MAX(Calc!$K$344*(1+'财富模型'!$E$20/12)+'Calc'!$B$6-(IF('Calc'!$E$13=1,0,MIN(Calc!$K$344*(1+'财富模型'!$E$20/12)+'Calc'!$B$6,IF(Calc!$I$345&lt;='财富模型'!$E$11*12,'Calc'!$W$13,'Calc'!$Y$13)))),0))</x:f>
      </x:c>
      <x:c r="L345" t="str">
        <x:f>IF(Calc!$I$345&gt;'Calc'!$B$8,"",IF('Calc'!$E$13=1,'财富模型'!$E$9,'财富模型'!$M$5+IF(Calc!$I$345&lt;='财富模型'!$E$11*12,'Calc'!$W$13,'Calc'!$Y$13)-(IF('Calc'!$E$13=1,0,MIN(Calc!$K$344*(1+'财富模型'!$E$20/12)+'Calc'!$B$6,IF(Calc!$I$345&lt;='财富模型'!$E$11*12,'Calc'!$W$13,'Calc'!$Y$13))))))</x:f>
      </x:c>
      <x:c r="M345" t="str">
        <x:f>IF(Calc!$I$345&gt;'Calc'!$B$8,"",IF('Calc'!$E$13=1,0,MIN(Calc!$K$344*(1+'财富模型'!$E$20/12)+'Calc'!$B$6,IF(Calc!$I$345&lt;='财富模型'!$E$11*12,'Calc'!$W$13,'Calc'!$Y$13))))</x:f>
      </x:c>
      <x:c r="N345" t="str">
        <x:f>IF(Calc!$I$345&gt;'Calc'!$B$8,"",'Calc'!$B$5-'财富模型'!$E$5-(IF('Calc'!$E$13=1,'财富模型'!$E$9,'财富模型'!$M$5+IF(Calc!$I$345&lt;='财富模型'!$E$11*12,'Calc'!$W$13,'Calc'!$Y$13)-(IF('Calc'!$E$13=1,0,MIN(Calc!$K$344*(1+'财富模型'!$E$20/12)+'Calc'!$B$6,IF(Calc!$I$345&lt;='财富模型'!$E$11*12,'Calc'!$W$13,'Calc'!$Y$13)))))))</x:f>
      </x:c>
      <x:c r="O345" t="str">
        <x:f>IF(Calc!$I$345&gt;'Calc'!$B$8,"",IF('Calc'!$E$13=1,0,MAX(Calc!$O$344*(1+IF(Calc!$I$345&lt;='财富模型'!$E$11*12,'财富模型'!$E$10,'财富模型'!$E$12)/12)-IF('Calc'!$E$13=1,0,IF(Calc!$I$345&lt;='财富模型'!$E$11*12,'Calc'!$W$13,'Calc'!$Y$13)),0)))</x:f>
      </x:c>
      <x:c r="Q345" t="n">
        <x:v>324</x:v>
      </x:c>
      <x:c r="R345" t="str">
        <x:f>IF(Calc!$Q$345&gt;'Calc'!$B$8,"",MAX(Calc!$R$344*(1+'财富模型'!$E$6/12)+('Calc'!$B$5-'财富模型'!$E$5-(IF('Calc'!$E$14=1,'财富模型'!$E$9,'财富模型'!$M$6+IF(Calc!$Q$345&lt;='财富模型'!$E$11*12,'Calc'!$W$14,'Calc'!$Y$14)-(IF('Calc'!$E$14=1,0,MIN(Calc!$S$344*(1+'财富模型'!$E$20/12)+'Calc'!$B$6,IF(Calc!$Q$345&lt;='财富模型'!$E$11*12,'Calc'!$W$14,'Calc'!$Y$14))))))),0))</x:f>
      </x:c>
      <x:c r="S345" t="str">
        <x:f>IF(Calc!$Q$345&gt;'Calc'!$B$8,"",MAX(Calc!$S$344*(1+'财富模型'!$E$20/12)+'Calc'!$B$6-(IF('Calc'!$E$14=1,0,MIN(Calc!$S$344*(1+'财富模型'!$E$20/12)+'Calc'!$B$6,IF(Calc!$Q$345&lt;='财富模型'!$E$11*12,'Calc'!$W$14,'Calc'!$Y$14)))),0))</x:f>
      </x:c>
      <x:c r="T345" t="str">
        <x:f>IF(Calc!$Q$345&gt;'Calc'!$B$8,"",IF('Calc'!$E$14=1,'财富模型'!$E$9,'财富模型'!$M$6+IF(Calc!$Q$345&lt;='财富模型'!$E$11*12,'Calc'!$W$14,'Calc'!$Y$14)-(IF('Calc'!$E$14=1,0,MIN(Calc!$S$344*(1+'财富模型'!$E$20/12)+'Calc'!$B$6,IF(Calc!$Q$345&lt;='财富模型'!$E$11*12,'Calc'!$W$14,'Calc'!$Y$14))))))</x:f>
      </x:c>
      <x:c r="U345" t="str">
        <x:f>IF(Calc!$Q$345&gt;'Calc'!$B$8,"",IF('Calc'!$E$14=1,0,MIN(Calc!$S$344*(1+'财富模型'!$E$20/12)+'Calc'!$B$6,IF(Calc!$Q$345&lt;='财富模型'!$E$11*12,'Calc'!$W$14,'Calc'!$Y$14))))</x:f>
      </x:c>
      <x:c r="V345" t="str">
        <x:f>IF(Calc!$Q$345&gt;'Calc'!$B$8,"",'Calc'!$B$5-'财富模型'!$E$5-(IF('Calc'!$E$14=1,'财富模型'!$E$9,'财富模型'!$M$6+IF(Calc!$Q$345&lt;='财富模型'!$E$11*12,'Calc'!$W$14,'Calc'!$Y$14)-(IF('Calc'!$E$14=1,0,MIN(Calc!$S$344*(1+'财富模型'!$E$20/12)+'Calc'!$B$6,IF(Calc!$Q$345&lt;='财富模型'!$E$11*12,'Calc'!$W$14,'Calc'!$Y$14)))))))</x:f>
      </x:c>
      <x:c r="W345" t="str">
        <x:f>IF(Calc!$Q$345&gt;'Calc'!$B$8,"",IF('Calc'!$E$14=1,0,MAX(Calc!$W$344*(1+IF(Calc!$Q$345&lt;='财富模型'!$E$11*12,'财富模型'!$E$10,'财富模型'!$E$12)/12)-IF('Calc'!$E$14=1,0,IF(Calc!$Q$345&lt;='财富模型'!$E$11*12,'Calc'!$W$14,'Calc'!$Y$14)),0)))</x:f>
      </x:c>
      <x:c r="Y345" t="n">
        <x:v>324</x:v>
      </x:c>
      <x:c r="Z345" t="str">
        <x:f>IF(Calc!$Y$345&gt;'Calc'!$B$8,"",MAX(Calc!$Z$344*(1+'财富模型'!$E$6/12)+('Calc'!$B$5-'财富模型'!$E$5-(IF('Calc'!$E$15=1,'财富模型'!$E$9,'财富模型'!$M$7+IF(Calc!$Y$345&lt;='财富模型'!$E$11*12,'Calc'!$W$15,'Calc'!$Y$15)-(IF('Calc'!$E$15=1,0,MIN(Calc!$AA$344*(1+'财富模型'!$E$20/12)+'Calc'!$B$6,IF(Calc!$Y$345&lt;='财富模型'!$E$11*12,'Calc'!$W$15,'Calc'!$Y$15))))))),0))</x:f>
      </x:c>
      <x:c r="AA345" t="str">
        <x:f>IF(Calc!$Y$345&gt;'Calc'!$B$8,"",MAX(Calc!$AA$344*(1+'财富模型'!$E$20/12)+'Calc'!$B$6-(IF('Calc'!$E$15=1,0,MIN(Calc!$AA$344*(1+'财富模型'!$E$20/12)+'Calc'!$B$6,IF(Calc!$Y$345&lt;='财富模型'!$E$11*12,'Calc'!$W$15,'Calc'!$Y$15)))),0))</x:f>
      </x:c>
      <x:c r="AB345" t="str">
        <x:f>IF(Calc!$Y$345&gt;'Calc'!$B$8,"",IF('Calc'!$E$15=1,'财富模型'!$E$9,'财富模型'!$M$7+IF(Calc!$Y$345&lt;='财富模型'!$E$11*12,'Calc'!$W$15,'Calc'!$Y$15)-(IF('Calc'!$E$15=1,0,MIN(Calc!$AA$344*(1+'财富模型'!$E$20/12)+'Calc'!$B$6,IF(Calc!$Y$345&lt;='财富模型'!$E$11*12,'Calc'!$W$15,'Calc'!$Y$15))))))</x:f>
      </x:c>
      <x:c r="AC345" t="str">
        <x:f>IF(Calc!$Y$345&gt;'Calc'!$B$8,"",IF('Calc'!$E$15=1,0,MIN(Calc!$AA$344*(1+'财富模型'!$E$20/12)+'Calc'!$B$6,IF(Calc!$Y$345&lt;='财富模型'!$E$11*12,'Calc'!$W$15,'Calc'!$Y$15))))</x:f>
      </x:c>
      <x:c r="AD345" t="str">
        <x:f>IF(Calc!$Y$345&gt;'Calc'!$B$8,"",'Calc'!$B$5-'财富模型'!$E$5-(IF('Calc'!$E$15=1,'财富模型'!$E$9,'财富模型'!$M$7+IF(Calc!$Y$345&lt;='财富模型'!$E$11*12,'Calc'!$W$15,'Calc'!$Y$15)-(IF('Calc'!$E$15=1,0,MIN(Calc!$AA$344*(1+'财富模型'!$E$20/12)+'Calc'!$B$6,IF(Calc!$Y$345&lt;='财富模型'!$E$11*12,'Calc'!$W$15,'Calc'!$Y$15)))))))</x:f>
      </x:c>
      <x:c r="AE345" t="str">
        <x:f>IF(Calc!$Y$345&gt;'Calc'!$B$8,"",IF('Calc'!$E$15=1,0,MAX(Calc!$AE$344*(1+IF(Calc!$Y$345&lt;='财富模型'!$E$11*12,'财富模型'!$E$10,'财富模型'!$E$12)/12)-IF('Calc'!$E$15=1,0,IF(Calc!$Y$345&lt;='财富模型'!$E$11*12,'Calc'!$W$15,'Calc'!$Y$15)),0)))</x:f>
      </x:c>
      <x:c r="AG345" t="n">
        <x:v>324</x:v>
      </x:c>
      <x:c r="AH345" t="str">
        <x:f>IF(Calc!$AG$345&gt;'Calc'!$B$8,"",MAX(Calc!$AH$344*(1+'财富模型'!$E$6/12)+('Calc'!$B$5-'财富模型'!$E$5-(IF('Calc'!$E$16=1,'财富模型'!$E$9,'财富模型'!$M$8+IF(Calc!$AG$345&lt;='财富模型'!$E$11*12,'Calc'!$W$16,'Calc'!$Y$16)-(IF('Calc'!$E$16=1,0,MIN(Calc!$AI$344*(1+'财富模型'!$E$20/12)+'Calc'!$B$6,IF(Calc!$AG$345&lt;='财富模型'!$E$11*12,'Calc'!$W$16,'Calc'!$Y$16))))))),0))</x:f>
      </x:c>
      <x:c r="AI345" t="str">
        <x:f>IF(Calc!$AG$345&gt;'Calc'!$B$8,"",MAX(Calc!$AI$344*(1+'财富模型'!$E$20/12)+'Calc'!$B$6-(IF('Calc'!$E$16=1,0,MIN(Calc!$AI$344*(1+'财富模型'!$E$20/12)+'Calc'!$B$6,IF(Calc!$AG$345&lt;='财富模型'!$E$11*12,'Calc'!$W$16,'Calc'!$Y$16)))),0))</x:f>
      </x:c>
      <x:c r="AJ345" t="str">
        <x:f>IF(Calc!$AG$345&gt;'Calc'!$B$8,"",IF('Calc'!$E$16=1,'财富模型'!$E$9,'财富模型'!$M$8+IF(Calc!$AG$345&lt;='财富模型'!$E$11*12,'Calc'!$W$16,'Calc'!$Y$16)-(IF('Calc'!$E$16=1,0,MIN(Calc!$AI$344*(1+'财富模型'!$E$20/12)+'Calc'!$B$6,IF(Calc!$AG$345&lt;='财富模型'!$E$11*12,'Calc'!$W$16,'Calc'!$Y$16))))))</x:f>
      </x:c>
      <x:c r="AK345" t="str">
        <x:f>IF(Calc!$AG$345&gt;'Calc'!$B$8,"",IF('Calc'!$E$16=1,0,MIN(Calc!$AI$344*(1+'财富模型'!$E$20/12)+'Calc'!$B$6,IF(Calc!$AG$345&lt;='财富模型'!$E$11*12,'Calc'!$W$16,'Calc'!$Y$16))))</x:f>
      </x:c>
      <x:c r="AL345" t="str">
        <x:f>IF(Calc!$AG$345&gt;'Calc'!$B$8,"",'Calc'!$B$5-'财富模型'!$E$5-(IF('Calc'!$E$16=1,'财富模型'!$E$9,'财富模型'!$M$8+IF(Calc!$AG$345&lt;='财富模型'!$E$11*12,'Calc'!$W$16,'Calc'!$Y$16)-(IF('Calc'!$E$16=1,0,MIN(Calc!$AI$344*(1+'财富模型'!$E$20/12)+'Calc'!$B$6,IF(Calc!$AG$345&lt;='财富模型'!$E$11*12,'Calc'!$W$16,'Calc'!$Y$16)))))))</x:f>
      </x:c>
      <x:c r="AM345" t="str">
        <x:f>IF(Calc!$AG$345&gt;'Calc'!$B$8,"",IF('Calc'!$E$16=1,0,MAX(Calc!$AM$344*(1+IF(Calc!$AG$345&lt;='财富模型'!$E$11*12,'财富模型'!$E$10,'财富模型'!$E$12)/12)-IF('Calc'!$E$16=1,0,IF(Calc!$AG$345&lt;='财富模型'!$E$11*12,'Calc'!$W$16,'Calc'!$Y$16)),0)))</x:f>
      </x:c>
      <x:c r="AO345" t="n">
        <x:v>324</x:v>
      </x:c>
      <x:c r="AP345" t="str">
        <x:f>IF(Calc!$AO$345&gt;'Calc'!$B$8,"",MAX(Calc!$AP$344*(1+'财富模型'!$E$6/12)+('Calc'!$B$5-'财富模型'!$E$5-(IF('Calc'!$E$17=1,'财富模型'!$E$9,'财富模型'!$M$9+IF(Calc!$AO$345&lt;='财富模型'!$E$11*12,'Calc'!$W$17,'Calc'!$Y$17)-(IF('Calc'!$E$17=1,0,MIN(Calc!$AQ$344*(1+'财富模型'!$E$20/12)+'Calc'!$B$6,IF(Calc!$AO$345&lt;='财富模型'!$E$11*12,'Calc'!$W$17,'Calc'!$Y$17))))))),0))</x:f>
      </x:c>
      <x:c r="AQ345" t="str">
        <x:f>IF(Calc!$AO$345&gt;'Calc'!$B$8,"",MAX(Calc!$AQ$344*(1+'财富模型'!$E$20/12)+'Calc'!$B$6-(IF('Calc'!$E$17=1,0,MIN(Calc!$AQ$344*(1+'财富模型'!$E$20/12)+'Calc'!$B$6,IF(Calc!$AO$345&lt;='财富模型'!$E$11*12,'Calc'!$W$17,'Calc'!$Y$17)))),0))</x:f>
      </x:c>
      <x:c r="AR345" t="str">
        <x:f>IF(Calc!$AO$345&gt;'Calc'!$B$8,"",IF('Calc'!$E$17=1,'财富模型'!$E$9,'财富模型'!$M$9+IF(Calc!$AO$345&lt;='财富模型'!$E$11*12,'Calc'!$W$17,'Calc'!$Y$17)-(IF('Calc'!$E$17=1,0,MIN(Calc!$AQ$344*(1+'财富模型'!$E$20/12)+'Calc'!$B$6,IF(Calc!$AO$345&lt;='财富模型'!$E$11*12,'Calc'!$W$17,'Calc'!$Y$17))))))</x:f>
      </x:c>
      <x:c r="AS345" t="str">
        <x:f>IF(Calc!$AO$345&gt;'Calc'!$B$8,"",IF('Calc'!$E$17=1,0,MIN(Calc!$AQ$344*(1+'财富模型'!$E$20/12)+'Calc'!$B$6,IF(Calc!$AO$345&lt;='财富模型'!$E$11*12,'Calc'!$W$17,'Calc'!$Y$17))))</x:f>
      </x:c>
      <x:c r="AT345" t="str">
        <x:f>IF(Calc!$AO$345&gt;'Calc'!$B$8,"",'Calc'!$B$5-'财富模型'!$E$5-(IF('Calc'!$E$17=1,'财富模型'!$E$9,'财富模型'!$M$9+IF(Calc!$AO$345&lt;='财富模型'!$E$11*12,'Calc'!$W$17,'Calc'!$Y$17)-(IF('Calc'!$E$17=1,0,MIN(Calc!$AQ$344*(1+'财富模型'!$E$20/12)+'Calc'!$B$6,IF(Calc!$AO$345&lt;='财富模型'!$E$11*12,'Calc'!$W$17,'Calc'!$Y$17)))))))</x:f>
      </x:c>
      <x:c r="AU345" t="str">
        <x:f>IF(Calc!$AO$345&gt;'Calc'!$B$8,"",IF('Calc'!$E$17=1,0,MAX(Calc!$AU$344*(1+IF(Calc!$AO$345&lt;='财富模型'!$E$11*12,'财富模型'!$E$10,'财富模型'!$E$12)/12)-IF('Calc'!$E$17=1,0,IF(Calc!$AO$345&lt;='财富模型'!$E$11*12,'Calc'!$W$17,'Calc'!$Y$17)),0)))</x:f>
      </x:c>
    </x:row>
    <x:row r="346">
      <x:c r="A346" t="n">
        <x:v>325</x:v>
      </x:c>
      <x:c r="B346" t="str">
        <x:f>IF(Calc!$A$346&gt;'Calc'!$B$8,"",MAX(Calc!$B$345*(1+'财富模型'!$E$6/12)+('Calc'!$B$5-'财富模型'!$E$5-(IF('Calc'!$E$12=1,'财富模型'!$E$9,'财富模型'!$M$4+IF(Calc!$A$346&lt;='财富模型'!$E$11*12,'Calc'!$W$12,'Calc'!$Y$12)-(IF('Calc'!$E$12=1,0,MIN(Calc!$C$345*(1+'财富模型'!$E$20/12)+'Calc'!$B$6,IF(Calc!$A$346&lt;='财富模型'!$E$11*12,'Calc'!$W$12,'Calc'!$Y$12))))))),0))</x:f>
      </x:c>
      <x:c r="C346" t="str">
        <x:f>IF(Calc!$A$346&gt;'Calc'!$B$8,"",MAX(Calc!$C$345*(1+'财富模型'!$E$20/12)+'Calc'!$B$6-(IF('Calc'!$E$12=1,0,MIN(Calc!$C$345*(1+'财富模型'!$E$20/12)+'Calc'!$B$6,IF(Calc!$A$346&lt;='财富模型'!$E$11*12,'Calc'!$W$12,'Calc'!$Y$12)))),0))</x:f>
      </x:c>
      <x:c r="D346" t="str">
        <x:f>IF(Calc!$A$346&gt;'Calc'!$B$8,"",IF('Calc'!$E$12=1,'财富模型'!$E$9,'财富模型'!$M$4+IF(Calc!$A$346&lt;='财富模型'!$E$11*12,'Calc'!$W$12,'Calc'!$Y$12)-(IF('Calc'!$E$12=1,0,MIN(Calc!$C$345*(1+'财富模型'!$E$20/12)+'Calc'!$B$6,IF(Calc!$A$346&lt;='财富模型'!$E$11*12,'Calc'!$W$12,'Calc'!$Y$12))))))</x:f>
      </x:c>
      <x:c r="E346" t="str">
        <x:f>IF(Calc!$A$346&gt;'Calc'!$B$8,"",IF('Calc'!$E$12=1,0,MIN(Calc!$C$345*(1+'财富模型'!$E$20/12)+'Calc'!$B$6,IF(Calc!$A$346&lt;='财富模型'!$E$11*12,'Calc'!$W$12,'Calc'!$Y$12))))</x:f>
      </x:c>
      <x:c r="F346" t="str">
        <x:f>IF(Calc!$A$346&gt;'Calc'!$B$8,"",'Calc'!$B$5-'财富模型'!$E$5-(IF('Calc'!$E$12=1,'财富模型'!$E$9,'财富模型'!$M$4+IF(Calc!$A$346&lt;='财富模型'!$E$11*12,'Calc'!$W$12,'Calc'!$Y$12)-(IF('Calc'!$E$12=1,0,MIN(Calc!$C$345*(1+'财富模型'!$E$20/12)+'Calc'!$B$6,IF(Calc!$A$346&lt;='财富模型'!$E$11*12,'Calc'!$W$12,'Calc'!$Y$12)))))))</x:f>
      </x:c>
      <x:c r="G346" t="str">
        <x:f>IF(Calc!$A$346&gt;'Calc'!$B$8,"",IF('Calc'!$E$12=1,0,MAX(Calc!$G$345*(1+IF(Calc!$A$346&lt;='财富模型'!$E$11*12,'财富模型'!$E$10,'财富模型'!$E$12)/12)-IF('Calc'!$E$12=1,0,IF(Calc!$A$346&lt;='财富模型'!$E$11*12,'Calc'!$W$12,'Calc'!$Y$12)),0)))</x:f>
      </x:c>
      <x:c r="I346" t="n">
        <x:v>325</x:v>
      </x:c>
      <x:c r="J346" t="str">
        <x:f>IF(Calc!$I$346&gt;'Calc'!$B$8,"",MAX(Calc!$J$345*(1+'财富模型'!$E$6/12)+('Calc'!$B$5-'财富模型'!$E$5-(IF('Calc'!$E$13=1,'财富模型'!$E$9,'财富模型'!$M$5+IF(Calc!$I$346&lt;='财富模型'!$E$11*12,'Calc'!$W$13,'Calc'!$Y$13)-(IF('Calc'!$E$13=1,0,MIN(Calc!$K$345*(1+'财富模型'!$E$20/12)+'Calc'!$B$6,IF(Calc!$I$346&lt;='财富模型'!$E$11*12,'Calc'!$W$13,'Calc'!$Y$13))))))),0))</x:f>
      </x:c>
      <x:c r="K346" t="str">
        <x:f>IF(Calc!$I$346&gt;'Calc'!$B$8,"",MAX(Calc!$K$345*(1+'财富模型'!$E$20/12)+'Calc'!$B$6-(IF('Calc'!$E$13=1,0,MIN(Calc!$K$345*(1+'财富模型'!$E$20/12)+'Calc'!$B$6,IF(Calc!$I$346&lt;='财富模型'!$E$11*12,'Calc'!$W$13,'Calc'!$Y$13)))),0))</x:f>
      </x:c>
      <x:c r="L346" t="str">
        <x:f>IF(Calc!$I$346&gt;'Calc'!$B$8,"",IF('Calc'!$E$13=1,'财富模型'!$E$9,'财富模型'!$M$5+IF(Calc!$I$346&lt;='财富模型'!$E$11*12,'Calc'!$W$13,'Calc'!$Y$13)-(IF('Calc'!$E$13=1,0,MIN(Calc!$K$345*(1+'财富模型'!$E$20/12)+'Calc'!$B$6,IF(Calc!$I$346&lt;='财富模型'!$E$11*12,'Calc'!$W$13,'Calc'!$Y$13))))))</x:f>
      </x:c>
      <x:c r="M346" t="str">
        <x:f>IF(Calc!$I$346&gt;'Calc'!$B$8,"",IF('Calc'!$E$13=1,0,MIN(Calc!$K$345*(1+'财富模型'!$E$20/12)+'Calc'!$B$6,IF(Calc!$I$346&lt;='财富模型'!$E$11*12,'Calc'!$W$13,'Calc'!$Y$13))))</x:f>
      </x:c>
      <x:c r="N346" t="str">
        <x:f>IF(Calc!$I$346&gt;'Calc'!$B$8,"",'Calc'!$B$5-'财富模型'!$E$5-(IF('Calc'!$E$13=1,'财富模型'!$E$9,'财富模型'!$M$5+IF(Calc!$I$346&lt;='财富模型'!$E$11*12,'Calc'!$W$13,'Calc'!$Y$13)-(IF('Calc'!$E$13=1,0,MIN(Calc!$K$345*(1+'财富模型'!$E$20/12)+'Calc'!$B$6,IF(Calc!$I$346&lt;='财富模型'!$E$11*12,'Calc'!$W$13,'Calc'!$Y$13)))))))</x:f>
      </x:c>
      <x:c r="O346" t="str">
        <x:f>IF(Calc!$I$346&gt;'Calc'!$B$8,"",IF('Calc'!$E$13=1,0,MAX(Calc!$O$345*(1+IF(Calc!$I$346&lt;='财富模型'!$E$11*12,'财富模型'!$E$10,'财富模型'!$E$12)/12)-IF('Calc'!$E$13=1,0,IF(Calc!$I$346&lt;='财富模型'!$E$11*12,'Calc'!$W$13,'Calc'!$Y$13)),0)))</x:f>
      </x:c>
      <x:c r="Q346" t="n">
        <x:v>325</x:v>
      </x:c>
      <x:c r="R346" t="str">
        <x:f>IF(Calc!$Q$346&gt;'Calc'!$B$8,"",MAX(Calc!$R$345*(1+'财富模型'!$E$6/12)+('Calc'!$B$5-'财富模型'!$E$5-(IF('Calc'!$E$14=1,'财富模型'!$E$9,'财富模型'!$M$6+IF(Calc!$Q$346&lt;='财富模型'!$E$11*12,'Calc'!$W$14,'Calc'!$Y$14)-(IF('Calc'!$E$14=1,0,MIN(Calc!$S$345*(1+'财富模型'!$E$20/12)+'Calc'!$B$6,IF(Calc!$Q$346&lt;='财富模型'!$E$11*12,'Calc'!$W$14,'Calc'!$Y$14))))))),0))</x:f>
      </x:c>
      <x:c r="S346" t="str">
        <x:f>IF(Calc!$Q$346&gt;'Calc'!$B$8,"",MAX(Calc!$S$345*(1+'财富模型'!$E$20/12)+'Calc'!$B$6-(IF('Calc'!$E$14=1,0,MIN(Calc!$S$345*(1+'财富模型'!$E$20/12)+'Calc'!$B$6,IF(Calc!$Q$346&lt;='财富模型'!$E$11*12,'Calc'!$W$14,'Calc'!$Y$14)))),0))</x:f>
      </x:c>
      <x:c r="T346" t="str">
        <x:f>IF(Calc!$Q$346&gt;'Calc'!$B$8,"",IF('Calc'!$E$14=1,'财富模型'!$E$9,'财富模型'!$M$6+IF(Calc!$Q$346&lt;='财富模型'!$E$11*12,'Calc'!$W$14,'Calc'!$Y$14)-(IF('Calc'!$E$14=1,0,MIN(Calc!$S$345*(1+'财富模型'!$E$20/12)+'Calc'!$B$6,IF(Calc!$Q$346&lt;='财富模型'!$E$11*12,'Calc'!$W$14,'Calc'!$Y$14))))))</x:f>
      </x:c>
      <x:c r="U346" t="str">
        <x:f>IF(Calc!$Q$346&gt;'Calc'!$B$8,"",IF('Calc'!$E$14=1,0,MIN(Calc!$S$345*(1+'财富模型'!$E$20/12)+'Calc'!$B$6,IF(Calc!$Q$346&lt;='财富模型'!$E$11*12,'Calc'!$W$14,'Calc'!$Y$14))))</x:f>
      </x:c>
      <x:c r="V346" t="str">
        <x:f>IF(Calc!$Q$346&gt;'Calc'!$B$8,"",'Calc'!$B$5-'财富模型'!$E$5-(IF('Calc'!$E$14=1,'财富模型'!$E$9,'财富模型'!$M$6+IF(Calc!$Q$346&lt;='财富模型'!$E$11*12,'Calc'!$W$14,'Calc'!$Y$14)-(IF('Calc'!$E$14=1,0,MIN(Calc!$S$345*(1+'财富模型'!$E$20/12)+'Calc'!$B$6,IF(Calc!$Q$346&lt;='财富模型'!$E$11*12,'Calc'!$W$14,'Calc'!$Y$14)))))))</x:f>
      </x:c>
      <x:c r="W346" t="str">
        <x:f>IF(Calc!$Q$346&gt;'Calc'!$B$8,"",IF('Calc'!$E$14=1,0,MAX(Calc!$W$345*(1+IF(Calc!$Q$346&lt;='财富模型'!$E$11*12,'财富模型'!$E$10,'财富模型'!$E$12)/12)-IF('Calc'!$E$14=1,0,IF(Calc!$Q$346&lt;='财富模型'!$E$11*12,'Calc'!$W$14,'Calc'!$Y$14)),0)))</x:f>
      </x:c>
      <x:c r="Y346" t="n">
        <x:v>325</x:v>
      </x:c>
      <x:c r="Z346" t="str">
        <x:f>IF(Calc!$Y$346&gt;'Calc'!$B$8,"",MAX(Calc!$Z$345*(1+'财富模型'!$E$6/12)+('Calc'!$B$5-'财富模型'!$E$5-(IF('Calc'!$E$15=1,'财富模型'!$E$9,'财富模型'!$M$7+IF(Calc!$Y$346&lt;='财富模型'!$E$11*12,'Calc'!$W$15,'Calc'!$Y$15)-(IF('Calc'!$E$15=1,0,MIN(Calc!$AA$345*(1+'财富模型'!$E$20/12)+'Calc'!$B$6,IF(Calc!$Y$346&lt;='财富模型'!$E$11*12,'Calc'!$W$15,'Calc'!$Y$15))))))),0))</x:f>
      </x:c>
      <x:c r="AA346" t="str">
        <x:f>IF(Calc!$Y$346&gt;'Calc'!$B$8,"",MAX(Calc!$AA$345*(1+'财富模型'!$E$20/12)+'Calc'!$B$6-(IF('Calc'!$E$15=1,0,MIN(Calc!$AA$345*(1+'财富模型'!$E$20/12)+'Calc'!$B$6,IF(Calc!$Y$346&lt;='财富模型'!$E$11*12,'Calc'!$W$15,'Calc'!$Y$15)))),0))</x:f>
      </x:c>
      <x:c r="AB346" t="str">
        <x:f>IF(Calc!$Y$346&gt;'Calc'!$B$8,"",IF('Calc'!$E$15=1,'财富模型'!$E$9,'财富模型'!$M$7+IF(Calc!$Y$346&lt;='财富模型'!$E$11*12,'Calc'!$W$15,'Calc'!$Y$15)-(IF('Calc'!$E$15=1,0,MIN(Calc!$AA$345*(1+'财富模型'!$E$20/12)+'Calc'!$B$6,IF(Calc!$Y$346&lt;='财富模型'!$E$11*12,'Calc'!$W$15,'Calc'!$Y$15))))))</x:f>
      </x:c>
      <x:c r="AC346" t="str">
        <x:f>IF(Calc!$Y$346&gt;'Calc'!$B$8,"",IF('Calc'!$E$15=1,0,MIN(Calc!$AA$345*(1+'财富模型'!$E$20/12)+'Calc'!$B$6,IF(Calc!$Y$346&lt;='财富模型'!$E$11*12,'Calc'!$W$15,'Calc'!$Y$15))))</x:f>
      </x:c>
      <x:c r="AD346" t="str">
        <x:f>IF(Calc!$Y$346&gt;'Calc'!$B$8,"",'Calc'!$B$5-'财富模型'!$E$5-(IF('Calc'!$E$15=1,'财富模型'!$E$9,'财富模型'!$M$7+IF(Calc!$Y$346&lt;='财富模型'!$E$11*12,'Calc'!$W$15,'Calc'!$Y$15)-(IF('Calc'!$E$15=1,0,MIN(Calc!$AA$345*(1+'财富模型'!$E$20/12)+'Calc'!$B$6,IF(Calc!$Y$346&lt;='财富模型'!$E$11*12,'Calc'!$W$15,'Calc'!$Y$15)))))))</x:f>
      </x:c>
      <x:c r="AE346" t="str">
        <x:f>IF(Calc!$Y$346&gt;'Calc'!$B$8,"",IF('Calc'!$E$15=1,0,MAX(Calc!$AE$345*(1+IF(Calc!$Y$346&lt;='财富模型'!$E$11*12,'财富模型'!$E$10,'财富模型'!$E$12)/12)-IF('Calc'!$E$15=1,0,IF(Calc!$Y$346&lt;='财富模型'!$E$11*12,'Calc'!$W$15,'Calc'!$Y$15)),0)))</x:f>
      </x:c>
      <x:c r="AG346" t="n">
        <x:v>325</x:v>
      </x:c>
      <x:c r="AH346" t="str">
        <x:f>IF(Calc!$AG$346&gt;'Calc'!$B$8,"",MAX(Calc!$AH$345*(1+'财富模型'!$E$6/12)+('Calc'!$B$5-'财富模型'!$E$5-(IF('Calc'!$E$16=1,'财富模型'!$E$9,'财富模型'!$M$8+IF(Calc!$AG$346&lt;='财富模型'!$E$11*12,'Calc'!$W$16,'Calc'!$Y$16)-(IF('Calc'!$E$16=1,0,MIN(Calc!$AI$345*(1+'财富模型'!$E$20/12)+'Calc'!$B$6,IF(Calc!$AG$346&lt;='财富模型'!$E$11*12,'Calc'!$W$16,'Calc'!$Y$16))))))),0))</x:f>
      </x:c>
      <x:c r="AI346" t="str">
        <x:f>IF(Calc!$AG$346&gt;'Calc'!$B$8,"",MAX(Calc!$AI$345*(1+'财富模型'!$E$20/12)+'Calc'!$B$6-(IF('Calc'!$E$16=1,0,MIN(Calc!$AI$345*(1+'财富模型'!$E$20/12)+'Calc'!$B$6,IF(Calc!$AG$346&lt;='财富模型'!$E$11*12,'Calc'!$W$16,'Calc'!$Y$16)))),0))</x:f>
      </x:c>
      <x:c r="AJ346" t="str">
        <x:f>IF(Calc!$AG$346&gt;'Calc'!$B$8,"",IF('Calc'!$E$16=1,'财富模型'!$E$9,'财富模型'!$M$8+IF(Calc!$AG$346&lt;='财富模型'!$E$11*12,'Calc'!$W$16,'Calc'!$Y$16)-(IF('Calc'!$E$16=1,0,MIN(Calc!$AI$345*(1+'财富模型'!$E$20/12)+'Calc'!$B$6,IF(Calc!$AG$346&lt;='财富模型'!$E$11*12,'Calc'!$W$16,'Calc'!$Y$16))))))</x:f>
      </x:c>
      <x:c r="AK346" t="str">
        <x:f>IF(Calc!$AG$346&gt;'Calc'!$B$8,"",IF('Calc'!$E$16=1,0,MIN(Calc!$AI$345*(1+'财富模型'!$E$20/12)+'Calc'!$B$6,IF(Calc!$AG$346&lt;='财富模型'!$E$11*12,'Calc'!$W$16,'Calc'!$Y$16))))</x:f>
      </x:c>
      <x:c r="AL346" t="str">
        <x:f>IF(Calc!$AG$346&gt;'Calc'!$B$8,"",'Calc'!$B$5-'财富模型'!$E$5-(IF('Calc'!$E$16=1,'财富模型'!$E$9,'财富模型'!$M$8+IF(Calc!$AG$346&lt;='财富模型'!$E$11*12,'Calc'!$W$16,'Calc'!$Y$16)-(IF('Calc'!$E$16=1,0,MIN(Calc!$AI$345*(1+'财富模型'!$E$20/12)+'Calc'!$B$6,IF(Calc!$AG$346&lt;='财富模型'!$E$11*12,'Calc'!$W$16,'Calc'!$Y$16)))))))</x:f>
      </x:c>
      <x:c r="AM346" t="str">
        <x:f>IF(Calc!$AG$346&gt;'Calc'!$B$8,"",IF('Calc'!$E$16=1,0,MAX(Calc!$AM$345*(1+IF(Calc!$AG$346&lt;='财富模型'!$E$11*12,'财富模型'!$E$10,'财富模型'!$E$12)/12)-IF('Calc'!$E$16=1,0,IF(Calc!$AG$346&lt;='财富模型'!$E$11*12,'Calc'!$W$16,'Calc'!$Y$16)),0)))</x:f>
      </x:c>
      <x:c r="AO346" t="n">
        <x:v>325</x:v>
      </x:c>
      <x:c r="AP346" t="str">
        <x:f>IF(Calc!$AO$346&gt;'Calc'!$B$8,"",MAX(Calc!$AP$345*(1+'财富模型'!$E$6/12)+('Calc'!$B$5-'财富模型'!$E$5-(IF('Calc'!$E$17=1,'财富模型'!$E$9,'财富模型'!$M$9+IF(Calc!$AO$346&lt;='财富模型'!$E$11*12,'Calc'!$W$17,'Calc'!$Y$17)-(IF('Calc'!$E$17=1,0,MIN(Calc!$AQ$345*(1+'财富模型'!$E$20/12)+'Calc'!$B$6,IF(Calc!$AO$346&lt;='财富模型'!$E$11*12,'Calc'!$W$17,'Calc'!$Y$17))))))),0))</x:f>
      </x:c>
      <x:c r="AQ346" t="str">
        <x:f>IF(Calc!$AO$346&gt;'Calc'!$B$8,"",MAX(Calc!$AQ$345*(1+'财富模型'!$E$20/12)+'Calc'!$B$6-(IF('Calc'!$E$17=1,0,MIN(Calc!$AQ$345*(1+'财富模型'!$E$20/12)+'Calc'!$B$6,IF(Calc!$AO$346&lt;='财富模型'!$E$11*12,'Calc'!$W$17,'Calc'!$Y$17)))),0))</x:f>
      </x:c>
      <x:c r="AR346" t="str">
        <x:f>IF(Calc!$AO$346&gt;'Calc'!$B$8,"",IF('Calc'!$E$17=1,'财富模型'!$E$9,'财富模型'!$M$9+IF(Calc!$AO$346&lt;='财富模型'!$E$11*12,'Calc'!$W$17,'Calc'!$Y$17)-(IF('Calc'!$E$17=1,0,MIN(Calc!$AQ$345*(1+'财富模型'!$E$20/12)+'Calc'!$B$6,IF(Calc!$AO$346&lt;='财富模型'!$E$11*12,'Calc'!$W$17,'Calc'!$Y$17))))))</x:f>
      </x:c>
      <x:c r="AS346" t="str">
        <x:f>IF(Calc!$AO$346&gt;'Calc'!$B$8,"",IF('Calc'!$E$17=1,0,MIN(Calc!$AQ$345*(1+'财富模型'!$E$20/12)+'Calc'!$B$6,IF(Calc!$AO$346&lt;='财富模型'!$E$11*12,'Calc'!$W$17,'Calc'!$Y$17))))</x:f>
      </x:c>
      <x:c r="AT346" t="str">
        <x:f>IF(Calc!$AO$346&gt;'Calc'!$B$8,"",'Calc'!$B$5-'财富模型'!$E$5-(IF('Calc'!$E$17=1,'财富模型'!$E$9,'财富模型'!$M$9+IF(Calc!$AO$346&lt;='财富模型'!$E$11*12,'Calc'!$W$17,'Calc'!$Y$17)-(IF('Calc'!$E$17=1,0,MIN(Calc!$AQ$345*(1+'财富模型'!$E$20/12)+'Calc'!$B$6,IF(Calc!$AO$346&lt;='财富模型'!$E$11*12,'Calc'!$W$17,'Calc'!$Y$17)))))))</x:f>
      </x:c>
      <x:c r="AU346" t="str">
        <x:f>IF(Calc!$AO$346&gt;'Calc'!$B$8,"",IF('Calc'!$E$17=1,0,MAX(Calc!$AU$345*(1+IF(Calc!$AO$346&lt;='财富模型'!$E$11*12,'财富模型'!$E$10,'财富模型'!$E$12)/12)-IF('Calc'!$E$17=1,0,IF(Calc!$AO$346&lt;='财富模型'!$E$11*12,'Calc'!$W$17,'Calc'!$Y$17)),0)))</x:f>
      </x:c>
    </x:row>
    <x:row r="347">
      <x:c r="A347" t="n">
        <x:v>326</x:v>
      </x:c>
      <x:c r="B347" t="str">
        <x:f>IF(Calc!$A$347&gt;'Calc'!$B$8,"",MAX(Calc!$B$346*(1+'财富模型'!$E$6/12)+('Calc'!$B$5-'财富模型'!$E$5-(IF('Calc'!$E$12=1,'财富模型'!$E$9,'财富模型'!$M$4+IF(Calc!$A$347&lt;='财富模型'!$E$11*12,'Calc'!$W$12,'Calc'!$Y$12)-(IF('Calc'!$E$12=1,0,MIN(Calc!$C$346*(1+'财富模型'!$E$20/12)+'Calc'!$B$6,IF(Calc!$A$347&lt;='财富模型'!$E$11*12,'Calc'!$W$12,'Calc'!$Y$12))))))),0))</x:f>
      </x:c>
      <x:c r="C347" t="str">
        <x:f>IF(Calc!$A$347&gt;'Calc'!$B$8,"",MAX(Calc!$C$346*(1+'财富模型'!$E$20/12)+'Calc'!$B$6-(IF('Calc'!$E$12=1,0,MIN(Calc!$C$346*(1+'财富模型'!$E$20/12)+'Calc'!$B$6,IF(Calc!$A$347&lt;='财富模型'!$E$11*12,'Calc'!$W$12,'Calc'!$Y$12)))),0))</x:f>
      </x:c>
      <x:c r="D347" t="str">
        <x:f>IF(Calc!$A$347&gt;'Calc'!$B$8,"",IF('Calc'!$E$12=1,'财富模型'!$E$9,'财富模型'!$M$4+IF(Calc!$A$347&lt;='财富模型'!$E$11*12,'Calc'!$W$12,'Calc'!$Y$12)-(IF('Calc'!$E$12=1,0,MIN(Calc!$C$346*(1+'财富模型'!$E$20/12)+'Calc'!$B$6,IF(Calc!$A$347&lt;='财富模型'!$E$11*12,'Calc'!$W$12,'Calc'!$Y$12))))))</x:f>
      </x:c>
      <x:c r="E347" t="str">
        <x:f>IF(Calc!$A$347&gt;'Calc'!$B$8,"",IF('Calc'!$E$12=1,0,MIN(Calc!$C$346*(1+'财富模型'!$E$20/12)+'Calc'!$B$6,IF(Calc!$A$347&lt;='财富模型'!$E$11*12,'Calc'!$W$12,'Calc'!$Y$12))))</x:f>
      </x:c>
      <x:c r="F347" t="str">
        <x:f>IF(Calc!$A$347&gt;'Calc'!$B$8,"",'Calc'!$B$5-'财富模型'!$E$5-(IF('Calc'!$E$12=1,'财富模型'!$E$9,'财富模型'!$M$4+IF(Calc!$A$347&lt;='财富模型'!$E$11*12,'Calc'!$W$12,'Calc'!$Y$12)-(IF('Calc'!$E$12=1,0,MIN(Calc!$C$346*(1+'财富模型'!$E$20/12)+'Calc'!$B$6,IF(Calc!$A$347&lt;='财富模型'!$E$11*12,'Calc'!$W$12,'Calc'!$Y$12)))))))</x:f>
      </x:c>
      <x:c r="G347" t="str">
        <x:f>IF(Calc!$A$347&gt;'Calc'!$B$8,"",IF('Calc'!$E$12=1,0,MAX(Calc!$G$346*(1+IF(Calc!$A$347&lt;='财富模型'!$E$11*12,'财富模型'!$E$10,'财富模型'!$E$12)/12)-IF('Calc'!$E$12=1,0,IF(Calc!$A$347&lt;='财富模型'!$E$11*12,'Calc'!$W$12,'Calc'!$Y$12)),0)))</x:f>
      </x:c>
      <x:c r="I347" t="n">
        <x:v>326</x:v>
      </x:c>
      <x:c r="J347" t="str">
        <x:f>IF(Calc!$I$347&gt;'Calc'!$B$8,"",MAX(Calc!$J$346*(1+'财富模型'!$E$6/12)+('Calc'!$B$5-'财富模型'!$E$5-(IF('Calc'!$E$13=1,'财富模型'!$E$9,'财富模型'!$M$5+IF(Calc!$I$347&lt;='财富模型'!$E$11*12,'Calc'!$W$13,'Calc'!$Y$13)-(IF('Calc'!$E$13=1,0,MIN(Calc!$K$346*(1+'财富模型'!$E$20/12)+'Calc'!$B$6,IF(Calc!$I$347&lt;='财富模型'!$E$11*12,'Calc'!$W$13,'Calc'!$Y$13))))))),0))</x:f>
      </x:c>
      <x:c r="K347" t="str">
        <x:f>IF(Calc!$I$347&gt;'Calc'!$B$8,"",MAX(Calc!$K$346*(1+'财富模型'!$E$20/12)+'Calc'!$B$6-(IF('Calc'!$E$13=1,0,MIN(Calc!$K$346*(1+'财富模型'!$E$20/12)+'Calc'!$B$6,IF(Calc!$I$347&lt;='财富模型'!$E$11*12,'Calc'!$W$13,'Calc'!$Y$13)))),0))</x:f>
      </x:c>
      <x:c r="L347" t="str">
        <x:f>IF(Calc!$I$347&gt;'Calc'!$B$8,"",IF('Calc'!$E$13=1,'财富模型'!$E$9,'财富模型'!$M$5+IF(Calc!$I$347&lt;='财富模型'!$E$11*12,'Calc'!$W$13,'Calc'!$Y$13)-(IF('Calc'!$E$13=1,0,MIN(Calc!$K$346*(1+'财富模型'!$E$20/12)+'Calc'!$B$6,IF(Calc!$I$347&lt;='财富模型'!$E$11*12,'Calc'!$W$13,'Calc'!$Y$13))))))</x:f>
      </x:c>
      <x:c r="M347" t="str">
        <x:f>IF(Calc!$I$347&gt;'Calc'!$B$8,"",IF('Calc'!$E$13=1,0,MIN(Calc!$K$346*(1+'财富模型'!$E$20/12)+'Calc'!$B$6,IF(Calc!$I$347&lt;='财富模型'!$E$11*12,'Calc'!$W$13,'Calc'!$Y$13))))</x:f>
      </x:c>
      <x:c r="N347" t="str">
        <x:f>IF(Calc!$I$347&gt;'Calc'!$B$8,"",'Calc'!$B$5-'财富模型'!$E$5-(IF('Calc'!$E$13=1,'财富模型'!$E$9,'财富模型'!$M$5+IF(Calc!$I$347&lt;='财富模型'!$E$11*12,'Calc'!$W$13,'Calc'!$Y$13)-(IF('Calc'!$E$13=1,0,MIN(Calc!$K$346*(1+'财富模型'!$E$20/12)+'Calc'!$B$6,IF(Calc!$I$347&lt;='财富模型'!$E$11*12,'Calc'!$W$13,'Calc'!$Y$13)))))))</x:f>
      </x:c>
      <x:c r="O347" t="str">
        <x:f>IF(Calc!$I$347&gt;'Calc'!$B$8,"",IF('Calc'!$E$13=1,0,MAX(Calc!$O$346*(1+IF(Calc!$I$347&lt;='财富模型'!$E$11*12,'财富模型'!$E$10,'财富模型'!$E$12)/12)-IF('Calc'!$E$13=1,0,IF(Calc!$I$347&lt;='财富模型'!$E$11*12,'Calc'!$W$13,'Calc'!$Y$13)),0)))</x:f>
      </x:c>
      <x:c r="Q347" t="n">
        <x:v>326</x:v>
      </x:c>
      <x:c r="R347" t="str">
        <x:f>IF(Calc!$Q$347&gt;'Calc'!$B$8,"",MAX(Calc!$R$346*(1+'财富模型'!$E$6/12)+('Calc'!$B$5-'财富模型'!$E$5-(IF('Calc'!$E$14=1,'财富模型'!$E$9,'财富模型'!$M$6+IF(Calc!$Q$347&lt;='财富模型'!$E$11*12,'Calc'!$W$14,'Calc'!$Y$14)-(IF('Calc'!$E$14=1,0,MIN(Calc!$S$346*(1+'财富模型'!$E$20/12)+'Calc'!$B$6,IF(Calc!$Q$347&lt;='财富模型'!$E$11*12,'Calc'!$W$14,'Calc'!$Y$14))))))),0))</x:f>
      </x:c>
      <x:c r="S347" t="str">
        <x:f>IF(Calc!$Q$347&gt;'Calc'!$B$8,"",MAX(Calc!$S$346*(1+'财富模型'!$E$20/12)+'Calc'!$B$6-(IF('Calc'!$E$14=1,0,MIN(Calc!$S$346*(1+'财富模型'!$E$20/12)+'Calc'!$B$6,IF(Calc!$Q$347&lt;='财富模型'!$E$11*12,'Calc'!$W$14,'Calc'!$Y$14)))),0))</x:f>
      </x:c>
      <x:c r="T347" t="str">
        <x:f>IF(Calc!$Q$347&gt;'Calc'!$B$8,"",IF('Calc'!$E$14=1,'财富模型'!$E$9,'财富模型'!$M$6+IF(Calc!$Q$347&lt;='财富模型'!$E$11*12,'Calc'!$W$14,'Calc'!$Y$14)-(IF('Calc'!$E$14=1,0,MIN(Calc!$S$346*(1+'财富模型'!$E$20/12)+'Calc'!$B$6,IF(Calc!$Q$347&lt;='财富模型'!$E$11*12,'Calc'!$W$14,'Calc'!$Y$14))))))</x:f>
      </x:c>
      <x:c r="U347" t="str">
        <x:f>IF(Calc!$Q$347&gt;'Calc'!$B$8,"",IF('Calc'!$E$14=1,0,MIN(Calc!$S$346*(1+'财富模型'!$E$20/12)+'Calc'!$B$6,IF(Calc!$Q$347&lt;='财富模型'!$E$11*12,'Calc'!$W$14,'Calc'!$Y$14))))</x:f>
      </x:c>
      <x:c r="V347" t="str">
        <x:f>IF(Calc!$Q$347&gt;'Calc'!$B$8,"",'Calc'!$B$5-'财富模型'!$E$5-(IF('Calc'!$E$14=1,'财富模型'!$E$9,'财富模型'!$M$6+IF(Calc!$Q$347&lt;='财富模型'!$E$11*12,'Calc'!$W$14,'Calc'!$Y$14)-(IF('Calc'!$E$14=1,0,MIN(Calc!$S$346*(1+'财富模型'!$E$20/12)+'Calc'!$B$6,IF(Calc!$Q$347&lt;='财富模型'!$E$11*12,'Calc'!$W$14,'Calc'!$Y$14)))))))</x:f>
      </x:c>
      <x:c r="W347" t="str">
        <x:f>IF(Calc!$Q$347&gt;'Calc'!$B$8,"",IF('Calc'!$E$14=1,0,MAX(Calc!$W$346*(1+IF(Calc!$Q$347&lt;='财富模型'!$E$11*12,'财富模型'!$E$10,'财富模型'!$E$12)/12)-IF('Calc'!$E$14=1,0,IF(Calc!$Q$347&lt;='财富模型'!$E$11*12,'Calc'!$W$14,'Calc'!$Y$14)),0)))</x:f>
      </x:c>
      <x:c r="Y347" t="n">
        <x:v>326</x:v>
      </x:c>
      <x:c r="Z347" t="str">
        <x:f>IF(Calc!$Y$347&gt;'Calc'!$B$8,"",MAX(Calc!$Z$346*(1+'财富模型'!$E$6/12)+('Calc'!$B$5-'财富模型'!$E$5-(IF('Calc'!$E$15=1,'财富模型'!$E$9,'财富模型'!$M$7+IF(Calc!$Y$347&lt;='财富模型'!$E$11*12,'Calc'!$W$15,'Calc'!$Y$15)-(IF('Calc'!$E$15=1,0,MIN(Calc!$AA$346*(1+'财富模型'!$E$20/12)+'Calc'!$B$6,IF(Calc!$Y$347&lt;='财富模型'!$E$11*12,'Calc'!$W$15,'Calc'!$Y$15))))))),0))</x:f>
      </x:c>
      <x:c r="AA347" t="str">
        <x:f>IF(Calc!$Y$347&gt;'Calc'!$B$8,"",MAX(Calc!$AA$346*(1+'财富模型'!$E$20/12)+'Calc'!$B$6-(IF('Calc'!$E$15=1,0,MIN(Calc!$AA$346*(1+'财富模型'!$E$20/12)+'Calc'!$B$6,IF(Calc!$Y$347&lt;='财富模型'!$E$11*12,'Calc'!$W$15,'Calc'!$Y$15)))),0))</x:f>
      </x:c>
      <x:c r="AB347" t="str">
        <x:f>IF(Calc!$Y$347&gt;'Calc'!$B$8,"",IF('Calc'!$E$15=1,'财富模型'!$E$9,'财富模型'!$M$7+IF(Calc!$Y$347&lt;='财富模型'!$E$11*12,'Calc'!$W$15,'Calc'!$Y$15)-(IF('Calc'!$E$15=1,0,MIN(Calc!$AA$346*(1+'财富模型'!$E$20/12)+'Calc'!$B$6,IF(Calc!$Y$347&lt;='财富模型'!$E$11*12,'Calc'!$W$15,'Calc'!$Y$15))))))</x:f>
      </x:c>
      <x:c r="AC347" t="str">
        <x:f>IF(Calc!$Y$347&gt;'Calc'!$B$8,"",IF('Calc'!$E$15=1,0,MIN(Calc!$AA$346*(1+'财富模型'!$E$20/12)+'Calc'!$B$6,IF(Calc!$Y$347&lt;='财富模型'!$E$11*12,'Calc'!$W$15,'Calc'!$Y$15))))</x:f>
      </x:c>
      <x:c r="AD347" t="str">
        <x:f>IF(Calc!$Y$347&gt;'Calc'!$B$8,"",'Calc'!$B$5-'财富模型'!$E$5-(IF('Calc'!$E$15=1,'财富模型'!$E$9,'财富模型'!$M$7+IF(Calc!$Y$347&lt;='财富模型'!$E$11*12,'Calc'!$W$15,'Calc'!$Y$15)-(IF('Calc'!$E$15=1,0,MIN(Calc!$AA$346*(1+'财富模型'!$E$20/12)+'Calc'!$B$6,IF(Calc!$Y$347&lt;='财富模型'!$E$11*12,'Calc'!$W$15,'Calc'!$Y$15)))))))</x:f>
      </x:c>
      <x:c r="AE347" t="str">
        <x:f>IF(Calc!$Y$347&gt;'Calc'!$B$8,"",IF('Calc'!$E$15=1,0,MAX(Calc!$AE$346*(1+IF(Calc!$Y$347&lt;='财富模型'!$E$11*12,'财富模型'!$E$10,'财富模型'!$E$12)/12)-IF('Calc'!$E$15=1,0,IF(Calc!$Y$347&lt;='财富模型'!$E$11*12,'Calc'!$W$15,'Calc'!$Y$15)),0)))</x:f>
      </x:c>
      <x:c r="AG347" t="n">
        <x:v>326</x:v>
      </x:c>
      <x:c r="AH347" t="str">
        <x:f>IF(Calc!$AG$347&gt;'Calc'!$B$8,"",MAX(Calc!$AH$346*(1+'财富模型'!$E$6/12)+('Calc'!$B$5-'财富模型'!$E$5-(IF('Calc'!$E$16=1,'财富模型'!$E$9,'财富模型'!$M$8+IF(Calc!$AG$347&lt;='财富模型'!$E$11*12,'Calc'!$W$16,'Calc'!$Y$16)-(IF('Calc'!$E$16=1,0,MIN(Calc!$AI$346*(1+'财富模型'!$E$20/12)+'Calc'!$B$6,IF(Calc!$AG$347&lt;='财富模型'!$E$11*12,'Calc'!$W$16,'Calc'!$Y$16))))))),0))</x:f>
      </x:c>
      <x:c r="AI347" t="str">
        <x:f>IF(Calc!$AG$347&gt;'Calc'!$B$8,"",MAX(Calc!$AI$346*(1+'财富模型'!$E$20/12)+'Calc'!$B$6-(IF('Calc'!$E$16=1,0,MIN(Calc!$AI$346*(1+'财富模型'!$E$20/12)+'Calc'!$B$6,IF(Calc!$AG$347&lt;='财富模型'!$E$11*12,'Calc'!$W$16,'Calc'!$Y$16)))),0))</x:f>
      </x:c>
      <x:c r="AJ347" t="str">
        <x:f>IF(Calc!$AG$347&gt;'Calc'!$B$8,"",IF('Calc'!$E$16=1,'财富模型'!$E$9,'财富模型'!$M$8+IF(Calc!$AG$347&lt;='财富模型'!$E$11*12,'Calc'!$W$16,'Calc'!$Y$16)-(IF('Calc'!$E$16=1,0,MIN(Calc!$AI$346*(1+'财富模型'!$E$20/12)+'Calc'!$B$6,IF(Calc!$AG$347&lt;='财富模型'!$E$11*12,'Calc'!$W$16,'Calc'!$Y$16))))))</x:f>
      </x:c>
      <x:c r="AK347" t="str">
        <x:f>IF(Calc!$AG$347&gt;'Calc'!$B$8,"",IF('Calc'!$E$16=1,0,MIN(Calc!$AI$346*(1+'财富模型'!$E$20/12)+'Calc'!$B$6,IF(Calc!$AG$347&lt;='财富模型'!$E$11*12,'Calc'!$W$16,'Calc'!$Y$16))))</x:f>
      </x:c>
      <x:c r="AL347" t="str">
        <x:f>IF(Calc!$AG$347&gt;'Calc'!$B$8,"",'Calc'!$B$5-'财富模型'!$E$5-(IF('Calc'!$E$16=1,'财富模型'!$E$9,'财富模型'!$M$8+IF(Calc!$AG$347&lt;='财富模型'!$E$11*12,'Calc'!$W$16,'Calc'!$Y$16)-(IF('Calc'!$E$16=1,0,MIN(Calc!$AI$346*(1+'财富模型'!$E$20/12)+'Calc'!$B$6,IF(Calc!$AG$347&lt;='财富模型'!$E$11*12,'Calc'!$W$16,'Calc'!$Y$16)))))))</x:f>
      </x:c>
      <x:c r="AM347" t="str">
        <x:f>IF(Calc!$AG$347&gt;'Calc'!$B$8,"",IF('Calc'!$E$16=1,0,MAX(Calc!$AM$346*(1+IF(Calc!$AG$347&lt;='财富模型'!$E$11*12,'财富模型'!$E$10,'财富模型'!$E$12)/12)-IF('Calc'!$E$16=1,0,IF(Calc!$AG$347&lt;='财富模型'!$E$11*12,'Calc'!$W$16,'Calc'!$Y$16)),0)))</x:f>
      </x:c>
      <x:c r="AO347" t="n">
        <x:v>326</x:v>
      </x:c>
      <x:c r="AP347" t="str">
        <x:f>IF(Calc!$AO$347&gt;'Calc'!$B$8,"",MAX(Calc!$AP$346*(1+'财富模型'!$E$6/12)+('Calc'!$B$5-'财富模型'!$E$5-(IF('Calc'!$E$17=1,'财富模型'!$E$9,'财富模型'!$M$9+IF(Calc!$AO$347&lt;='财富模型'!$E$11*12,'Calc'!$W$17,'Calc'!$Y$17)-(IF('Calc'!$E$17=1,0,MIN(Calc!$AQ$346*(1+'财富模型'!$E$20/12)+'Calc'!$B$6,IF(Calc!$AO$347&lt;='财富模型'!$E$11*12,'Calc'!$W$17,'Calc'!$Y$17))))))),0))</x:f>
      </x:c>
      <x:c r="AQ347" t="str">
        <x:f>IF(Calc!$AO$347&gt;'Calc'!$B$8,"",MAX(Calc!$AQ$346*(1+'财富模型'!$E$20/12)+'Calc'!$B$6-(IF('Calc'!$E$17=1,0,MIN(Calc!$AQ$346*(1+'财富模型'!$E$20/12)+'Calc'!$B$6,IF(Calc!$AO$347&lt;='财富模型'!$E$11*12,'Calc'!$W$17,'Calc'!$Y$17)))),0))</x:f>
      </x:c>
      <x:c r="AR347" t="str">
        <x:f>IF(Calc!$AO$347&gt;'Calc'!$B$8,"",IF('Calc'!$E$17=1,'财富模型'!$E$9,'财富模型'!$M$9+IF(Calc!$AO$347&lt;='财富模型'!$E$11*12,'Calc'!$W$17,'Calc'!$Y$17)-(IF('Calc'!$E$17=1,0,MIN(Calc!$AQ$346*(1+'财富模型'!$E$20/12)+'Calc'!$B$6,IF(Calc!$AO$347&lt;='财富模型'!$E$11*12,'Calc'!$W$17,'Calc'!$Y$17))))))</x:f>
      </x:c>
      <x:c r="AS347" t="str">
        <x:f>IF(Calc!$AO$347&gt;'Calc'!$B$8,"",IF('Calc'!$E$17=1,0,MIN(Calc!$AQ$346*(1+'财富模型'!$E$20/12)+'Calc'!$B$6,IF(Calc!$AO$347&lt;='财富模型'!$E$11*12,'Calc'!$W$17,'Calc'!$Y$17))))</x:f>
      </x:c>
      <x:c r="AT347" t="str">
        <x:f>IF(Calc!$AO$347&gt;'Calc'!$B$8,"",'Calc'!$B$5-'财富模型'!$E$5-(IF('Calc'!$E$17=1,'财富模型'!$E$9,'财富模型'!$M$9+IF(Calc!$AO$347&lt;='财富模型'!$E$11*12,'Calc'!$W$17,'Calc'!$Y$17)-(IF('Calc'!$E$17=1,0,MIN(Calc!$AQ$346*(1+'财富模型'!$E$20/12)+'Calc'!$B$6,IF(Calc!$AO$347&lt;='财富模型'!$E$11*12,'Calc'!$W$17,'Calc'!$Y$17)))))))</x:f>
      </x:c>
      <x:c r="AU347" t="str">
        <x:f>IF(Calc!$AO$347&gt;'Calc'!$B$8,"",IF('Calc'!$E$17=1,0,MAX(Calc!$AU$346*(1+IF(Calc!$AO$347&lt;='财富模型'!$E$11*12,'财富模型'!$E$10,'财富模型'!$E$12)/12)-IF('Calc'!$E$17=1,0,IF(Calc!$AO$347&lt;='财富模型'!$E$11*12,'Calc'!$W$17,'Calc'!$Y$17)),0)))</x:f>
      </x:c>
    </x:row>
    <x:row r="348">
      <x:c r="A348" t="n">
        <x:v>327</x:v>
      </x:c>
      <x:c r="B348" t="str">
        <x:f>IF(Calc!$A$348&gt;'Calc'!$B$8,"",MAX(Calc!$B$347*(1+'财富模型'!$E$6/12)+('Calc'!$B$5-'财富模型'!$E$5-(IF('Calc'!$E$12=1,'财富模型'!$E$9,'财富模型'!$M$4+IF(Calc!$A$348&lt;='财富模型'!$E$11*12,'Calc'!$W$12,'Calc'!$Y$12)-(IF('Calc'!$E$12=1,0,MIN(Calc!$C$347*(1+'财富模型'!$E$20/12)+'Calc'!$B$6,IF(Calc!$A$348&lt;='财富模型'!$E$11*12,'Calc'!$W$12,'Calc'!$Y$12))))))),0))</x:f>
      </x:c>
      <x:c r="C348" t="str">
        <x:f>IF(Calc!$A$348&gt;'Calc'!$B$8,"",MAX(Calc!$C$347*(1+'财富模型'!$E$20/12)+'Calc'!$B$6-(IF('Calc'!$E$12=1,0,MIN(Calc!$C$347*(1+'财富模型'!$E$20/12)+'Calc'!$B$6,IF(Calc!$A$348&lt;='财富模型'!$E$11*12,'Calc'!$W$12,'Calc'!$Y$12)))),0))</x:f>
      </x:c>
      <x:c r="D348" t="str">
        <x:f>IF(Calc!$A$348&gt;'Calc'!$B$8,"",IF('Calc'!$E$12=1,'财富模型'!$E$9,'财富模型'!$M$4+IF(Calc!$A$348&lt;='财富模型'!$E$11*12,'Calc'!$W$12,'Calc'!$Y$12)-(IF('Calc'!$E$12=1,0,MIN(Calc!$C$347*(1+'财富模型'!$E$20/12)+'Calc'!$B$6,IF(Calc!$A$348&lt;='财富模型'!$E$11*12,'Calc'!$W$12,'Calc'!$Y$12))))))</x:f>
      </x:c>
      <x:c r="E348" t="str">
        <x:f>IF(Calc!$A$348&gt;'Calc'!$B$8,"",IF('Calc'!$E$12=1,0,MIN(Calc!$C$347*(1+'财富模型'!$E$20/12)+'Calc'!$B$6,IF(Calc!$A$348&lt;='财富模型'!$E$11*12,'Calc'!$W$12,'Calc'!$Y$12))))</x:f>
      </x:c>
      <x:c r="F348" t="str">
        <x:f>IF(Calc!$A$348&gt;'Calc'!$B$8,"",'Calc'!$B$5-'财富模型'!$E$5-(IF('Calc'!$E$12=1,'财富模型'!$E$9,'财富模型'!$M$4+IF(Calc!$A$348&lt;='财富模型'!$E$11*12,'Calc'!$W$12,'Calc'!$Y$12)-(IF('Calc'!$E$12=1,0,MIN(Calc!$C$347*(1+'财富模型'!$E$20/12)+'Calc'!$B$6,IF(Calc!$A$348&lt;='财富模型'!$E$11*12,'Calc'!$W$12,'Calc'!$Y$12)))))))</x:f>
      </x:c>
      <x:c r="G348" t="str">
        <x:f>IF(Calc!$A$348&gt;'Calc'!$B$8,"",IF('Calc'!$E$12=1,0,MAX(Calc!$G$347*(1+IF(Calc!$A$348&lt;='财富模型'!$E$11*12,'财富模型'!$E$10,'财富模型'!$E$12)/12)-IF('Calc'!$E$12=1,0,IF(Calc!$A$348&lt;='财富模型'!$E$11*12,'Calc'!$W$12,'Calc'!$Y$12)),0)))</x:f>
      </x:c>
      <x:c r="I348" t="n">
        <x:v>327</x:v>
      </x:c>
      <x:c r="J348" t="str">
        <x:f>IF(Calc!$I$348&gt;'Calc'!$B$8,"",MAX(Calc!$J$347*(1+'财富模型'!$E$6/12)+('Calc'!$B$5-'财富模型'!$E$5-(IF('Calc'!$E$13=1,'财富模型'!$E$9,'财富模型'!$M$5+IF(Calc!$I$348&lt;='财富模型'!$E$11*12,'Calc'!$W$13,'Calc'!$Y$13)-(IF('Calc'!$E$13=1,0,MIN(Calc!$K$347*(1+'财富模型'!$E$20/12)+'Calc'!$B$6,IF(Calc!$I$348&lt;='财富模型'!$E$11*12,'Calc'!$W$13,'Calc'!$Y$13))))))),0))</x:f>
      </x:c>
      <x:c r="K348" t="str">
        <x:f>IF(Calc!$I$348&gt;'Calc'!$B$8,"",MAX(Calc!$K$347*(1+'财富模型'!$E$20/12)+'Calc'!$B$6-(IF('Calc'!$E$13=1,0,MIN(Calc!$K$347*(1+'财富模型'!$E$20/12)+'Calc'!$B$6,IF(Calc!$I$348&lt;='财富模型'!$E$11*12,'Calc'!$W$13,'Calc'!$Y$13)))),0))</x:f>
      </x:c>
      <x:c r="L348" t="str">
        <x:f>IF(Calc!$I$348&gt;'Calc'!$B$8,"",IF('Calc'!$E$13=1,'财富模型'!$E$9,'财富模型'!$M$5+IF(Calc!$I$348&lt;='财富模型'!$E$11*12,'Calc'!$W$13,'Calc'!$Y$13)-(IF('Calc'!$E$13=1,0,MIN(Calc!$K$347*(1+'财富模型'!$E$20/12)+'Calc'!$B$6,IF(Calc!$I$348&lt;='财富模型'!$E$11*12,'Calc'!$W$13,'Calc'!$Y$13))))))</x:f>
      </x:c>
      <x:c r="M348" t="str">
        <x:f>IF(Calc!$I$348&gt;'Calc'!$B$8,"",IF('Calc'!$E$13=1,0,MIN(Calc!$K$347*(1+'财富模型'!$E$20/12)+'Calc'!$B$6,IF(Calc!$I$348&lt;='财富模型'!$E$11*12,'Calc'!$W$13,'Calc'!$Y$13))))</x:f>
      </x:c>
      <x:c r="N348" t="str">
        <x:f>IF(Calc!$I$348&gt;'Calc'!$B$8,"",'Calc'!$B$5-'财富模型'!$E$5-(IF('Calc'!$E$13=1,'财富模型'!$E$9,'财富模型'!$M$5+IF(Calc!$I$348&lt;='财富模型'!$E$11*12,'Calc'!$W$13,'Calc'!$Y$13)-(IF('Calc'!$E$13=1,0,MIN(Calc!$K$347*(1+'财富模型'!$E$20/12)+'Calc'!$B$6,IF(Calc!$I$348&lt;='财富模型'!$E$11*12,'Calc'!$W$13,'Calc'!$Y$13)))))))</x:f>
      </x:c>
      <x:c r="O348" t="str">
        <x:f>IF(Calc!$I$348&gt;'Calc'!$B$8,"",IF('Calc'!$E$13=1,0,MAX(Calc!$O$347*(1+IF(Calc!$I$348&lt;='财富模型'!$E$11*12,'财富模型'!$E$10,'财富模型'!$E$12)/12)-IF('Calc'!$E$13=1,0,IF(Calc!$I$348&lt;='财富模型'!$E$11*12,'Calc'!$W$13,'Calc'!$Y$13)),0)))</x:f>
      </x:c>
      <x:c r="Q348" t="n">
        <x:v>327</x:v>
      </x:c>
      <x:c r="R348" t="str">
        <x:f>IF(Calc!$Q$348&gt;'Calc'!$B$8,"",MAX(Calc!$R$347*(1+'财富模型'!$E$6/12)+('Calc'!$B$5-'财富模型'!$E$5-(IF('Calc'!$E$14=1,'财富模型'!$E$9,'财富模型'!$M$6+IF(Calc!$Q$348&lt;='财富模型'!$E$11*12,'Calc'!$W$14,'Calc'!$Y$14)-(IF('Calc'!$E$14=1,0,MIN(Calc!$S$347*(1+'财富模型'!$E$20/12)+'Calc'!$B$6,IF(Calc!$Q$348&lt;='财富模型'!$E$11*12,'Calc'!$W$14,'Calc'!$Y$14))))))),0))</x:f>
      </x:c>
      <x:c r="S348" t="str">
        <x:f>IF(Calc!$Q$348&gt;'Calc'!$B$8,"",MAX(Calc!$S$347*(1+'财富模型'!$E$20/12)+'Calc'!$B$6-(IF('Calc'!$E$14=1,0,MIN(Calc!$S$347*(1+'财富模型'!$E$20/12)+'Calc'!$B$6,IF(Calc!$Q$348&lt;='财富模型'!$E$11*12,'Calc'!$W$14,'Calc'!$Y$14)))),0))</x:f>
      </x:c>
      <x:c r="T348" t="str">
        <x:f>IF(Calc!$Q$348&gt;'Calc'!$B$8,"",IF('Calc'!$E$14=1,'财富模型'!$E$9,'财富模型'!$M$6+IF(Calc!$Q$348&lt;='财富模型'!$E$11*12,'Calc'!$W$14,'Calc'!$Y$14)-(IF('Calc'!$E$14=1,0,MIN(Calc!$S$347*(1+'财富模型'!$E$20/12)+'Calc'!$B$6,IF(Calc!$Q$348&lt;='财富模型'!$E$11*12,'Calc'!$W$14,'Calc'!$Y$14))))))</x:f>
      </x:c>
      <x:c r="U348" t="str">
        <x:f>IF(Calc!$Q$348&gt;'Calc'!$B$8,"",IF('Calc'!$E$14=1,0,MIN(Calc!$S$347*(1+'财富模型'!$E$20/12)+'Calc'!$B$6,IF(Calc!$Q$348&lt;='财富模型'!$E$11*12,'Calc'!$W$14,'Calc'!$Y$14))))</x:f>
      </x:c>
      <x:c r="V348" t="str">
        <x:f>IF(Calc!$Q$348&gt;'Calc'!$B$8,"",'Calc'!$B$5-'财富模型'!$E$5-(IF('Calc'!$E$14=1,'财富模型'!$E$9,'财富模型'!$M$6+IF(Calc!$Q$348&lt;='财富模型'!$E$11*12,'Calc'!$W$14,'Calc'!$Y$14)-(IF('Calc'!$E$14=1,0,MIN(Calc!$S$347*(1+'财富模型'!$E$20/12)+'Calc'!$B$6,IF(Calc!$Q$348&lt;='财富模型'!$E$11*12,'Calc'!$W$14,'Calc'!$Y$14)))))))</x:f>
      </x:c>
      <x:c r="W348" t="str">
        <x:f>IF(Calc!$Q$348&gt;'Calc'!$B$8,"",IF('Calc'!$E$14=1,0,MAX(Calc!$W$347*(1+IF(Calc!$Q$348&lt;='财富模型'!$E$11*12,'财富模型'!$E$10,'财富模型'!$E$12)/12)-IF('Calc'!$E$14=1,0,IF(Calc!$Q$348&lt;='财富模型'!$E$11*12,'Calc'!$W$14,'Calc'!$Y$14)),0)))</x:f>
      </x:c>
      <x:c r="Y348" t="n">
        <x:v>327</x:v>
      </x:c>
      <x:c r="Z348" t="str">
        <x:f>IF(Calc!$Y$348&gt;'Calc'!$B$8,"",MAX(Calc!$Z$347*(1+'财富模型'!$E$6/12)+('Calc'!$B$5-'财富模型'!$E$5-(IF('Calc'!$E$15=1,'财富模型'!$E$9,'财富模型'!$M$7+IF(Calc!$Y$348&lt;='财富模型'!$E$11*12,'Calc'!$W$15,'Calc'!$Y$15)-(IF('Calc'!$E$15=1,0,MIN(Calc!$AA$347*(1+'财富模型'!$E$20/12)+'Calc'!$B$6,IF(Calc!$Y$348&lt;='财富模型'!$E$11*12,'Calc'!$W$15,'Calc'!$Y$15))))))),0))</x:f>
      </x:c>
      <x:c r="AA348" t="str">
        <x:f>IF(Calc!$Y$348&gt;'Calc'!$B$8,"",MAX(Calc!$AA$347*(1+'财富模型'!$E$20/12)+'Calc'!$B$6-(IF('Calc'!$E$15=1,0,MIN(Calc!$AA$347*(1+'财富模型'!$E$20/12)+'Calc'!$B$6,IF(Calc!$Y$348&lt;='财富模型'!$E$11*12,'Calc'!$W$15,'Calc'!$Y$15)))),0))</x:f>
      </x:c>
      <x:c r="AB348" t="str">
        <x:f>IF(Calc!$Y$348&gt;'Calc'!$B$8,"",IF('Calc'!$E$15=1,'财富模型'!$E$9,'财富模型'!$M$7+IF(Calc!$Y$348&lt;='财富模型'!$E$11*12,'Calc'!$W$15,'Calc'!$Y$15)-(IF('Calc'!$E$15=1,0,MIN(Calc!$AA$347*(1+'财富模型'!$E$20/12)+'Calc'!$B$6,IF(Calc!$Y$348&lt;='财富模型'!$E$11*12,'Calc'!$W$15,'Calc'!$Y$15))))))</x:f>
      </x:c>
      <x:c r="AC348" t="str">
        <x:f>IF(Calc!$Y$348&gt;'Calc'!$B$8,"",IF('Calc'!$E$15=1,0,MIN(Calc!$AA$347*(1+'财富模型'!$E$20/12)+'Calc'!$B$6,IF(Calc!$Y$348&lt;='财富模型'!$E$11*12,'Calc'!$W$15,'Calc'!$Y$15))))</x:f>
      </x:c>
      <x:c r="AD348" t="str">
        <x:f>IF(Calc!$Y$348&gt;'Calc'!$B$8,"",'Calc'!$B$5-'财富模型'!$E$5-(IF('Calc'!$E$15=1,'财富模型'!$E$9,'财富模型'!$M$7+IF(Calc!$Y$348&lt;='财富模型'!$E$11*12,'Calc'!$W$15,'Calc'!$Y$15)-(IF('Calc'!$E$15=1,0,MIN(Calc!$AA$347*(1+'财富模型'!$E$20/12)+'Calc'!$B$6,IF(Calc!$Y$348&lt;='财富模型'!$E$11*12,'Calc'!$W$15,'Calc'!$Y$15)))))))</x:f>
      </x:c>
      <x:c r="AE348" t="str">
        <x:f>IF(Calc!$Y$348&gt;'Calc'!$B$8,"",IF('Calc'!$E$15=1,0,MAX(Calc!$AE$347*(1+IF(Calc!$Y$348&lt;='财富模型'!$E$11*12,'财富模型'!$E$10,'财富模型'!$E$12)/12)-IF('Calc'!$E$15=1,0,IF(Calc!$Y$348&lt;='财富模型'!$E$11*12,'Calc'!$W$15,'Calc'!$Y$15)),0)))</x:f>
      </x:c>
      <x:c r="AG348" t="n">
        <x:v>327</x:v>
      </x:c>
      <x:c r="AH348" t="str">
        <x:f>IF(Calc!$AG$348&gt;'Calc'!$B$8,"",MAX(Calc!$AH$347*(1+'财富模型'!$E$6/12)+('Calc'!$B$5-'财富模型'!$E$5-(IF('Calc'!$E$16=1,'财富模型'!$E$9,'财富模型'!$M$8+IF(Calc!$AG$348&lt;='财富模型'!$E$11*12,'Calc'!$W$16,'Calc'!$Y$16)-(IF('Calc'!$E$16=1,0,MIN(Calc!$AI$347*(1+'财富模型'!$E$20/12)+'Calc'!$B$6,IF(Calc!$AG$348&lt;='财富模型'!$E$11*12,'Calc'!$W$16,'Calc'!$Y$16))))))),0))</x:f>
      </x:c>
      <x:c r="AI348" t="str">
        <x:f>IF(Calc!$AG$348&gt;'Calc'!$B$8,"",MAX(Calc!$AI$347*(1+'财富模型'!$E$20/12)+'Calc'!$B$6-(IF('Calc'!$E$16=1,0,MIN(Calc!$AI$347*(1+'财富模型'!$E$20/12)+'Calc'!$B$6,IF(Calc!$AG$348&lt;='财富模型'!$E$11*12,'Calc'!$W$16,'Calc'!$Y$16)))),0))</x:f>
      </x:c>
      <x:c r="AJ348" t="str">
        <x:f>IF(Calc!$AG$348&gt;'Calc'!$B$8,"",IF('Calc'!$E$16=1,'财富模型'!$E$9,'财富模型'!$M$8+IF(Calc!$AG$348&lt;='财富模型'!$E$11*12,'Calc'!$W$16,'Calc'!$Y$16)-(IF('Calc'!$E$16=1,0,MIN(Calc!$AI$347*(1+'财富模型'!$E$20/12)+'Calc'!$B$6,IF(Calc!$AG$348&lt;='财富模型'!$E$11*12,'Calc'!$W$16,'Calc'!$Y$16))))))</x:f>
      </x:c>
      <x:c r="AK348" t="str">
        <x:f>IF(Calc!$AG$348&gt;'Calc'!$B$8,"",IF('Calc'!$E$16=1,0,MIN(Calc!$AI$347*(1+'财富模型'!$E$20/12)+'Calc'!$B$6,IF(Calc!$AG$348&lt;='财富模型'!$E$11*12,'Calc'!$W$16,'Calc'!$Y$16))))</x:f>
      </x:c>
      <x:c r="AL348" t="str">
        <x:f>IF(Calc!$AG$348&gt;'Calc'!$B$8,"",'Calc'!$B$5-'财富模型'!$E$5-(IF('Calc'!$E$16=1,'财富模型'!$E$9,'财富模型'!$M$8+IF(Calc!$AG$348&lt;='财富模型'!$E$11*12,'Calc'!$W$16,'Calc'!$Y$16)-(IF('Calc'!$E$16=1,0,MIN(Calc!$AI$347*(1+'财富模型'!$E$20/12)+'Calc'!$B$6,IF(Calc!$AG$348&lt;='财富模型'!$E$11*12,'Calc'!$W$16,'Calc'!$Y$16)))))))</x:f>
      </x:c>
      <x:c r="AM348" t="str">
        <x:f>IF(Calc!$AG$348&gt;'Calc'!$B$8,"",IF('Calc'!$E$16=1,0,MAX(Calc!$AM$347*(1+IF(Calc!$AG$348&lt;='财富模型'!$E$11*12,'财富模型'!$E$10,'财富模型'!$E$12)/12)-IF('Calc'!$E$16=1,0,IF(Calc!$AG$348&lt;='财富模型'!$E$11*12,'Calc'!$W$16,'Calc'!$Y$16)),0)))</x:f>
      </x:c>
      <x:c r="AO348" t="n">
        <x:v>327</x:v>
      </x:c>
      <x:c r="AP348" t="str">
        <x:f>IF(Calc!$AO$348&gt;'Calc'!$B$8,"",MAX(Calc!$AP$347*(1+'财富模型'!$E$6/12)+('Calc'!$B$5-'财富模型'!$E$5-(IF('Calc'!$E$17=1,'财富模型'!$E$9,'财富模型'!$M$9+IF(Calc!$AO$348&lt;='财富模型'!$E$11*12,'Calc'!$W$17,'Calc'!$Y$17)-(IF('Calc'!$E$17=1,0,MIN(Calc!$AQ$347*(1+'财富模型'!$E$20/12)+'Calc'!$B$6,IF(Calc!$AO$348&lt;='财富模型'!$E$11*12,'Calc'!$W$17,'Calc'!$Y$17))))))),0))</x:f>
      </x:c>
      <x:c r="AQ348" t="str">
        <x:f>IF(Calc!$AO$348&gt;'Calc'!$B$8,"",MAX(Calc!$AQ$347*(1+'财富模型'!$E$20/12)+'Calc'!$B$6-(IF('Calc'!$E$17=1,0,MIN(Calc!$AQ$347*(1+'财富模型'!$E$20/12)+'Calc'!$B$6,IF(Calc!$AO$348&lt;='财富模型'!$E$11*12,'Calc'!$W$17,'Calc'!$Y$17)))),0))</x:f>
      </x:c>
      <x:c r="AR348" t="str">
        <x:f>IF(Calc!$AO$348&gt;'Calc'!$B$8,"",IF('Calc'!$E$17=1,'财富模型'!$E$9,'财富模型'!$M$9+IF(Calc!$AO$348&lt;='财富模型'!$E$11*12,'Calc'!$W$17,'Calc'!$Y$17)-(IF('Calc'!$E$17=1,0,MIN(Calc!$AQ$347*(1+'财富模型'!$E$20/12)+'Calc'!$B$6,IF(Calc!$AO$348&lt;='财富模型'!$E$11*12,'Calc'!$W$17,'Calc'!$Y$17))))))</x:f>
      </x:c>
      <x:c r="AS348" t="str">
        <x:f>IF(Calc!$AO$348&gt;'Calc'!$B$8,"",IF('Calc'!$E$17=1,0,MIN(Calc!$AQ$347*(1+'财富模型'!$E$20/12)+'Calc'!$B$6,IF(Calc!$AO$348&lt;='财富模型'!$E$11*12,'Calc'!$W$17,'Calc'!$Y$17))))</x:f>
      </x:c>
      <x:c r="AT348" t="str">
        <x:f>IF(Calc!$AO$348&gt;'Calc'!$B$8,"",'Calc'!$B$5-'财富模型'!$E$5-(IF('Calc'!$E$17=1,'财富模型'!$E$9,'财富模型'!$M$9+IF(Calc!$AO$348&lt;='财富模型'!$E$11*12,'Calc'!$W$17,'Calc'!$Y$17)-(IF('Calc'!$E$17=1,0,MIN(Calc!$AQ$347*(1+'财富模型'!$E$20/12)+'Calc'!$B$6,IF(Calc!$AO$348&lt;='财富模型'!$E$11*12,'Calc'!$W$17,'Calc'!$Y$17)))))))</x:f>
      </x:c>
      <x:c r="AU348" t="str">
        <x:f>IF(Calc!$AO$348&gt;'Calc'!$B$8,"",IF('Calc'!$E$17=1,0,MAX(Calc!$AU$347*(1+IF(Calc!$AO$348&lt;='财富模型'!$E$11*12,'财富模型'!$E$10,'财富模型'!$E$12)/12)-IF('Calc'!$E$17=1,0,IF(Calc!$AO$348&lt;='财富模型'!$E$11*12,'Calc'!$W$17,'Calc'!$Y$17)),0)))</x:f>
      </x:c>
    </x:row>
    <x:row r="349">
      <x:c r="A349" t="n">
        <x:v>328</x:v>
      </x:c>
      <x:c r="B349" t="str">
        <x:f>IF(Calc!$A$349&gt;'Calc'!$B$8,"",MAX(Calc!$B$348*(1+'财富模型'!$E$6/12)+('Calc'!$B$5-'财富模型'!$E$5-(IF('Calc'!$E$12=1,'财富模型'!$E$9,'财富模型'!$M$4+IF(Calc!$A$349&lt;='财富模型'!$E$11*12,'Calc'!$W$12,'Calc'!$Y$12)-(IF('Calc'!$E$12=1,0,MIN(Calc!$C$348*(1+'财富模型'!$E$20/12)+'Calc'!$B$6,IF(Calc!$A$349&lt;='财富模型'!$E$11*12,'Calc'!$W$12,'Calc'!$Y$12))))))),0))</x:f>
      </x:c>
      <x:c r="C349" t="str">
        <x:f>IF(Calc!$A$349&gt;'Calc'!$B$8,"",MAX(Calc!$C$348*(1+'财富模型'!$E$20/12)+'Calc'!$B$6-(IF('Calc'!$E$12=1,0,MIN(Calc!$C$348*(1+'财富模型'!$E$20/12)+'Calc'!$B$6,IF(Calc!$A$349&lt;='财富模型'!$E$11*12,'Calc'!$W$12,'Calc'!$Y$12)))),0))</x:f>
      </x:c>
      <x:c r="D349" t="str">
        <x:f>IF(Calc!$A$349&gt;'Calc'!$B$8,"",IF('Calc'!$E$12=1,'财富模型'!$E$9,'财富模型'!$M$4+IF(Calc!$A$349&lt;='财富模型'!$E$11*12,'Calc'!$W$12,'Calc'!$Y$12)-(IF('Calc'!$E$12=1,0,MIN(Calc!$C$348*(1+'财富模型'!$E$20/12)+'Calc'!$B$6,IF(Calc!$A$349&lt;='财富模型'!$E$11*12,'Calc'!$W$12,'Calc'!$Y$12))))))</x:f>
      </x:c>
      <x:c r="E349" t="str">
        <x:f>IF(Calc!$A$349&gt;'Calc'!$B$8,"",IF('Calc'!$E$12=1,0,MIN(Calc!$C$348*(1+'财富模型'!$E$20/12)+'Calc'!$B$6,IF(Calc!$A$349&lt;='财富模型'!$E$11*12,'Calc'!$W$12,'Calc'!$Y$12))))</x:f>
      </x:c>
      <x:c r="F349" t="str">
        <x:f>IF(Calc!$A$349&gt;'Calc'!$B$8,"",'Calc'!$B$5-'财富模型'!$E$5-(IF('Calc'!$E$12=1,'财富模型'!$E$9,'财富模型'!$M$4+IF(Calc!$A$349&lt;='财富模型'!$E$11*12,'Calc'!$W$12,'Calc'!$Y$12)-(IF('Calc'!$E$12=1,0,MIN(Calc!$C$348*(1+'财富模型'!$E$20/12)+'Calc'!$B$6,IF(Calc!$A$349&lt;='财富模型'!$E$11*12,'Calc'!$W$12,'Calc'!$Y$12)))))))</x:f>
      </x:c>
      <x:c r="G349" t="str">
        <x:f>IF(Calc!$A$349&gt;'Calc'!$B$8,"",IF('Calc'!$E$12=1,0,MAX(Calc!$G$348*(1+IF(Calc!$A$349&lt;='财富模型'!$E$11*12,'财富模型'!$E$10,'财富模型'!$E$12)/12)-IF('Calc'!$E$12=1,0,IF(Calc!$A$349&lt;='财富模型'!$E$11*12,'Calc'!$W$12,'Calc'!$Y$12)),0)))</x:f>
      </x:c>
      <x:c r="I349" t="n">
        <x:v>328</x:v>
      </x:c>
      <x:c r="J349" t="str">
        <x:f>IF(Calc!$I$349&gt;'Calc'!$B$8,"",MAX(Calc!$J$348*(1+'财富模型'!$E$6/12)+('Calc'!$B$5-'财富模型'!$E$5-(IF('Calc'!$E$13=1,'财富模型'!$E$9,'财富模型'!$M$5+IF(Calc!$I$349&lt;='财富模型'!$E$11*12,'Calc'!$W$13,'Calc'!$Y$13)-(IF('Calc'!$E$13=1,0,MIN(Calc!$K$348*(1+'财富模型'!$E$20/12)+'Calc'!$B$6,IF(Calc!$I$349&lt;='财富模型'!$E$11*12,'Calc'!$W$13,'Calc'!$Y$13))))))),0))</x:f>
      </x:c>
      <x:c r="K349" t="str">
        <x:f>IF(Calc!$I$349&gt;'Calc'!$B$8,"",MAX(Calc!$K$348*(1+'财富模型'!$E$20/12)+'Calc'!$B$6-(IF('Calc'!$E$13=1,0,MIN(Calc!$K$348*(1+'财富模型'!$E$20/12)+'Calc'!$B$6,IF(Calc!$I$349&lt;='财富模型'!$E$11*12,'Calc'!$W$13,'Calc'!$Y$13)))),0))</x:f>
      </x:c>
      <x:c r="L349" t="str">
        <x:f>IF(Calc!$I$349&gt;'Calc'!$B$8,"",IF('Calc'!$E$13=1,'财富模型'!$E$9,'财富模型'!$M$5+IF(Calc!$I$349&lt;='财富模型'!$E$11*12,'Calc'!$W$13,'Calc'!$Y$13)-(IF('Calc'!$E$13=1,0,MIN(Calc!$K$348*(1+'财富模型'!$E$20/12)+'Calc'!$B$6,IF(Calc!$I$349&lt;='财富模型'!$E$11*12,'Calc'!$W$13,'Calc'!$Y$13))))))</x:f>
      </x:c>
      <x:c r="M349" t="str">
        <x:f>IF(Calc!$I$349&gt;'Calc'!$B$8,"",IF('Calc'!$E$13=1,0,MIN(Calc!$K$348*(1+'财富模型'!$E$20/12)+'Calc'!$B$6,IF(Calc!$I$349&lt;='财富模型'!$E$11*12,'Calc'!$W$13,'Calc'!$Y$13))))</x:f>
      </x:c>
      <x:c r="N349" t="str">
        <x:f>IF(Calc!$I$349&gt;'Calc'!$B$8,"",'Calc'!$B$5-'财富模型'!$E$5-(IF('Calc'!$E$13=1,'财富模型'!$E$9,'财富模型'!$M$5+IF(Calc!$I$349&lt;='财富模型'!$E$11*12,'Calc'!$W$13,'Calc'!$Y$13)-(IF('Calc'!$E$13=1,0,MIN(Calc!$K$348*(1+'财富模型'!$E$20/12)+'Calc'!$B$6,IF(Calc!$I$349&lt;='财富模型'!$E$11*12,'Calc'!$W$13,'Calc'!$Y$13)))))))</x:f>
      </x:c>
      <x:c r="O349" t="str">
        <x:f>IF(Calc!$I$349&gt;'Calc'!$B$8,"",IF('Calc'!$E$13=1,0,MAX(Calc!$O$348*(1+IF(Calc!$I$349&lt;='财富模型'!$E$11*12,'财富模型'!$E$10,'财富模型'!$E$12)/12)-IF('Calc'!$E$13=1,0,IF(Calc!$I$349&lt;='财富模型'!$E$11*12,'Calc'!$W$13,'Calc'!$Y$13)),0)))</x:f>
      </x:c>
      <x:c r="Q349" t="n">
        <x:v>328</x:v>
      </x:c>
      <x:c r="R349" t="str">
        <x:f>IF(Calc!$Q$349&gt;'Calc'!$B$8,"",MAX(Calc!$R$348*(1+'财富模型'!$E$6/12)+('Calc'!$B$5-'财富模型'!$E$5-(IF('Calc'!$E$14=1,'财富模型'!$E$9,'财富模型'!$M$6+IF(Calc!$Q$349&lt;='财富模型'!$E$11*12,'Calc'!$W$14,'Calc'!$Y$14)-(IF('Calc'!$E$14=1,0,MIN(Calc!$S$348*(1+'财富模型'!$E$20/12)+'Calc'!$B$6,IF(Calc!$Q$349&lt;='财富模型'!$E$11*12,'Calc'!$W$14,'Calc'!$Y$14))))))),0))</x:f>
      </x:c>
      <x:c r="S349" t="str">
        <x:f>IF(Calc!$Q$349&gt;'Calc'!$B$8,"",MAX(Calc!$S$348*(1+'财富模型'!$E$20/12)+'Calc'!$B$6-(IF('Calc'!$E$14=1,0,MIN(Calc!$S$348*(1+'财富模型'!$E$20/12)+'Calc'!$B$6,IF(Calc!$Q$349&lt;='财富模型'!$E$11*12,'Calc'!$W$14,'Calc'!$Y$14)))),0))</x:f>
      </x:c>
      <x:c r="T349" t="str">
        <x:f>IF(Calc!$Q$349&gt;'Calc'!$B$8,"",IF('Calc'!$E$14=1,'财富模型'!$E$9,'财富模型'!$M$6+IF(Calc!$Q$349&lt;='财富模型'!$E$11*12,'Calc'!$W$14,'Calc'!$Y$14)-(IF('Calc'!$E$14=1,0,MIN(Calc!$S$348*(1+'财富模型'!$E$20/12)+'Calc'!$B$6,IF(Calc!$Q$349&lt;='财富模型'!$E$11*12,'Calc'!$W$14,'Calc'!$Y$14))))))</x:f>
      </x:c>
      <x:c r="U349" t="str">
        <x:f>IF(Calc!$Q$349&gt;'Calc'!$B$8,"",IF('Calc'!$E$14=1,0,MIN(Calc!$S$348*(1+'财富模型'!$E$20/12)+'Calc'!$B$6,IF(Calc!$Q$349&lt;='财富模型'!$E$11*12,'Calc'!$W$14,'Calc'!$Y$14))))</x:f>
      </x:c>
      <x:c r="V349" t="str">
        <x:f>IF(Calc!$Q$349&gt;'Calc'!$B$8,"",'Calc'!$B$5-'财富模型'!$E$5-(IF('Calc'!$E$14=1,'财富模型'!$E$9,'财富模型'!$M$6+IF(Calc!$Q$349&lt;='财富模型'!$E$11*12,'Calc'!$W$14,'Calc'!$Y$14)-(IF('Calc'!$E$14=1,0,MIN(Calc!$S$348*(1+'财富模型'!$E$20/12)+'Calc'!$B$6,IF(Calc!$Q$349&lt;='财富模型'!$E$11*12,'Calc'!$W$14,'Calc'!$Y$14)))))))</x:f>
      </x:c>
      <x:c r="W349" t="str">
        <x:f>IF(Calc!$Q$349&gt;'Calc'!$B$8,"",IF('Calc'!$E$14=1,0,MAX(Calc!$W$348*(1+IF(Calc!$Q$349&lt;='财富模型'!$E$11*12,'财富模型'!$E$10,'财富模型'!$E$12)/12)-IF('Calc'!$E$14=1,0,IF(Calc!$Q$349&lt;='财富模型'!$E$11*12,'Calc'!$W$14,'Calc'!$Y$14)),0)))</x:f>
      </x:c>
      <x:c r="Y349" t="n">
        <x:v>328</x:v>
      </x:c>
      <x:c r="Z349" t="str">
        <x:f>IF(Calc!$Y$349&gt;'Calc'!$B$8,"",MAX(Calc!$Z$348*(1+'财富模型'!$E$6/12)+('Calc'!$B$5-'财富模型'!$E$5-(IF('Calc'!$E$15=1,'财富模型'!$E$9,'财富模型'!$M$7+IF(Calc!$Y$349&lt;='财富模型'!$E$11*12,'Calc'!$W$15,'Calc'!$Y$15)-(IF('Calc'!$E$15=1,0,MIN(Calc!$AA$348*(1+'财富模型'!$E$20/12)+'Calc'!$B$6,IF(Calc!$Y$349&lt;='财富模型'!$E$11*12,'Calc'!$W$15,'Calc'!$Y$15))))))),0))</x:f>
      </x:c>
      <x:c r="AA349" t="str">
        <x:f>IF(Calc!$Y$349&gt;'Calc'!$B$8,"",MAX(Calc!$AA$348*(1+'财富模型'!$E$20/12)+'Calc'!$B$6-(IF('Calc'!$E$15=1,0,MIN(Calc!$AA$348*(1+'财富模型'!$E$20/12)+'Calc'!$B$6,IF(Calc!$Y$349&lt;='财富模型'!$E$11*12,'Calc'!$W$15,'Calc'!$Y$15)))),0))</x:f>
      </x:c>
      <x:c r="AB349" t="str">
        <x:f>IF(Calc!$Y$349&gt;'Calc'!$B$8,"",IF('Calc'!$E$15=1,'财富模型'!$E$9,'财富模型'!$M$7+IF(Calc!$Y$349&lt;='财富模型'!$E$11*12,'Calc'!$W$15,'Calc'!$Y$15)-(IF('Calc'!$E$15=1,0,MIN(Calc!$AA$348*(1+'财富模型'!$E$20/12)+'Calc'!$B$6,IF(Calc!$Y$349&lt;='财富模型'!$E$11*12,'Calc'!$W$15,'Calc'!$Y$15))))))</x:f>
      </x:c>
      <x:c r="AC349" t="str">
        <x:f>IF(Calc!$Y$349&gt;'Calc'!$B$8,"",IF('Calc'!$E$15=1,0,MIN(Calc!$AA$348*(1+'财富模型'!$E$20/12)+'Calc'!$B$6,IF(Calc!$Y$349&lt;='财富模型'!$E$11*12,'Calc'!$W$15,'Calc'!$Y$15))))</x:f>
      </x:c>
      <x:c r="AD349" t="str">
        <x:f>IF(Calc!$Y$349&gt;'Calc'!$B$8,"",'Calc'!$B$5-'财富模型'!$E$5-(IF('Calc'!$E$15=1,'财富模型'!$E$9,'财富模型'!$M$7+IF(Calc!$Y$349&lt;='财富模型'!$E$11*12,'Calc'!$W$15,'Calc'!$Y$15)-(IF('Calc'!$E$15=1,0,MIN(Calc!$AA$348*(1+'财富模型'!$E$20/12)+'Calc'!$B$6,IF(Calc!$Y$349&lt;='财富模型'!$E$11*12,'Calc'!$W$15,'Calc'!$Y$15)))))))</x:f>
      </x:c>
      <x:c r="AE349" t="str">
        <x:f>IF(Calc!$Y$349&gt;'Calc'!$B$8,"",IF('Calc'!$E$15=1,0,MAX(Calc!$AE$348*(1+IF(Calc!$Y$349&lt;='财富模型'!$E$11*12,'财富模型'!$E$10,'财富模型'!$E$12)/12)-IF('Calc'!$E$15=1,0,IF(Calc!$Y$349&lt;='财富模型'!$E$11*12,'Calc'!$W$15,'Calc'!$Y$15)),0)))</x:f>
      </x:c>
      <x:c r="AG349" t="n">
        <x:v>328</x:v>
      </x:c>
      <x:c r="AH349" t="str">
        <x:f>IF(Calc!$AG$349&gt;'Calc'!$B$8,"",MAX(Calc!$AH$348*(1+'财富模型'!$E$6/12)+('Calc'!$B$5-'财富模型'!$E$5-(IF('Calc'!$E$16=1,'财富模型'!$E$9,'财富模型'!$M$8+IF(Calc!$AG$349&lt;='财富模型'!$E$11*12,'Calc'!$W$16,'Calc'!$Y$16)-(IF('Calc'!$E$16=1,0,MIN(Calc!$AI$348*(1+'财富模型'!$E$20/12)+'Calc'!$B$6,IF(Calc!$AG$349&lt;='财富模型'!$E$11*12,'Calc'!$W$16,'Calc'!$Y$16))))))),0))</x:f>
      </x:c>
      <x:c r="AI349" t="str">
        <x:f>IF(Calc!$AG$349&gt;'Calc'!$B$8,"",MAX(Calc!$AI$348*(1+'财富模型'!$E$20/12)+'Calc'!$B$6-(IF('Calc'!$E$16=1,0,MIN(Calc!$AI$348*(1+'财富模型'!$E$20/12)+'Calc'!$B$6,IF(Calc!$AG$349&lt;='财富模型'!$E$11*12,'Calc'!$W$16,'Calc'!$Y$16)))),0))</x:f>
      </x:c>
      <x:c r="AJ349" t="str">
        <x:f>IF(Calc!$AG$349&gt;'Calc'!$B$8,"",IF('Calc'!$E$16=1,'财富模型'!$E$9,'财富模型'!$M$8+IF(Calc!$AG$349&lt;='财富模型'!$E$11*12,'Calc'!$W$16,'Calc'!$Y$16)-(IF('Calc'!$E$16=1,0,MIN(Calc!$AI$348*(1+'财富模型'!$E$20/12)+'Calc'!$B$6,IF(Calc!$AG$349&lt;='财富模型'!$E$11*12,'Calc'!$W$16,'Calc'!$Y$16))))))</x:f>
      </x:c>
      <x:c r="AK349" t="str">
        <x:f>IF(Calc!$AG$349&gt;'Calc'!$B$8,"",IF('Calc'!$E$16=1,0,MIN(Calc!$AI$348*(1+'财富模型'!$E$20/12)+'Calc'!$B$6,IF(Calc!$AG$349&lt;='财富模型'!$E$11*12,'Calc'!$W$16,'Calc'!$Y$16))))</x:f>
      </x:c>
      <x:c r="AL349" t="str">
        <x:f>IF(Calc!$AG$349&gt;'Calc'!$B$8,"",'Calc'!$B$5-'财富模型'!$E$5-(IF('Calc'!$E$16=1,'财富模型'!$E$9,'财富模型'!$M$8+IF(Calc!$AG$349&lt;='财富模型'!$E$11*12,'Calc'!$W$16,'Calc'!$Y$16)-(IF('Calc'!$E$16=1,0,MIN(Calc!$AI$348*(1+'财富模型'!$E$20/12)+'Calc'!$B$6,IF(Calc!$AG$349&lt;='财富模型'!$E$11*12,'Calc'!$W$16,'Calc'!$Y$16)))))))</x:f>
      </x:c>
      <x:c r="AM349" t="str">
        <x:f>IF(Calc!$AG$349&gt;'Calc'!$B$8,"",IF('Calc'!$E$16=1,0,MAX(Calc!$AM$348*(1+IF(Calc!$AG$349&lt;='财富模型'!$E$11*12,'财富模型'!$E$10,'财富模型'!$E$12)/12)-IF('Calc'!$E$16=1,0,IF(Calc!$AG$349&lt;='财富模型'!$E$11*12,'Calc'!$W$16,'Calc'!$Y$16)),0)))</x:f>
      </x:c>
      <x:c r="AO349" t="n">
        <x:v>328</x:v>
      </x:c>
      <x:c r="AP349" t="str">
        <x:f>IF(Calc!$AO$349&gt;'Calc'!$B$8,"",MAX(Calc!$AP$348*(1+'财富模型'!$E$6/12)+('Calc'!$B$5-'财富模型'!$E$5-(IF('Calc'!$E$17=1,'财富模型'!$E$9,'财富模型'!$M$9+IF(Calc!$AO$349&lt;='财富模型'!$E$11*12,'Calc'!$W$17,'Calc'!$Y$17)-(IF('Calc'!$E$17=1,0,MIN(Calc!$AQ$348*(1+'财富模型'!$E$20/12)+'Calc'!$B$6,IF(Calc!$AO$349&lt;='财富模型'!$E$11*12,'Calc'!$W$17,'Calc'!$Y$17))))))),0))</x:f>
      </x:c>
      <x:c r="AQ349" t="str">
        <x:f>IF(Calc!$AO$349&gt;'Calc'!$B$8,"",MAX(Calc!$AQ$348*(1+'财富模型'!$E$20/12)+'Calc'!$B$6-(IF('Calc'!$E$17=1,0,MIN(Calc!$AQ$348*(1+'财富模型'!$E$20/12)+'Calc'!$B$6,IF(Calc!$AO$349&lt;='财富模型'!$E$11*12,'Calc'!$W$17,'Calc'!$Y$17)))),0))</x:f>
      </x:c>
      <x:c r="AR349" t="str">
        <x:f>IF(Calc!$AO$349&gt;'Calc'!$B$8,"",IF('Calc'!$E$17=1,'财富模型'!$E$9,'财富模型'!$M$9+IF(Calc!$AO$349&lt;='财富模型'!$E$11*12,'Calc'!$W$17,'Calc'!$Y$17)-(IF('Calc'!$E$17=1,0,MIN(Calc!$AQ$348*(1+'财富模型'!$E$20/12)+'Calc'!$B$6,IF(Calc!$AO$349&lt;='财富模型'!$E$11*12,'Calc'!$W$17,'Calc'!$Y$17))))))</x:f>
      </x:c>
      <x:c r="AS349" t="str">
        <x:f>IF(Calc!$AO$349&gt;'Calc'!$B$8,"",IF('Calc'!$E$17=1,0,MIN(Calc!$AQ$348*(1+'财富模型'!$E$20/12)+'Calc'!$B$6,IF(Calc!$AO$349&lt;='财富模型'!$E$11*12,'Calc'!$W$17,'Calc'!$Y$17))))</x:f>
      </x:c>
      <x:c r="AT349" t="str">
        <x:f>IF(Calc!$AO$349&gt;'Calc'!$B$8,"",'Calc'!$B$5-'财富模型'!$E$5-(IF('Calc'!$E$17=1,'财富模型'!$E$9,'财富模型'!$M$9+IF(Calc!$AO$349&lt;='财富模型'!$E$11*12,'Calc'!$W$17,'Calc'!$Y$17)-(IF('Calc'!$E$17=1,0,MIN(Calc!$AQ$348*(1+'财富模型'!$E$20/12)+'Calc'!$B$6,IF(Calc!$AO$349&lt;='财富模型'!$E$11*12,'Calc'!$W$17,'Calc'!$Y$17)))))))</x:f>
      </x:c>
      <x:c r="AU349" t="str">
        <x:f>IF(Calc!$AO$349&gt;'Calc'!$B$8,"",IF('Calc'!$E$17=1,0,MAX(Calc!$AU$348*(1+IF(Calc!$AO$349&lt;='财富模型'!$E$11*12,'财富模型'!$E$10,'财富模型'!$E$12)/12)-IF('Calc'!$E$17=1,0,IF(Calc!$AO$349&lt;='财富模型'!$E$11*12,'Calc'!$W$17,'Calc'!$Y$17)),0)))</x:f>
      </x:c>
    </x:row>
    <x:row r="350">
      <x:c r="A350" t="n">
        <x:v>329</x:v>
      </x:c>
      <x:c r="B350" t="str">
        <x:f>IF(Calc!$A$350&gt;'Calc'!$B$8,"",MAX(Calc!$B$349*(1+'财富模型'!$E$6/12)+('Calc'!$B$5-'财富模型'!$E$5-(IF('Calc'!$E$12=1,'财富模型'!$E$9,'财富模型'!$M$4+IF(Calc!$A$350&lt;='财富模型'!$E$11*12,'Calc'!$W$12,'Calc'!$Y$12)-(IF('Calc'!$E$12=1,0,MIN(Calc!$C$349*(1+'财富模型'!$E$20/12)+'Calc'!$B$6,IF(Calc!$A$350&lt;='财富模型'!$E$11*12,'Calc'!$W$12,'Calc'!$Y$12))))))),0))</x:f>
      </x:c>
      <x:c r="C350" t="str">
        <x:f>IF(Calc!$A$350&gt;'Calc'!$B$8,"",MAX(Calc!$C$349*(1+'财富模型'!$E$20/12)+'Calc'!$B$6-(IF('Calc'!$E$12=1,0,MIN(Calc!$C$349*(1+'财富模型'!$E$20/12)+'Calc'!$B$6,IF(Calc!$A$350&lt;='财富模型'!$E$11*12,'Calc'!$W$12,'Calc'!$Y$12)))),0))</x:f>
      </x:c>
      <x:c r="D350" t="str">
        <x:f>IF(Calc!$A$350&gt;'Calc'!$B$8,"",IF('Calc'!$E$12=1,'财富模型'!$E$9,'财富模型'!$M$4+IF(Calc!$A$350&lt;='财富模型'!$E$11*12,'Calc'!$W$12,'Calc'!$Y$12)-(IF('Calc'!$E$12=1,0,MIN(Calc!$C$349*(1+'财富模型'!$E$20/12)+'Calc'!$B$6,IF(Calc!$A$350&lt;='财富模型'!$E$11*12,'Calc'!$W$12,'Calc'!$Y$12))))))</x:f>
      </x:c>
      <x:c r="E350" t="str">
        <x:f>IF(Calc!$A$350&gt;'Calc'!$B$8,"",IF('Calc'!$E$12=1,0,MIN(Calc!$C$349*(1+'财富模型'!$E$20/12)+'Calc'!$B$6,IF(Calc!$A$350&lt;='财富模型'!$E$11*12,'Calc'!$W$12,'Calc'!$Y$12))))</x:f>
      </x:c>
      <x:c r="F350" t="str">
        <x:f>IF(Calc!$A$350&gt;'Calc'!$B$8,"",'Calc'!$B$5-'财富模型'!$E$5-(IF('Calc'!$E$12=1,'财富模型'!$E$9,'财富模型'!$M$4+IF(Calc!$A$350&lt;='财富模型'!$E$11*12,'Calc'!$W$12,'Calc'!$Y$12)-(IF('Calc'!$E$12=1,0,MIN(Calc!$C$349*(1+'财富模型'!$E$20/12)+'Calc'!$B$6,IF(Calc!$A$350&lt;='财富模型'!$E$11*12,'Calc'!$W$12,'Calc'!$Y$12)))))))</x:f>
      </x:c>
      <x:c r="G350" t="str">
        <x:f>IF(Calc!$A$350&gt;'Calc'!$B$8,"",IF('Calc'!$E$12=1,0,MAX(Calc!$G$349*(1+IF(Calc!$A$350&lt;='财富模型'!$E$11*12,'财富模型'!$E$10,'财富模型'!$E$12)/12)-IF('Calc'!$E$12=1,0,IF(Calc!$A$350&lt;='财富模型'!$E$11*12,'Calc'!$W$12,'Calc'!$Y$12)),0)))</x:f>
      </x:c>
      <x:c r="I350" t="n">
        <x:v>329</x:v>
      </x:c>
      <x:c r="J350" t="str">
        <x:f>IF(Calc!$I$350&gt;'Calc'!$B$8,"",MAX(Calc!$J$349*(1+'财富模型'!$E$6/12)+('Calc'!$B$5-'财富模型'!$E$5-(IF('Calc'!$E$13=1,'财富模型'!$E$9,'财富模型'!$M$5+IF(Calc!$I$350&lt;='财富模型'!$E$11*12,'Calc'!$W$13,'Calc'!$Y$13)-(IF('Calc'!$E$13=1,0,MIN(Calc!$K$349*(1+'财富模型'!$E$20/12)+'Calc'!$B$6,IF(Calc!$I$350&lt;='财富模型'!$E$11*12,'Calc'!$W$13,'Calc'!$Y$13))))))),0))</x:f>
      </x:c>
      <x:c r="K350" t="str">
        <x:f>IF(Calc!$I$350&gt;'Calc'!$B$8,"",MAX(Calc!$K$349*(1+'财富模型'!$E$20/12)+'Calc'!$B$6-(IF('Calc'!$E$13=1,0,MIN(Calc!$K$349*(1+'财富模型'!$E$20/12)+'Calc'!$B$6,IF(Calc!$I$350&lt;='财富模型'!$E$11*12,'Calc'!$W$13,'Calc'!$Y$13)))),0))</x:f>
      </x:c>
      <x:c r="L350" t="str">
        <x:f>IF(Calc!$I$350&gt;'Calc'!$B$8,"",IF('Calc'!$E$13=1,'财富模型'!$E$9,'财富模型'!$M$5+IF(Calc!$I$350&lt;='财富模型'!$E$11*12,'Calc'!$W$13,'Calc'!$Y$13)-(IF('Calc'!$E$13=1,0,MIN(Calc!$K$349*(1+'财富模型'!$E$20/12)+'Calc'!$B$6,IF(Calc!$I$350&lt;='财富模型'!$E$11*12,'Calc'!$W$13,'Calc'!$Y$13))))))</x:f>
      </x:c>
      <x:c r="M350" t="str">
        <x:f>IF(Calc!$I$350&gt;'Calc'!$B$8,"",IF('Calc'!$E$13=1,0,MIN(Calc!$K$349*(1+'财富模型'!$E$20/12)+'Calc'!$B$6,IF(Calc!$I$350&lt;='财富模型'!$E$11*12,'Calc'!$W$13,'Calc'!$Y$13))))</x:f>
      </x:c>
      <x:c r="N350" t="str">
        <x:f>IF(Calc!$I$350&gt;'Calc'!$B$8,"",'Calc'!$B$5-'财富模型'!$E$5-(IF('Calc'!$E$13=1,'财富模型'!$E$9,'财富模型'!$M$5+IF(Calc!$I$350&lt;='财富模型'!$E$11*12,'Calc'!$W$13,'Calc'!$Y$13)-(IF('Calc'!$E$13=1,0,MIN(Calc!$K$349*(1+'财富模型'!$E$20/12)+'Calc'!$B$6,IF(Calc!$I$350&lt;='财富模型'!$E$11*12,'Calc'!$W$13,'Calc'!$Y$13)))))))</x:f>
      </x:c>
      <x:c r="O350" t="str">
        <x:f>IF(Calc!$I$350&gt;'Calc'!$B$8,"",IF('Calc'!$E$13=1,0,MAX(Calc!$O$349*(1+IF(Calc!$I$350&lt;='财富模型'!$E$11*12,'财富模型'!$E$10,'财富模型'!$E$12)/12)-IF('Calc'!$E$13=1,0,IF(Calc!$I$350&lt;='财富模型'!$E$11*12,'Calc'!$W$13,'Calc'!$Y$13)),0)))</x:f>
      </x:c>
      <x:c r="Q350" t="n">
        <x:v>329</x:v>
      </x:c>
      <x:c r="R350" t="str">
        <x:f>IF(Calc!$Q$350&gt;'Calc'!$B$8,"",MAX(Calc!$R$349*(1+'财富模型'!$E$6/12)+('Calc'!$B$5-'财富模型'!$E$5-(IF('Calc'!$E$14=1,'财富模型'!$E$9,'财富模型'!$M$6+IF(Calc!$Q$350&lt;='财富模型'!$E$11*12,'Calc'!$W$14,'Calc'!$Y$14)-(IF('Calc'!$E$14=1,0,MIN(Calc!$S$349*(1+'财富模型'!$E$20/12)+'Calc'!$B$6,IF(Calc!$Q$350&lt;='财富模型'!$E$11*12,'Calc'!$W$14,'Calc'!$Y$14))))))),0))</x:f>
      </x:c>
      <x:c r="S350" t="str">
        <x:f>IF(Calc!$Q$350&gt;'Calc'!$B$8,"",MAX(Calc!$S$349*(1+'财富模型'!$E$20/12)+'Calc'!$B$6-(IF('Calc'!$E$14=1,0,MIN(Calc!$S$349*(1+'财富模型'!$E$20/12)+'Calc'!$B$6,IF(Calc!$Q$350&lt;='财富模型'!$E$11*12,'Calc'!$W$14,'Calc'!$Y$14)))),0))</x:f>
      </x:c>
      <x:c r="T350" t="str">
        <x:f>IF(Calc!$Q$350&gt;'Calc'!$B$8,"",IF('Calc'!$E$14=1,'财富模型'!$E$9,'财富模型'!$M$6+IF(Calc!$Q$350&lt;='财富模型'!$E$11*12,'Calc'!$W$14,'Calc'!$Y$14)-(IF('Calc'!$E$14=1,0,MIN(Calc!$S$349*(1+'财富模型'!$E$20/12)+'Calc'!$B$6,IF(Calc!$Q$350&lt;='财富模型'!$E$11*12,'Calc'!$W$14,'Calc'!$Y$14))))))</x:f>
      </x:c>
      <x:c r="U350" t="str">
        <x:f>IF(Calc!$Q$350&gt;'Calc'!$B$8,"",IF('Calc'!$E$14=1,0,MIN(Calc!$S$349*(1+'财富模型'!$E$20/12)+'Calc'!$B$6,IF(Calc!$Q$350&lt;='财富模型'!$E$11*12,'Calc'!$W$14,'Calc'!$Y$14))))</x:f>
      </x:c>
      <x:c r="V350" t="str">
        <x:f>IF(Calc!$Q$350&gt;'Calc'!$B$8,"",'Calc'!$B$5-'财富模型'!$E$5-(IF('Calc'!$E$14=1,'财富模型'!$E$9,'财富模型'!$M$6+IF(Calc!$Q$350&lt;='财富模型'!$E$11*12,'Calc'!$W$14,'Calc'!$Y$14)-(IF('Calc'!$E$14=1,0,MIN(Calc!$S$349*(1+'财富模型'!$E$20/12)+'Calc'!$B$6,IF(Calc!$Q$350&lt;='财富模型'!$E$11*12,'Calc'!$W$14,'Calc'!$Y$14)))))))</x:f>
      </x:c>
      <x:c r="W350" t="str">
        <x:f>IF(Calc!$Q$350&gt;'Calc'!$B$8,"",IF('Calc'!$E$14=1,0,MAX(Calc!$W$349*(1+IF(Calc!$Q$350&lt;='财富模型'!$E$11*12,'财富模型'!$E$10,'财富模型'!$E$12)/12)-IF('Calc'!$E$14=1,0,IF(Calc!$Q$350&lt;='财富模型'!$E$11*12,'Calc'!$W$14,'Calc'!$Y$14)),0)))</x:f>
      </x:c>
      <x:c r="Y350" t="n">
        <x:v>329</x:v>
      </x:c>
      <x:c r="Z350" t="str">
        <x:f>IF(Calc!$Y$350&gt;'Calc'!$B$8,"",MAX(Calc!$Z$349*(1+'财富模型'!$E$6/12)+('Calc'!$B$5-'财富模型'!$E$5-(IF('Calc'!$E$15=1,'财富模型'!$E$9,'财富模型'!$M$7+IF(Calc!$Y$350&lt;='财富模型'!$E$11*12,'Calc'!$W$15,'Calc'!$Y$15)-(IF('Calc'!$E$15=1,0,MIN(Calc!$AA$349*(1+'财富模型'!$E$20/12)+'Calc'!$B$6,IF(Calc!$Y$350&lt;='财富模型'!$E$11*12,'Calc'!$W$15,'Calc'!$Y$15))))))),0))</x:f>
      </x:c>
      <x:c r="AA350" t="str">
        <x:f>IF(Calc!$Y$350&gt;'Calc'!$B$8,"",MAX(Calc!$AA$349*(1+'财富模型'!$E$20/12)+'Calc'!$B$6-(IF('Calc'!$E$15=1,0,MIN(Calc!$AA$349*(1+'财富模型'!$E$20/12)+'Calc'!$B$6,IF(Calc!$Y$350&lt;='财富模型'!$E$11*12,'Calc'!$W$15,'Calc'!$Y$15)))),0))</x:f>
      </x:c>
      <x:c r="AB350" t="str">
        <x:f>IF(Calc!$Y$350&gt;'Calc'!$B$8,"",IF('Calc'!$E$15=1,'财富模型'!$E$9,'财富模型'!$M$7+IF(Calc!$Y$350&lt;='财富模型'!$E$11*12,'Calc'!$W$15,'Calc'!$Y$15)-(IF('Calc'!$E$15=1,0,MIN(Calc!$AA$349*(1+'财富模型'!$E$20/12)+'Calc'!$B$6,IF(Calc!$Y$350&lt;='财富模型'!$E$11*12,'Calc'!$W$15,'Calc'!$Y$15))))))</x:f>
      </x:c>
      <x:c r="AC350" t="str">
        <x:f>IF(Calc!$Y$350&gt;'Calc'!$B$8,"",IF('Calc'!$E$15=1,0,MIN(Calc!$AA$349*(1+'财富模型'!$E$20/12)+'Calc'!$B$6,IF(Calc!$Y$350&lt;='财富模型'!$E$11*12,'Calc'!$W$15,'Calc'!$Y$15))))</x:f>
      </x:c>
      <x:c r="AD350" t="str">
        <x:f>IF(Calc!$Y$350&gt;'Calc'!$B$8,"",'Calc'!$B$5-'财富模型'!$E$5-(IF('Calc'!$E$15=1,'财富模型'!$E$9,'财富模型'!$M$7+IF(Calc!$Y$350&lt;='财富模型'!$E$11*12,'Calc'!$W$15,'Calc'!$Y$15)-(IF('Calc'!$E$15=1,0,MIN(Calc!$AA$349*(1+'财富模型'!$E$20/12)+'Calc'!$B$6,IF(Calc!$Y$350&lt;='财富模型'!$E$11*12,'Calc'!$W$15,'Calc'!$Y$15)))))))</x:f>
      </x:c>
      <x:c r="AE350" t="str">
        <x:f>IF(Calc!$Y$350&gt;'Calc'!$B$8,"",IF('Calc'!$E$15=1,0,MAX(Calc!$AE$349*(1+IF(Calc!$Y$350&lt;='财富模型'!$E$11*12,'财富模型'!$E$10,'财富模型'!$E$12)/12)-IF('Calc'!$E$15=1,0,IF(Calc!$Y$350&lt;='财富模型'!$E$11*12,'Calc'!$W$15,'Calc'!$Y$15)),0)))</x:f>
      </x:c>
      <x:c r="AG350" t="n">
        <x:v>329</x:v>
      </x:c>
      <x:c r="AH350" t="str">
        <x:f>IF(Calc!$AG$350&gt;'Calc'!$B$8,"",MAX(Calc!$AH$349*(1+'财富模型'!$E$6/12)+('Calc'!$B$5-'财富模型'!$E$5-(IF('Calc'!$E$16=1,'财富模型'!$E$9,'财富模型'!$M$8+IF(Calc!$AG$350&lt;='财富模型'!$E$11*12,'Calc'!$W$16,'Calc'!$Y$16)-(IF('Calc'!$E$16=1,0,MIN(Calc!$AI$349*(1+'财富模型'!$E$20/12)+'Calc'!$B$6,IF(Calc!$AG$350&lt;='财富模型'!$E$11*12,'Calc'!$W$16,'Calc'!$Y$16))))))),0))</x:f>
      </x:c>
      <x:c r="AI350" t="str">
        <x:f>IF(Calc!$AG$350&gt;'Calc'!$B$8,"",MAX(Calc!$AI$349*(1+'财富模型'!$E$20/12)+'Calc'!$B$6-(IF('Calc'!$E$16=1,0,MIN(Calc!$AI$349*(1+'财富模型'!$E$20/12)+'Calc'!$B$6,IF(Calc!$AG$350&lt;='财富模型'!$E$11*12,'Calc'!$W$16,'Calc'!$Y$16)))),0))</x:f>
      </x:c>
      <x:c r="AJ350" t="str">
        <x:f>IF(Calc!$AG$350&gt;'Calc'!$B$8,"",IF('Calc'!$E$16=1,'财富模型'!$E$9,'财富模型'!$M$8+IF(Calc!$AG$350&lt;='财富模型'!$E$11*12,'Calc'!$W$16,'Calc'!$Y$16)-(IF('Calc'!$E$16=1,0,MIN(Calc!$AI$349*(1+'财富模型'!$E$20/12)+'Calc'!$B$6,IF(Calc!$AG$350&lt;='财富模型'!$E$11*12,'Calc'!$W$16,'Calc'!$Y$16))))))</x:f>
      </x:c>
      <x:c r="AK350" t="str">
        <x:f>IF(Calc!$AG$350&gt;'Calc'!$B$8,"",IF('Calc'!$E$16=1,0,MIN(Calc!$AI$349*(1+'财富模型'!$E$20/12)+'Calc'!$B$6,IF(Calc!$AG$350&lt;='财富模型'!$E$11*12,'Calc'!$W$16,'Calc'!$Y$16))))</x:f>
      </x:c>
      <x:c r="AL350" t="str">
        <x:f>IF(Calc!$AG$350&gt;'Calc'!$B$8,"",'Calc'!$B$5-'财富模型'!$E$5-(IF('Calc'!$E$16=1,'财富模型'!$E$9,'财富模型'!$M$8+IF(Calc!$AG$350&lt;='财富模型'!$E$11*12,'Calc'!$W$16,'Calc'!$Y$16)-(IF('Calc'!$E$16=1,0,MIN(Calc!$AI$349*(1+'财富模型'!$E$20/12)+'Calc'!$B$6,IF(Calc!$AG$350&lt;='财富模型'!$E$11*12,'Calc'!$W$16,'Calc'!$Y$16)))))))</x:f>
      </x:c>
      <x:c r="AM350" t="str">
        <x:f>IF(Calc!$AG$350&gt;'Calc'!$B$8,"",IF('Calc'!$E$16=1,0,MAX(Calc!$AM$349*(1+IF(Calc!$AG$350&lt;='财富模型'!$E$11*12,'财富模型'!$E$10,'财富模型'!$E$12)/12)-IF('Calc'!$E$16=1,0,IF(Calc!$AG$350&lt;='财富模型'!$E$11*12,'Calc'!$W$16,'Calc'!$Y$16)),0)))</x:f>
      </x:c>
      <x:c r="AO350" t="n">
        <x:v>329</x:v>
      </x:c>
      <x:c r="AP350" t="str">
        <x:f>IF(Calc!$AO$350&gt;'Calc'!$B$8,"",MAX(Calc!$AP$349*(1+'财富模型'!$E$6/12)+('Calc'!$B$5-'财富模型'!$E$5-(IF('Calc'!$E$17=1,'财富模型'!$E$9,'财富模型'!$M$9+IF(Calc!$AO$350&lt;='财富模型'!$E$11*12,'Calc'!$W$17,'Calc'!$Y$17)-(IF('Calc'!$E$17=1,0,MIN(Calc!$AQ$349*(1+'财富模型'!$E$20/12)+'Calc'!$B$6,IF(Calc!$AO$350&lt;='财富模型'!$E$11*12,'Calc'!$W$17,'Calc'!$Y$17))))))),0))</x:f>
      </x:c>
      <x:c r="AQ350" t="str">
        <x:f>IF(Calc!$AO$350&gt;'Calc'!$B$8,"",MAX(Calc!$AQ$349*(1+'财富模型'!$E$20/12)+'Calc'!$B$6-(IF('Calc'!$E$17=1,0,MIN(Calc!$AQ$349*(1+'财富模型'!$E$20/12)+'Calc'!$B$6,IF(Calc!$AO$350&lt;='财富模型'!$E$11*12,'Calc'!$W$17,'Calc'!$Y$17)))),0))</x:f>
      </x:c>
      <x:c r="AR350" t="str">
        <x:f>IF(Calc!$AO$350&gt;'Calc'!$B$8,"",IF('Calc'!$E$17=1,'财富模型'!$E$9,'财富模型'!$M$9+IF(Calc!$AO$350&lt;='财富模型'!$E$11*12,'Calc'!$W$17,'Calc'!$Y$17)-(IF('Calc'!$E$17=1,0,MIN(Calc!$AQ$349*(1+'财富模型'!$E$20/12)+'Calc'!$B$6,IF(Calc!$AO$350&lt;='财富模型'!$E$11*12,'Calc'!$W$17,'Calc'!$Y$17))))))</x:f>
      </x:c>
      <x:c r="AS350" t="str">
        <x:f>IF(Calc!$AO$350&gt;'Calc'!$B$8,"",IF('Calc'!$E$17=1,0,MIN(Calc!$AQ$349*(1+'财富模型'!$E$20/12)+'Calc'!$B$6,IF(Calc!$AO$350&lt;='财富模型'!$E$11*12,'Calc'!$W$17,'Calc'!$Y$17))))</x:f>
      </x:c>
      <x:c r="AT350" t="str">
        <x:f>IF(Calc!$AO$350&gt;'Calc'!$B$8,"",'Calc'!$B$5-'财富模型'!$E$5-(IF('Calc'!$E$17=1,'财富模型'!$E$9,'财富模型'!$M$9+IF(Calc!$AO$350&lt;='财富模型'!$E$11*12,'Calc'!$W$17,'Calc'!$Y$17)-(IF('Calc'!$E$17=1,0,MIN(Calc!$AQ$349*(1+'财富模型'!$E$20/12)+'Calc'!$B$6,IF(Calc!$AO$350&lt;='财富模型'!$E$11*12,'Calc'!$W$17,'Calc'!$Y$17)))))))</x:f>
      </x:c>
      <x:c r="AU350" t="str">
        <x:f>IF(Calc!$AO$350&gt;'Calc'!$B$8,"",IF('Calc'!$E$17=1,0,MAX(Calc!$AU$349*(1+IF(Calc!$AO$350&lt;='财富模型'!$E$11*12,'财富模型'!$E$10,'财富模型'!$E$12)/12)-IF('Calc'!$E$17=1,0,IF(Calc!$AO$350&lt;='财富模型'!$E$11*12,'Calc'!$W$17,'Calc'!$Y$17)),0)))</x:f>
      </x:c>
    </x:row>
    <x:row r="351">
      <x:c r="A351" t="n">
        <x:v>330</x:v>
      </x:c>
      <x:c r="B351" t="str">
        <x:f>IF(Calc!$A$351&gt;'Calc'!$B$8,"",MAX(Calc!$B$350*(1+'财富模型'!$E$6/12)+('Calc'!$B$5-'财富模型'!$E$5-(IF('Calc'!$E$12=1,'财富模型'!$E$9,'财富模型'!$M$4+IF(Calc!$A$351&lt;='财富模型'!$E$11*12,'Calc'!$W$12,'Calc'!$Y$12)-(IF('Calc'!$E$12=1,0,MIN(Calc!$C$350*(1+'财富模型'!$E$20/12)+'Calc'!$B$6,IF(Calc!$A$351&lt;='财富模型'!$E$11*12,'Calc'!$W$12,'Calc'!$Y$12))))))),0))</x:f>
      </x:c>
      <x:c r="C351" t="str">
        <x:f>IF(Calc!$A$351&gt;'Calc'!$B$8,"",MAX(Calc!$C$350*(1+'财富模型'!$E$20/12)+'Calc'!$B$6-(IF('Calc'!$E$12=1,0,MIN(Calc!$C$350*(1+'财富模型'!$E$20/12)+'Calc'!$B$6,IF(Calc!$A$351&lt;='财富模型'!$E$11*12,'Calc'!$W$12,'Calc'!$Y$12)))),0))</x:f>
      </x:c>
      <x:c r="D351" t="str">
        <x:f>IF(Calc!$A$351&gt;'Calc'!$B$8,"",IF('Calc'!$E$12=1,'财富模型'!$E$9,'财富模型'!$M$4+IF(Calc!$A$351&lt;='财富模型'!$E$11*12,'Calc'!$W$12,'Calc'!$Y$12)-(IF('Calc'!$E$12=1,0,MIN(Calc!$C$350*(1+'财富模型'!$E$20/12)+'Calc'!$B$6,IF(Calc!$A$351&lt;='财富模型'!$E$11*12,'Calc'!$W$12,'Calc'!$Y$12))))))</x:f>
      </x:c>
      <x:c r="E351" t="str">
        <x:f>IF(Calc!$A$351&gt;'Calc'!$B$8,"",IF('Calc'!$E$12=1,0,MIN(Calc!$C$350*(1+'财富模型'!$E$20/12)+'Calc'!$B$6,IF(Calc!$A$351&lt;='财富模型'!$E$11*12,'Calc'!$W$12,'Calc'!$Y$12))))</x:f>
      </x:c>
      <x:c r="F351" t="str">
        <x:f>IF(Calc!$A$351&gt;'Calc'!$B$8,"",'Calc'!$B$5-'财富模型'!$E$5-(IF('Calc'!$E$12=1,'财富模型'!$E$9,'财富模型'!$M$4+IF(Calc!$A$351&lt;='财富模型'!$E$11*12,'Calc'!$W$12,'Calc'!$Y$12)-(IF('Calc'!$E$12=1,0,MIN(Calc!$C$350*(1+'财富模型'!$E$20/12)+'Calc'!$B$6,IF(Calc!$A$351&lt;='财富模型'!$E$11*12,'Calc'!$W$12,'Calc'!$Y$12)))))))</x:f>
      </x:c>
      <x:c r="G351" t="str">
        <x:f>IF(Calc!$A$351&gt;'Calc'!$B$8,"",IF('Calc'!$E$12=1,0,MAX(Calc!$G$350*(1+IF(Calc!$A$351&lt;='财富模型'!$E$11*12,'财富模型'!$E$10,'财富模型'!$E$12)/12)-IF('Calc'!$E$12=1,0,IF(Calc!$A$351&lt;='财富模型'!$E$11*12,'Calc'!$W$12,'Calc'!$Y$12)),0)))</x:f>
      </x:c>
      <x:c r="I351" t="n">
        <x:v>330</x:v>
      </x:c>
      <x:c r="J351" t="str">
        <x:f>IF(Calc!$I$351&gt;'Calc'!$B$8,"",MAX(Calc!$J$350*(1+'财富模型'!$E$6/12)+('Calc'!$B$5-'财富模型'!$E$5-(IF('Calc'!$E$13=1,'财富模型'!$E$9,'财富模型'!$M$5+IF(Calc!$I$351&lt;='财富模型'!$E$11*12,'Calc'!$W$13,'Calc'!$Y$13)-(IF('Calc'!$E$13=1,0,MIN(Calc!$K$350*(1+'财富模型'!$E$20/12)+'Calc'!$B$6,IF(Calc!$I$351&lt;='财富模型'!$E$11*12,'Calc'!$W$13,'Calc'!$Y$13))))))),0))</x:f>
      </x:c>
      <x:c r="K351" t="str">
        <x:f>IF(Calc!$I$351&gt;'Calc'!$B$8,"",MAX(Calc!$K$350*(1+'财富模型'!$E$20/12)+'Calc'!$B$6-(IF('Calc'!$E$13=1,0,MIN(Calc!$K$350*(1+'财富模型'!$E$20/12)+'Calc'!$B$6,IF(Calc!$I$351&lt;='财富模型'!$E$11*12,'Calc'!$W$13,'Calc'!$Y$13)))),0))</x:f>
      </x:c>
      <x:c r="L351" t="str">
        <x:f>IF(Calc!$I$351&gt;'Calc'!$B$8,"",IF('Calc'!$E$13=1,'财富模型'!$E$9,'财富模型'!$M$5+IF(Calc!$I$351&lt;='财富模型'!$E$11*12,'Calc'!$W$13,'Calc'!$Y$13)-(IF('Calc'!$E$13=1,0,MIN(Calc!$K$350*(1+'财富模型'!$E$20/12)+'Calc'!$B$6,IF(Calc!$I$351&lt;='财富模型'!$E$11*12,'Calc'!$W$13,'Calc'!$Y$13))))))</x:f>
      </x:c>
      <x:c r="M351" t="str">
        <x:f>IF(Calc!$I$351&gt;'Calc'!$B$8,"",IF('Calc'!$E$13=1,0,MIN(Calc!$K$350*(1+'财富模型'!$E$20/12)+'Calc'!$B$6,IF(Calc!$I$351&lt;='财富模型'!$E$11*12,'Calc'!$W$13,'Calc'!$Y$13))))</x:f>
      </x:c>
      <x:c r="N351" t="str">
        <x:f>IF(Calc!$I$351&gt;'Calc'!$B$8,"",'Calc'!$B$5-'财富模型'!$E$5-(IF('Calc'!$E$13=1,'财富模型'!$E$9,'财富模型'!$M$5+IF(Calc!$I$351&lt;='财富模型'!$E$11*12,'Calc'!$W$13,'Calc'!$Y$13)-(IF('Calc'!$E$13=1,0,MIN(Calc!$K$350*(1+'财富模型'!$E$20/12)+'Calc'!$B$6,IF(Calc!$I$351&lt;='财富模型'!$E$11*12,'Calc'!$W$13,'Calc'!$Y$13)))))))</x:f>
      </x:c>
      <x:c r="O351" t="str">
        <x:f>IF(Calc!$I$351&gt;'Calc'!$B$8,"",IF('Calc'!$E$13=1,0,MAX(Calc!$O$350*(1+IF(Calc!$I$351&lt;='财富模型'!$E$11*12,'财富模型'!$E$10,'财富模型'!$E$12)/12)-IF('Calc'!$E$13=1,0,IF(Calc!$I$351&lt;='财富模型'!$E$11*12,'Calc'!$W$13,'Calc'!$Y$13)),0)))</x:f>
      </x:c>
      <x:c r="Q351" t="n">
        <x:v>330</x:v>
      </x:c>
      <x:c r="R351" t="str">
        <x:f>IF(Calc!$Q$351&gt;'Calc'!$B$8,"",MAX(Calc!$R$350*(1+'财富模型'!$E$6/12)+('Calc'!$B$5-'财富模型'!$E$5-(IF('Calc'!$E$14=1,'财富模型'!$E$9,'财富模型'!$M$6+IF(Calc!$Q$351&lt;='财富模型'!$E$11*12,'Calc'!$W$14,'Calc'!$Y$14)-(IF('Calc'!$E$14=1,0,MIN(Calc!$S$350*(1+'财富模型'!$E$20/12)+'Calc'!$B$6,IF(Calc!$Q$351&lt;='财富模型'!$E$11*12,'Calc'!$W$14,'Calc'!$Y$14))))))),0))</x:f>
      </x:c>
      <x:c r="S351" t="str">
        <x:f>IF(Calc!$Q$351&gt;'Calc'!$B$8,"",MAX(Calc!$S$350*(1+'财富模型'!$E$20/12)+'Calc'!$B$6-(IF('Calc'!$E$14=1,0,MIN(Calc!$S$350*(1+'财富模型'!$E$20/12)+'Calc'!$B$6,IF(Calc!$Q$351&lt;='财富模型'!$E$11*12,'Calc'!$W$14,'Calc'!$Y$14)))),0))</x:f>
      </x:c>
      <x:c r="T351" t="str">
        <x:f>IF(Calc!$Q$351&gt;'Calc'!$B$8,"",IF('Calc'!$E$14=1,'财富模型'!$E$9,'财富模型'!$M$6+IF(Calc!$Q$351&lt;='财富模型'!$E$11*12,'Calc'!$W$14,'Calc'!$Y$14)-(IF('Calc'!$E$14=1,0,MIN(Calc!$S$350*(1+'财富模型'!$E$20/12)+'Calc'!$B$6,IF(Calc!$Q$351&lt;='财富模型'!$E$11*12,'Calc'!$W$14,'Calc'!$Y$14))))))</x:f>
      </x:c>
      <x:c r="U351" t="str">
        <x:f>IF(Calc!$Q$351&gt;'Calc'!$B$8,"",IF('Calc'!$E$14=1,0,MIN(Calc!$S$350*(1+'财富模型'!$E$20/12)+'Calc'!$B$6,IF(Calc!$Q$351&lt;='财富模型'!$E$11*12,'Calc'!$W$14,'Calc'!$Y$14))))</x:f>
      </x:c>
      <x:c r="V351" t="str">
        <x:f>IF(Calc!$Q$351&gt;'Calc'!$B$8,"",'Calc'!$B$5-'财富模型'!$E$5-(IF('Calc'!$E$14=1,'财富模型'!$E$9,'财富模型'!$M$6+IF(Calc!$Q$351&lt;='财富模型'!$E$11*12,'Calc'!$W$14,'Calc'!$Y$14)-(IF('Calc'!$E$14=1,0,MIN(Calc!$S$350*(1+'财富模型'!$E$20/12)+'Calc'!$B$6,IF(Calc!$Q$351&lt;='财富模型'!$E$11*12,'Calc'!$W$14,'Calc'!$Y$14)))))))</x:f>
      </x:c>
      <x:c r="W351" t="str">
        <x:f>IF(Calc!$Q$351&gt;'Calc'!$B$8,"",IF('Calc'!$E$14=1,0,MAX(Calc!$W$350*(1+IF(Calc!$Q$351&lt;='财富模型'!$E$11*12,'财富模型'!$E$10,'财富模型'!$E$12)/12)-IF('Calc'!$E$14=1,0,IF(Calc!$Q$351&lt;='财富模型'!$E$11*12,'Calc'!$W$14,'Calc'!$Y$14)),0)))</x:f>
      </x:c>
      <x:c r="Y351" t="n">
        <x:v>330</x:v>
      </x:c>
      <x:c r="Z351" t="str">
        <x:f>IF(Calc!$Y$351&gt;'Calc'!$B$8,"",MAX(Calc!$Z$350*(1+'财富模型'!$E$6/12)+('Calc'!$B$5-'财富模型'!$E$5-(IF('Calc'!$E$15=1,'财富模型'!$E$9,'财富模型'!$M$7+IF(Calc!$Y$351&lt;='财富模型'!$E$11*12,'Calc'!$W$15,'Calc'!$Y$15)-(IF('Calc'!$E$15=1,0,MIN(Calc!$AA$350*(1+'财富模型'!$E$20/12)+'Calc'!$B$6,IF(Calc!$Y$351&lt;='财富模型'!$E$11*12,'Calc'!$W$15,'Calc'!$Y$15))))))),0))</x:f>
      </x:c>
      <x:c r="AA351" t="str">
        <x:f>IF(Calc!$Y$351&gt;'Calc'!$B$8,"",MAX(Calc!$AA$350*(1+'财富模型'!$E$20/12)+'Calc'!$B$6-(IF('Calc'!$E$15=1,0,MIN(Calc!$AA$350*(1+'财富模型'!$E$20/12)+'Calc'!$B$6,IF(Calc!$Y$351&lt;='财富模型'!$E$11*12,'Calc'!$W$15,'Calc'!$Y$15)))),0))</x:f>
      </x:c>
      <x:c r="AB351" t="str">
        <x:f>IF(Calc!$Y$351&gt;'Calc'!$B$8,"",IF('Calc'!$E$15=1,'财富模型'!$E$9,'财富模型'!$M$7+IF(Calc!$Y$351&lt;='财富模型'!$E$11*12,'Calc'!$W$15,'Calc'!$Y$15)-(IF('Calc'!$E$15=1,0,MIN(Calc!$AA$350*(1+'财富模型'!$E$20/12)+'Calc'!$B$6,IF(Calc!$Y$351&lt;='财富模型'!$E$11*12,'Calc'!$W$15,'Calc'!$Y$15))))))</x:f>
      </x:c>
      <x:c r="AC351" t="str">
        <x:f>IF(Calc!$Y$351&gt;'Calc'!$B$8,"",IF('Calc'!$E$15=1,0,MIN(Calc!$AA$350*(1+'财富模型'!$E$20/12)+'Calc'!$B$6,IF(Calc!$Y$351&lt;='财富模型'!$E$11*12,'Calc'!$W$15,'Calc'!$Y$15))))</x:f>
      </x:c>
      <x:c r="AD351" t="str">
        <x:f>IF(Calc!$Y$351&gt;'Calc'!$B$8,"",'Calc'!$B$5-'财富模型'!$E$5-(IF('Calc'!$E$15=1,'财富模型'!$E$9,'财富模型'!$M$7+IF(Calc!$Y$351&lt;='财富模型'!$E$11*12,'Calc'!$W$15,'Calc'!$Y$15)-(IF('Calc'!$E$15=1,0,MIN(Calc!$AA$350*(1+'财富模型'!$E$20/12)+'Calc'!$B$6,IF(Calc!$Y$351&lt;='财富模型'!$E$11*12,'Calc'!$W$15,'Calc'!$Y$15)))))))</x:f>
      </x:c>
      <x:c r="AE351" t="str">
        <x:f>IF(Calc!$Y$351&gt;'Calc'!$B$8,"",IF('Calc'!$E$15=1,0,MAX(Calc!$AE$350*(1+IF(Calc!$Y$351&lt;='财富模型'!$E$11*12,'财富模型'!$E$10,'财富模型'!$E$12)/12)-IF('Calc'!$E$15=1,0,IF(Calc!$Y$351&lt;='财富模型'!$E$11*12,'Calc'!$W$15,'Calc'!$Y$15)),0)))</x:f>
      </x:c>
      <x:c r="AG351" t="n">
        <x:v>330</x:v>
      </x:c>
      <x:c r="AH351" t="str">
        <x:f>IF(Calc!$AG$351&gt;'Calc'!$B$8,"",MAX(Calc!$AH$350*(1+'财富模型'!$E$6/12)+('Calc'!$B$5-'财富模型'!$E$5-(IF('Calc'!$E$16=1,'财富模型'!$E$9,'财富模型'!$M$8+IF(Calc!$AG$351&lt;='财富模型'!$E$11*12,'Calc'!$W$16,'Calc'!$Y$16)-(IF('Calc'!$E$16=1,0,MIN(Calc!$AI$350*(1+'财富模型'!$E$20/12)+'Calc'!$B$6,IF(Calc!$AG$351&lt;='财富模型'!$E$11*12,'Calc'!$W$16,'Calc'!$Y$16))))))),0))</x:f>
      </x:c>
      <x:c r="AI351" t="str">
        <x:f>IF(Calc!$AG$351&gt;'Calc'!$B$8,"",MAX(Calc!$AI$350*(1+'财富模型'!$E$20/12)+'Calc'!$B$6-(IF('Calc'!$E$16=1,0,MIN(Calc!$AI$350*(1+'财富模型'!$E$20/12)+'Calc'!$B$6,IF(Calc!$AG$351&lt;='财富模型'!$E$11*12,'Calc'!$W$16,'Calc'!$Y$16)))),0))</x:f>
      </x:c>
      <x:c r="AJ351" t="str">
        <x:f>IF(Calc!$AG$351&gt;'Calc'!$B$8,"",IF('Calc'!$E$16=1,'财富模型'!$E$9,'财富模型'!$M$8+IF(Calc!$AG$351&lt;='财富模型'!$E$11*12,'Calc'!$W$16,'Calc'!$Y$16)-(IF('Calc'!$E$16=1,0,MIN(Calc!$AI$350*(1+'财富模型'!$E$20/12)+'Calc'!$B$6,IF(Calc!$AG$351&lt;='财富模型'!$E$11*12,'Calc'!$W$16,'Calc'!$Y$16))))))</x:f>
      </x:c>
      <x:c r="AK351" t="str">
        <x:f>IF(Calc!$AG$351&gt;'Calc'!$B$8,"",IF('Calc'!$E$16=1,0,MIN(Calc!$AI$350*(1+'财富模型'!$E$20/12)+'Calc'!$B$6,IF(Calc!$AG$351&lt;='财富模型'!$E$11*12,'Calc'!$W$16,'Calc'!$Y$16))))</x:f>
      </x:c>
      <x:c r="AL351" t="str">
        <x:f>IF(Calc!$AG$351&gt;'Calc'!$B$8,"",'Calc'!$B$5-'财富模型'!$E$5-(IF('Calc'!$E$16=1,'财富模型'!$E$9,'财富模型'!$M$8+IF(Calc!$AG$351&lt;='财富模型'!$E$11*12,'Calc'!$W$16,'Calc'!$Y$16)-(IF('Calc'!$E$16=1,0,MIN(Calc!$AI$350*(1+'财富模型'!$E$20/12)+'Calc'!$B$6,IF(Calc!$AG$351&lt;='财富模型'!$E$11*12,'Calc'!$W$16,'Calc'!$Y$16)))))))</x:f>
      </x:c>
      <x:c r="AM351" t="str">
        <x:f>IF(Calc!$AG$351&gt;'Calc'!$B$8,"",IF('Calc'!$E$16=1,0,MAX(Calc!$AM$350*(1+IF(Calc!$AG$351&lt;='财富模型'!$E$11*12,'财富模型'!$E$10,'财富模型'!$E$12)/12)-IF('Calc'!$E$16=1,0,IF(Calc!$AG$351&lt;='财富模型'!$E$11*12,'Calc'!$W$16,'Calc'!$Y$16)),0)))</x:f>
      </x:c>
      <x:c r="AO351" t="n">
        <x:v>330</x:v>
      </x:c>
      <x:c r="AP351" t="str">
        <x:f>IF(Calc!$AO$351&gt;'Calc'!$B$8,"",MAX(Calc!$AP$350*(1+'财富模型'!$E$6/12)+('Calc'!$B$5-'财富模型'!$E$5-(IF('Calc'!$E$17=1,'财富模型'!$E$9,'财富模型'!$M$9+IF(Calc!$AO$351&lt;='财富模型'!$E$11*12,'Calc'!$W$17,'Calc'!$Y$17)-(IF('Calc'!$E$17=1,0,MIN(Calc!$AQ$350*(1+'财富模型'!$E$20/12)+'Calc'!$B$6,IF(Calc!$AO$351&lt;='财富模型'!$E$11*12,'Calc'!$W$17,'Calc'!$Y$17))))))),0))</x:f>
      </x:c>
      <x:c r="AQ351" t="str">
        <x:f>IF(Calc!$AO$351&gt;'Calc'!$B$8,"",MAX(Calc!$AQ$350*(1+'财富模型'!$E$20/12)+'Calc'!$B$6-(IF('Calc'!$E$17=1,0,MIN(Calc!$AQ$350*(1+'财富模型'!$E$20/12)+'Calc'!$B$6,IF(Calc!$AO$351&lt;='财富模型'!$E$11*12,'Calc'!$W$17,'Calc'!$Y$17)))),0))</x:f>
      </x:c>
      <x:c r="AR351" t="str">
        <x:f>IF(Calc!$AO$351&gt;'Calc'!$B$8,"",IF('Calc'!$E$17=1,'财富模型'!$E$9,'财富模型'!$M$9+IF(Calc!$AO$351&lt;='财富模型'!$E$11*12,'Calc'!$W$17,'Calc'!$Y$17)-(IF('Calc'!$E$17=1,0,MIN(Calc!$AQ$350*(1+'财富模型'!$E$20/12)+'Calc'!$B$6,IF(Calc!$AO$351&lt;='财富模型'!$E$11*12,'Calc'!$W$17,'Calc'!$Y$17))))))</x:f>
      </x:c>
      <x:c r="AS351" t="str">
        <x:f>IF(Calc!$AO$351&gt;'Calc'!$B$8,"",IF('Calc'!$E$17=1,0,MIN(Calc!$AQ$350*(1+'财富模型'!$E$20/12)+'Calc'!$B$6,IF(Calc!$AO$351&lt;='财富模型'!$E$11*12,'Calc'!$W$17,'Calc'!$Y$17))))</x:f>
      </x:c>
      <x:c r="AT351" t="str">
        <x:f>IF(Calc!$AO$351&gt;'Calc'!$B$8,"",'Calc'!$B$5-'财富模型'!$E$5-(IF('Calc'!$E$17=1,'财富模型'!$E$9,'财富模型'!$M$9+IF(Calc!$AO$351&lt;='财富模型'!$E$11*12,'Calc'!$W$17,'Calc'!$Y$17)-(IF('Calc'!$E$17=1,0,MIN(Calc!$AQ$350*(1+'财富模型'!$E$20/12)+'Calc'!$B$6,IF(Calc!$AO$351&lt;='财富模型'!$E$11*12,'Calc'!$W$17,'Calc'!$Y$17)))))))</x:f>
      </x:c>
      <x:c r="AU351" t="str">
        <x:f>IF(Calc!$AO$351&gt;'Calc'!$B$8,"",IF('Calc'!$E$17=1,0,MAX(Calc!$AU$350*(1+IF(Calc!$AO$351&lt;='财富模型'!$E$11*12,'财富模型'!$E$10,'财富模型'!$E$12)/12)-IF('Calc'!$E$17=1,0,IF(Calc!$AO$351&lt;='财富模型'!$E$11*12,'Calc'!$W$17,'Calc'!$Y$17)),0)))</x:f>
      </x:c>
    </x:row>
    <x:row r="352">
      <x:c r="A352" t="n">
        <x:v>331</x:v>
      </x:c>
      <x:c r="B352" t="str">
        <x:f>IF(Calc!$A$352&gt;'Calc'!$B$8,"",MAX(Calc!$B$351*(1+'财富模型'!$E$6/12)+('Calc'!$B$5-'财富模型'!$E$5-(IF('Calc'!$E$12=1,'财富模型'!$E$9,'财富模型'!$M$4+IF(Calc!$A$352&lt;='财富模型'!$E$11*12,'Calc'!$W$12,'Calc'!$Y$12)-(IF('Calc'!$E$12=1,0,MIN(Calc!$C$351*(1+'财富模型'!$E$20/12)+'Calc'!$B$6,IF(Calc!$A$352&lt;='财富模型'!$E$11*12,'Calc'!$W$12,'Calc'!$Y$12))))))),0))</x:f>
      </x:c>
      <x:c r="C352" t="str">
        <x:f>IF(Calc!$A$352&gt;'Calc'!$B$8,"",MAX(Calc!$C$351*(1+'财富模型'!$E$20/12)+'Calc'!$B$6-(IF('Calc'!$E$12=1,0,MIN(Calc!$C$351*(1+'财富模型'!$E$20/12)+'Calc'!$B$6,IF(Calc!$A$352&lt;='财富模型'!$E$11*12,'Calc'!$W$12,'Calc'!$Y$12)))),0))</x:f>
      </x:c>
      <x:c r="D352" t="str">
        <x:f>IF(Calc!$A$352&gt;'Calc'!$B$8,"",IF('Calc'!$E$12=1,'财富模型'!$E$9,'财富模型'!$M$4+IF(Calc!$A$352&lt;='财富模型'!$E$11*12,'Calc'!$W$12,'Calc'!$Y$12)-(IF('Calc'!$E$12=1,0,MIN(Calc!$C$351*(1+'财富模型'!$E$20/12)+'Calc'!$B$6,IF(Calc!$A$352&lt;='财富模型'!$E$11*12,'Calc'!$W$12,'Calc'!$Y$12))))))</x:f>
      </x:c>
      <x:c r="E352" t="str">
        <x:f>IF(Calc!$A$352&gt;'Calc'!$B$8,"",IF('Calc'!$E$12=1,0,MIN(Calc!$C$351*(1+'财富模型'!$E$20/12)+'Calc'!$B$6,IF(Calc!$A$352&lt;='财富模型'!$E$11*12,'Calc'!$W$12,'Calc'!$Y$12))))</x:f>
      </x:c>
      <x:c r="F352" t="str">
        <x:f>IF(Calc!$A$352&gt;'Calc'!$B$8,"",'Calc'!$B$5-'财富模型'!$E$5-(IF('Calc'!$E$12=1,'财富模型'!$E$9,'财富模型'!$M$4+IF(Calc!$A$352&lt;='财富模型'!$E$11*12,'Calc'!$W$12,'Calc'!$Y$12)-(IF('Calc'!$E$12=1,0,MIN(Calc!$C$351*(1+'财富模型'!$E$20/12)+'Calc'!$B$6,IF(Calc!$A$352&lt;='财富模型'!$E$11*12,'Calc'!$W$12,'Calc'!$Y$12)))))))</x:f>
      </x:c>
      <x:c r="G352" t="str">
        <x:f>IF(Calc!$A$352&gt;'Calc'!$B$8,"",IF('Calc'!$E$12=1,0,MAX(Calc!$G$351*(1+IF(Calc!$A$352&lt;='财富模型'!$E$11*12,'财富模型'!$E$10,'财富模型'!$E$12)/12)-IF('Calc'!$E$12=1,0,IF(Calc!$A$352&lt;='财富模型'!$E$11*12,'Calc'!$W$12,'Calc'!$Y$12)),0)))</x:f>
      </x:c>
      <x:c r="I352" t="n">
        <x:v>331</x:v>
      </x:c>
      <x:c r="J352" t="str">
        <x:f>IF(Calc!$I$352&gt;'Calc'!$B$8,"",MAX(Calc!$J$351*(1+'财富模型'!$E$6/12)+('Calc'!$B$5-'财富模型'!$E$5-(IF('Calc'!$E$13=1,'财富模型'!$E$9,'财富模型'!$M$5+IF(Calc!$I$352&lt;='财富模型'!$E$11*12,'Calc'!$W$13,'Calc'!$Y$13)-(IF('Calc'!$E$13=1,0,MIN(Calc!$K$351*(1+'财富模型'!$E$20/12)+'Calc'!$B$6,IF(Calc!$I$352&lt;='财富模型'!$E$11*12,'Calc'!$W$13,'Calc'!$Y$13))))))),0))</x:f>
      </x:c>
      <x:c r="K352" t="str">
        <x:f>IF(Calc!$I$352&gt;'Calc'!$B$8,"",MAX(Calc!$K$351*(1+'财富模型'!$E$20/12)+'Calc'!$B$6-(IF('Calc'!$E$13=1,0,MIN(Calc!$K$351*(1+'财富模型'!$E$20/12)+'Calc'!$B$6,IF(Calc!$I$352&lt;='财富模型'!$E$11*12,'Calc'!$W$13,'Calc'!$Y$13)))),0))</x:f>
      </x:c>
      <x:c r="L352" t="str">
        <x:f>IF(Calc!$I$352&gt;'Calc'!$B$8,"",IF('Calc'!$E$13=1,'财富模型'!$E$9,'财富模型'!$M$5+IF(Calc!$I$352&lt;='财富模型'!$E$11*12,'Calc'!$W$13,'Calc'!$Y$13)-(IF('Calc'!$E$13=1,0,MIN(Calc!$K$351*(1+'财富模型'!$E$20/12)+'Calc'!$B$6,IF(Calc!$I$352&lt;='财富模型'!$E$11*12,'Calc'!$W$13,'Calc'!$Y$13))))))</x:f>
      </x:c>
      <x:c r="M352" t="str">
        <x:f>IF(Calc!$I$352&gt;'Calc'!$B$8,"",IF('Calc'!$E$13=1,0,MIN(Calc!$K$351*(1+'财富模型'!$E$20/12)+'Calc'!$B$6,IF(Calc!$I$352&lt;='财富模型'!$E$11*12,'Calc'!$W$13,'Calc'!$Y$13))))</x:f>
      </x:c>
      <x:c r="N352" t="str">
        <x:f>IF(Calc!$I$352&gt;'Calc'!$B$8,"",'Calc'!$B$5-'财富模型'!$E$5-(IF('Calc'!$E$13=1,'财富模型'!$E$9,'财富模型'!$M$5+IF(Calc!$I$352&lt;='财富模型'!$E$11*12,'Calc'!$W$13,'Calc'!$Y$13)-(IF('Calc'!$E$13=1,0,MIN(Calc!$K$351*(1+'财富模型'!$E$20/12)+'Calc'!$B$6,IF(Calc!$I$352&lt;='财富模型'!$E$11*12,'Calc'!$W$13,'Calc'!$Y$13)))))))</x:f>
      </x:c>
      <x:c r="O352" t="str">
        <x:f>IF(Calc!$I$352&gt;'Calc'!$B$8,"",IF('Calc'!$E$13=1,0,MAX(Calc!$O$351*(1+IF(Calc!$I$352&lt;='财富模型'!$E$11*12,'财富模型'!$E$10,'财富模型'!$E$12)/12)-IF('Calc'!$E$13=1,0,IF(Calc!$I$352&lt;='财富模型'!$E$11*12,'Calc'!$W$13,'Calc'!$Y$13)),0)))</x:f>
      </x:c>
      <x:c r="Q352" t="n">
        <x:v>331</x:v>
      </x:c>
      <x:c r="R352" t="str">
        <x:f>IF(Calc!$Q$352&gt;'Calc'!$B$8,"",MAX(Calc!$R$351*(1+'财富模型'!$E$6/12)+('Calc'!$B$5-'财富模型'!$E$5-(IF('Calc'!$E$14=1,'财富模型'!$E$9,'财富模型'!$M$6+IF(Calc!$Q$352&lt;='财富模型'!$E$11*12,'Calc'!$W$14,'Calc'!$Y$14)-(IF('Calc'!$E$14=1,0,MIN(Calc!$S$351*(1+'财富模型'!$E$20/12)+'Calc'!$B$6,IF(Calc!$Q$352&lt;='财富模型'!$E$11*12,'Calc'!$W$14,'Calc'!$Y$14))))))),0))</x:f>
      </x:c>
      <x:c r="S352" t="str">
        <x:f>IF(Calc!$Q$352&gt;'Calc'!$B$8,"",MAX(Calc!$S$351*(1+'财富模型'!$E$20/12)+'Calc'!$B$6-(IF('Calc'!$E$14=1,0,MIN(Calc!$S$351*(1+'财富模型'!$E$20/12)+'Calc'!$B$6,IF(Calc!$Q$352&lt;='财富模型'!$E$11*12,'Calc'!$W$14,'Calc'!$Y$14)))),0))</x:f>
      </x:c>
      <x:c r="T352" t="str">
        <x:f>IF(Calc!$Q$352&gt;'Calc'!$B$8,"",IF('Calc'!$E$14=1,'财富模型'!$E$9,'财富模型'!$M$6+IF(Calc!$Q$352&lt;='财富模型'!$E$11*12,'Calc'!$W$14,'Calc'!$Y$14)-(IF('Calc'!$E$14=1,0,MIN(Calc!$S$351*(1+'财富模型'!$E$20/12)+'Calc'!$B$6,IF(Calc!$Q$352&lt;='财富模型'!$E$11*12,'Calc'!$W$14,'Calc'!$Y$14))))))</x:f>
      </x:c>
      <x:c r="U352" t="str">
        <x:f>IF(Calc!$Q$352&gt;'Calc'!$B$8,"",IF('Calc'!$E$14=1,0,MIN(Calc!$S$351*(1+'财富模型'!$E$20/12)+'Calc'!$B$6,IF(Calc!$Q$352&lt;='财富模型'!$E$11*12,'Calc'!$W$14,'Calc'!$Y$14))))</x:f>
      </x:c>
      <x:c r="V352" t="str">
        <x:f>IF(Calc!$Q$352&gt;'Calc'!$B$8,"",'Calc'!$B$5-'财富模型'!$E$5-(IF('Calc'!$E$14=1,'财富模型'!$E$9,'财富模型'!$M$6+IF(Calc!$Q$352&lt;='财富模型'!$E$11*12,'Calc'!$W$14,'Calc'!$Y$14)-(IF('Calc'!$E$14=1,0,MIN(Calc!$S$351*(1+'财富模型'!$E$20/12)+'Calc'!$B$6,IF(Calc!$Q$352&lt;='财富模型'!$E$11*12,'Calc'!$W$14,'Calc'!$Y$14)))))))</x:f>
      </x:c>
      <x:c r="W352" t="str">
        <x:f>IF(Calc!$Q$352&gt;'Calc'!$B$8,"",IF('Calc'!$E$14=1,0,MAX(Calc!$W$351*(1+IF(Calc!$Q$352&lt;='财富模型'!$E$11*12,'财富模型'!$E$10,'财富模型'!$E$12)/12)-IF('Calc'!$E$14=1,0,IF(Calc!$Q$352&lt;='财富模型'!$E$11*12,'Calc'!$W$14,'Calc'!$Y$14)),0)))</x:f>
      </x:c>
      <x:c r="Y352" t="n">
        <x:v>331</x:v>
      </x:c>
      <x:c r="Z352" t="str">
        <x:f>IF(Calc!$Y$352&gt;'Calc'!$B$8,"",MAX(Calc!$Z$351*(1+'财富模型'!$E$6/12)+('Calc'!$B$5-'财富模型'!$E$5-(IF('Calc'!$E$15=1,'财富模型'!$E$9,'财富模型'!$M$7+IF(Calc!$Y$352&lt;='财富模型'!$E$11*12,'Calc'!$W$15,'Calc'!$Y$15)-(IF('Calc'!$E$15=1,0,MIN(Calc!$AA$351*(1+'财富模型'!$E$20/12)+'Calc'!$B$6,IF(Calc!$Y$352&lt;='财富模型'!$E$11*12,'Calc'!$W$15,'Calc'!$Y$15))))))),0))</x:f>
      </x:c>
      <x:c r="AA352" t="str">
        <x:f>IF(Calc!$Y$352&gt;'Calc'!$B$8,"",MAX(Calc!$AA$351*(1+'财富模型'!$E$20/12)+'Calc'!$B$6-(IF('Calc'!$E$15=1,0,MIN(Calc!$AA$351*(1+'财富模型'!$E$20/12)+'Calc'!$B$6,IF(Calc!$Y$352&lt;='财富模型'!$E$11*12,'Calc'!$W$15,'Calc'!$Y$15)))),0))</x:f>
      </x:c>
      <x:c r="AB352" t="str">
        <x:f>IF(Calc!$Y$352&gt;'Calc'!$B$8,"",IF('Calc'!$E$15=1,'财富模型'!$E$9,'财富模型'!$M$7+IF(Calc!$Y$352&lt;='财富模型'!$E$11*12,'Calc'!$W$15,'Calc'!$Y$15)-(IF('Calc'!$E$15=1,0,MIN(Calc!$AA$351*(1+'财富模型'!$E$20/12)+'Calc'!$B$6,IF(Calc!$Y$352&lt;='财富模型'!$E$11*12,'Calc'!$W$15,'Calc'!$Y$15))))))</x:f>
      </x:c>
      <x:c r="AC352" t="str">
        <x:f>IF(Calc!$Y$352&gt;'Calc'!$B$8,"",IF('Calc'!$E$15=1,0,MIN(Calc!$AA$351*(1+'财富模型'!$E$20/12)+'Calc'!$B$6,IF(Calc!$Y$352&lt;='财富模型'!$E$11*12,'Calc'!$W$15,'Calc'!$Y$15))))</x:f>
      </x:c>
      <x:c r="AD352" t="str">
        <x:f>IF(Calc!$Y$352&gt;'Calc'!$B$8,"",'Calc'!$B$5-'财富模型'!$E$5-(IF('Calc'!$E$15=1,'财富模型'!$E$9,'财富模型'!$M$7+IF(Calc!$Y$352&lt;='财富模型'!$E$11*12,'Calc'!$W$15,'Calc'!$Y$15)-(IF('Calc'!$E$15=1,0,MIN(Calc!$AA$351*(1+'财富模型'!$E$20/12)+'Calc'!$B$6,IF(Calc!$Y$352&lt;='财富模型'!$E$11*12,'Calc'!$W$15,'Calc'!$Y$15)))))))</x:f>
      </x:c>
      <x:c r="AE352" t="str">
        <x:f>IF(Calc!$Y$352&gt;'Calc'!$B$8,"",IF('Calc'!$E$15=1,0,MAX(Calc!$AE$351*(1+IF(Calc!$Y$352&lt;='财富模型'!$E$11*12,'财富模型'!$E$10,'财富模型'!$E$12)/12)-IF('Calc'!$E$15=1,0,IF(Calc!$Y$352&lt;='财富模型'!$E$11*12,'Calc'!$W$15,'Calc'!$Y$15)),0)))</x:f>
      </x:c>
      <x:c r="AG352" t="n">
        <x:v>331</x:v>
      </x:c>
      <x:c r="AH352" t="str">
        <x:f>IF(Calc!$AG$352&gt;'Calc'!$B$8,"",MAX(Calc!$AH$351*(1+'财富模型'!$E$6/12)+('Calc'!$B$5-'财富模型'!$E$5-(IF('Calc'!$E$16=1,'财富模型'!$E$9,'财富模型'!$M$8+IF(Calc!$AG$352&lt;='财富模型'!$E$11*12,'Calc'!$W$16,'Calc'!$Y$16)-(IF('Calc'!$E$16=1,0,MIN(Calc!$AI$351*(1+'财富模型'!$E$20/12)+'Calc'!$B$6,IF(Calc!$AG$352&lt;='财富模型'!$E$11*12,'Calc'!$W$16,'Calc'!$Y$16))))))),0))</x:f>
      </x:c>
      <x:c r="AI352" t="str">
        <x:f>IF(Calc!$AG$352&gt;'Calc'!$B$8,"",MAX(Calc!$AI$351*(1+'财富模型'!$E$20/12)+'Calc'!$B$6-(IF('Calc'!$E$16=1,0,MIN(Calc!$AI$351*(1+'财富模型'!$E$20/12)+'Calc'!$B$6,IF(Calc!$AG$352&lt;='财富模型'!$E$11*12,'Calc'!$W$16,'Calc'!$Y$16)))),0))</x:f>
      </x:c>
      <x:c r="AJ352" t="str">
        <x:f>IF(Calc!$AG$352&gt;'Calc'!$B$8,"",IF('Calc'!$E$16=1,'财富模型'!$E$9,'财富模型'!$M$8+IF(Calc!$AG$352&lt;='财富模型'!$E$11*12,'Calc'!$W$16,'Calc'!$Y$16)-(IF('Calc'!$E$16=1,0,MIN(Calc!$AI$351*(1+'财富模型'!$E$20/12)+'Calc'!$B$6,IF(Calc!$AG$352&lt;='财富模型'!$E$11*12,'Calc'!$W$16,'Calc'!$Y$16))))))</x:f>
      </x:c>
      <x:c r="AK352" t="str">
        <x:f>IF(Calc!$AG$352&gt;'Calc'!$B$8,"",IF('Calc'!$E$16=1,0,MIN(Calc!$AI$351*(1+'财富模型'!$E$20/12)+'Calc'!$B$6,IF(Calc!$AG$352&lt;='财富模型'!$E$11*12,'Calc'!$W$16,'Calc'!$Y$16))))</x:f>
      </x:c>
      <x:c r="AL352" t="str">
        <x:f>IF(Calc!$AG$352&gt;'Calc'!$B$8,"",'Calc'!$B$5-'财富模型'!$E$5-(IF('Calc'!$E$16=1,'财富模型'!$E$9,'财富模型'!$M$8+IF(Calc!$AG$352&lt;='财富模型'!$E$11*12,'Calc'!$W$16,'Calc'!$Y$16)-(IF('Calc'!$E$16=1,0,MIN(Calc!$AI$351*(1+'财富模型'!$E$20/12)+'Calc'!$B$6,IF(Calc!$AG$352&lt;='财富模型'!$E$11*12,'Calc'!$W$16,'Calc'!$Y$16)))))))</x:f>
      </x:c>
      <x:c r="AM352" t="str">
        <x:f>IF(Calc!$AG$352&gt;'Calc'!$B$8,"",IF('Calc'!$E$16=1,0,MAX(Calc!$AM$351*(1+IF(Calc!$AG$352&lt;='财富模型'!$E$11*12,'财富模型'!$E$10,'财富模型'!$E$12)/12)-IF('Calc'!$E$16=1,0,IF(Calc!$AG$352&lt;='财富模型'!$E$11*12,'Calc'!$W$16,'Calc'!$Y$16)),0)))</x:f>
      </x:c>
      <x:c r="AO352" t="n">
        <x:v>331</x:v>
      </x:c>
      <x:c r="AP352" t="str">
        <x:f>IF(Calc!$AO$352&gt;'Calc'!$B$8,"",MAX(Calc!$AP$351*(1+'财富模型'!$E$6/12)+('Calc'!$B$5-'财富模型'!$E$5-(IF('Calc'!$E$17=1,'财富模型'!$E$9,'财富模型'!$M$9+IF(Calc!$AO$352&lt;='财富模型'!$E$11*12,'Calc'!$W$17,'Calc'!$Y$17)-(IF('Calc'!$E$17=1,0,MIN(Calc!$AQ$351*(1+'财富模型'!$E$20/12)+'Calc'!$B$6,IF(Calc!$AO$352&lt;='财富模型'!$E$11*12,'Calc'!$W$17,'Calc'!$Y$17))))))),0))</x:f>
      </x:c>
      <x:c r="AQ352" t="str">
        <x:f>IF(Calc!$AO$352&gt;'Calc'!$B$8,"",MAX(Calc!$AQ$351*(1+'财富模型'!$E$20/12)+'Calc'!$B$6-(IF('Calc'!$E$17=1,0,MIN(Calc!$AQ$351*(1+'财富模型'!$E$20/12)+'Calc'!$B$6,IF(Calc!$AO$352&lt;='财富模型'!$E$11*12,'Calc'!$W$17,'Calc'!$Y$17)))),0))</x:f>
      </x:c>
      <x:c r="AR352" t="str">
        <x:f>IF(Calc!$AO$352&gt;'Calc'!$B$8,"",IF('Calc'!$E$17=1,'财富模型'!$E$9,'财富模型'!$M$9+IF(Calc!$AO$352&lt;='财富模型'!$E$11*12,'Calc'!$W$17,'Calc'!$Y$17)-(IF('Calc'!$E$17=1,0,MIN(Calc!$AQ$351*(1+'财富模型'!$E$20/12)+'Calc'!$B$6,IF(Calc!$AO$352&lt;='财富模型'!$E$11*12,'Calc'!$W$17,'Calc'!$Y$17))))))</x:f>
      </x:c>
      <x:c r="AS352" t="str">
        <x:f>IF(Calc!$AO$352&gt;'Calc'!$B$8,"",IF('Calc'!$E$17=1,0,MIN(Calc!$AQ$351*(1+'财富模型'!$E$20/12)+'Calc'!$B$6,IF(Calc!$AO$352&lt;='财富模型'!$E$11*12,'Calc'!$W$17,'Calc'!$Y$17))))</x:f>
      </x:c>
      <x:c r="AT352" t="str">
        <x:f>IF(Calc!$AO$352&gt;'Calc'!$B$8,"",'Calc'!$B$5-'财富模型'!$E$5-(IF('Calc'!$E$17=1,'财富模型'!$E$9,'财富模型'!$M$9+IF(Calc!$AO$352&lt;='财富模型'!$E$11*12,'Calc'!$W$17,'Calc'!$Y$17)-(IF('Calc'!$E$17=1,0,MIN(Calc!$AQ$351*(1+'财富模型'!$E$20/12)+'Calc'!$B$6,IF(Calc!$AO$352&lt;='财富模型'!$E$11*12,'Calc'!$W$17,'Calc'!$Y$17)))))))</x:f>
      </x:c>
      <x:c r="AU352" t="str">
        <x:f>IF(Calc!$AO$352&gt;'Calc'!$B$8,"",IF('Calc'!$E$17=1,0,MAX(Calc!$AU$351*(1+IF(Calc!$AO$352&lt;='财富模型'!$E$11*12,'财富模型'!$E$10,'财富模型'!$E$12)/12)-IF('Calc'!$E$17=1,0,IF(Calc!$AO$352&lt;='财富模型'!$E$11*12,'Calc'!$W$17,'Calc'!$Y$17)),0)))</x:f>
      </x:c>
    </x:row>
    <x:row r="353">
      <x:c r="A353" t="n">
        <x:v>332</x:v>
      </x:c>
      <x:c r="B353" t="str">
        <x:f>IF(Calc!$A$353&gt;'Calc'!$B$8,"",MAX(Calc!$B$352*(1+'财富模型'!$E$6/12)+('Calc'!$B$5-'财富模型'!$E$5-(IF('Calc'!$E$12=1,'财富模型'!$E$9,'财富模型'!$M$4+IF(Calc!$A$353&lt;='财富模型'!$E$11*12,'Calc'!$W$12,'Calc'!$Y$12)-(IF('Calc'!$E$12=1,0,MIN(Calc!$C$352*(1+'财富模型'!$E$20/12)+'Calc'!$B$6,IF(Calc!$A$353&lt;='财富模型'!$E$11*12,'Calc'!$W$12,'Calc'!$Y$12))))))),0))</x:f>
      </x:c>
      <x:c r="C353" t="str">
        <x:f>IF(Calc!$A$353&gt;'Calc'!$B$8,"",MAX(Calc!$C$352*(1+'财富模型'!$E$20/12)+'Calc'!$B$6-(IF('Calc'!$E$12=1,0,MIN(Calc!$C$352*(1+'财富模型'!$E$20/12)+'Calc'!$B$6,IF(Calc!$A$353&lt;='财富模型'!$E$11*12,'Calc'!$W$12,'Calc'!$Y$12)))),0))</x:f>
      </x:c>
      <x:c r="D353" t="str">
        <x:f>IF(Calc!$A$353&gt;'Calc'!$B$8,"",IF('Calc'!$E$12=1,'财富模型'!$E$9,'财富模型'!$M$4+IF(Calc!$A$353&lt;='财富模型'!$E$11*12,'Calc'!$W$12,'Calc'!$Y$12)-(IF('Calc'!$E$12=1,0,MIN(Calc!$C$352*(1+'财富模型'!$E$20/12)+'Calc'!$B$6,IF(Calc!$A$353&lt;='财富模型'!$E$11*12,'Calc'!$W$12,'Calc'!$Y$12))))))</x:f>
      </x:c>
      <x:c r="E353" t="str">
        <x:f>IF(Calc!$A$353&gt;'Calc'!$B$8,"",IF('Calc'!$E$12=1,0,MIN(Calc!$C$352*(1+'财富模型'!$E$20/12)+'Calc'!$B$6,IF(Calc!$A$353&lt;='财富模型'!$E$11*12,'Calc'!$W$12,'Calc'!$Y$12))))</x:f>
      </x:c>
      <x:c r="F353" t="str">
        <x:f>IF(Calc!$A$353&gt;'Calc'!$B$8,"",'Calc'!$B$5-'财富模型'!$E$5-(IF('Calc'!$E$12=1,'财富模型'!$E$9,'财富模型'!$M$4+IF(Calc!$A$353&lt;='财富模型'!$E$11*12,'Calc'!$W$12,'Calc'!$Y$12)-(IF('Calc'!$E$12=1,0,MIN(Calc!$C$352*(1+'财富模型'!$E$20/12)+'Calc'!$B$6,IF(Calc!$A$353&lt;='财富模型'!$E$11*12,'Calc'!$W$12,'Calc'!$Y$12)))))))</x:f>
      </x:c>
      <x:c r="G353" t="str">
        <x:f>IF(Calc!$A$353&gt;'Calc'!$B$8,"",IF('Calc'!$E$12=1,0,MAX(Calc!$G$352*(1+IF(Calc!$A$353&lt;='财富模型'!$E$11*12,'财富模型'!$E$10,'财富模型'!$E$12)/12)-IF('Calc'!$E$12=1,0,IF(Calc!$A$353&lt;='财富模型'!$E$11*12,'Calc'!$W$12,'Calc'!$Y$12)),0)))</x:f>
      </x:c>
      <x:c r="I353" t="n">
        <x:v>332</x:v>
      </x:c>
      <x:c r="J353" t="str">
        <x:f>IF(Calc!$I$353&gt;'Calc'!$B$8,"",MAX(Calc!$J$352*(1+'财富模型'!$E$6/12)+('Calc'!$B$5-'财富模型'!$E$5-(IF('Calc'!$E$13=1,'财富模型'!$E$9,'财富模型'!$M$5+IF(Calc!$I$353&lt;='财富模型'!$E$11*12,'Calc'!$W$13,'Calc'!$Y$13)-(IF('Calc'!$E$13=1,0,MIN(Calc!$K$352*(1+'财富模型'!$E$20/12)+'Calc'!$B$6,IF(Calc!$I$353&lt;='财富模型'!$E$11*12,'Calc'!$W$13,'Calc'!$Y$13))))))),0))</x:f>
      </x:c>
      <x:c r="K353" t="str">
        <x:f>IF(Calc!$I$353&gt;'Calc'!$B$8,"",MAX(Calc!$K$352*(1+'财富模型'!$E$20/12)+'Calc'!$B$6-(IF('Calc'!$E$13=1,0,MIN(Calc!$K$352*(1+'财富模型'!$E$20/12)+'Calc'!$B$6,IF(Calc!$I$353&lt;='财富模型'!$E$11*12,'Calc'!$W$13,'Calc'!$Y$13)))),0))</x:f>
      </x:c>
      <x:c r="L353" t="str">
        <x:f>IF(Calc!$I$353&gt;'Calc'!$B$8,"",IF('Calc'!$E$13=1,'财富模型'!$E$9,'财富模型'!$M$5+IF(Calc!$I$353&lt;='财富模型'!$E$11*12,'Calc'!$W$13,'Calc'!$Y$13)-(IF('Calc'!$E$13=1,0,MIN(Calc!$K$352*(1+'财富模型'!$E$20/12)+'Calc'!$B$6,IF(Calc!$I$353&lt;='财富模型'!$E$11*12,'Calc'!$W$13,'Calc'!$Y$13))))))</x:f>
      </x:c>
      <x:c r="M353" t="str">
        <x:f>IF(Calc!$I$353&gt;'Calc'!$B$8,"",IF('Calc'!$E$13=1,0,MIN(Calc!$K$352*(1+'财富模型'!$E$20/12)+'Calc'!$B$6,IF(Calc!$I$353&lt;='财富模型'!$E$11*12,'Calc'!$W$13,'Calc'!$Y$13))))</x:f>
      </x:c>
      <x:c r="N353" t="str">
        <x:f>IF(Calc!$I$353&gt;'Calc'!$B$8,"",'Calc'!$B$5-'财富模型'!$E$5-(IF('Calc'!$E$13=1,'财富模型'!$E$9,'财富模型'!$M$5+IF(Calc!$I$353&lt;='财富模型'!$E$11*12,'Calc'!$W$13,'Calc'!$Y$13)-(IF('Calc'!$E$13=1,0,MIN(Calc!$K$352*(1+'财富模型'!$E$20/12)+'Calc'!$B$6,IF(Calc!$I$353&lt;='财富模型'!$E$11*12,'Calc'!$W$13,'Calc'!$Y$13)))))))</x:f>
      </x:c>
      <x:c r="O353" t="str">
        <x:f>IF(Calc!$I$353&gt;'Calc'!$B$8,"",IF('Calc'!$E$13=1,0,MAX(Calc!$O$352*(1+IF(Calc!$I$353&lt;='财富模型'!$E$11*12,'财富模型'!$E$10,'财富模型'!$E$12)/12)-IF('Calc'!$E$13=1,0,IF(Calc!$I$353&lt;='财富模型'!$E$11*12,'Calc'!$W$13,'Calc'!$Y$13)),0)))</x:f>
      </x:c>
      <x:c r="Q353" t="n">
        <x:v>332</x:v>
      </x:c>
      <x:c r="R353" t="str">
        <x:f>IF(Calc!$Q$353&gt;'Calc'!$B$8,"",MAX(Calc!$R$352*(1+'财富模型'!$E$6/12)+('Calc'!$B$5-'财富模型'!$E$5-(IF('Calc'!$E$14=1,'财富模型'!$E$9,'财富模型'!$M$6+IF(Calc!$Q$353&lt;='财富模型'!$E$11*12,'Calc'!$W$14,'Calc'!$Y$14)-(IF('Calc'!$E$14=1,0,MIN(Calc!$S$352*(1+'财富模型'!$E$20/12)+'Calc'!$B$6,IF(Calc!$Q$353&lt;='财富模型'!$E$11*12,'Calc'!$W$14,'Calc'!$Y$14))))))),0))</x:f>
      </x:c>
      <x:c r="S353" t="str">
        <x:f>IF(Calc!$Q$353&gt;'Calc'!$B$8,"",MAX(Calc!$S$352*(1+'财富模型'!$E$20/12)+'Calc'!$B$6-(IF('Calc'!$E$14=1,0,MIN(Calc!$S$352*(1+'财富模型'!$E$20/12)+'Calc'!$B$6,IF(Calc!$Q$353&lt;='财富模型'!$E$11*12,'Calc'!$W$14,'Calc'!$Y$14)))),0))</x:f>
      </x:c>
      <x:c r="T353" t="str">
        <x:f>IF(Calc!$Q$353&gt;'Calc'!$B$8,"",IF('Calc'!$E$14=1,'财富模型'!$E$9,'财富模型'!$M$6+IF(Calc!$Q$353&lt;='财富模型'!$E$11*12,'Calc'!$W$14,'Calc'!$Y$14)-(IF('Calc'!$E$14=1,0,MIN(Calc!$S$352*(1+'财富模型'!$E$20/12)+'Calc'!$B$6,IF(Calc!$Q$353&lt;='财富模型'!$E$11*12,'Calc'!$W$14,'Calc'!$Y$14))))))</x:f>
      </x:c>
      <x:c r="U353" t="str">
        <x:f>IF(Calc!$Q$353&gt;'Calc'!$B$8,"",IF('Calc'!$E$14=1,0,MIN(Calc!$S$352*(1+'财富模型'!$E$20/12)+'Calc'!$B$6,IF(Calc!$Q$353&lt;='财富模型'!$E$11*12,'Calc'!$W$14,'Calc'!$Y$14))))</x:f>
      </x:c>
      <x:c r="V353" t="str">
        <x:f>IF(Calc!$Q$353&gt;'Calc'!$B$8,"",'Calc'!$B$5-'财富模型'!$E$5-(IF('Calc'!$E$14=1,'财富模型'!$E$9,'财富模型'!$M$6+IF(Calc!$Q$353&lt;='财富模型'!$E$11*12,'Calc'!$W$14,'Calc'!$Y$14)-(IF('Calc'!$E$14=1,0,MIN(Calc!$S$352*(1+'财富模型'!$E$20/12)+'Calc'!$B$6,IF(Calc!$Q$353&lt;='财富模型'!$E$11*12,'Calc'!$W$14,'Calc'!$Y$14)))))))</x:f>
      </x:c>
      <x:c r="W353" t="str">
        <x:f>IF(Calc!$Q$353&gt;'Calc'!$B$8,"",IF('Calc'!$E$14=1,0,MAX(Calc!$W$352*(1+IF(Calc!$Q$353&lt;='财富模型'!$E$11*12,'财富模型'!$E$10,'财富模型'!$E$12)/12)-IF('Calc'!$E$14=1,0,IF(Calc!$Q$353&lt;='财富模型'!$E$11*12,'Calc'!$W$14,'Calc'!$Y$14)),0)))</x:f>
      </x:c>
      <x:c r="Y353" t="n">
        <x:v>332</x:v>
      </x:c>
      <x:c r="Z353" t="str">
        <x:f>IF(Calc!$Y$353&gt;'Calc'!$B$8,"",MAX(Calc!$Z$352*(1+'财富模型'!$E$6/12)+('Calc'!$B$5-'财富模型'!$E$5-(IF('Calc'!$E$15=1,'财富模型'!$E$9,'财富模型'!$M$7+IF(Calc!$Y$353&lt;='财富模型'!$E$11*12,'Calc'!$W$15,'Calc'!$Y$15)-(IF('Calc'!$E$15=1,0,MIN(Calc!$AA$352*(1+'财富模型'!$E$20/12)+'Calc'!$B$6,IF(Calc!$Y$353&lt;='财富模型'!$E$11*12,'Calc'!$W$15,'Calc'!$Y$15))))))),0))</x:f>
      </x:c>
      <x:c r="AA353" t="str">
        <x:f>IF(Calc!$Y$353&gt;'Calc'!$B$8,"",MAX(Calc!$AA$352*(1+'财富模型'!$E$20/12)+'Calc'!$B$6-(IF('Calc'!$E$15=1,0,MIN(Calc!$AA$352*(1+'财富模型'!$E$20/12)+'Calc'!$B$6,IF(Calc!$Y$353&lt;='财富模型'!$E$11*12,'Calc'!$W$15,'Calc'!$Y$15)))),0))</x:f>
      </x:c>
      <x:c r="AB353" t="str">
        <x:f>IF(Calc!$Y$353&gt;'Calc'!$B$8,"",IF('Calc'!$E$15=1,'财富模型'!$E$9,'财富模型'!$M$7+IF(Calc!$Y$353&lt;='财富模型'!$E$11*12,'Calc'!$W$15,'Calc'!$Y$15)-(IF('Calc'!$E$15=1,0,MIN(Calc!$AA$352*(1+'财富模型'!$E$20/12)+'Calc'!$B$6,IF(Calc!$Y$353&lt;='财富模型'!$E$11*12,'Calc'!$W$15,'Calc'!$Y$15))))))</x:f>
      </x:c>
      <x:c r="AC353" t="str">
        <x:f>IF(Calc!$Y$353&gt;'Calc'!$B$8,"",IF('Calc'!$E$15=1,0,MIN(Calc!$AA$352*(1+'财富模型'!$E$20/12)+'Calc'!$B$6,IF(Calc!$Y$353&lt;='财富模型'!$E$11*12,'Calc'!$W$15,'Calc'!$Y$15))))</x:f>
      </x:c>
      <x:c r="AD353" t="str">
        <x:f>IF(Calc!$Y$353&gt;'Calc'!$B$8,"",'Calc'!$B$5-'财富模型'!$E$5-(IF('Calc'!$E$15=1,'财富模型'!$E$9,'财富模型'!$M$7+IF(Calc!$Y$353&lt;='财富模型'!$E$11*12,'Calc'!$W$15,'Calc'!$Y$15)-(IF('Calc'!$E$15=1,0,MIN(Calc!$AA$352*(1+'财富模型'!$E$20/12)+'Calc'!$B$6,IF(Calc!$Y$353&lt;='财富模型'!$E$11*12,'Calc'!$W$15,'Calc'!$Y$15)))))))</x:f>
      </x:c>
      <x:c r="AE353" t="str">
        <x:f>IF(Calc!$Y$353&gt;'Calc'!$B$8,"",IF('Calc'!$E$15=1,0,MAX(Calc!$AE$352*(1+IF(Calc!$Y$353&lt;='财富模型'!$E$11*12,'财富模型'!$E$10,'财富模型'!$E$12)/12)-IF('Calc'!$E$15=1,0,IF(Calc!$Y$353&lt;='财富模型'!$E$11*12,'Calc'!$W$15,'Calc'!$Y$15)),0)))</x:f>
      </x:c>
      <x:c r="AG353" t="n">
        <x:v>332</x:v>
      </x:c>
      <x:c r="AH353" t="str">
        <x:f>IF(Calc!$AG$353&gt;'Calc'!$B$8,"",MAX(Calc!$AH$352*(1+'财富模型'!$E$6/12)+('Calc'!$B$5-'财富模型'!$E$5-(IF('Calc'!$E$16=1,'财富模型'!$E$9,'财富模型'!$M$8+IF(Calc!$AG$353&lt;='财富模型'!$E$11*12,'Calc'!$W$16,'Calc'!$Y$16)-(IF('Calc'!$E$16=1,0,MIN(Calc!$AI$352*(1+'财富模型'!$E$20/12)+'Calc'!$B$6,IF(Calc!$AG$353&lt;='财富模型'!$E$11*12,'Calc'!$W$16,'Calc'!$Y$16))))))),0))</x:f>
      </x:c>
      <x:c r="AI353" t="str">
        <x:f>IF(Calc!$AG$353&gt;'Calc'!$B$8,"",MAX(Calc!$AI$352*(1+'财富模型'!$E$20/12)+'Calc'!$B$6-(IF('Calc'!$E$16=1,0,MIN(Calc!$AI$352*(1+'财富模型'!$E$20/12)+'Calc'!$B$6,IF(Calc!$AG$353&lt;='财富模型'!$E$11*12,'Calc'!$W$16,'Calc'!$Y$16)))),0))</x:f>
      </x:c>
      <x:c r="AJ353" t="str">
        <x:f>IF(Calc!$AG$353&gt;'Calc'!$B$8,"",IF('Calc'!$E$16=1,'财富模型'!$E$9,'财富模型'!$M$8+IF(Calc!$AG$353&lt;='财富模型'!$E$11*12,'Calc'!$W$16,'Calc'!$Y$16)-(IF('Calc'!$E$16=1,0,MIN(Calc!$AI$352*(1+'财富模型'!$E$20/12)+'Calc'!$B$6,IF(Calc!$AG$353&lt;='财富模型'!$E$11*12,'Calc'!$W$16,'Calc'!$Y$16))))))</x:f>
      </x:c>
      <x:c r="AK353" t="str">
        <x:f>IF(Calc!$AG$353&gt;'Calc'!$B$8,"",IF('Calc'!$E$16=1,0,MIN(Calc!$AI$352*(1+'财富模型'!$E$20/12)+'Calc'!$B$6,IF(Calc!$AG$353&lt;='财富模型'!$E$11*12,'Calc'!$W$16,'Calc'!$Y$16))))</x:f>
      </x:c>
      <x:c r="AL353" t="str">
        <x:f>IF(Calc!$AG$353&gt;'Calc'!$B$8,"",'Calc'!$B$5-'财富模型'!$E$5-(IF('Calc'!$E$16=1,'财富模型'!$E$9,'财富模型'!$M$8+IF(Calc!$AG$353&lt;='财富模型'!$E$11*12,'Calc'!$W$16,'Calc'!$Y$16)-(IF('Calc'!$E$16=1,0,MIN(Calc!$AI$352*(1+'财富模型'!$E$20/12)+'Calc'!$B$6,IF(Calc!$AG$353&lt;='财富模型'!$E$11*12,'Calc'!$W$16,'Calc'!$Y$16)))))))</x:f>
      </x:c>
      <x:c r="AM353" t="str">
        <x:f>IF(Calc!$AG$353&gt;'Calc'!$B$8,"",IF('Calc'!$E$16=1,0,MAX(Calc!$AM$352*(1+IF(Calc!$AG$353&lt;='财富模型'!$E$11*12,'财富模型'!$E$10,'财富模型'!$E$12)/12)-IF('Calc'!$E$16=1,0,IF(Calc!$AG$353&lt;='财富模型'!$E$11*12,'Calc'!$W$16,'Calc'!$Y$16)),0)))</x:f>
      </x:c>
      <x:c r="AO353" t="n">
        <x:v>332</x:v>
      </x:c>
      <x:c r="AP353" t="str">
        <x:f>IF(Calc!$AO$353&gt;'Calc'!$B$8,"",MAX(Calc!$AP$352*(1+'财富模型'!$E$6/12)+('Calc'!$B$5-'财富模型'!$E$5-(IF('Calc'!$E$17=1,'财富模型'!$E$9,'财富模型'!$M$9+IF(Calc!$AO$353&lt;='财富模型'!$E$11*12,'Calc'!$W$17,'Calc'!$Y$17)-(IF('Calc'!$E$17=1,0,MIN(Calc!$AQ$352*(1+'财富模型'!$E$20/12)+'Calc'!$B$6,IF(Calc!$AO$353&lt;='财富模型'!$E$11*12,'Calc'!$W$17,'Calc'!$Y$17))))))),0))</x:f>
      </x:c>
      <x:c r="AQ353" t="str">
        <x:f>IF(Calc!$AO$353&gt;'Calc'!$B$8,"",MAX(Calc!$AQ$352*(1+'财富模型'!$E$20/12)+'Calc'!$B$6-(IF('Calc'!$E$17=1,0,MIN(Calc!$AQ$352*(1+'财富模型'!$E$20/12)+'Calc'!$B$6,IF(Calc!$AO$353&lt;='财富模型'!$E$11*12,'Calc'!$W$17,'Calc'!$Y$17)))),0))</x:f>
      </x:c>
      <x:c r="AR353" t="str">
        <x:f>IF(Calc!$AO$353&gt;'Calc'!$B$8,"",IF('Calc'!$E$17=1,'财富模型'!$E$9,'财富模型'!$M$9+IF(Calc!$AO$353&lt;='财富模型'!$E$11*12,'Calc'!$W$17,'Calc'!$Y$17)-(IF('Calc'!$E$17=1,0,MIN(Calc!$AQ$352*(1+'财富模型'!$E$20/12)+'Calc'!$B$6,IF(Calc!$AO$353&lt;='财富模型'!$E$11*12,'Calc'!$W$17,'Calc'!$Y$17))))))</x:f>
      </x:c>
      <x:c r="AS353" t="str">
        <x:f>IF(Calc!$AO$353&gt;'Calc'!$B$8,"",IF('Calc'!$E$17=1,0,MIN(Calc!$AQ$352*(1+'财富模型'!$E$20/12)+'Calc'!$B$6,IF(Calc!$AO$353&lt;='财富模型'!$E$11*12,'Calc'!$W$17,'Calc'!$Y$17))))</x:f>
      </x:c>
      <x:c r="AT353" t="str">
        <x:f>IF(Calc!$AO$353&gt;'Calc'!$B$8,"",'Calc'!$B$5-'财富模型'!$E$5-(IF('Calc'!$E$17=1,'财富模型'!$E$9,'财富模型'!$M$9+IF(Calc!$AO$353&lt;='财富模型'!$E$11*12,'Calc'!$W$17,'Calc'!$Y$17)-(IF('Calc'!$E$17=1,0,MIN(Calc!$AQ$352*(1+'财富模型'!$E$20/12)+'Calc'!$B$6,IF(Calc!$AO$353&lt;='财富模型'!$E$11*12,'Calc'!$W$17,'Calc'!$Y$17)))))))</x:f>
      </x:c>
      <x:c r="AU353" t="str">
        <x:f>IF(Calc!$AO$353&gt;'Calc'!$B$8,"",IF('Calc'!$E$17=1,0,MAX(Calc!$AU$352*(1+IF(Calc!$AO$353&lt;='财富模型'!$E$11*12,'财富模型'!$E$10,'财富模型'!$E$12)/12)-IF('Calc'!$E$17=1,0,IF(Calc!$AO$353&lt;='财富模型'!$E$11*12,'Calc'!$W$17,'Calc'!$Y$17)),0)))</x:f>
      </x:c>
    </x:row>
    <x:row r="354">
      <x:c r="A354" t="n">
        <x:v>333</x:v>
      </x:c>
      <x:c r="B354" t="str">
        <x:f>IF(Calc!$A$354&gt;'Calc'!$B$8,"",MAX(Calc!$B$353*(1+'财富模型'!$E$6/12)+('Calc'!$B$5-'财富模型'!$E$5-(IF('Calc'!$E$12=1,'财富模型'!$E$9,'财富模型'!$M$4+IF(Calc!$A$354&lt;='财富模型'!$E$11*12,'Calc'!$W$12,'Calc'!$Y$12)-(IF('Calc'!$E$12=1,0,MIN(Calc!$C$353*(1+'财富模型'!$E$20/12)+'Calc'!$B$6,IF(Calc!$A$354&lt;='财富模型'!$E$11*12,'Calc'!$W$12,'Calc'!$Y$12))))))),0))</x:f>
      </x:c>
      <x:c r="C354" t="str">
        <x:f>IF(Calc!$A$354&gt;'Calc'!$B$8,"",MAX(Calc!$C$353*(1+'财富模型'!$E$20/12)+'Calc'!$B$6-(IF('Calc'!$E$12=1,0,MIN(Calc!$C$353*(1+'财富模型'!$E$20/12)+'Calc'!$B$6,IF(Calc!$A$354&lt;='财富模型'!$E$11*12,'Calc'!$W$12,'Calc'!$Y$12)))),0))</x:f>
      </x:c>
      <x:c r="D354" t="str">
        <x:f>IF(Calc!$A$354&gt;'Calc'!$B$8,"",IF('Calc'!$E$12=1,'财富模型'!$E$9,'财富模型'!$M$4+IF(Calc!$A$354&lt;='财富模型'!$E$11*12,'Calc'!$W$12,'Calc'!$Y$12)-(IF('Calc'!$E$12=1,0,MIN(Calc!$C$353*(1+'财富模型'!$E$20/12)+'Calc'!$B$6,IF(Calc!$A$354&lt;='财富模型'!$E$11*12,'Calc'!$W$12,'Calc'!$Y$12))))))</x:f>
      </x:c>
      <x:c r="E354" t="str">
        <x:f>IF(Calc!$A$354&gt;'Calc'!$B$8,"",IF('Calc'!$E$12=1,0,MIN(Calc!$C$353*(1+'财富模型'!$E$20/12)+'Calc'!$B$6,IF(Calc!$A$354&lt;='财富模型'!$E$11*12,'Calc'!$W$12,'Calc'!$Y$12))))</x:f>
      </x:c>
      <x:c r="F354" t="str">
        <x:f>IF(Calc!$A$354&gt;'Calc'!$B$8,"",'Calc'!$B$5-'财富模型'!$E$5-(IF('Calc'!$E$12=1,'财富模型'!$E$9,'财富模型'!$M$4+IF(Calc!$A$354&lt;='财富模型'!$E$11*12,'Calc'!$W$12,'Calc'!$Y$12)-(IF('Calc'!$E$12=1,0,MIN(Calc!$C$353*(1+'财富模型'!$E$20/12)+'Calc'!$B$6,IF(Calc!$A$354&lt;='财富模型'!$E$11*12,'Calc'!$W$12,'Calc'!$Y$12)))))))</x:f>
      </x:c>
      <x:c r="G354" t="str">
        <x:f>IF(Calc!$A$354&gt;'Calc'!$B$8,"",IF('Calc'!$E$12=1,0,MAX(Calc!$G$353*(1+IF(Calc!$A$354&lt;='财富模型'!$E$11*12,'财富模型'!$E$10,'财富模型'!$E$12)/12)-IF('Calc'!$E$12=1,0,IF(Calc!$A$354&lt;='财富模型'!$E$11*12,'Calc'!$W$12,'Calc'!$Y$12)),0)))</x:f>
      </x:c>
      <x:c r="I354" t="n">
        <x:v>333</x:v>
      </x:c>
      <x:c r="J354" t="str">
        <x:f>IF(Calc!$I$354&gt;'Calc'!$B$8,"",MAX(Calc!$J$353*(1+'财富模型'!$E$6/12)+('Calc'!$B$5-'财富模型'!$E$5-(IF('Calc'!$E$13=1,'财富模型'!$E$9,'财富模型'!$M$5+IF(Calc!$I$354&lt;='财富模型'!$E$11*12,'Calc'!$W$13,'Calc'!$Y$13)-(IF('Calc'!$E$13=1,0,MIN(Calc!$K$353*(1+'财富模型'!$E$20/12)+'Calc'!$B$6,IF(Calc!$I$354&lt;='财富模型'!$E$11*12,'Calc'!$W$13,'Calc'!$Y$13))))))),0))</x:f>
      </x:c>
      <x:c r="K354" t="str">
        <x:f>IF(Calc!$I$354&gt;'Calc'!$B$8,"",MAX(Calc!$K$353*(1+'财富模型'!$E$20/12)+'Calc'!$B$6-(IF('Calc'!$E$13=1,0,MIN(Calc!$K$353*(1+'财富模型'!$E$20/12)+'Calc'!$B$6,IF(Calc!$I$354&lt;='财富模型'!$E$11*12,'Calc'!$W$13,'Calc'!$Y$13)))),0))</x:f>
      </x:c>
      <x:c r="L354" t="str">
        <x:f>IF(Calc!$I$354&gt;'Calc'!$B$8,"",IF('Calc'!$E$13=1,'财富模型'!$E$9,'财富模型'!$M$5+IF(Calc!$I$354&lt;='财富模型'!$E$11*12,'Calc'!$W$13,'Calc'!$Y$13)-(IF('Calc'!$E$13=1,0,MIN(Calc!$K$353*(1+'财富模型'!$E$20/12)+'Calc'!$B$6,IF(Calc!$I$354&lt;='财富模型'!$E$11*12,'Calc'!$W$13,'Calc'!$Y$13))))))</x:f>
      </x:c>
      <x:c r="M354" t="str">
        <x:f>IF(Calc!$I$354&gt;'Calc'!$B$8,"",IF('Calc'!$E$13=1,0,MIN(Calc!$K$353*(1+'财富模型'!$E$20/12)+'Calc'!$B$6,IF(Calc!$I$354&lt;='财富模型'!$E$11*12,'Calc'!$W$13,'Calc'!$Y$13))))</x:f>
      </x:c>
      <x:c r="N354" t="str">
        <x:f>IF(Calc!$I$354&gt;'Calc'!$B$8,"",'Calc'!$B$5-'财富模型'!$E$5-(IF('Calc'!$E$13=1,'财富模型'!$E$9,'财富模型'!$M$5+IF(Calc!$I$354&lt;='财富模型'!$E$11*12,'Calc'!$W$13,'Calc'!$Y$13)-(IF('Calc'!$E$13=1,0,MIN(Calc!$K$353*(1+'财富模型'!$E$20/12)+'Calc'!$B$6,IF(Calc!$I$354&lt;='财富模型'!$E$11*12,'Calc'!$W$13,'Calc'!$Y$13)))))))</x:f>
      </x:c>
      <x:c r="O354" t="str">
        <x:f>IF(Calc!$I$354&gt;'Calc'!$B$8,"",IF('Calc'!$E$13=1,0,MAX(Calc!$O$353*(1+IF(Calc!$I$354&lt;='财富模型'!$E$11*12,'财富模型'!$E$10,'财富模型'!$E$12)/12)-IF('Calc'!$E$13=1,0,IF(Calc!$I$354&lt;='财富模型'!$E$11*12,'Calc'!$W$13,'Calc'!$Y$13)),0)))</x:f>
      </x:c>
      <x:c r="Q354" t="n">
        <x:v>333</x:v>
      </x:c>
      <x:c r="R354" t="str">
        <x:f>IF(Calc!$Q$354&gt;'Calc'!$B$8,"",MAX(Calc!$R$353*(1+'财富模型'!$E$6/12)+('Calc'!$B$5-'财富模型'!$E$5-(IF('Calc'!$E$14=1,'财富模型'!$E$9,'财富模型'!$M$6+IF(Calc!$Q$354&lt;='财富模型'!$E$11*12,'Calc'!$W$14,'Calc'!$Y$14)-(IF('Calc'!$E$14=1,0,MIN(Calc!$S$353*(1+'财富模型'!$E$20/12)+'Calc'!$B$6,IF(Calc!$Q$354&lt;='财富模型'!$E$11*12,'Calc'!$W$14,'Calc'!$Y$14))))))),0))</x:f>
      </x:c>
      <x:c r="S354" t="str">
        <x:f>IF(Calc!$Q$354&gt;'Calc'!$B$8,"",MAX(Calc!$S$353*(1+'财富模型'!$E$20/12)+'Calc'!$B$6-(IF('Calc'!$E$14=1,0,MIN(Calc!$S$353*(1+'财富模型'!$E$20/12)+'Calc'!$B$6,IF(Calc!$Q$354&lt;='财富模型'!$E$11*12,'Calc'!$W$14,'Calc'!$Y$14)))),0))</x:f>
      </x:c>
      <x:c r="T354" t="str">
        <x:f>IF(Calc!$Q$354&gt;'Calc'!$B$8,"",IF('Calc'!$E$14=1,'财富模型'!$E$9,'财富模型'!$M$6+IF(Calc!$Q$354&lt;='财富模型'!$E$11*12,'Calc'!$W$14,'Calc'!$Y$14)-(IF('Calc'!$E$14=1,0,MIN(Calc!$S$353*(1+'财富模型'!$E$20/12)+'Calc'!$B$6,IF(Calc!$Q$354&lt;='财富模型'!$E$11*12,'Calc'!$W$14,'Calc'!$Y$14))))))</x:f>
      </x:c>
      <x:c r="U354" t="str">
        <x:f>IF(Calc!$Q$354&gt;'Calc'!$B$8,"",IF('Calc'!$E$14=1,0,MIN(Calc!$S$353*(1+'财富模型'!$E$20/12)+'Calc'!$B$6,IF(Calc!$Q$354&lt;='财富模型'!$E$11*12,'Calc'!$W$14,'Calc'!$Y$14))))</x:f>
      </x:c>
      <x:c r="V354" t="str">
        <x:f>IF(Calc!$Q$354&gt;'Calc'!$B$8,"",'Calc'!$B$5-'财富模型'!$E$5-(IF('Calc'!$E$14=1,'财富模型'!$E$9,'财富模型'!$M$6+IF(Calc!$Q$354&lt;='财富模型'!$E$11*12,'Calc'!$W$14,'Calc'!$Y$14)-(IF('Calc'!$E$14=1,0,MIN(Calc!$S$353*(1+'财富模型'!$E$20/12)+'Calc'!$B$6,IF(Calc!$Q$354&lt;='财富模型'!$E$11*12,'Calc'!$W$14,'Calc'!$Y$14)))))))</x:f>
      </x:c>
      <x:c r="W354" t="str">
        <x:f>IF(Calc!$Q$354&gt;'Calc'!$B$8,"",IF('Calc'!$E$14=1,0,MAX(Calc!$W$353*(1+IF(Calc!$Q$354&lt;='财富模型'!$E$11*12,'财富模型'!$E$10,'财富模型'!$E$12)/12)-IF('Calc'!$E$14=1,0,IF(Calc!$Q$354&lt;='财富模型'!$E$11*12,'Calc'!$W$14,'Calc'!$Y$14)),0)))</x:f>
      </x:c>
      <x:c r="Y354" t="n">
        <x:v>333</x:v>
      </x:c>
      <x:c r="Z354" t="str">
        <x:f>IF(Calc!$Y$354&gt;'Calc'!$B$8,"",MAX(Calc!$Z$353*(1+'财富模型'!$E$6/12)+('Calc'!$B$5-'财富模型'!$E$5-(IF('Calc'!$E$15=1,'财富模型'!$E$9,'财富模型'!$M$7+IF(Calc!$Y$354&lt;='财富模型'!$E$11*12,'Calc'!$W$15,'Calc'!$Y$15)-(IF('Calc'!$E$15=1,0,MIN(Calc!$AA$353*(1+'财富模型'!$E$20/12)+'Calc'!$B$6,IF(Calc!$Y$354&lt;='财富模型'!$E$11*12,'Calc'!$W$15,'Calc'!$Y$15))))))),0))</x:f>
      </x:c>
      <x:c r="AA354" t="str">
        <x:f>IF(Calc!$Y$354&gt;'Calc'!$B$8,"",MAX(Calc!$AA$353*(1+'财富模型'!$E$20/12)+'Calc'!$B$6-(IF('Calc'!$E$15=1,0,MIN(Calc!$AA$353*(1+'财富模型'!$E$20/12)+'Calc'!$B$6,IF(Calc!$Y$354&lt;='财富模型'!$E$11*12,'Calc'!$W$15,'Calc'!$Y$15)))),0))</x:f>
      </x:c>
      <x:c r="AB354" t="str">
        <x:f>IF(Calc!$Y$354&gt;'Calc'!$B$8,"",IF('Calc'!$E$15=1,'财富模型'!$E$9,'财富模型'!$M$7+IF(Calc!$Y$354&lt;='财富模型'!$E$11*12,'Calc'!$W$15,'Calc'!$Y$15)-(IF('Calc'!$E$15=1,0,MIN(Calc!$AA$353*(1+'财富模型'!$E$20/12)+'Calc'!$B$6,IF(Calc!$Y$354&lt;='财富模型'!$E$11*12,'Calc'!$W$15,'Calc'!$Y$15))))))</x:f>
      </x:c>
      <x:c r="AC354" t="str">
        <x:f>IF(Calc!$Y$354&gt;'Calc'!$B$8,"",IF('Calc'!$E$15=1,0,MIN(Calc!$AA$353*(1+'财富模型'!$E$20/12)+'Calc'!$B$6,IF(Calc!$Y$354&lt;='财富模型'!$E$11*12,'Calc'!$W$15,'Calc'!$Y$15))))</x:f>
      </x:c>
      <x:c r="AD354" t="str">
        <x:f>IF(Calc!$Y$354&gt;'Calc'!$B$8,"",'Calc'!$B$5-'财富模型'!$E$5-(IF('Calc'!$E$15=1,'财富模型'!$E$9,'财富模型'!$M$7+IF(Calc!$Y$354&lt;='财富模型'!$E$11*12,'Calc'!$W$15,'Calc'!$Y$15)-(IF('Calc'!$E$15=1,0,MIN(Calc!$AA$353*(1+'财富模型'!$E$20/12)+'Calc'!$B$6,IF(Calc!$Y$354&lt;='财富模型'!$E$11*12,'Calc'!$W$15,'Calc'!$Y$15)))))))</x:f>
      </x:c>
      <x:c r="AE354" t="str">
        <x:f>IF(Calc!$Y$354&gt;'Calc'!$B$8,"",IF('Calc'!$E$15=1,0,MAX(Calc!$AE$353*(1+IF(Calc!$Y$354&lt;='财富模型'!$E$11*12,'财富模型'!$E$10,'财富模型'!$E$12)/12)-IF('Calc'!$E$15=1,0,IF(Calc!$Y$354&lt;='财富模型'!$E$11*12,'Calc'!$W$15,'Calc'!$Y$15)),0)))</x:f>
      </x:c>
      <x:c r="AG354" t="n">
        <x:v>333</x:v>
      </x:c>
      <x:c r="AH354" t="str">
        <x:f>IF(Calc!$AG$354&gt;'Calc'!$B$8,"",MAX(Calc!$AH$353*(1+'财富模型'!$E$6/12)+('Calc'!$B$5-'财富模型'!$E$5-(IF('Calc'!$E$16=1,'财富模型'!$E$9,'财富模型'!$M$8+IF(Calc!$AG$354&lt;='财富模型'!$E$11*12,'Calc'!$W$16,'Calc'!$Y$16)-(IF('Calc'!$E$16=1,0,MIN(Calc!$AI$353*(1+'财富模型'!$E$20/12)+'Calc'!$B$6,IF(Calc!$AG$354&lt;='财富模型'!$E$11*12,'Calc'!$W$16,'Calc'!$Y$16))))))),0))</x:f>
      </x:c>
      <x:c r="AI354" t="str">
        <x:f>IF(Calc!$AG$354&gt;'Calc'!$B$8,"",MAX(Calc!$AI$353*(1+'财富模型'!$E$20/12)+'Calc'!$B$6-(IF('Calc'!$E$16=1,0,MIN(Calc!$AI$353*(1+'财富模型'!$E$20/12)+'Calc'!$B$6,IF(Calc!$AG$354&lt;='财富模型'!$E$11*12,'Calc'!$W$16,'Calc'!$Y$16)))),0))</x:f>
      </x:c>
      <x:c r="AJ354" t="str">
        <x:f>IF(Calc!$AG$354&gt;'Calc'!$B$8,"",IF('Calc'!$E$16=1,'财富模型'!$E$9,'财富模型'!$M$8+IF(Calc!$AG$354&lt;='财富模型'!$E$11*12,'Calc'!$W$16,'Calc'!$Y$16)-(IF('Calc'!$E$16=1,0,MIN(Calc!$AI$353*(1+'财富模型'!$E$20/12)+'Calc'!$B$6,IF(Calc!$AG$354&lt;='财富模型'!$E$11*12,'Calc'!$W$16,'Calc'!$Y$16))))))</x:f>
      </x:c>
      <x:c r="AK354" t="str">
        <x:f>IF(Calc!$AG$354&gt;'Calc'!$B$8,"",IF('Calc'!$E$16=1,0,MIN(Calc!$AI$353*(1+'财富模型'!$E$20/12)+'Calc'!$B$6,IF(Calc!$AG$354&lt;='财富模型'!$E$11*12,'Calc'!$W$16,'Calc'!$Y$16))))</x:f>
      </x:c>
      <x:c r="AL354" t="str">
        <x:f>IF(Calc!$AG$354&gt;'Calc'!$B$8,"",'Calc'!$B$5-'财富模型'!$E$5-(IF('Calc'!$E$16=1,'财富模型'!$E$9,'财富模型'!$M$8+IF(Calc!$AG$354&lt;='财富模型'!$E$11*12,'Calc'!$W$16,'Calc'!$Y$16)-(IF('Calc'!$E$16=1,0,MIN(Calc!$AI$353*(1+'财富模型'!$E$20/12)+'Calc'!$B$6,IF(Calc!$AG$354&lt;='财富模型'!$E$11*12,'Calc'!$W$16,'Calc'!$Y$16)))))))</x:f>
      </x:c>
      <x:c r="AM354" t="str">
        <x:f>IF(Calc!$AG$354&gt;'Calc'!$B$8,"",IF('Calc'!$E$16=1,0,MAX(Calc!$AM$353*(1+IF(Calc!$AG$354&lt;='财富模型'!$E$11*12,'财富模型'!$E$10,'财富模型'!$E$12)/12)-IF('Calc'!$E$16=1,0,IF(Calc!$AG$354&lt;='财富模型'!$E$11*12,'Calc'!$W$16,'Calc'!$Y$16)),0)))</x:f>
      </x:c>
      <x:c r="AO354" t="n">
        <x:v>333</x:v>
      </x:c>
      <x:c r="AP354" t="str">
        <x:f>IF(Calc!$AO$354&gt;'Calc'!$B$8,"",MAX(Calc!$AP$353*(1+'财富模型'!$E$6/12)+('Calc'!$B$5-'财富模型'!$E$5-(IF('Calc'!$E$17=1,'财富模型'!$E$9,'财富模型'!$M$9+IF(Calc!$AO$354&lt;='财富模型'!$E$11*12,'Calc'!$W$17,'Calc'!$Y$17)-(IF('Calc'!$E$17=1,0,MIN(Calc!$AQ$353*(1+'财富模型'!$E$20/12)+'Calc'!$B$6,IF(Calc!$AO$354&lt;='财富模型'!$E$11*12,'Calc'!$W$17,'Calc'!$Y$17))))))),0))</x:f>
      </x:c>
      <x:c r="AQ354" t="str">
        <x:f>IF(Calc!$AO$354&gt;'Calc'!$B$8,"",MAX(Calc!$AQ$353*(1+'财富模型'!$E$20/12)+'Calc'!$B$6-(IF('Calc'!$E$17=1,0,MIN(Calc!$AQ$353*(1+'财富模型'!$E$20/12)+'Calc'!$B$6,IF(Calc!$AO$354&lt;='财富模型'!$E$11*12,'Calc'!$W$17,'Calc'!$Y$17)))),0))</x:f>
      </x:c>
      <x:c r="AR354" t="str">
        <x:f>IF(Calc!$AO$354&gt;'Calc'!$B$8,"",IF('Calc'!$E$17=1,'财富模型'!$E$9,'财富模型'!$M$9+IF(Calc!$AO$354&lt;='财富模型'!$E$11*12,'Calc'!$W$17,'Calc'!$Y$17)-(IF('Calc'!$E$17=1,0,MIN(Calc!$AQ$353*(1+'财富模型'!$E$20/12)+'Calc'!$B$6,IF(Calc!$AO$354&lt;='财富模型'!$E$11*12,'Calc'!$W$17,'Calc'!$Y$17))))))</x:f>
      </x:c>
      <x:c r="AS354" t="str">
        <x:f>IF(Calc!$AO$354&gt;'Calc'!$B$8,"",IF('Calc'!$E$17=1,0,MIN(Calc!$AQ$353*(1+'财富模型'!$E$20/12)+'Calc'!$B$6,IF(Calc!$AO$354&lt;='财富模型'!$E$11*12,'Calc'!$W$17,'Calc'!$Y$17))))</x:f>
      </x:c>
      <x:c r="AT354" t="str">
        <x:f>IF(Calc!$AO$354&gt;'Calc'!$B$8,"",'Calc'!$B$5-'财富模型'!$E$5-(IF('Calc'!$E$17=1,'财富模型'!$E$9,'财富模型'!$M$9+IF(Calc!$AO$354&lt;='财富模型'!$E$11*12,'Calc'!$W$17,'Calc'!$Y$17)-(IF('Calc'!$E$17=1,0,MIN(Calc!$AQ$353*(1+'财富模型'!$E$20/12)+'Calc'!$B$6,IF(Calc!$AO$354&lt;='财富模型'!$E$11*12,'Calc'!$W$17,'Calc'!$Y$17)))))))</x:f>
      </x:c>
      <x:c r="AU354" t="str">
        <x:f>IF(Calc!$AO$354&gt;'Calc'!$B$8,"",IF('Calc'!$E$17=1,0,MAX(Calc!$AU$353*(1+IF(Calc!$AO$354&lt;='财富模型'!$E$11*12,'财富模型'!$E$10,'财富模型'!$E$12)/12)-IF('Calc'!$E$17=1,0,IF(Calc!$AO$354&lt;='财富模型'!$E$11*12,'Calc'!$W$17,'Calc'!$Y$17)),0)))</x:f>
      </x:c>
    </x:row>
    <x:row r="355">
      <x:c r="A355" t="n">
        <x:v>334</x:v>
      </x:c>
      <x:c r="B355" t="str">
        <x:f>IF(Calc!$A$355&gt;'Calc'!$B$8,"",MAX(Calc!$B$354*(1+'财富模型'!$E$6/12)+('Calc'!$B$5-'财富模型'!$E$5-(IF('Calc'!$E$12=1,'财富模型'!$E$9,'财富模型'!$M$4+IF(Calc!$A$355&lt;='财富模型'!$E$11*12,'Calc'!$W$12,'Calc'!$Y$12)-(IF('Calc'!$E$12=1,0,MIN(Calc!$C$354*(1+'财富模型'!$E$20/12)+'Calc'!$B$6,IF(Calc!$A$355&lt;='财富模型'!$E$11*12,'Calc'!$W$12,'Calc'!$Y$12))))))),0))</x:f>
      </x:c>
      <x:c r="C355" t="str">
        <x:f>IF(Calc!$A$355&gt;'Calc'!$B$8,"",MAX(Calc!$C$354*(1+'财富模型'!$E$20/12)+'Calc'!$B$6-(IF('Calc'!$E$12=1,0,MIN(Calc!$C$354*(1+'财富模型'!$E$20/12)+'Calc'!$B$6,IF(Calc!$A$355&lt;='财富模型'!$E$11*12,'Calc'!$W$12,'Calc'!$Y$12)))),0))</x:f>
      </x:c>
      <x:c r="D355" t="str">
        <x:f>IF(Calc!$A$355&gt;'Calc'!$B$8,"",IF('Calc'!$E$12=1,'财富模型'!$E$9,'财富模型'!$M$4+IF(Calc!$A$355&lt;='财富模型'!$E$11*12,'Calc'!$W$12,'Calc'!$Y$12)-(IF('Calc'!$E$12=1,0,MIN(Calc!$C$354*(1+'财富模型'!$E$20/12)+'Calc'!$B$6,IF(Calc!$A$355&lt;='财富模型'!$E$11*12,'Calc'!$W$12,'Calc'!$Y$12))))))</x:f>
      </x:c>
      <x:c r="E355" t="str">
        <x:f>IF(Calc!$A$355&gt;'Calc'!$B$8,"",IF('Calc'!$E$12=1,0,MIN(Calc!$C$354*(1+'财富模型'!$E$20/12)+'Calc'!$B$6,IF(Calc!$A$355&lt;='财富模型'!$E$11*12,'Calc'!$W$12,'Calc'!$Y$12))))</x:f>
      </x:c>
      <x:c r="F355" t="str">
        <x:f>IF(Calc!$A$355&gt;'Calc'!$B$8,"",'Calc'!$B$5-'财富模型'!$E$5-(IF('Calc'!$E$12=1,'财富模型'!$E$9,'财富模型'!$M$4+IF(Calc!$A$355&lt;='财富模型'!$E$11*12,'Calc'!$W$12,'Calc'!$Y$12)-(IF('Calc'!$E$12=1,0,MIN(Calc!$C$354*(1+'财富模型'!$E$20/12)+'Calc'!$B$6,IF(Calc!$A$355&lt;='财富模型'!$E$11*12,'Calc'!$W$12,'Calc'!$Y$12)))))))</x:f>
      </x:c>
      <x:c r="G355" t="str">
        <x:f>IF(Calc!$A$355&gt;'Calc'!$B$8,"",IF('Calc'!$E$12=1,0,MAX(Calc!$G$354*(1+IF(Calc!$A$355&lt;='财富模型'!$E$11*12,'财富模型'!$E$10,'财富模型'!$E$12)/12)-IF('Calc'!$E$12=1,0,IF(Calc!$A$355&lt;='财富模型'!$E$11*12,'Calc'!$W$12,'Calc'!$Y$12)),0)))</x:f>
      </x:c>
      <x:c r="I355" t="n">
        <x:v>334</x:v>
      </x:c>
      <x:c r="J355" t="str">
        <x:f>IF(Calc!$I$355&gt;'Calc'!$B$8,"",MAX(Calc!$J$354*(1+'财富模型'!$E$6/12)+('Calc'!$B$5-'财富模型'!$E$5-(IF('Calc'!$E$13=1,'财富模型'!$E$9,'财富模型'!$M$5+IF(Calc!$I$355&lt;='财富模型'!$E$11*12,'Calc'!$W$13,'Calc'!$Y$13)-(IF('Calc'!$E$13=1,0,MIN(Calc!$K$354*(1+'财富模型'!$E$20/12)+'Calc'!$B$6,IF(Calc!$I$355&lt;='财富模型'!$E$11*12,'Calc'!$W$13,'Calc'!$Y$13))))))),0))</x:f>
      </x:c>
      <x:c r="K355" t="str">
        <x:f>IF(Calc!$I$355&gt;'Calc'!$B$8,"",MAX(Calc!$K$354*(1+'财富模型'!$E$20/12)+'Calc'!$B$6-(IF('Calc'!$E$13=1,0,MIN(Calc!$K$354*(1+'财富模型'!$E$20/12)+'Calc'!$B$6,IF(Calc!$I$355&lt;='财富模型'!$E$11*12,'Calc'!$W$13,'Calc'!$Y$13)))),0))</x:f>
      </x:c>
      <x:c r="L355" t="str">
        <x:f>IF(Calc!$I$355&gt;'Calc'!$B$8,"",IF('Calc'!$E$13=1,'财富模型'!$E$9,'财富模型'!$M$5+IF(Calc!$I$355&lt;='财富模型'!$E$11*12,'Calc'!$W$13,'Calc'!$Y$13)-(IF('Calc'!$E$13=1,0,MIN(Calc!$K$354*(1+'财富模型'!$E$20/12)+'Calc'!$B$6,IF(Calc!$I$355&lt;='财富模型'!$E$11*12,'Calc'!$W$13,'Calc'!$Y$13))))))</x:f>
      </x:c>
      <x:c r="M355" t="str">
        <x:f>IF(Calc!$I$355&gt;'Calc'!$B$8,"",IF('Calc'!$E$13=1,0,MIN(Calc!$K$354*(1+'财富模型'!$E$20/12)+'Calc'!$B$6,IF(Calc!$I$355&lt;='财富模型'!$E$11*12,'Calc'!$W$13,'Calc'!$Y$13))))</x:f>
      </x:c>
      <x:c r="N355" t="str">
        <x:f>IF(Calc!$I$355&gt;'Calc'!$B$8,"",'Calc'!$B$5-'财富模型'!$E$5-(IF('Calc'!$E$13=1,'财富模型'!$E$9,'财富模型'!$M$5+IF(Calc!$I$355&lt;='财富模型'!$E$11*12,'Calc'!$W$13,'Calc'!$Y$13)-(IF('Calc'!$E$13=1,0,MIN(Calc!$K$354*(1+'财富模型'!$E$20/12)+'Calc'!$B$6,IF(Calc!$I$355&lt;='财富模型'!$E$11*12,'Calc'!$W$13,'Calc'!$Y$13)))))))</x:f>
      </x:c>
      <x:c r="O355" t="str">
        <x:f>IF(Calc!$I$355&gt;'Calc'!$B$8,"",IF('Calc'!$E$13=1,0,MAX(Calc!$O$354*(1+IF(Calc!$I$355&lt;='财富模型'!$E$11*12,'财富模型'!$E$10,'财富模型'!$E$12)/12)-IF('Calc'!$E$13=1,0,IF(Calc!$I$355&lt;='财富模型'!$E$11*12,'Calc'!$W$13,'Calc'!$Y$13)),0)))</x:f>
      </x:c>
      <x:c r="Q355" t="n">
        <x:v>334</x:v>
      </x:c>
      <x:c r="R355" t="str">
        <x:f>IF(Calc!$Q$355&gt;'Calc'!$B$8,"",MAX(Calc!$R$354*(1+'财富模型'!$E$6/12)+('Calc'!$B$5-'财富模型'!$E$5-(IF('Calc'!$E$14=1,'财富模型'!$E$9,'财富模型'!$M$6+IF(Calc!$Q$355&lt;='财富模型'!$E$11*12,'Calc'!$W$14,'Calc'!$Y$14)-(IF('Calc'!$E$14=1,0,MIN(Calc!$S$354*(1+'财富模型'!$E$20/12)+'Calc'!$B$6,IF(Calc!$Q$355&lt;='财富模型'!$E$11*12,'Calc'!$W$14,'Calc'!$Y$14))))))),0))</x:f>
      </x:c>
      <x:c r="S355" t="str">
        <x:f>IF(Calc!$Q$355&gt;'Calc'!$B$8,"",MAX(Calc!$S$354*(1+'财富模型'!$E$20/12)+'Calc'!$B$6-(IF('Calc'!$E$14=1,0,MIN(Calc!$S$354*(1+'财富模型'!$E$20/12)+'Calc'!$B$6,IF(Calc!$Q$355&lt;='财富模型'!$E$11*12,'Calc'!$W$14,'Calc'!$Y$14)))),0))</x:f>
      </x:c>
      <x:c r="T355" t="str">
        <x:f>IF(Calc!$Q$355&gt;'Calc'!$B$8,"",IF('Calc'!$E$14=1,'财富模型'!$E$9,'财富模型'!$M$6+IF(Calc!$Q$355&lt;='财富模型'!$E$11*12,'Calc'!$W$14,'Calc'!$Y$14)-(IF('Calc'!$E$14=1,0,MIN(Calc!$S$354*(1+'财富模型'!$E$20/12)+'Calc'!$B$6,IF(Calc!$Q$355&lt;='财富模型'!$E$11*12,'Calc'!$W$14,'Calc'!$Y$14))))))</x:f>
      </x:c>
      <x:c r="U355" t="str">
        <x:f>IF(Calc!$Q$355&gt;'Calc'!$B$8,"",IF('Calc'!$E$14=1,0,MIN(Calc!$S$354*(1+'财富模型'!$E$20/12)+'Calc'!$B$6,IF(Calc!$Q$355&lt;='财富模型'!$E$11*12,'Calc'!$W$14,'Calc'!$Y$14))))</x:f>
      </x:c>
      <x:c r="V355" t="str">
        <x:f>IF(Calc!$Q$355&gt;'Calc'!$B$8,"",'Calc'!$B$5-'财富模型'!$E$5-(IF('Calc'!$E$14=1,'财富模型'!$E$9,'财富模型'!$M$6+IF(Calc!$Q$355&lt;='财富模型'!$E$11*12,'Calc'!$W$14,'Calc'!$Y$14)-(IF('Calc'!$E$14=1,0,MIN(Calc!$S$354*(1+'财富模型'!$E$20/12)+'Calc'!$B$6,IF(Calc!$Q$355&lt;='财富模型'!$E$11*12,'Calc'!$W$14,'Calc'!$Y$14)))))))</x:f>
      </x:c>
      <x:c r="W355" t="str">
        <x:f>IF(Calc!$Q$355&gt;'Calc'!$B$8,"",IF('Calc'!$E$14=1,0,MAX(Calc!$W$354*(1+IF(Calc!$Q$355&lt;='财富模型'!$E$11*12,'财富模型'!$E$10,'财富模型'!$E$12)/12)-IF('Calc'!$E$14=1,0,IF(Calc!$Q$355&lt;='财富模型'!$E$11*12,'Calc'!$W$14,'Calc'!$Y$14)),0)))</x:f>
      </x:c>
      <x:c r="Y355" t="n">
        <x:v>334</x:v>
      </x:c>
      <x:c r="Z355" t="str">
        <x:f>IF(Calc!$Y$355&gt;'Calc'!$B$8,"",MAX(Calc!$Z$354*(1+'财富模型'!$E$6/12)+('Calc'!$B$5-'财富模型'!$E$5-(IF('Calc'!$E$15=1,'财富模型'!$E$9,'财富模型'!$M$7+IF(Calc!$Y$355&lt;='财富模型'!$E$11*12,'Calc'!$W$15,'Calc'!$Y$15)-(IF('Calc'!$E$15=1,0,MIN(Calc!$AA$354*(1+'财富模型'!$E$20/12)+'Calc'!$B$6,IF(Calc!$Y$355&lt;='财富模型'!$E$11*12,'Calc'!$W$15,'Calc'!$Y$15))))))),0))</x:f>
      </x:c>
      <x:c r="AA355" t="str">
        <x:f>IF(Calc!$Y$355&gt;'Calc'!$B$8,"",MAX(Calc!$AA$354*(1+'财富模型'!$E$20/12)+'Calc'!$B$6-(IF('Calc'!$E$15=1,0,MIN(Calc!$AA$354*(1+'财富模型'!$E$20/12)+'Calc'!$B$6,IF(Calc!$Y$355&lt;='财富模型'!$E$11*12,'Calc'!$W$15,'Calc'!$Y$15)))),0))</x:f>
      </x:c>
      <x:c r="AB355" t="str">
        <x:f>IF(Calc!$Y$355&gt;'Calc'!$B$8,"",IF('Calc'!$E$15=1,'财富模型'!$E$9,'财富模型'!$M$7+IF(Calc!$Y$355&lt;='财富模型'!$E$11*12,'Calc'!$W$15,'Calc'!$Y$15)-(IF('Calc'!$E$15=1,0,MIN(Calc!$AA$354*(1+'财富模型'!$E$20/12)+'Calc'!$B$6,IF(Calc!$Y$355&lt;='财富模型'!$E$11*12,'Calc'!$W$15,'Calc'!$Y$15))))))</x:f>
      </x:c>
      <x:c r="AC355" t="str">
        <x:f>IF(Calc!$Y$355&gt;'Calc'!$B$8,"",IF('Calc'!$E$15=1,0,MIN(Calc!$AA$354*(1+'财富模型'!$E$20/12)+'Calc'!$B$6,IF(Calc!$Y$355&lt;='财富模型'!$E$11*12,'Calc'!$W$15,'Calc'!$Y$15))))</x:f>
      </x:c>
      <x:c r="AD355" t="str">
        <x:f>IF(Calc!$Y$355&gt;'Calc'!$B$8,"",'Calc'!$B$5-'财富模型'!$E$5-(IF('Calc'!$E$15=1,'财富模型'!$E$9,'财富模型'!$M$7+IF(Calc!$Y$355&lt;='财富模型'!$E$11*12,'Calc'!$W$15,'Calc'!$Y$15)-(IF('Calc'!$E$15=1,0,MIN(Calc!$AA$354*(1+'财富模型'!$E$20/12)+'Calc'!$B$6,IF(Calc!$Y$355&lt;='财富模型'!$E$11*12,'Calc'!$W$15,'Calc'!$Y$15)))))))</x:f>
      </x:c>
      <x:c r="AE355" t="str">
        <x:f>IF(Calc!$Y$355&gt;'Calc'!$B$8,"",IF('Calc'!$E$15=1,0,MAX(Calc!$AE$354*(1+IF(Calc!$Y$355&lt;='财富模型'!$E$11*12,'财富模型'!$E$10,'财富模型'!$E$12)/12)-IF('Calc'!$E$15=1,0,IF(Calc!$Y$355&lt;='财富模型'!$E$11*12,'Calc'!$W$15,'Calc'!$Y$15)),0)))</x:f>
      </x:c>
      <x:c r="AG355" t="n">
        <x:v>334</x:v>
      </x:c>
      <x:c r="AH355" t="str">
        <x:f>IF(Calc!$AG$355&gt;'Calc'!$B$8,"",MAX(Calc!$AH$354*(1+'财富模型'!$E$6/12)+('Calc'!$B$5-'财富模型'!$E$5-(IF('Calc'!$E$16=1,'财富模型'!$E$9,'财富模型'!$M$8+IF(Calc!$AG$355&lt;='财富模型'!$E$11*12,'Calc'!$W$16,'Calc'!$Y$16)-(IF('Calc'!$E$16=1,0,MIN(Calc!$AI$354*(1+'财富模型'!$E$20/12)+'Calc'!$B$6,IF(Calc!$AG$355&lt;='财富模型'!$E$11*12,'Calc'!$W$16,'Calc'!$Y$16))))))),0))</x:f>
      </x:c>
      <x:c r="AI355" t="str">
        <x:f>IF(Calc!$AG$355&gt;'Calc'!$B$8,"",MAX(Calc!$AI$354*(1+'财富模型'!$E$20/12)+'Calc'!$B$6-(IF('Calc'!$E$16=1,0,MIN(Calc!$AI$354*(1+'财富模型'!$E$20/12)+'Calc'!$B$6,IF(Calc!$AG$355&lt;='财富模型'!$E$11*12,'Calc'!$W$16,'Calc'!$Y$16)))),0))</x:f>
      </x:c>
      <x:c r="AJ355" t="str">
        <x:f>IF(Calc!$AG$355&gt;'Calc'!$B$8,"",IF('Calc'!$E$16=1,'财富模型'!$E$9,'财富模型'!$M$8+IF(Calc!$AG$355&lt;='财富模型'!$E$11*12,'Calc'!$W$16,'Calc'!$Y$16)-(IF('Calc'!$E$16=1,0,MIN(Calc!$AI$354*(1+'财富模型'!$E$20/12)+'Calc'!$B$6,IF(Calc!$AG$355&lt;='财富模型'!$E$11*12,'Calc'!$W$16,'Calc'!$Y$16))))))</x:f>
      </x:c>
      <x:c r="AK355" t="str">
        <x:f>IF(Calc!$AG$355&gt;'Calc'!$B$8,"",IF('Calc'!$E$16=1,0,MIN(Calc!$AI$354*(1+'财富模型'!$E$20/12)+'Calc'!$B$6,IF(Calc!$AG$355&lt;='财富模型'!$E$11*12,'Calc'!$W$16,'Calc'!$Y$16))))</x:f>
      </x:c>
      <x:c r="AL355" t="str">
        <x:f>IF(Calc!$AG$355&gt;'Calc'!$B$8,"",'Calc'!$B$5-'财富模型'!$E$5-(IF('Calc'!$E$16=1,'财富模型'!$E$9,'财富模型'!$M$8+IF(Calc!$AG$355&lt;='财富模型'!$E$11*12,'Calc'!$W$16,'Calc'!$Y$16)-(IF('Calc'!$E$16=1,0,MIN(Calc!$AI$354*(1+'财富模型'!$E$20/12)+'Calc'!$B$6,IF(Calc!$AG$355&lt;='财富模型'!$E$11*12,'Calc'!$W$16,'Calc'!$Y$16)))))))</x:f>
      </x:c>
      <x:c r="AM355" t="str">
        <x:f>IF(Calc!$AG$355&gt;'Calc'!$B$8,"",IF('Calc'!$E$16=1,0,MAX(Calc!$AM$354*(1+IF(Calc!$AG$355&lt;='财富模型'!$E$11*12,'财富模型'!$E$10,'财富模型'!$E$12)/12)-IF('Calc'!$E$16=1,0,IF(Calc!$AG$355&lt;='财富模型'!$E$11*12,'Calc'!$W$16,'Calc'!$Y$16)),0)))</x:f>
      </x:c>
      <x:c r="AO355" t="n">
        <x:v>334</x:v>
      </x:c>
      <x:c r="AP355" t="str">
        <x:f>IF(Calc!$AO$355&gt;'Calc'!$B$8,"",MAX(Calc!$AP$354*(1+'财富模型'!$E$6/12)+('Calc'!$B$5-'财富模型'!$E$5-(IF('Calc'!$E$17=1,'财富模型'!$E$9,'财富模型'!$M$9+IF(Calc!$AO$355&lt;='财富模型'!$E$11*12,'Calc'!$W$17,'Calc'!$Y$17)-(IF('Calc'!$E$17=1,0,MIN(Calc!$AQ$354*(1+'财富模型'!$E$20/12)+'Calc'!$B$6,IF(Calc!$AO$355&lt;='财富模型'!$E$11*12,'Calc'!$W$17,'Calc'!$Y$17))))))),0))</x:f>
      </x:c>
      <x:c r="AQ355" t="str">
        <x:f>IF(Calc!$AO$355&gt;'Calc'!$B$8,"",MAX(Calc!$AQ$354*(1+'财富模型'!$E$20/12)+'Calc'!$B$6-(IF('Calc'!$E$17=1,0,MIN(Calc!$AQ$354*(1+'财富模型'!$E$20/12)+'Calc'!$B$6,IF(Calc!$AO$355&lt;='财富模型'!$E$11*12,'Calc'!$W$17,'Calc'!$Y$17)))),0))</x:f>
      </x:c>
      <x:c r="AR355" t="str">
        <x:f>IF(Calc!$AO$355&gt;'Calc'!$B$8,"",IF('Calc'!$E$17=1,'财富模型'!$E$9,'财富模型'!$M$9+IF(Calc!$AO$355&lt;='财富模型'!$E$11*12,'Calc'!$W$17,'Calc'!$Y$17)-(IF('Calc'!$E$17=1,0,MIN(Calc!$AQ$354*(1+'财富模型'!$E$20/12)+'Calc'!$B$6,IF(Calc!$AO$355&lt;='财富模型'!$E$11*12,'Calc'!$W$17,'Calc'!$Y$17))))))</x:f>
      </x:c>
      <x:c r="AS355" t="str">
        <x:f>IF(Calc!$AO$355&gt;'Calc'!$B$8,"",IF('Calc'!$E$17=1,0,MIN(Calc!$AQ$354*(1+'财富模型'!$E$20/12)+'Calc'!$B$6,IF(Calc!$AO$355&lt;='财富模型'!$E$11*12,'Calc'!$W$17,'Calc'!$Y$17))))</x:f>
      </x:c>
      <x:c r="AT355" t="str">
        <x:f>IF(Calc!$AO$355&gt;'Calc'!$B$8,"",'Calc'!$B$5-'财富模型'!$E$5-(IF('Calc'!$E$17=1,'财富模型'!$E$9,'财富模型'!$M$9+IF(Calc!$AO$355&lt;='财富模型'!$E$11*12,'Calc'!$W$17,'Calc'!$Y$17)-(IF('Calc'!$E$17=1,0,MIN(Calc!$AQ$354*(1+'财富模型'!$E$20/12)+'Calc'!$B$6,IF(Calc!$AO$355&lt;='财富模型'!$E$11*12,'Calc'!$W$17,'Calc'!$Y$17)))))))</x:f>
      </x:c>
      <x:c r="AU355" t="str">
        <x:f>IF(Calc!$AO$355&gt;'Calc'!$B$8,"",IF('Calc'!$E$17=1,0,MAX(Calc!$AU$354*(1+IF(Calc!$AO$355&lt;='财富模型'!$E$11*12,'财富模型'!$E$10,'财富模型'!$E$12)/12)-IF('Calc'!$E$17=1,0,IF(Calc!$AO$355&lt;='财富模型'!$E$11*12,'Calc'!$W$17,'Calc'!$Y$17)),0)))</x:f>
      </x:c>
    </x:row>
    <x:row r="356">
      <x:c r="A356" t="n">
        <x:v>335</x:v>
      </x:c>
      <x:c r="B356" t="str">
        <x:f>IF(Calc!$A$356&gt;'Calc'!$B$8,"",MAX(Calc!$B$355*(1+'财富模型'!$E$6/12)+('Calc'!$B$5-'财富模型'!$E$5-(IF('Calc'!$E$12=1,'财富模型'!$E$9,'财富模型'!$M$4+IF(Calc!$A$356&lt;='财富模型'!$E$11*12,'Calc'!$W$12,'Calc'!$Y$12)-(IF('Calc'!$E$12=1,0,MIN(Calc!$C$355*(1+'财富模型'!$E$20/12)+'Calc'!$B$6,IF(Calc!$A$356&lt;='财富模型'!$E$11*12,'Calc'!$W$12,'Calc'!$Y$12))))))),0))</x:f>
      </x:c>
      <x:c r="C356" t="str">
        <x:f>IF(Calc!$A$356&gt;'Calc'!$B$8,"",MAX(Calc!$C$355*(1+'财富模型'!$E$20/12)+'Calc'!$B$6-(IF('Calc'!$E$12=1,0,MIN(Calc!$C$355*(1+'财富模型'!$E$20/12)+'Calc'!$B$6,IF(Calc!$A$356&lt;='财富模型'!$E$11*12,'Calc'!$W$12,'Calc'!$Y$12)))),0))</x:f>
      </x:c>
      <x:c r="D356" t="str">
        <x:f>IF(Calc!$A$356&gt;'Calc'!$B$8,"",IF('Calc'!$E$12=1,'财富模型'!$E$9,'财富模型'!$M$4+IF(Calc!$A$356&lt;='财富模型'!$E$11*12,'Calc'!$W$12,'Calc'!$Y$12)-(IF('Calc'!$E$12=1,0,MIN(Calc!$C$355*(1+'财富模型'!$E$20/12)+'Calc'!$B$6,IF(Calc!$A$356&lt;='财富模型'!$E$11*12,'Calc'!$W$12,'Calc'!$Y$12))))))</x:f>
      </x:c>
      <x:c r="E356" t="str">
        <x:f>IF(Calc!$A$356&gt;'Calc'!$B$8,"",IF('Calc'!$E$12=1,0,MIN(Calc!$C$355*(1+'财富模型'!$E$20/12)+'Calc'!$B$6,IF(Calc!$A$356&lt;='财富模型'!$E$11*12,'Calc'!$W$12,'Calc'!$Y$12))))</x:f>
      </x:c>
      <x:c r="F356" t="str">
        <x:f>IF(Calc!$A$356&gt;'Calc'!$B$8,"",'Calc'!$B$5-'财富模型'!$E$5-(IF('Calc'!$E$12=1,'财富模型'!$E$9,'财富模型'!$M$4+IF(Calc!$A$356&lt;='财富模型'!$E$11*12,'Calc'!$W$12,'Calc'!$Y$12)-(IF('Calc'!$E$12=1,0,MIN(Calc!$C$355*(1+'财富模型'!$E$20/12)+'Calc'!$B$6,IF(Calc!$A$356&lt;='财富模型'!$E$11*12,'Calc'!$W$12,'Calc'!$Y$12)))))))</x:f>
      </x:c>
      <x:c r="G356" t="str">
        <x:f>IF(Calc!$A$356&gt;'Calc'!$B$8,"",IF('Calc'!$E$12=1,0,MAX(Calc!$G$355*(1+IF(Calc!$A$356&lt;='财富模型'!$E$11*12,'财富模型'!$E$10,'财富模型'!$E$12)/12)-IF('Calc'!$E$12=1,0,IF(Calc!$A$356&lt;='财富模型'!$E$11*12,'Calc'!$W$12,'Calc'!$Y$12)),0)))</x:f>
      </x:c>
      <x:c r="I356" t="n">
        <x:v>335</x:v>
      </x:c>
      <x:c r="J356" t="str">
        <x:f>IF(Calc!$I$356&gt;'Calc'!$B$8,"",MAX(Calc!$J$355*(1+'财富模型'!$E$6/12)+('Calc'!$B$5-'财富模型'!$E$5-(IF('Calc'!$E$13=1,'财富模型'!$E$9,'财富模型'!$M$5+IF(Calc!$I$356&lt;='财富模型'!$E$11*12,'Calc'!$W$13,'Calc'!$Y$13)-(IF('Calc'!$E$13=1,0,MIN(Calc!$K$355*(1+'财富模型'!$E$20/12)+'Calc'!$B$6,IF(Calc!$I$356&lt;='财富模型'!$E$11*12,'Calc'!$W$13,'Calc'!$Y$13))))))),0))</x:f>
      </x:c>
      <x:c r="K356" t="str">
        <x:f>IF(Calc!$I$356&gt;'Calc'!$B$8,"",MAX(Calc!$K$355*(1+'财富模型'!$E$20/12)+'Calc'!$B$6-(IF('Calc'!$E$13=1,0,MIN(Calc!$K$355*(1+'财富模型'!$E$20/12)+'Calc'!$B$6,IF(Calc!$I$356&lt;='财富模型'!$E$11*12,'Calc'!$W$13,'Calc'!$Y$13)))),0))</x:f>
      </x:c>
      <x:c r="L356" t="str">
        <x:f>IF(Calc!$I$356&gt;'Calc'!$B$8,"",IF('Calc'!$E$13=1,'财富模型'!$E$9,'财富模型'!$M$5+IF(Calc!$I$356&lt;='财富模型'!$E$11*12,'Calc'!$W$13,'Calc'!$Y$13)-(IF('Calc'!$E$13=1,0,MIN(Calc!$K$355*(1+'财富模型'!$E$20/12)+'Calc'!$B$6,IF(Calc!$I$356&lt;='财富模型'!$E$11*12,'Calc'!$W$13,'Calc'!$Y$13))))))</x:f>
      </x:c>
      <x:c r="M356" t="str">
        <x:f>IF(Calc!$I$356&gt;'Calc'!$B$8,"",IF('Calc'!$E$13=1,0,MIN(Calc!$K$355*(1+'财富模型'!$E$20/12)+'Calc'!$B$6,IF(Calc!$I$356&lt;='财富模型'!$E$11*12,'Calc'!$W$13,'Calc'!$Y$13))))</x:f>
      </x:c>
      <x:c r="N356" t="str">
        <x:f>IF(Calc!$I$356&gt;'Calc'!$B$8,"",'Calc'!$B$5-'财富模型'!$E$5-(IF('Calc'!$E$13=1,'财富模型'!$E$9,'财富模型'!$M$5+IF(Calc!$I$356&lt;='财富模型'!$E$11*12,'Calc'!$W$13,'Calc'!$Y$13)-(IF('Calc'!$E$13=1,0,MIN(Calc!$K$355*(1+'财富模型'!$E$20/12)+'Calc'!$B$6,IF(Calc!$I$356&lt;='财富模型'!$E$11*12,'Calc'!$W$13,'Calc'!$Y$13)))))))</x:f>
      </x:c>
      <x:c r="O356" t="str">
        <x:f>IF(Calc!$I$356&gt;'Calc'!$B$8,"",IF('Calc'!$E$13=1,0,MAX(Calc!$O$355*(1+IF(Calc!$I$356&lt;='财富模型'!$E$11*12,'财富模型'!$E$10,'财富模型'!$E$12)/12)-IF('Calc'!$E$13=1,0,IF(Calc!$I$356&lt;='财富模型'!$E$11*12,'Calc'!$W$13,'Calc'!$Y$13)),0)))</x:f>
      </x:c>
      <x:c r="Q356" t="n">
        <x:v>335</x:v>
      </x:c>
      <x:c r="R356" t="str">
        <x:f>IF(Calc!$Q$356&gt;'Calc'!$B$8,"",MAX(Calc!$R$355*(1+'财富模型'!$E$6/12)+('Calc'!$B$5-'财富模型'!$E$5-(IF('Calc'!$E$14=1,'财富模型'!$E$9,'财富模型'!$M$6+IF(Calc!$Q$356&lt;='财富模型'!$E$11*12,'Calc'!$W$14,'Calc'!$Y$14)-(IF('Calc'!$E$14=1,0,MIN(Calc!$S$355*(1+'财富模型'!$E$20/12)+'Calc'!$B$6,IF(Calc!$Q$356&lt;='财富模型'!$E$11*12,'Calc'!$W$14,'Calc'!$Y$14))))))),0))</x:f>
      </x:c>
      <x:c r="S356" t="str">
        <x:f>IF(Calc!$Q$356&gt;'Calc'!$B$8,"",MAX(Calc!$S$355*(1+'财富模型'!$E$20/12)+'Calc'!$B$6-(IF('Calc'!$E$14=1,0,MIN(Calc!$S$355*(1+'财富模型'!$E$20/12)+'Calc'!$B$6,IF(Calc!$Q$356&lt;='财富模型'!$E$11*12,'Calc'!$W$14,'Calc'!$Y$14)))),0))</x:f>
      </x:c>
      <x:c r="T356" t="str">
        <x:f>IF(Calc!$Q$356&gt;'Calc'!$B$8,"",IF('Calc'!$E$14=1,'财富模型'!$E$9,'财富模型'!$M$6+IF(Calc!$Q$356&lt;='财富模型'!$E$11*12,'Calc'!$W$14,'Calc'!$Y$14)-(IF('Calc'!$E$14=1,0,MIN(Calc!$S$355*(1+'财富模型'!$E$20/12)+'Calc'!$B$6,IF(Calc!$Q$356&lt;='财富模型'!$E$11*12,'Calc'!$W$14,'Calc'!$Y$14))))))</x:f>
      </x:c>
      <x:c r="U356" t="str">
        <x:f>IF(Calc!$Q$356&gt;'Calc'!$B$8,"",IF('Calc'!$E$14=1,0,MIN(Calc!$S$355*(1+'财富模型'!$E$20/12)+'Calc'!$B$6,IF(Calc!$Q$356&lt;='财富模型'!$E$11*12,'Calc'!$W$14,'Calc'!$Y$14))))</x:f>
      </x:c>
      <x:c r="V356" t="str">
        <x:f>IF(Calc!$Q$356&gt;'Calc'!$B$8,"",'Calc'!$B$5-'财富模型'!$E$5-(IF('Calc'!$E$14=1,'财富模型'!$E$9,'财富模型'!$M$6+IF(Calc!$Q$356&lt;='财富模型'!$E$11*12,'Calc'!$W$14,'Calc'!$Y$14)-(IF('Calc'!$E$14=1,0,MIN(Calc!$S$355*(1+'财富模型'!$E$20/12)+'Calc'!$B$6,IF(Calc!$Q$356&lt;='财富模型'!$E$11*12,'Calc'!$W$14,'Calc'!$Y$14)))))))</x:f>
      </x:c>
      <x:c r="W356" t="str">
        <x:f>IF(Calc!$Q$356&gt;'Calc'!$B$8,"",IF('Calc'!$E$14=1,0,MAX(Calc!$W$355*(1+IF(Calc!$Q$356&lt;='财富模型'!$E$11*12,'财富模型'!$E$10,'财富模型'!$E$12)/12)-IF('Calc'!$E$14=1,0,IF(Calc!$Q$356&lt;='财富模型'!$E$11*12,'Calc'!$W$14,'Calc'!$Y$14)),0)))</x:f>
      </x:c>
      <x:c r="Y356" t="n">
        <x:v>335</x:v>
      </x:c>
      <x:c r="Z356" t="str">
        <x:f>IF(Calc!$Y$356&gt;'Calc'!$B$8,"",MAX(Calc!$Z$355*(1+'财富模型'!$E$6/12)+('Calc'!$B$5-'财富模型'!$E$5-(IF('Calc'!$E$15=1,'财富模型'!$E$9,'财富模型'!$M$7+IF(Calc!$Y$356&lt;='财富模型'!$E$11*12,'Calc'!$W$15,'Calc'!$Y$15)-(IF('Calc'!$E$15=1,0,MIN(Calc!$AA$355*(1+'财富模型'!$E$20/12)+'Calc'!$B$6,IF(Calc!$Y$356&lt;='财富模型'!$E$11*12,'Calc'!$W$15,'Calc'!$Y$15))))))),0))</x:f>
      </x:c>
      <x:c r="AA356" t="str">
        <x:f>IF(Calc!$Y$356&gt;'Calc'!$B$8,"",MAX(Calc!$AA$355*(1+'财富模型'!$E$20/12)+'Calc'!$B$6-(IF('Calc'!$E$15=1,0,MIN(Calc!$AA$355*(1+'财富模型'!$E$20/12)+'Calc'!$B$6,IF(Calc!$Y$356&lt;='财富模型'!$E$11*12,'Calc'!$W$15,'Calc'!$Y$15)))),0))</x:f>
      </x:c>
      <x:c r="AB356" t="str">
        <x:f>IF(Calc!$Y$356&gt;'Calc'!$B$8,"",IF('Calc'!$E$15=1,'财富模型'!$E$9,'财富模型'!$M$7+IF(Calc!$Y$356&lt;='财富模型'!$E$11*12,'Calc'!$W$15,'Calc'!$Y$15)-(IF('Calc'!$E$15=1,0,MIN(Calc!$AA$355*(1+'财富模型'!$E$20/12)+'Calc'!$B$6,IF(Calc!$Y$356&lt;='财富模型'!$E$11*12,'Calc'!$W$15,'Calc'!$Y$15))))))</x:f>
      </x:c>
      <x:c r="AC356" t="str">
        <x:f>IF(Calc!$Y$356&gt;'Calc'!$B$8,"",IF('Calc'!$E$15=1,0,MIN(Calc!$AA$355*(1+'财富模型'!$E$20/12)+'Calc'!$B$6,IF(Calc!$Y$356&lt;='财富模型'!$E$11*12,'Calc'!$W$15,'Calc'!$Y$15))))</x:f>
      </x:c>
      <x:c r="AD356" t="str">
        <x:f>IF(Calc!$Y$356&gt;'Calc'!$B$8,"",'Calc'!$B$5-'财富模型'!$E$5-(IF('Calc'!$E$15=1,'财富模型'!$E$9,'财富模型'!$M$7+IF(Calc!$Y$356&lt;='财富模型'!$E$11*12,'Calc'!$W$15,'Calc'!$Y$15)-(IF('Calc'!$E$15=1,0,MIN(Calc!$AA$355*(1+'财富模型'!$E$20/12)+'Calc'!$B$6,IF(Calc!$Y$356&lt;='财富模型'!$E$11*12,'Calc'!$W$15,'Calc'!$Y$15)))))))</x:f>
      </x:c>
      <x:c r="AE356" t="str">
        <x:f>IF(Calc!$Y$356&gt;'Calc'!$B$8,"",IF('Calc'!$E$15=1,0,MAX(Calc!$AE$355*(1+IF(Calc!$Y$356&lt;='财富模型'!$E$11*12,'财富模型'!$E$10,'财富模型'!$E$12)/12)-IF('Calc'!$E$15=1,0,IF(Calc!$Y$356&lt;='财富模型'!$E$11*12,'Calc'!$W$15,'Calc'!$Y$15)),0)))</x:f>
      </x:c>
      <x:c r="AG356" t="n">
        <x:v>335</x:v>
      </x:c>
      <x:c r="AH356" t="str">
        <x:f>IF(Calc!$AG$356&gt;'Calc'!$B$8,"",MAX(Calc!$AH$355*(1+'财富模型'!$E$6/12)+('Calc'!$B$5-'财富模型'!$E$5-(IF('Calc'!$E$16=1,'财富模型'!$E$9,'财富模型'!$M$8+IF(Calc!$AG$356&lt;='财富模型'!$E$11*12,'Calc'!$W$16,'Calc'!$Y$16)-(IF('Calc'!$E$16=1,0,MIN(Calc!$AI$355*(1+'财富模型'!$E$20/12)+'Calc'!$B$6,IF(Calc!$AG$356&lt;='财富模型'!$E$11*12,'Calc'!$W$16,'Calc'!$Y$16))))))),0))</x:f>
      </x:c>
      <x:c r="AI356" t="str">
        <x:f>IF(Calc!$AG$356&gt;'Calc'!$B$8,"",MAX(Calc!$AI$355*(1+'财富模型'!$E$20/12)+'Calc'!$B$6-(IF('Calc'!$E$16=1,0,MIN(Calc!$AI$355*(1+'财富模型'!$E$20/12)+'Calc'!$B$6,IF(Calc!$AG$356&lt;='财富模型'!$E$11*12,'Calc'!$W$16,'Calc'!$Y$16)))),0))</x:f>
      </x:c>
      <x:c r="AJ356" t="str">
        <x:f>IF(Calc!$AG$356&gt;'Calc'!$B$8,"",IF('Calc'!$E$16=1,'财富模型'!$E$9,'财富模型'!$M$8+IF(Calc!$AG$356&lt;='财富模型'!$E$11*12,'Calc'!$W$16,'Calc'!$Y$16)-(IF('Calc'!$E$16=1,0,MIN(Calc!$AI$355*(1+'财富模型'!$E$20/12)+'Calc'!$B$6,IF(Calc!$AG$356&lt;='财富模型'!$E$11*12,'Calc'!$W$16,'Calc'!$Y$16))))))</x:f>
      </x:c>
      <x:c r="AK356" t="str">
        <x:f>IF(Calc!$AG$356&gt;'Calc'!$B$8,"",IF('Calc'!$E$16=1,0,MIN(Calc!$AI$355*(1+'财富模型'!$E$20/12)+'Calc'!$B$6,IF(Calc!$AG$356&lt;='财富模型'!$E$11*12,'Calc'!$W$16,'Calc'!$Y$16))))</x:f>
      </x:c>
      <x:c r="AL356" t="str">
        <x:f>IF(Calc!$AG$356&gt;'Calc'!$B$8,"",'Calc'!$B$5-'财富模型'!$E$5-(IF('Calc'!$E$16=1,'财富模型'!$E$9,'财富模型'!$M$8+IF(Calc!$AG$356&lt;='财富模型'!$E$11*12,'Calc'!$W$16,'Calc'!$Y$16)-(IF('Calc'!$E$16=1,0,MIN(Calc!$AI$355*(1+'财富模型'!$E$20/12)+'Calc'!$B$6,IF(Calc!$AG$356&lt;='财富模型'!$E$11*12,'Calc'!$W$16,'Calc'!$Y$16)))))))</x:f>
      </x:c>
      <x:c r="AM356" t="str">
        <x:f>IF(Calc!$AG$356&gt;'Calc'!$B$8,"",IF('Calc'!$E$16=1,0,MAX(Calc!$AM$355*(1+IF(Calc!$AG$356&lt;='财富模型'!$E$11*12,'财富模型'!$E$10,'财富模型'!$E$12)/12)-IF('Calc'!$E$16=1,0,IF(Calc!$AG$356&lt;='财富模型'!$E$11*12,'Calc'!$W$16,'Calc'!$Y$16)),0)))</x:f>
      </x:c>
      <x:c r="AO356" t="n">
        <x:v>335</x:v>
      </x:c>
      <x:c r="AP356" t="str">
        <x:f>IF(Calc!$AO$356&gt;'Calc'!$B$8,"",MAX(Calc!$AP$355*(1+'财富模型'!$E$6/12)+('Calc'!$B$5-'财富模型'!$E$5-(IF('Calc'!$E$17=1,'财富模型'!$E$9,'财富模型'!$M$9+IF(Calc!$AO$356&lt;='财富模型'!$E$11*12,'Calc'!$W$17,'Calc'!$Y$17)-(IF('Calc'!$E$17=1,0,MIN(Calc!$AQ$355*(1+'财富模型'!$E$20/12)+'Calc'!$B$6,IF(Calc!$AO$356&lt;='财富模型'!$E$11*12,'Calc'!$W$17,'Calc'!$Y$17))))))),0))</x:f>
      </x:c>
      <x:c r="AQ356" t="str">
        <x:f>IF(Calc!$AO$356&gt;'Calc'!$B$8,"",MAX(Calc!$AQ$355*(1+'财富模型'!$E$20/12)+'Calc'!$B$6-(IF('Calc'!$E$17=1,0,MIN(Calc!$AQ$355*(1+'财富模型'!$E$20/12)+'Calc'!$B$6,IF(Calc!$AO$356&lt;='财富模型'!$E$11*12,'Calc'!$W$17,'Calc'!$Y$17)))),0))</x:f>
      </x:c>
      <x:c r="AR356" t="str">
        <x:f>IF(Calc!$AO$356&gt;'Calc'!$B$8,"",IF('Calc'!$E$17=1,'财富模型'!$E$9,'财富模型'!$M$9+IF(Calc!$AO$356&lt;='财富模型'!$E$11*12,'Calc'!$W$17,'Calc'!$Y$17)-(IF('Calc'!$E$17=1,0,MIN(Calc!$AQ$355*(1+'财富模型'!$E$20/12)+'Calc'!$B$6,IF(Calc!$AO$356&lt;='财富模型'!$E$11*12,'Calc'!$W$17,'Calc'!$Y$17))))))</x:f>
      </x:c>
      <x:c r="AS356" t="str">
        <x:f>IF(Calc!$AO$356&gt;'Calc'!$B$8,"",IF('Calc'!$E$17=1,0,MIN(Calc!$AQ$355*(1+'财富模型'!$E$20/12)+'Calc'!$B$6,IF(Calc!$AO$356&lt;='财富模型'!$E$11*12,'Calc'!$W$17,'Calc'!$Y$17))))</x:f>
      </x:c>
      <x:c r="AT356" t="str">
        <x:f>IF(Calc!$AO$356&gt;'Calc'!$B$8,"",'Calc'!$B$5-'财富模型'!$E$5-(IF('Calc'!$E$17=1,'财富模型'!$E$9,'财富模型'!$M$9+IF(Calc!$AO$356&lt;='财富模型'!$E$11*12,'Calc'!$W$17,'Calc'!$Y$17)-(IF('Calc'!$E$17=1,0,MIN(Calc!$AQ$355*(1+'财富模型'!$E$20/12)+'Calc'!$B$6,IF(Calc!$AO$356&lt;='财富模型'!$E$11*12,'Calc'!$W$17,'Calc'!$Y$17)))))))</x:f>
      </x:c>
      <x:c r="AU356" t="str">
        <x:f>IF(Calc!$AO$356&gt;'Calc'!$B$8,"",IF('Calc'!$E$17=1,0,MAX(Calc!$AU$355*(1+IF(Calc!$AO$356&lt;='财富模型'!$E$11*12,'财富模型'!$E$10,'财富模型'!$E$12)/12)-IF('Calc'!$E$17=1,0,IF(Calc!$AO$356&lt;='财富模型'!$E$11*12,'Calc'!$W$17,'Calc'!$Y$17)),0)))</x:f>
      </x:c>
    </x:row>
    <x:row r="357">
      <x:c r="A357" t="n">
        <x:v>336</x:v>
      </x:c>
      <x:c r="B357" t="str">
        <x:f>IF(Calc!$A$357&gt;'Calc'!$B$8,"",MAX(Calc!$B$356*(1+'财富模型'!$E$6/12)+('Calc'!$B$5-'财富模型'!$E$5-(IF('Calc'!$E$12=1,'财富模型'!$E$9,'财富模型'!$M$4+IF(Calc!$A$357&lt;='财富模型'!$E$11*12,'Calc'!$W$12,'Calc'!$Y$12)-(IF('Calc'!$E$12=1,0,MIN(Calc!$C$356*(1+'财富模型'!$E$20/12)+'Calc'!$B$6,IF(Calc!$A$357&lt;='财富模型'!$E$11*12,'Calc'!$W$12,'Calc'!$Y$12))))))),0))</x:f>
      </x:c>
      <x:c r="C357" t="str">
        <x:f>IF(Calc!$A$357&gt;'Calc'!$B$8,"",MAX(Calc!$C$356*(1+'财富模型'!$E$20/12)+'Calc'!$B$6-(IF('Calc'!$E$12=1,0,MIN(Calc!$C$356*(1+'财富模型'!$E$20/12)+'Calc'!$B$6,IF(Calc!$A$357&lt;='财富模型'!$E$11*12,'Calc'!$W$12,'Calc'!$Y$12)))),0))</x:f>
      </x:c>
      <x:c r="D357" t="str">
        <x:f>IF(Calc!$A$357&gt;'Calc'!$B$8,"",IF('Calc'!$E$12=1,'财富模型'!$E$9,'财富模型'!$M$4+IF(Calc!$A$357&lt;='财富模型'!$E$11*12,'Calc'!$W$12,'Calc'!$Y$12)-(IF('Calc'!$E$12=1,0,MIN(Calc!$C$356*(1+'财富模型'!$E$20/12)+'Calc'!$B$6,IF(Calc!$A$357&lt;='财富模型'!$E$11*12,'Calc'!$W$12,'Calc'!$Y$12))))))</x:f>
      </x:c>
      <x:c r="E357" t="str">
        <x:f>IF(Calc!$A$357&gt;'Calc'!$B$8,"",IF('Calc'!$E$12=1,0,MIN(Calc!$C$356*(1+'财富模型'!$E$20/12)+'Calc'!$B$6,IF(Calc!$A$357&lt;='财富模型'!$E$11*12,'Calc'!$W$12,'Calc'!$Y$12))))</x:f>
      </x:c>
      <x:c r="F357" t="str">
        <x:f>IF(Calc!$A$357&gt;'Calc'!$B$8,"",'Calc'!$B$5-'财富模型'!$E$5-(IF('Calc'!$E$12=1,'财富模型'!$E$9,'财富模型'!$M$4+IF(Calc!$A$357&lt;='财富模型'!$E$11*12,'Calc'!$W$12,'Calc'!$Y$12)-(IF('Calc'!$E$12=1,0,MIN(Calc!$C$356*(1+'财富模型'!$E$20/12)+'Calc'!$B$6,IF(Calc!$A$357&lt;='财富模型'!$E$11*12,'Calc'!$W$12,'Calc'!$Y$12)))))))</x:f>
      </x:c>
      <x:c r="G357" t="str">
        <x:f>IF(Calc!$A$357&gt;'Calc'!$B$8,"",IF('Calc'!$E$12=1,0,MAX(Calc!$G$356*(1+IF(Calc!$A$357&lt;='财富模型'!$E$11*12,'财富模型'!$E$10,'财富模型'!$E$12)/12)-IF('Calc'!$E$12=1,0,IF(Calc!$A$357&lt;='财富模型'!$E$11*12,'Calc'!$W$12,'Calc'!$Y$12)),0)))</x:f>
      </x:c>
      <x:c r="I357" t="n">
        <x:v>336</x:v>
      </x:c>
      <x:c r="J357" t="str">
        <x:f>IF(Calc!$I$357&gt;'Calc'!$B$8,"",MAX(Calc!$J$356*(1+'财富模型'!$E$6/12)+('Calc'!$B$5-'财富模型'!$E$5-(IF('Calc'!$E$13=1,'财富模型'!$E$9,'财富模型'!$M$5+IF(Calc!$I$357&lt;='财富模型'!$E$11*12,'Calc'!$W$13,'Calc'!$Y$13)-(IF('Calc'!$E$13=1,0,MIN(Calc!$K$356*(1+'财富模型'!$E$20/12)+'Calc'!$B$6,IF(Calc!$I$357&lt;='财富模型'!$E$11*12,'Calc'!$W$13,'Calc'!$Y$13))))))),0))</x:f>
      </x:c>
      <x:c r="K357" t="str">
        <x:f>IF(Calc!$I$357&gt;'Calc'!$B$8,"",MAX(Calc!$K$356*(1+'财富模型'!$E$20/12)+'Calc'!$B$6-(IF('Calc'!$E$13=1,0,MIN(Calc!$K$356*(1+'财富模型'!$E$20/12)+'Calc'!$B$6,IF(Calc!$I$357&lt;='财富模型'!$E$11*12,'Calc'!$W$13,'Calc'!$Y$13)))),0))</x:f>
      </x:c>
      <x:c r="L357" t="str">
        <x:f>IF(Calc!$I$357&gt;'Calc'!$B$8,"",IF('Calc'!$E$13=1,'财富模型'!$E$9,'财富模型'!$M$5+IF(Calc!$I$357&lt;='财富模型'!$E$11*12,'Calc'!$W$13,'Calc'!$Y$13)-(IF('Calc'!$E$13=1,0,MIN(Calc!$K$356*(1+'财富模型'!$E$20/12)+'Calc'!$B$6,IF(Calc!$I$357&lt;='财富模型'!$E$11*12,'Calc'!$W$13,'Calc'!$Y$13))))))</x:f>
      </x:c>
      <x:c r="M357" t="str">
        <x:f>IF(Calc!$I$357&gt;'Calc'!$B$8,"",IF('Calc'!$E$13=1,0,MIN(Calc!$K$356*(1+'财富模型'!$E$20/12)+'Calc'!$B$6,IF(Calc!$I$357&lt;='财富模型'!$E$11*12,'Calc'!$W$13,'Calc'!$Y$13))))</x:f>
      </x:c>
      <x:c r="N357" t="str">
        <x:f>IF(Calc!$I$357&gt;'Calc'!$B$8,"",'Calc'!$B$5-'财富模型'!$E$5-(IF('Calc'!$E$13=1,'财富模型'!$E$9,'财富模型'!$M$5+IF(Calc!$I$357&lt;='财富模型'!$E$11*12,'Calc'!$W$13,'Calc'!$Y$13)-(IF('Calc'!$E$13=1,0,MIN(Calc!$K$356*(1+'财富模型'!$E$20/12)+'Calc'!$B$6,IF(Calc!$I$357&lt;='财富模型'!$E$11*12,'Calc'!$W$13,'Calc'!$Y$13)))))))</x:f>
      </x:c>
      <x:c r="O357" t="str">
        <x:f>IF(Calc!$I$357&gt;'Calc'!$B$8,"",IF('Calc'!$E$13=1,0,MAX(Calc!$O$356*(1+IF(Calc!$I$357&lt;='财富模型'!$E$11*12,'财富模型'!$E$10,'财富模型'!$E$12)/12)-IF('Calc'!$E$13=1,0,IF(Calc!$I$357&lt;='财富模型'!$E$11*12,'Calc'!$W$13,'Calc'!$Y$13)),0)))</x:f>
      </x:c>
      <x:c r="Q357" t="n">
        <x:v>336</x:v>
      </x:c>
      <x:c r="R357" t="str">
        <x:f>IF(Calc!$Q$357&gt;'Calc'!$B$8,"",MAX(Calc!$R$356*(1+'财富模型'!$E$6/12)+('Calc'!$B$5-'财富模型'!$E$5-(IF('Calc'!$E$14=1,'财富模型'!$E$9,'财富模型'!$M$6+IF(Calc!$Q$357&lt;='财富模型'!$E$11*12,'Calc'!$W$14,'Calc'!$Y$14)-(IF('Calc'!$E$14=1,0,MIN(Calc!$S$356*(1+'财富模型'!$E$20/12)+'Calc'!$B$6,IF(Calc!$Q$357&lt;='财富模型'!$E$11*12,'Calc'!$W$14,'Calc'!$Y$14))))))),0))</x:f>
      </x:c>
      <x:c r="S357" t="str">
        <x:f>IF(Calc!$Q$357&gt;'Calc'!$B$8,"",MAX(Calc!$S$356*(1+'财富模型'!$E$20/12)+'Calc'!$B$6-(IF('Calc'!$E$14=1,0,MIN(Calc!$S$356*(1+'财富模型'!$E$20/12)+'Calc'!$B$6,IF(Calc!$Q$357&lt;='财富模型'!$E$11*12,'Calc'!$W$14,'Calc'!$Y$14)))),0))</x:f>
      </x:c>
      <x:c r="T357" t="str">
        <x:f>IF(Calc!$Q$357&gt;'Calc'!$B$8,"",IF('Calc'!$E$14=1,'财富模型'!$E$9,'财富模型'!$M$6+IF(Calc!$Q$357&lt;='财富模型'!$E$11*12,'Calc'!$W$14,'Calc'!$Y$14)-(IF('Calc'!$E$14=1,0,MIN(Calc!$S$356*(1+'财富模型'!$E$20/12)+'Calc'!$B$6,IF(Calc!$Q$357&lt;='财富模型'!$E$11*12,'Calc'!$W$14,'Calc'!$Y$14))))))</x:f>
      </x:c>
      <x:c r="U357" t="str">
        <x:f>IF(Calc!$Q$357&gt;'Calc'!$B$8,"",IF('Calc'!$E$14=1,0,MIN(Calc!$S$356*(1+'财富模型'!$E$20/12)+'Calc'!$B$6,IF(Calc!$Q$357&lt;='财富模型'!$E$11*12,'Calc'!$W$14,'Calc'!$Y$14))))</x:f>
      </x:c>
      <x:c r="V357" t="str">
        <x:f>IF(Calc!$Q$357&gt;'Calc'!$B$8,"",'Calc'!$B$5-'财富模型'!$E$5-(IF('Calc'!$E$14=1,'财富模型'!$E$9,'财富模型'!$M$6+IF(Calc!$Q$357&lt;='财富模型'!$E$11*12,'Calc'!$W$14,'Calc'!$Y$14)-(IF('Calc'!$E$14=1,0,MIN(Calc!$S$356*(1+'财富模型'!$E$20/12)+'Calc'!$B$6,IF(Calc!$Q$357&lt;='财富模型'!$E$11*12,'Calc'!$W$14,'Calc'!$Y$14)))))))</x:f>
      </x:c>
      <x:c r="W357" t="str">
        <x:f>IF(Calc!$Q$357&gt;'Calc'!$B$8,"",IF('Calc'!$E$14=1,0,MAX(Calc!$W$356*(1+IF(Calc!$Q$357&lt;='财富模型'!$E$11*12,'财富模型'!$E$10,'财富模型'!$E$12)/12)-IF('Calc'!$E$14=1,0,IF(Calc!$Q$357&lt;='财富模型'!$E$11*12,'Calc'!$W$14,'Calc'!$Y$14)),0)))</x:f>
      </x:c>
      <x:c r="Y357" t="n">
        <x:v>336</x:v>
      </x:c>
      <x:c r="Z357" t="str">
        <x:f>IF(Calc!$Y$357&gt;'Calc'!$B$8,"",MAX(Calc!$Z$356*(1+'财富模型'!$E$6/12)+('Calc'!$B$5-'财富模型'!$E$5-(IF('Calc'!$E$15=1,'财富模型'!$E$9,'财富模型'!$M$7+IF(Calc!$Y$357&lt;='财富模型'!$E$11*12,'Calc'!$W$15,'Calc'!$Y$15)-(IF('Calc'!$E$15=1,0,MIN(Calc!$AA$356*(1+'财富模型'!$E$20/12)+'Calc'!$B$6,IF(Calc!$Y$357&lt;='财富模型'!$E$11*12,'Calc'!$W$15,'Calc'!$Y$15))))))),0))</x:f>
      </x:c>
      <x:c r="AA357" t="str">
        <x:f>IF(Calc!$Y$357&gt;'Calc'!$B$8,"",MAX(Calc!$AA$356*(1+'财富模型'!$E$20/12)+'Calc'!$B$6-(IF('Calc'!$E$15=1,0,MIN(Calc!$AA$356*(1+'财富模型'!$E$20/12)+'Calc'!$B$6,IF(Calc!$Y$357&lt;='财富模型'!$E$11*12,'Calc'!$W$15,'Calc'!$Y$15)))),0))</x:f>
      </x:c>
      <x:c r="AB357" t="str">
        <x:f>IF(Calc!$Y$357&gt;'Calc'!$B$8,"",IF('Calc'!$E$15=1,'财富模型'!$E$9,'财富模型'!$M$7+IF(Calc!$Y$357&lt;='财富模型'!$E$11*12,'Calc'!$W$15,'Calc'!$Y$15)-(IF('Calc'!$E$15=1,0,MIN(Calc!$AA$356*(1+'财富模型'!$E$20/12)+'Calc'!$B$6,IF(Calc!$Y$357&lt;='财富模型'!$E$11*12,'Calc'!$W$15,'Calc'!$Y$15))))))</x:f>
      </x:c>
      <x:c r="AC357" t="str">
        <x:f>IF(Calc!$Y$357&gt;'Calc'!$B$8,"",IF('Calc'!$E$15=1,0,MIN(Calc!$AA$356*(1+'财富模型'!$E$20/12)+'Calc'!$B$6,IF(Calc!$Y$357&lt;='财富模型'!$E$11*12,'Calc'!$W$15,'Calc'!$Y$15))))</x:f>
      </x:c>
      <x:c r="AD357" t="str">
        <x:f>IF(Calc!$Y$357&gt;'Calc'!$B$8,"",'Calc'!$B$5-'财富模型'!$E$5-(IF('Calc'!$E$15=1,'财富模型'!$E$9,'财富模型'!$M$7+IF(Calc!$Y$357&lt;='财富模型'!$E$11*12,'Calc'!$W$15,'Calc'!$Y$15)-(IF('Calc'!$E$15=1,0,MIN(Calc!$AA$356*(1+'财富模型'!$E$20/12)+'Calc'!$B$6,IF(Calc!$Y$357&lt;='财富模型'!$E$11*12,'Calc'!$W$15,'Calc'!$Y$15)))))))</x:f>
      </x:c>
      <x:c r="AE357" t="str">
        <x:f>IF(Calc!$Y$357&gt;'Calc'!$B$8,"",IF('Calc'!$E$15=1,0,MAX(Calc!$AE$356*(1+IF(Calc!$Y$357&lt;='财富模型'!$E$11*12,'财富模型'!$E$10,'财富模型'!$E$12)/12)-IF('Calc'!$E$15=1,0,IF(Calc!$Y$357&lt;='财富模型'!$E$11*12,'Calc'!$W$15,'Calc'!$Y$15)),0)))</x:f>
      </x:c>
      <x:c r="AG357" t="n">
        <x:v>336</x:v>
      </x:c>
      <x:c r="AH357" t="str">
        <x:f>IF(Calc!$AG$357&gt;'Calc'!$B$8,"",MAX(Calc!$AH$356*(1+'财富模型'!$E$6/12)+('Calc'!$B$5-'财富模型'!$E$5-(IF('Calc'!$E$16=1,'财富模型'!$E$9,'财富模型'!$M$8+IF(Calc!$AG$357&lt;='财富模型'!$E$11*12,'Calc'!$W$16,'Calc'!$Y$16)-(IF('Calc'!$E$16=1,0,MIN(Calc!$AI$356*(1+'财富模型'!$E$20/12)+'Calc'!$B$6,IF(Calc!$AG$357&lt;='财富模型'!$E$11*12,'Calc'!$W$16,'Calc'!$Y$16))))))),0))</x:f>
      </x:c>
      <x:c r="AI357" t="str">
        <x:f>IF(Calc!$AG$357&gt;'Calc'!$B$8,"",MAX(Calc!$AI$356*(1+'财富模型'!$E$20/12)+'Calc'!$B$6-(IF('Calc'!$E$16=1,0,MIN(Calc!$AI$356*(1+'财富模型'!$E$20/12)+'Calc'!$B$6,IF(Calc!$AG$357&lt;='财富模型'!$E$11*12,'Calc'!$W$16,'Calc'!$Y$16)))),0))</x:f>
      </x:c>
      <x:c r="AJ357" t="str">
        <x:f>IF(Calc!$AG$357&gt;'Calc'!$B$8,"",IF('Calc'!$E$16=1,'财富模型'!$E$9,'财富模型'!$M$8+IF(Calc!$AG$357&lt;='财富模型'!$E$11*12,'Calc'!$W$16,'Calc'!$Y$16)-(IF('Calc'!$E$16=1,0,MIN(Calc!$AI$356*(1+'财富模型'!$E$20/12)+'Calc'!$B$6,IF(Calc!$AG$357&lt;='财富模型'!$E$11*12,'Calc'!$W$16,'Calc'!$Y$16))))))</x:f>
      </x:c>
      <x:c r="AK357" t="str">
        <x:f>IF(Calc!$AG$357&gt;'Calc'!$B$8,"",IF('Calc'!$E$16=1,0,MIN(Calc!$AI$356*(1+'财富模型'!$E$20/12)+'Calc'!$B$6,IF(Calc!$AG$357&lt;='财富模型'!$E$11*12,'Calc'!$W$16,'Calc'!$Y$16))))</x:f>
      </x:c>
      <x:c r="AL357" t="str">
        <x:f>IF(Calc!$AG$357&gt;'Calc'!$B$8,"",'Calc'!$B$5-'财富模型'!$E$5-(IF('Calc'!$E$16=1,'财富模型'!$E$9,'财富模型'!$M$8+IF(Calc!$AG$357&lt;='财富模型'!$E$11*12,'Calc'!$W$16,'Calc'!$Y$16)-(IF('Calc'!$E$16=1,0,MIN(Calc!$AI$356*(1+'财富模型'!$E$20/12)+'Calc'!$B$6,IF(Calc!$AG$357&lt;='财富模型'!$E$11*12,'Calc'!$W$16,'Calc'!$Y$16)))))))</x:f>
      </x:c>
      <x:c r="AM357" t="str">
        <x:f>IF(Calc!$AG$357&gt;'Calc'!$B$8,"",IF('Calc'!$E$16=1,0,MAX(Calc!$AM$356*(1+IF(Calc!$AG$357&lt;='财富模型'!$E$11*12,'财富模型'!$E$10,'财富模型'!$E$12)/12)-IF('Calc'!$E$16=1,0,IF(Calc!$AG$357&lt;='财富模型'!$E$11*12,'Calc'!$W$16,'Calc'!$Y$16)),0)))</x:f>
      </x:c>
      <x:c r="AO357" t="n">
        <x:v>336</x:v>
      </x:c>
      <x:c r="AP357" t="str">
        <x:f>IF(Calc!$AO$357&gt;'Calc'!$B$8,"",MAX(Calc!$AP$356*(1+'财富模型'!$E$6/12)+('Calc'!$B$5-'财富模型'!$E$5-(IF('Calc'!$E$17=1,'财富模型'!$E$9,'财富模型'!$M$9+IF(Calc!$AO$357&lt;='财富模型'!$E$11*12,'Calc'!$W$17,'Calc'!$Y$17)-(IF('Calc'!$E$17=1,0,MIN(Calc!$AQ$356*(1+'财富模型'!$E$20/12)+'Calc'!$B$6,IF(Calc!$AO$357&lt;='财富模型'!$E$11*12,'Calc'!$W$17,'Calc'!$Y$17))))))),0))</x:f>
      </x:c>
      <x:c r="AQ357" t="str">
        <x:f>IF(Calc!$AO$357&gt;'Calc'!$B$8,"",MAX(Calc!$AQ$356*(1+'财富模型'!$E$20/12)+'Calc'!$B$6-(IF('Calc'!$E$17=1,0,MIN(Calc!$AQ$356*(1+'财富模型'!$E$20/12)+'Calc'!$B$6,IF(Calc!$AO$357&lt;='财富模型'!$E$11*12,'Calc'!$W$17,'Calc'!$Y$17)))),0))</x:f>
      </x:c>
      <x:c r="AR357" t="str">
        <x:f>IF(Calc!$AO$357&gt;'Calc'!$B$8,"",IF('Calc'!$E$17=1,'财富模型'!$E$9,'财富模型'!$M$9+IF(Calc!$AO$357&lt;='财富模型'!$E$11*12,'Calc'!$W$17,'Calc'!$Y$17)-(IF('Calc'!$E$17=1,0,MIN(Calc!$AQ$356*(1+'财富模型'!$E$20/12)+'Calc'!$B$6,IF(Calc!$AO$357&lt;='财富模型'!$E$11*12,'Calc'!$W$17,'Calc'!$Y$17))))))</x:f>
      </x:c>
      <x:c r="AS357" t="str">
        <x:f>IF(Calc!$AO$357&gt;'Calc'!$B$8,"",IF('Calc'!$E$17=1,0,MIN(Calc!$AQ$356*(1+'财富模型'!$E$20/12)+'Calc'!$B$6,IF(Calc!$AO$357&lt;='财富模型'!$E$11*12,'Calc'!$W$17,'Calc'!$Y$17))))</x:f>
      </x:c>
      <x:c r="AT357" t="str">
        <x:f>IF(Calc!$AO$357&gt;'Calc'!$B$8,"",'Calc'!$B$5-'财富模型'!$E$5-(IF('Calc'!$E$17=1,'财富模型'!$E$9,'财富模型'!$M$9+IF(Calc!$AO$357&lt;='财富模型'!$E$11*12,'Calc'!$W$17,'Calc'!$Y$17)-(IF('Calc'!$E$17=1,0,MIN(Calc!$AQ$356*(1+'财富模型'!$E$20/12)+'Calc'!$B$6,IF(Calc!$AO$357&lt;='财富模型'!$E$11*12,'Calc'!$W$17,'Calc'!$Y$17)))))))</x:f>
      </x:c>
      <x:c r="AU357" t="str">
        <x:f>IF(Calc!$AO$357&gt;'Calc'!$B$8,"",IF('Calc'!$E$17=1,0,MAX(Calc!$AU$356*(1+IF(Calc!$AO$357&lt;='财富模型'!$E$11*12,'财富模型'!$E$10,'财富模型'!$E$12)/12)-IF('Calc'!$E$17=1,0,IF(Calc!$AO$357&lt;='财富模型'!$E$11*12,'Calc'!$W$17,'Calc'!$Y$17)),0)))</x:f>
      </x:c>
    </x:row>
    <x:row r="358">
      <x:c r="A358" t="n">
        <x:v>337</x:v>
      </x:c>
      <x:c r="B358" t="str">
        <x:f>IF(Calc!$A$358&gt;'Calc'!$B$8,"",MAX(Calc!$B$357*(1+'财富模型'!$E$6/12)+('Calc'!$B$5-'财富模型'!$E$5-(IF('Calc'!$E$12=1,'财富模型'!$E$9,'财富模型'!$M$4+IF(Calc!$A$358&lt;='财富模型'!$E$11*12,'Calc'!$W$12,'Calc'!$Y$12)-(IF('Calc'!$E$12=1,0,MIN(Calc!$C$357*(1+'财富模型'!$E$20/12)+'Calc'!$B$6,IF(Calc!$A$358&lt;='财富模型'!$E$11*12,'Calc'!$W$12,'Calc'!$Y$12))))))),0))</x:f>
      </x:c>
      <x:c r="C358" t="str">
        <x:f>IF(Calc!$A$358&gt;'Calc'!$B$8,"",MAX(Calc!$C$357*(1+'财富模型'!$E$20/12)+'Calc'!$B$6-(IF('Calc'!$E$12=1,0,MIN(Calc!$C$357*(1+'财富模型'!$E$20/12)+'Calc'!$B$6,IF(Calc!$A$358&lt;='财富模型'!$E$11*12,'Calc'!$W$12,'Calc'!$Y$12)))),0))</x:f>
      </x:c>
      <x:c r="D358" t="str">
        <x:f>IF(Calc!$A$358&gt;'Calc'!$B$8,"",IF('Calc'!$E$12=1,'财富模型'!$E$9,'财富模型'!$M$4+IF(Calc!$A$358&lt;='财富模型'!$E$11*12,'Calc'!$W$12,'Calc'!$Y$12)-(IF('Calc'!$E$12=1,0,MIN(Calc!$C$357*(1+'财富模型'!$E$20/12)+'Calc'!$B$6,IF(Calc!$A$358&lt;='财富模型'!$E$11*12,'Calc'!$W$12,'Calc'!$Y$12))))))</x:f>
      </x:c>
      <x:c r="E358" t="str">
        <x:f>IF(Calc!$A$358&gt;'Calc'!$B$8,"",IF('Calc'!$E$12=1,0,MIN(Calc!$C$357*(1+'财富模型'!$E$20/12)+'Calc'!$B$6,IF(Calc!$A$358&lt;='财富模型'!$E$11*12,'Calc'!$W$12,'Calc'!$Y$12))))</x:f>
      </x:c>
      <x:c r="F358" t="str">
        <x:f>IF(Calc!$A$358&gt;'Calc'!$B$8,"",'Calc'!$B$5-'财富模型'!$E$5-(IF('Calc'!$E$12=1,'财富模型'!$E$9,'财富模型'!$M$4+IF(Calc!$A$358&lt;='财富模型'!$E$11*12,'Calc'!$W$12,'Calc'!$Y$12)-(IF('Calc'!$E$12=1,0,MIN(Calc!$C$357*(1+'财富模型'!$E$20/12)+'Calc'!$B$6,IF(Calc!$A$358&lt;='财富模型'!$E$11*12,'Calc'!$W$12,'Calc'!$Y$12)))))))</x:f>
      </x:c>
      <x:c r="G358" t="str">
        <x:f>IF(Calc!$A$358&gt;'Calc'!$B$8,"",IF('Calc'!$E$12=1,0,MAX(Calc!$G$357*(1+IF(Calc!$A$358&lt;='财富模型'!$E$11*12,'财富模型'!$E$10,'财富模型'!$E$12)/12)-IF('Calc'!$E$12=1,0,IF(Calc!$A$358&lt;='财富模型'!$E$11*12,'Calc'!$W$12,'Calc'!$Y$12)),0)))</x:f>
      </x:c>
      <x:c r="I358" t="n">
        <x:v>337</x:v>
      </x:c>
      <x:c r="J358" t="str">
        <x:f>IF(Calc!$I$358&gt;'Calc'!$B$8,"",MAX(Calc!$J$357*(1+'财富模型'!$E$6/12)+('Calc'!$B$5-'财富模型'!$E$5-(IF('Calc'!$E$13=1,'财富模型'!$E$9,'财富模型'!$M$5+IF(Calc!$I$358&lt;='财富模型'!$E$11*12,'Calc'!$W$13,'Calc'!$Y$13)-(IF('Calc'!$E$13=1,0,MIN(Calc!$K$357*(1+'财富模型'!$E$20/12)+'Calc'!$B$6,IF(Calc!$I$358&lt;='财富模型'!$E$11*12,'Calc'!$W$13,'Calc'!$Y$13))))))),0))</x:f>
      </x:c>
      <x:c r="K358" t="str">
        <x:f>IF(Calc!$I$358&gt;'Calc'!$B$8,"",MAX(Calc!$K$357*(1+'财富模型'!$E$20/12)+'Calc'!$B$6-(IF('Calc'!$E$13=1,0,MIN(Calc!$K$357*(1+'财富模型'!$E$20/12)+'Calc'!$B$6,IF(Calc!$I$358&lt;='财富模型'!$E$11*12,'Calc'!$W$13,'Calc'!$Y$13)))),0))</x:f>
      </x:c>
      <x:c r="L358" t="str">
        <x:f>IF(Calc!$I$358&gt;'Calc'!$B$8,"",IF('Calc'!$E$13=1,'财富模型'!$E$9,'财富模型'!$M$5+IF(Calc!$I$358&lt;='财富模型'!$E$11*12,'Calc'!$W$13,'Calc'!$Y$13)-(IF('Calc'!$E$13=1,0,MIN(Calc!$K$357*(1+'财富模型'!$E$20/12)+'Calc'!$B$6,IF(Calc!$I$358&lt;='财富模型'!$E$11*12,'Calc'!$W$13,'Calc'!$Y$13))))))</x:f>
      </x:c>
      <x:c r="M358" t="str">
        <x:f>IF(Calc!$I$358&gt;'Calc'!$B$8,"",IF('Calc'!$E$13=1,0,MIN(Calc!$K$357*(1+'财富模型'!$E$20/12)+'Calc'!$B$6,IF(Calc!$I$358&lt;='财富模型'!$E$11*12,'Calc'!$W$13,'Calc'!$Y$13))))</x:f>
      </x:c>
      <x:c r="N358" t="str">
        <x:f>IF(Calc!$I$358&gt;'Calc'!$B$8,"",'Calc'!$B$5-'财富模型'!$E$5-(IF('Calc'!$E$13=1,'财富模型'!$E$9,'财富模型'!$M$5+IF(Calc!$I$358&lt;='财富模型'!$E$11*12,'Calc'!$W$13,'Calc'!$Y$13)-(IF('Calc'!$E$13=1,0,MIN(Calc!$K$357*(1+'财富模型'!$E$20/12)+'Calc'!$B$6,IF(Calc!$I$358&lt;='财富模型'!$E$11*12,'Calc'!$W$13,'Calc'!$Y$13)))))))</x:f>
      </x:c>
      <x:c r="O358" t="str">
        <x:f>IF(Calc!$I$358&gt;'Calc'!$B$8,"",IF('Calc'!$E$13=1,0,MAX(Calc!$O$357*(1+IF(Calc!$I$358&lt;='财富模型'!$E$11*12,'财富模型'!$E$10,'财富模型'!$E$12)/12)-IF('Calc'!$E$13=1,0,IF(Calc!$I$358&lt;='财富模型'!$E$11*12,'Calc'!$W$13,'Calc'!$Y$13)),0)))</x:f>
      </x:c>
      <x:c r="Q358" t="n">
        <x:v>337</x:v>
      </x:c>
      <x:c r="R358" t="str">
        <x:f>IF(Calc!$Q$358&gt;'Calc'!$B$8,"",MAX(Calc!$R$357*(1+'财富模型'!$E$6/12)+('Calc'!$B$5-'财富模型'!$E$5-(IF('Calc'!$E$14=1,'财富模型'!$E$9,'财富模型'!$M$6+IF(Calc!$Q$358&lt;='财富模型'!$E$11*12,'Calc'!$W$14,'Calc'!$Y$14)-(IF('Calc'!$E$14=1,0,MIN(Calc!$S$357*(1+'财富模型'!$E$20/12)+'Calc'!$B$6,IF(Calc!$Q$358&lt;='财富模型'!$E$11*12,'Calc'!$W$14,'Calc'!$Y$14))))))),0))</x:f>
      </x:c>
      <x:c r="S358" t="str">
        <x:f>IF(Calc!$Q$358&gt;'Calc'!$B$8,"",MAX(Calc!$S$357*(1+'财富模型'!$E$20/12)+'Calc'!$B$6-(IF('Calc'!$E$14=1,0,MIN(Calc!$S$357*(1+'财富模型'!$E$20/12)+'Calc'!$B$6,IF(Calc!$Q$358&lt;='财富模型'!$E$11*12,'Calc'!$W$14,'Calc'!$Y$14)))),0))</x:f>
      </x:c>
      <x:c r="T358" t="str">
        <x:f>IF(Calc!$Q$358&gt;'Calc'!$B$8,"",IF('Calc'!$E$14=1,'财富模型'!$E$9,'财富模型'!$M$6+IF(Calc!$Q$358&lt;='财富模型'!$E$11*12,'Calc'!$W$14,'Calc'!$Y$14)-(IF('Calc'!$E$14=1,0,MIN(Calc!$S$357*(1+'财富模型'!$E$20/12)+'Calc'!$B$6,IF(Calc!$Q$358&lt;='财富模型'!$E$11*12,'Calc'!$W$14,'Calc'!$Y$14))))))</x:f>
      </x:c>
      <x:c r="U358" t="str">
        <x:f>IF(Calc!$Q$358&gt;'Calc'!$B$8,"",IF('Calc'!$E$14=1,0,MIN(Calc!$S$357*(1+'财富模型'!$E$20/12)+'Calc'!$B$6,IF(Calc!$Q$358&lt;='财富模型'!$E$11*12,'Calc'!$W$14,'Calc'!$Y$14))))</x:f>
      </x:c>
      <x:c r="V358" t="str">
        <x:f>IF(Calc!$Q$358&gt;'Calc'!$B$8,"",'Calc'!$B$5-'财富模型'!$E$5-(IF('Calc'!$E$14=1,'财富模型'!$E$9,'财富模型'!$M$6+IF(Calc!$Q$358&lt;='财富模型'!$E$11*12,'Calc'!$W$14,'Calc'!$Y$14)-(IF('Calc'!$E$14=1,0,MIN(Calc!$S$357*(1+'财富模型'!$E$20/12)+'Calc'!$B$6,IF(Calc!$Q$358&lt;='财富模型'!$E$11*12,'Calc'!$W$14,'Calc'!$Y$14)))))))</x:f>
      </x:c>
      <x:c r="W358" t="str">
        <x:f>IF(Calc!$Q$358&gt;'Calc'!$B$8,"",IF('Calc'!$E$14=1,0,MAX(Calc!$W$357*(1+IF(Calc!$Q$358&lt;='财富模型'!$E$11*12,'财富模型'!$E$10,'财富模型'!$E$12)/12)-IF('Calc'!$E$14=1,0,IF(Calc!$Q$358&lt;='财富模型'!$E$11*12,'Calc'!$W$14,'Calc'!$Y$14)),0)))</x:f>
      </x:c>
      <x:c r="Y358" t="n">
        <x:v>337</x:v>
      </x:c>
      <x:c r="Z358" t="str">
        <x:f>IF(Calc!$Y$358&gt;'Calc'!$B$8,"",MAX(Calc!$Z$357*(1+'财富模型'!$E$6/12)+('Calc'!$B$5-'财富模型'!$E$5-(IF('Calc'!$E$15=1,'财富模型'!$E$9,'财富模型'!$M$7+IF(Calc!$Y$358&lt;='财富模型'!$E$11*12,'Calc'!$W$15,'Calc'!$Y$15)-(IF('Calc'!$E$15=1,0,MIN(Calc!$AA$357*(1+'财富模型'!$E$20/12)+'Calc'!$B$6,IF(Calc!$Y$358&lt;='财富模型'!$E$11*12,'Calc'!$W$15,'Calc'!$Y$15))))))),0))</x:f>
      </x:c>
      <x:c r="AA358" t="str">
        <x:f>IF(Calc!$Y$358&gt;'Calc'!$B$8,"",MAX(Calc!$AA$357*(1+'财富模型'!$E$20/12)+'Calc'!$B$6-(IF('Calc'!$E$15=1,0,MIN(Calc!$AA$357*(1+'财富模型'!$E$20/12)+'Calc'!$B$6,IF(Calc!$Y$358&lt;='财富模型'!$E$11*12,'Calc'!$W$15,'Calc'!$Y$15)))),0))</x:f>
      </x:c>
      <x:c r="AB358" t="str">
        <x:f>IF(Calc!$Y$358&gt;'Calc'!$B$8,"",IF('Calc'!$E$15=1,'财富模型'!$E$9,'财富模型'!$M$7+IF(Calc!$Y$358&lt;='财富模型'!$E$11*12,'Calc'!$W$15,'Calc'!$Y$15)-(IF('Calc'!$E$15=1,0,MIN(Calc!$AA$357*(1+'财富模型'!$E$20/12)+'Calc'!$B$6,IF(Calc!$Y$358&lt;='财富模型'!$E$11*12,'Calc'!$W$15,'Calc'!$Y$15))))))</x:f>
      </x:c>
      <x:c r="AC358" t="str">
        <x:f>IF(Calc!$Y$358&gt;'Calc'!$B$8,"",IF('Calc'!$E$15=1,0,MIN(Calc!$AA$357*(1+'财富模型'!$E$20/12)+'Calc'!$B$6,IF(Calc!$Y$358&lt;='财富模型'!$E$11*12,'Calc'!$W$15,'Calc'!$Y$15))))</x:f>
      </x:c>
      <x:c r="AD358" t="str">
        <x:f>IF(Calc!$Y$358&gt;'Calc'!$B$8,"",'Calc'!$B$5-'财富模型'!$E$5-(IF('Calc'!$E$15=1,'财富模型'!$E$9,'财富模型'!$M$7+IF(Calc!$Y$358&lt;='财富模型'!$E$11*12,'Calc'!$W$15,'Calc'!$Y$15)-(IF('Calc'!$E$15=1,0,MIN(Calc!$AA$357*(1+'财富模型'!$E$20/12)+'Calc'!$B$6,IF(Calc!$Y$358&lt;='财富模型'!$E$11*12,'Calc'!$W$15,'Calc'!$Y$15)))))))</x:f>
      </x:c>
      <x:c r="AE358" t="str">
        <x:f>IF(Calc!$Y$358&gt;'Calc'!$B$8,"",IF('Calc'!$E$15=1,0,MAX(Calc!$AE$357*(1+IF(Calc!$Y$358&lt;='财富模型'!$E$11*12,'财富模型'!$E$10,'财富模型'!$E$12)/12)-IF('Calc'!$E$15=1,0,IF(Calc!$Y$358&lt;='财富模型'!$E$11*12,'Calc'!$W$15,'Calc'!$Y$15)),0)))</x:f>
      </x:c>
      <x:c r="AG358" t="n">
        <x:v>337</x:v>
      </x:c>
      <x:c r="AH358" t="str">
        <x:f>IF(Calc!$AG$358&gt;'Calc'!$B$8,"",MAX(Calc!$AH$357*(1+'财富模型'!$E$6/12)+('Calc'!$B$5-'财富模型'!$E$5-(IF('Calc'!$E$16=1,'财富模型'!$E$9,'财富模型'!$M$8+IF(Calc!$AG$358&lt;='财富模型'!$E$11*12,'Calc'!$W$16,'Calc'!$Y$16)-(IF('Calc'!$E$16=1,0,MIN(Calc!$AI$357*(1+'财富模型'!$E$20/12)+'Calc'!$B$6,IF(Calc!$AG$358&lt;='财富模型'!$E$11*12,'Calc'!$W$16,'Calc'!$Y$16))))))),0))</x:f>
      </x:c>
      <x:c r="AI358" t="str">
        <x:f>IF(Calc!$AG$358&gt;'Calc'!$B$8,"",MAX(Calc!$AI$357*(1+'财富模型'!$E$20/12)+'Calc'!$B$6-(IF('Calc'!$E$16=1,0,MIN(Calc!$AI$357*(1+'财富模型'!$E$20/12)+'Calc'!$B$6,IF(Calc!$AG$358&lt;='财富模型'!$E$11*12,'Calc'!$W$16,'Calc'!$Y$16)))),0))</x:f>
      </x:c>
      <x:c r="AJ358" t="str">
        <x:f>IF(Calc!$AG$358&gt;'Calc'!$B$8,"",IF('Calc'!$E$16=1,'财富模型'!$E$9,'财富模型'!$M$8+IF(Calc!$AG$358&lt;='财富模型'!$E$11*12,'Calc'!$W$16,'Calc'!$Y$16)-(IF('Calc'!$E$16=1,0,MIN(Calc!$AI$357*(1+'财富模型'!$E$20/12)+'Calc'!$B$6,IF(Calc!$AG$358&lt;='财富模型'!$E$11*12,'Calc'!$W$16,'Calc'!$Y$16))))))</x:f>
      </x:c>
      <x:c r="AK358" t="str">
        <x:f>IF(Calc!$AG$358&gt;'Calc'!$B$8,"",IF('Calc'!$E$16=1,0,MIN(Calc!$AI$357*(1+'财富模型'!$E$20/12)+'Calc'!$B$6,IF(Calc!$AG$358&lt;='财富模型'!$E$11*12,'Calc'!$W$16,'Calc'!$Y$16))))</x:f>
      </x:c>
      <x:c r="AL358" t="str">
        <x:f>IF(Calc!$AG$358&gt;'Calc'!$B$8,"",'Calc'!$B$5-'财富模型'!$E$5-(IF('Calc'!$E$16=1,'财富模型'!$E$9,'财富模型'!$M$8+IF(Calc!$AG$358&lt;='财富模型'!$E$11*12,'Calc'!$W$16,'Calc'!$Y$16)-(IF('Calc'!$E$16=1,0,MIN(Calc!$AI$357*(1+'财富模型'!$E$20/12)+'Calc'!$B$6,IF(Calc!$AG$358&lt;='财富模型'!$E$11*12,'Calc'!$W$16,'Calc'!$Y$16)))))))</x:f>
      </x:c>
      <x:c r="AM358" t="str">
        <x:f>IF(Calc!$AG$358&gt;'Calc'!$B$8,"",IF('Calc'!$E$16=1,0,MAX(Calc!$AM$357*(1+IF(Calc!$AG$358&lt;='财富模型'!$E$11*12,'财富模型'!$E$10,'财富模型'!$E$12)/12)-IF('Calc'!$E$16=1,0,IF(Calc!$AG$358&lt;='财富模型'!$E$11*12,'Calc'!$W$16,'Calc'!$Y$16)),0)))</x:f>
      </x:c>
      <x:c r="AO358" t="n">
        <x:v>337</x:v>
      </x:c>
      <x:c r="AP358" t="str">
        <x:f>IF(Calc!$AO$358&gt;'Calc'!$B$8,"",MAX(Calc!$AP$357*(1+'财富模型'!$E$6/12)+('Calc'!$B$5-'财富模型'!$E$5-(IF('Calc'!$E$17=1,'财富模型'!$E$9,'财富模型'!$M$9+IF(Calc!$AO$358&lt;='财富模型'!$E$11*12,'Calc'!$W$17,'Calc'!$Y$17)-(IF('Calc'!$E$17=1,0,MIN(Calc!$AQ$357*(1+'财富模型'!$E$20/12)+'Calc'!$B$6,IF(Calc!$AO$358&lt;='财富模型'!$E$11*12,'Calc'!$W$17,'Calc'!$Y$17))))))),0))</x:f>
      </x:c>
      <x:c r="AQ358" t="str">
        <x:f>IF(Calc!$AO$358&gt;'Calc'!$B$8,"",MAX(Calc!$AQ$357*(1+'财富模型'!$E$20/12)+'Calc'!$B$6-(IF('Calc'!$E$17=1,0,MIN(Calc!$AQ$357*(1+'财富模型'!$E$20/12)+'Calc'!$B$6,IF(Calc!$AO$358&lt;='财富模型'!$E$11*12,'Calc'!$W$17,'Calc'!$Y$17)))),0))</x:f>
      </x:c>
      <x:c r="AR358" t="str">
        <x:f>IF(Calc!$AO$358&gt;'Calc'!$B$8,"",IF('Calc'!$E$17=1,'财富模型'!$E$9,'财富模型'!$M$9+IF(Calc!$AO$358&lt;='财富模型'!$E$11*12,'Calc'!$W$17,'Calc'!$Y$17)-(IF('Calc'!$E$17=1,0,MIN(Calc!$AQ$357*(1+'财富模型'!$E$20/12)+'Calc'!$B$6,IF(Calc!$AO$358&lt;='财富模型'!$E$11*12,'Calc'!$W$17,'Calc'!$Y$17))))))</x:f>
      </x:c>
      <x:c r="AS358" t="str">
        <x:f>IF(Calc!$AO$358&gt;'Calc'!$B$8,"",IF('Calc'!$E$17=1,0,MIN(Calc!$AQ$357*(1+'财富模型'!$E$20/12)+'Calc'!$B$6,IF(Calc!$AO$358&lt;='财富模型'!$E$11*12,'Calc'!$W$17,'Calc'!$Y$17))))</x:f>
      </x:c>
      <x:c r="AT358" t="str">
        <x:f>IF(Calc!$AO$358&gt;'Calc'!$B$8,"",'Calc'!$B$5-'财富模型'!$E$5-(IF('Calc'!$E$17=1,'财富模型'!$E$9,'财富模型'!$M$9+IF(Calc!$AO$358&lt;='财富模型'!$E$11*12,'Calc'!$W$17,'Calc'!$Y$17)-(IF('Calc'!$E$17=1,0,MIN(Calc!$AQ$357*(1+'财富模型'!$E$20/12)+'Calc'!$B$6,IF(Calc!$AO$358&lt;='财富模型'!$E$11*12,'Calc'!$W$17,'Calc'!$Y$17)))))))</x:f>
      </x:c>
      <x:c r="AU358" t="str">
        <x:f>IF(Calc!$AO$358&gt;'Calc'!$B$8,"",IF('Calc'!$E$17=1,0,MAX(Calc!$AU$357*(1+IF(Calc!$AO$358&lt;='财富模型'!$E$11*12,'财富模型'!$E$10,'财富模型'!$E$12)/12)-IF('Calc'!$E$17=1,0,IF(Calc!$AO$358&lt;='财富模型'!$E$11*12,'Calc'!$W$17,'Calc'!$Y$17)),0)))</x:f>
      </x:c>
    </x:row>
    <x:row r="359">
      <x:c r="A359" t="n">
        <x:v>338</x:v>
      </x:c>
      <x:c r="B359" t="str">
        <x:f>IF(Calc!$A$359&gt;'Calc'!$B$8,"",MAX(Calc!$B$358*(1+'财富模型'!$E$6/12)+('Calc'!$B$5-'财富模型'!$E$5-(IF('Calc'!$E$12=1,'财富模型'!$E$9,'财富模型'!$M$4+IF(Calc!$A$359&lt;='财富模型'!$E$11*12,'Calc'!$W$12,'Calc'!$Y$12)-(IF('Calc'!$E$12=1,0,MIN(Calc!$C$358*(1+'财富模型'!$E$20/12)+'Calc'!$B$6,IF(Calc!$A$359&lt;='财富模型'!$E$11*12,'Calc'!$W$12,'Calc'!$Y$12))))))),0))</x:f>
      </x:c>
      <x:c r="C359" t="str">
        <x:f>IF(Calc!$A$359&gt;'Calc'!$B$8,"",MAX(Calc!$C$358*(1+'财富模型'!$E$20/12)+'Calc'!$B$6-(IF('Calc'!$E$12=1,0,MIN(Calc!$C$358*(1+'财富模型'!$E$20/12)+'Calc'!$B$6,IF(Calc!$A$359&lt;='财富模型'!$E$11*12,'Calc'!$W$12,'Calc'!$Y$12)))),0))</x:f>
      </x:c>
      <x:c r="D359" t="str">
        <x:f>IF(Calc!$A$359&gt;'Calc'!$B$8,"",IF('Calc'!$E$12=1,'财富模型'!$E$9,'财富模型'!$M$4+IF(Calc!$A$359&lt;='财富模型'!$E$11*12,'Calc'!$W$12,'Calc'!$Y$12)-(IF('Calc'!$E$12=1,0,MIN(Calc!$C$358*(1+'财富模型'!$E$20/12)+'Calc'!$B$6,IF(Calc!$A$359&lt;='财富模型'!$E$11*12,'Calc'!$W$12,'Calc'!$Y$12))))))</x:f>
      </x:c>
      <x:c r="E359" t="str">
        <x:f>IF(Calc!$A$359&gt;'Calc'!$B$8,"",IF('Calc'!$E$12=1,0,MIN(Calc!$C$358*(1+'财富模型'!$E$20/12)+'Calc'!$B$6,IF(Calc!$A$359&lt;='财富模型'!$E$11*12,'Calc'!$W$12,'Calc'!$Y$12))))</x:f>
      </x:c>
      <x:c r="F359" t="str">
        <x:f>IF(Calc!$A$359&gt;'Calc'!$B$8,"",'Calc'!$B$5-'财富模型'!$E$5-(IF('Calc'!$E$12=1,'财富模型'!$E$9,'财富模型'!$M$4+IF(Calc!$A$359&lt;='财富模型'!$E$11*12,'Calc'!$W$12,'Calc'!$Y$12)-(IF('Calc'!$E$12=1,0,MIN(Calc!$C$358*(1+'财富模型'!$E$20/12)+'Calc'!$B$6,IF(Calc!$A$359&lt;='财富模型'!$E$11*12,'Calc'!$W$12,'Calc'!$Y$12)))))))</x:f>
      </x:c>
      <x:c r="G359" t="str">
        <x:f>IF(Calc!$A$359&gt;'Calc'!$B$8,"",IF('Calc'!$E$12=1,0,MAX(Calc!$G$358*(1+IF(Calc!$A$359&lt;='财富模型'!$E$11*12,'财富模型'!$E$10,'财富模型'!$E$12)/12)-IF('Calc'!$E$12=1,0,IF(Calc!$A$359&lt;='财富模型'!$E$11*12,'Calc'!$W$12,'Calc'!$Y$12)),0)))</x:f>
      </x:c>
      <x:c r="I359" t="n">
        <x:v>338</x:v>
      </x:c>
      <x:c r="J359" t="str">
        <x:f>IF(Calc!$I$359&gt;'Calc'!$B$8,"",MAX(Calc!$J$358*(1+'财富模型'!$E$6/12)+('Calc'!$B$5-'财富模型'!$E$5-(IF('Calc'!$E$13=1,'财富模型'!$E$9,'财富模型'!$M$5+IF(Calc!$I$359&lt;='财富模型'!$E$11*12,'Calc'!$W$13,'Calc'!$Y$13)-(IF('Calc'!$E$13=1,0,MIN(Calc!$K$358*(1+'财富模型'!$E$20/12)+'Calc'!$B$6,IF(Calc!$I$359&lt;='财富模型'!$E$11*12,'Calc'!$W$13,'Calc'!$Y$13))))))),0))</x:f>
      </x:c>
      <x:c r="K359" t="str">
        <x:f>IF(Calc!$I$359&gt;'Calc'!$B$8,"",MAX(Calc!$K$358*(1+'财富模型'!$E$20/12)+'Calc'!$B$6-(IF('Calc'!$E$13=1,0,MIN(Calc!$K$358*(1+'财富模型'!$E$20/12)+'Calc'!$B$6,IF(Calc!$I$359&lt;='财富模型'!$E$11*12,'Calc'!$W$13,'Calc'!$Y$13)))),0))</x:f>
      </x:c>
      <x:c r="L359" t="str">
        <x:f>IF(Calc!$I$359&gt;'Calc'!$B$8,"",IF('Calc'!$E$13=1,'财富模型'!$E$9,'财富模型'!$M$5+IF(Calc!$I$359&lt;='财富模型'!$E$11*12,'Calc'!$W$13,'Calc'!$Y$13)-(IF('Calc'!$E$13=1,0,MIN(Calc!$K$358*(1+'财富模型'!$E$20/12)+'Calc'!$B$6,IF(Calc!$I$359&lt;='财富模型'!$E$11*12,'Calc'!$W$13,'Calc'!$Y$13))))))</x:f>
      </x:c>
      <x:c r="M359" t="str">
        <x:f>IF(Calc!$I$359&gt;'Calc'!$B$8,"",IF('Calc'!$E$13=1,0,MIN(Calc!$K$358*(1+'财富模型'!$E$20/12)+'Calc'!$B$6,IF(Calc!$I$359&lt;='财富模型'!$E$11*12,'Calc'!$W$13,'Calc'!$Y$13))))</x:f>
      </x:c>
      <x:c r="N359" t="str">
        <x:f>IF(Calc!$I$359&gt;'Calc'!$B$8,"",'Calc'!$B$5-'财富模型'!$E$5-(IF('Calc'!$E$13=1,'财富模型'!$E$9,'财富模型'!$M$5+IF(Calc!$I$359&lt;='财富模型'!$E$11*12,'Calc'!$W$13,'Calc'!$Y$13)-(IF('Calc'!$E$13=1,0,MIN(Calc!$K$358*(1+'财富模型'!$E$20/12)+'Calc'!$B$6,IF(Calc!$I$359&lt;='财富模型'!$E$11*12,'Calc'!$W$13,'Calc'!$Y$13)))))))</x:f>
      </x:c>
      <x:c r="O359" t="str">
        <x:f>IF(Calc!$I$359&gt;'Calc'!$B$8,"",IF('Calc'!$E$13=1,0,MAX(Calc!$O$358*(1+IF(Calc!$I$359&lt;='财富模型'!$E$11*12,'财富模型'!$E$10,'财富模型'!$E$12)/12)-IF('Calc'!$E$13=1,0,IF(Calc!$I$359&lt;='财富模型'!$E$11*12,'Calc'!$W$13,'Calc'!$Y$13)),0)))</x:f>
      </x:c>
      <x:c r="Q359" t="n">
        <x:v>338</x:v>
      </x:c>
      <x:c r="R359" t="str">
        <x:f>IF(Calc!$Q$359&gt;'Calc'!$B$8,"",MAX(Calc!$R$358*(1+'财富模型'!$E$6/12)+('Calc'!$B$5-'财富模型'!$E$5-(IF('Calc'!$E$14=1,'财富模型'!$E$9,'财富模型'!$M$6+IF(Calc!$Q$359&lt;='财富模型'!$E$11*12,'Calc'!$W$14,'Calc'!$Y$14)-(IF('Calc'!$E$14=1,0,MIN(Calc!$S$358*(1+'财富模型'!$E$20/12)+'Calc'!$B$6,IF(Calc!$Q$359&lt;='财富模型'!$E$11*12,'Calc'!$W$14,'Calc'!$Y$14))))))),0))</x:f>
      </x:c>
      <x:c r="S359" t="str">
        <x:f>IF(Calc!$Q$359&gt;'Calc'!$B$8,"",MAX(Calc!$S$358*(1+'财富模型'!$E$20/12)+'Calc'!$B$6-(IF('Calc'!$E$14=1,0,MIN(Calc!$S$358*(1+'财富模型'!$E$20/12)+'Calc'!$B$6,IF(Calc!$Q$359&lt;='财富模型'!$E$11*12,'Calc'!$W$14,'Calc'!$Y$14)))),0))</x:f>
      </x:c>
      <x:c r="T359" t="str">
        <x:f>IF(Calc!$Q$359&gt;'Calc'!$B$8,"",IF('Calc'!$E$14=1,'财富模型'!$E$9,'财富模型'!$M$6+IF(Calc!$Q$359&lt;='财富模型'!$E$11*12,'Calc'!$W$14,'Calc'!$Y$14)-(IF('Calc'!$E$14=1,0,MIN(Calc!$S$358*(1+'财富模型'!$E$20/12)+'Calc'!$B$6,IF(Calc!$Q$359&lt;='财富模型'!$E$11*12,'Calc'!$W$14,'Calc'!$Y$14))))))</x:f>
      </x:c>
      <x:c r="U359" t="str">
        <x:f>IF(Calc!$Q$359&gt;'Calc'!$B$8,"",IF('Calc'!$E$14=1,0,MIN(Calc!$S$358*(1+'财富模型'!$E$20/12)+'Calc'!$B$6,IF(Calc!$Q$359&lt;='财富模型'!$E$11*12,'Calc'!$W$14,'Calc'!$Y$14))))</x:f>
      </x:c>
      <x:c r="V359" t="str">
        <x:f>IF(Calc!$Q$359&gt;'Calc'!$B$8,"",'Calc'!$B$5-'财富模型'!$E$5-(IF('Calc'!$E$14=1,'财富模型'!$E$9,'财富模型'!$M$6+IF(Calc!$Q$359&lt;='财富模型'!$E$11*12,'Calc'!$W$14,'Calc'!$Y$14)-(IF('Calc'!$E$14=1,0,MIN(Calc!$S$358*(1+'财富模型'!$E$20/12)+'Calc'!$B$6,IF(Calc!$Q$359&lt;='财富模型'!$E$11*12,'Calc'!$W$14,'Calc'!$Y$14)))))))</x:f>
      </x:c>
      <x:c r="W359" t="str">
        <x:f>IF(Calc!$Q$359&gt;'Calc'!$B$8,"",IF('Calc'!$E$14=1,0,MAX(Calc!$W$358*(1+IF(Calc!$Q$359&lt;='财富模型'!$E$11*12,'财富模型'!$E$10,'财富模型'!$E$12)/12)-IF('Calc'!$E$14=1,0,IF(Calc!$Q$359&lt;='财富模型'!$E$11*12,'Calc'!$W$14,'Calc'!$Y$14)),0)))</x:f>
      </x:c>
      <x:c r="Y359" t="n">
        <x:v>338</x:v>
      </x:c>
      <x:c r="Z359" t="str">
        <x:f>IF(Calc!$Y$359&gt;'Calc'!$B$8,"",MAX(Calc!$Z$358*(1+'财富模型'!$E$6/12)+('Calc'!$B$5-'财富模型'!$E$5-(IF('Calc'!$E$15=1,'财富模型'!$E$9,'财富模型'!$M$7+IF(Calc!$Y$359&lt;='财富模型'!$E$11*12,'Calc'!$W$15,'Calc'!$Y$15)-(IF('Calc'!$E$15=1,0,MIN(Calc!$AA$358*(1+'财富模型'!$E$20/12)+'Calc'!$B$6,IF(Calc!$Y$359&lt;='财富模型'!$E$11*12,'Calc'!$W$15,'Calc'!$Y$15))))))),0))</x:f>
      </x:c>
      <x:c r="AA359" t="str">
        <x:f>IF(Calc!$Y$359&gt;'Calc'!$B$8,"",MAX(Calc!$AA$358*(1+'财富模型'!$E$20/12)+'Calc'!$B$6-(IF('Calc'!$E$15=1,0,MIN(Calc!$AA$358*(1+'财富模型'!$E$20/12)+'Calc'!$B$6,IF(Calc!$Y$359&lt;='财富模型'!$E$11*12,'Calc'!$W$15,'Calc'!$Y$15)))),0))</x:f>
      </x:c>
      <x:c r="AB359" t="str">
        <x:f>IF(Calc!$Y$359&gt;'Calc'!$B$8,"",IF('Calc'!$E$15=1,'财富模型'!$E$9,'财富模型'!$M$7+IF(Calc!$Y$359&lt;='财富模型'!$E$11*12,'Calc'!$W$15,'Calc'!$Y$15)-(IF('Calc'!$E$15=1,0,MIN(Calc!$AA$358*(1+'财富模型'!$E$20/12)+'Calc'!$B$6,IF(Calc!$Y$359&lt;='财富模型'!$E$11*12,'Calc'!$W$15,'Calc'!$Y$15))))))</x:f>
      </x:c>
      <x:c r="AC359" t="str">
        <x:f>IF(Calc!$Y$359&gt;'Calc'!$B$8,"",IF('Calc'!$E$15=1,0,MIN(Calc!$AA$358*(1+'财富模型'!$E$20/12)+'Calc'!$B$6,IF(Calc!$Y$359&lt;='财富模型'!$E$11*12,'Calc'!$W$15,'Calc'!$Y$15))))</x:f>
      </x:c>
      <x:c r="AD359" t="str">
        <x:f>IF(Calc!$Y$359&gt;'Calc'!$B$8,"",'Calc'!$B$5-'财富模型'!$E$5-(IF('Calc'!$E$15=1,'财富模型'!$E$9,'财富模型'!$M$7+IF(Calc!$Y$359&lt;='财富模型'!$E$11*12,'Calc'!$W$15,'Calc'!$Y$15)-(IF('Calc'!$E$15=1,0,MIN(Calc!$AA$358*(1+'财富模型'!$E$20/12)+'Calc'!$B$6,IF(Calc!$Y$359&lt;='财富模型'!$E$11*12,'Calc'!$W$15,'Calc'!$Y$15)))))))</x:f>
      </x:c>
      <x:c r="AE359" t="str">
        <x:f>IF(Calc!$Y$359&gt;'Calc'!$B$8,"",IF('Calc'!$E$15=1,0,MAX(Calc!$AE$358*(1+IF(Calc!$Y$359&lt;='财富模型'!$E$11*12,'财富模型'!$E$10,'财富模型'!$E$12)/12)-IF('Calc'!$E$15=1,0,IF(Calc!$Y$359&lt;='财富模型'!$E$11*12,'Calc'!$W$15,'Calc'!$Y$15)),0)))</x:f>
      </x:c>
      <x:c r="AG359" t="n">
        <x:v>338</x:v>
      </x:c>
      <x:c r="AH359" t="str">
        <x:f>IF(Calc!$AG$359&gt;'Calc'!$B$8,"",MAX(Calc!$AH$358*(1+'财富模型'!$E$6/12)+('Calc'!$B$5-'财富模型'!$E$5-(IF('Calc'!$E$16=1,'财富模型'!$E$9,'财富模型'!$M$8+IF(Calc!$AG$359&lt;='财富模型'!$E$11*12,'Calc'!$W$16,'Calc'!$Y$16)-(IF('Calc'!$E$16=1,0,MIN(Calc!$AI$358*(1+'财富模型'!$E$20/12)+'Calc'!$B$6,IF(Calc!$AG$359&lt;='财富模型'!$E$11*12,'Calc'!$W$16,'Calc'!$Y$16))))))),0))</x:f>
      </x:c>
      <x:c r="AI359" t="str">
        <x:f>IF(Calc!$AG$359&gt;'Calc'!$B$8,"",MAX(Calc!$AI$358*(1+'财富模型'!$E$20/12)+'Calc'!$B$6-(IF('Calc'!$E$16=1,0,MIN(Calc!$AI$358*(1+'财富模型'!$E$20/12)+'Calc'!$B$6,IF(Calc!$AG$359&lt;='财富模型'!$E$11*12,'Calc'!$W$16,'Calc'!$Y$16)))),0))</x:f>
      </x:c>
      <x:c r="AJ359" t="str">
        <x:f>IF(Calc!$AG$359&gt;'Calc'!$B$8,"",IF('Calc'!$E$16=1,'财富模型'!$E$9,'财富模型'!$M$8+IF(Calc!$AG$359&lt;='财富模型'!$E$11*12,'Calc'!$W$16,'Calc'!$Y$16)-(IF('Calc'!$E$16=1,0,MIN(Calc!$AI$358*(1+'财富模型'!$E$20/12)+'Calc'!$B$6,IF(Calc!$AG$359&lt;='财富模型'!$E$11*12,'Calc'!$W$16,'Calc'!$Y$16))))))</x:f>
      </x:c>
      <x:c r="AK359" t="str">
        <x:f>IF(Calc!$AG$359&gt;'Calc'!$B$8,"",IF('Calc'!$E$16=1,0,MIN(Calc!$AI$358*(1+'财富模型'!$E$20/12)+'Calc'!$B$6,IF(Calc!$AG$359&lt;='财富模型'!$E$11*12,'Calc'!$W$16,'Calc'!$Y$16))))</x:f>
      </x:c>
      <x:c r="AL359" t="str">
        <x:f>IF(Calc!$AG$359&gt;'Calc'!$B$8,"",'Calc'!$B$5-'财富模型'!$E$5-(IF('Calc'!$E$16=1,'财富模型'!$E$9,'财富模型'!$M$8+IF(Calc!$AG$359&lt;='财富模型'!$E$11*12,'Calc'!$W$16,'Calc'!$Y$16)-(IF('Calc'!$E$16=1,0,MIN(Calc!$AI$358*(1+'财富模型'!$E$20/12)+'Calc'!$B$6,IF(Calc!$AG$359&lt;='财富模型'!$E$11*12,'Calc'!$W$16,'Calc'!$Y$16)))))))</x:f>
      </x:c>
      <x:c r="AM359" t="str">
        <x:f>IF(Calc!$AG$359&gt;'Calc'!$B$8,"",IF('Calc'!$E$16=1,0,MAX(Calc!$AM$358*(1+IF(Calc!$AG$359&lt;='财富模型'!$E$11*12,'财富模型'!$E$10,'财富模型'!$E$12)/12)-IF('Calc'!$E$16=1,0,IF(Calc!$AG$359&lt;='财富模型'!$E$11*12,'Calc'!$W$16,'Calc'!$Y$16)),0)))</x:f>
      </x:c>
      <x:c r="AO359" t="n">
        <x:v>338</x:v>
      </x:c>
      <x:c r="AP359" t="str">
        <x:f>IF(Calc!$AO$359&gt;'Calc'!$B$8,"",MAX(Calc!$AP$358*(1+'财富模型'!$E$6/12)+('Calc'!$B$5-'财富模型'!$E$5-(IF('Calc'!$E$17=1,'财富模型'!$E$9,'财富模型'!$M$9+IF(Calc!$AO$359&lt;='财富模型'!$E$11*12,'Calc'!$W$17,'Calc'!$Y$17)-(IF('Calc'!$E$17=1,0,MIN(Calc!$AQ$358*(1+'财富模型'!$E$20/12)+'Calc'!$B$6,IF(Calc!$AO$359&lt;='财富模型'!$E$11*12,'Calc'!$W$17,'Calc'!$Y$17))))))),0))</x:f>
      </x:c>
      <x:c r="AQ359" t="str">
        <x:f>IF(Calc!$AO$359&gt;'Calc'!$B$8,"",MAX(Calc!$AQ$358*(1+'财富模型'!$E$20/12)+'Calc'!$B$6-(IF('Calc'!$E$17=1,0,MIN(Calc!$AQ$358*(1+'财富模型'!$E$20/12)+'Calc'!$B$6,IF(Calc!$AO$359&lt;='财富模型'!$E$11*12,'Calc'!$W$17,'Calc'!$Y$17)))),0))</x:f>
      </x:c>
      <x:c r="AR359" t="str">
        <x:f>IF(Calc!$AO$359&gt;'Calc'!$B$8,"",IF('Calc'!$E$17=1,'财富模型'!$E$9,'财富模型'!$M$9+IF(Calc!$AO$359&lt;='财富模型'!$E$11*12,'Calc'!$W$17,'Calc'!$Y$17)-(IF('Calc'!$E$17=1,0,MIN(Calc!$AQ$358*(1+'财富模型'!$E$20/12)+'Calc'!$B$6,IF(Calc!$AO$359&lt;='财富模型'!$E$11*12,'Calc'!$W$17,'Calc'!$Y$17))))))</x:f>
      </x:c>
      <x:c r="AS359" t="str">
        <x:f>IF(Calc!$AO$359&gt;'Calc'!$B$8,"",IF('Calc'!$E$17=1,0,MIN(Calc!$AQ$358*(1+'财富模型'!$E$20/12)+'Calc'!$B$6,IF(Calc!$AO$359&lt;='财富模型'!$E$11*12,'Calc'!$W$17,'Calc'!$Y$17))))</x:f>
      </x:c>
      <x:c r="AT359" t="str">
        <x:f>IF(Calc!$AO$359&gt;'Calc'!$B$8,"",'Calc'!$B$5-'财富模型'!$E$5-(IF('Calc'!$E$17=1,'财富模型'!$E$9,'财富模型'!$M$9+IF(Calc!$AO$359&lt;='财富模型'!$E$11*12,'Calc'!$W$17,'Calc'!$Y$17)-(IF('Calc'!$E$17=1,0,MIN(Calc!$AQ$358*(1+'财富模型'!$E$20/12)+'Calc'!$B$6,IF(Calc!$AO$359&lt;='财富模型'!$E$11*12,'Calc'!$W$17,'Calc'!$Y$17)))))))</x:f>
      </x:c>
      <x:c r="AU359" t="str">
        <x:f>IF(Calc!$AO$359&gt;'Calc'!$B$8,"",IF('Calc'!$E$17=1,0,MAX(Calc!$AU$358*(1+IF(Calc!$AO$359&lt;='财富模型'!$E$11*12,'财富模型'!$E$10,'财富模型'!$E$12)/12)-IF('Calc'!$E$17=1,0,IF(Calc!$AO$359&lt;='财富模型'!$E$11*12,'Calc'!$W$17,'Calc'!$Y$17)),0)))</x:f>
      </x:c>
    </x:row>
    <x:row r="360">
      <x:c r="A360" t="n">
        <x:v>339</x:v>
      </x:c>
      <x:c r="B360" t="str">
        <x:f>IF(Calc!$A$360&gt;'Calc'!$B$8,"",MAX(Calc!$B$359*(1+'财富模型'!$E$6/12)+('Calc'!$B$5-'财富模型'!$E$5-(IF('Calc'!$E$12=1,'财富模型'!$E$9,'财富模型'!$M$4+IF(Calc!$A$360&lt;='财富模型'!$E$11*12,'Calc'!$W$12,'Calc'!$Y$12)-(IF('Calc'!$E$12=1,0,MIN(Calc!$C$359*(1+'财富模型'!$E$20/12)+'Calc'!$B$6,IF(Calc!$A$360&lt;='财富模型'!$E$11*12,'Calc'!$W$12,'Calc'!$Y$12))))))),0))</x:f>
      </x:c>
      <x:c r="C360" t="str">
        <x:f>IF(Calc!$A$360&gt;'Calc'!$B$8,"",MAX(Calc!$C$359*(1+'财富模型'!$E$20/12)+'Calc'!$B$6-(IF('Calc'!$E$12=1,0,MIN(Calc!$C$359*(1+'财富模型'!$E$20/12)+'Calc'!$B$6,IF(Calc!$A$360&lt;='财富模型'!$E$11*12,'Calc'!$W$12,'Calc'!$Y$12)))),0))</x:f>
      </x:c>
      <x:c r="D360" t="str">
        <x:f>IF(Calc!$A$360&gt;'Calc'!$B$8,"",IF('Calc'!$E$12=1,'财富模型'!$E$9,'财富模型'!$M$4+IF(Calc!$A$360&lt;='财富模型'!$E$11*12,'Calc'!$W$12,'Calc'!$Y$12)-(IF('Calc'!$E$12=1,0,MIN(Calc!$C$359*(1+'财富模型'!$E$20/12)+'Calc'!$B$6,IF(Calc!$A$360&lt;='财富模型'!$E$11*12,'Calc'!$W$12,'Calc'!$Y$12))))))</x:f>
      </x:c>
      <x:c r="E360" t="str">
        <x:f>IF(Calc!$A$360&gt;'Calc'!$B$8,"",IF('Calc'!$E$12=1,0,MIN(Calc!$C$359*(1+'财富模型'!$E$20/12)+'Calc'!$B$6,IF(Calc!$A$360&lt;='财富模型'!$E$11*12,'Calc'!$W$12,'Calc'!$Y$12))))</x:f>
      </x:c>
      <x:c r="F360" t="str">
        <x:f>IF(Calc!$A$360&gt;'Calc'!$B$8,"",'Calc'!$B$5-'财富模型'!$E$5-(IF('Calc'!$E$12=1,'财富模型'!$E$9,'财富模型'!$M$4+IF(Calc!$A$360&lt;='财富模型'!$E$11*12,'Calc'!$W$12,'Calc'!$Y$12)-(IF('Calc'!$E$12=1,0,MIN(Calc!$C$359*(1+'财富模型'!$E$20/12)+'Calc'!$B$6,IF(Calc!$A$360&lt;='财富模型'!$E$11*12,'Calc'!$W$12,'Calc'!$Y$12)))))))</x:f>
      </x:c>
      <x:c r="G360" t="str">
        <x:f>IF(Calc!$A$360&gt;'Calc'!$B$8,"",IF('Calc'!$E$12=1,0,MAX(Calc!$G$359*(1+IF(Calc!$A$360&lt;='财富模型'!$E$11*12,'财富模型'!$E$10,'财富模型'!$E$12)/12)-IF('Calc'!$E$12=1,0,IF(Calc!$A$360&lt;='财富模型'!$E$11*12,'Calc'!$W$12,'Calc'!$Y$12)),0)))</x:f>
      </x:c>
      <x:c r="I360" t="n">
        <x:v>339</x:v>
      </x:c>
      <x:c r="J360" t="str">
        <x:f>IF(Calc!$I$360&gt;'Calc'!$B$8,"",MAX(Calc!$J$359*(1+'财富模型'!$E$6/12)+('Calc'!$B$5-'财富模型'!$E$5-(IF('Calc'!$E$13=1,'财富模型'!$E$9,'财富模型'!$M$5+IF(Calc!$I$360&lt;='财富模型'!$E$11*12,'Calc'!$W$13,'Calc'!$Y$13)-(IF('Calc'!$E$13=1,0,MIN(Calc!$K$359*(1+'财富模型'!$E$20/12)+'Calc'!$B$6,IF(Calc!$I$360&lt;='财富模型'!$E$11*12,'Calc'!$W$13,'Calc'!$Y$13))))))),0))</x:f>
      </x:c>
      <x:c r="K360" t="str">
        <x:f>IF(Calc!$I$360&gt;'Calc'!$B$8,"",MAX(Calc!$K$359*(1+'财富模型'!$E$20/12)+'Calc'!$B$6-(IF('Calc'!$E$13=1,0,MIN(Calc!$K$359*(1+'财富模型'!$E$20/12)+'Calc'!$B$6,IF(Calc!$I$360&lt;='财富模型'!$E$11*12,'Calc'!$W$13,'Calc'!$Y$13)))),0))</x:f>
      </x:c>
      <x:c r="L360" t="str">
        <x:f>IF(Calc!$I$360&gt;'Calc'!$B$8,"",IF('Calc'!$E$13=1,'财富模型'!$E$9,'财富模型'!$M$5+IF(Calc!$I$360&lt;='财富模型'!$E$11*12,'Calc'!$W$13,'Calc'!$Y$13)-(IF('Calc'!$E$13=1,0,MIN(Calc!$K$359*(1+'财富模型'!$E$20/12)+'Calc'!$B$6,IF(Calc!$I$360&lt;='财富模型'!$E$11*12,'Calc'!$W$13,'Calc'!$Y$13))))))</x:f>
      </x:c>
      <x:c r="M360" t="str">
        <x:f>IF(Calc!$I$360&gt;'Calc'!$B$8,"",IF('Calc'!$E$13=1,0,MIN(Calc!$K$359*(1+'财富模型'!$E$20/12)+'Calc'!$B$6,IF(Calc!$I$360&lt;='财富模型'!$E$11*12,'Calc'!$W$13,'Calc'!$Y$13))))</x:f>
      </x:c>
      <x:c r="N360" t="str">
        <x:f>IF(Calc!$I$360&gt;'Calc'!$B$8,"",'Calc'!$B$5-'财富模型'!$E$5-(IF('Calc'!$E$13=1,'财富模型'!$E$9,'财富模型'!$M$5+IF(Calc!$I$360&lt;='财富模型'!$E$11*12,'Calc'!$W$13,'Calc'!$Y$13)-(IF('Calc'!$E$13=1,0,MIN(Calc!$K$359*(1+'财富模型'!$E$20/12)+'Calc'!$B$6,IF(Calc!$I$360&lt;='财富模型'!$E$11*12,'Calc'!$W$13,'Calc'!$Y$13)))))))</x:f>
      </x:c>
      <x:c r="O360" t="str">
        <x:f>IF(Calc!$I$360&gt;'Calc'!$B$8,"",IF('Calc'!$E$13=1,0,MAX(Calc!$O$359*(1+IF(Calc!$I$360&lt;='财富模型'!$E$11*12,'财富模型'!$E$10,'财富模型'!$E$12)/12)-IF('Calc'!$E$13=1,0,IF(Calc!$I$360&lt;='财富模型'!$E$11*12,'Calc'!$W$13,'Calc'!$Y$13)),0)))</x:f>
      </x:c>
      <x:c r="Q360" t="n">
        <x:v>339</x:v>
      </x:c>
      <x:c r="R360" t="str">
        <x:f>IF(Calc!$Q$360&gt;'Calc'!$B$8,"",MAX(Calc!$R$359*(1+'财富模型'!$E$6/12)+('Calc'!$B$5-'财富模型'!$E$5-(IF('Calc'!$E$14=1,'财富模型'!$E$9,'财富模型'!$M$6+IF(Calc!$Q$360&lt;='财富模型'!$E$11*12,'Calc'!$W$14,'Calc'!$Y$14)-(IF('Calc'!$E$14=1,0,MIN(Calc!$S$359*(1+'财富模型'!$E$20/12)+'Calc'!$B$6,IF(Calc!$Q$360&lt;='财富模型'!$E$11*12,'Calc'!$W$14,'Calc'!$Y$14))))))),0))</x:f>
      </x:c>
      <x:c r="S360" t="str">
        <x:f>IF(Calc!$Q$360&gt;'Calc'!$B$8,"",MAX(Calc!$S$359*(1+'财富模型'!$E$20/12)+'Calc'!$B$6-(IF('Calc'!$E$14=1,0,MIN(Calc!$S$359*(1+'财富模型'!$E$20/12)+'Calc'!$B$6,IF(Calc!$Q$360&lt;='财富模型'!$E$11*12,'Calc'!$W$14,'Calc'!$Y$14)))),0))</x:f>
      </x:c>
      <x:c r="T360" t="str">
        <x:f>IF(Calc!$Q$360&gt;'Calc'!$B$8,"",IF('Calc'!$E$14=1,'财富模型'!$E$9,'财富模型'!$M$6+IF(Calc!$Q$360&lt;='财富模型'!$E$11*12,'Calc'!$W$14,'Calc'!$Y$14)-(IF('Calc'!$E$14=1,0,MIN(Calc!$S$359*(1+'财富模型'!$E$20/12)+'Calc'!$B$6,IF(Calc!$Q$360&lt;='财富模型'!$E$11*12,'Calc'!$W$14,'Calc'!$Y$14))))))</x:f>
      </x:c>
      <x:c r="U360" t="str">
        <x:f>IF(Calc!$Q$360&gt;'Calc'!$B$8,"",IF('Calc'!$E$14=1,0,MIN(Calc!$S$359*(1+'财富模型'!$E$20/12)+'Calc'!$B$6,IF(Calc!$Q$360&lt;='财富模型'!$E$11*12,'Calc'!$W$14,'Calc'!$Y$14))))</x:f>
      </x:c>
      <x:c r="V360" t="str">
        <x:f>IF(Calc!$Q$360&gt;'Calc'!$B$8,"",'Calc'!$B$5-'财富模型'!$E$5-(IF('Calc'!$E$14=1,'财富模型'!$E$9,'财富模型'!$M$6+IF(Calc!$Q$360&lt;='财富模型'!$E$11*12,'Calc'!$W$14,'Calc'!$Y$14)-(IF('Calc'!$E$14=1,0,MIN(Calc!$S$359*(1+'财富模型'!$E$20/12)+'Calc'!$B$6,IF(Calc!$Q$360&lt;='财富模型'!$E$11*12,'Calc'!$W$14,'Calc'!$Y$14)))))))</x:f>
      </x:c>
      <x:c r="W360" t="str">
        <x:f>IF(Calc!$Q$360&gt;'Calc'!$B$8,"",IF('Calc'!$E$14=1,0,MAX(Calc!$W$359*(1+IF(Calc!$Q$360&lt;='财富模型'!$E$11*12,'财富模型'!$E$10,'财富模型'!$E$12)/12)-IF('Calc'!$E$14=1,0,IF(Calc!$Q$360&lt;='财富模型'!$E$11*12,'Calc'!$W$14,'Calc'!$Y$14)),0)))</x:f>
      </x:c>
      <x:c r="Y360" t="n">
        <x:v>339</x:v>
      </x:c>
      <x:c r="Z360" t="str">
        <x:f>IF(Calc!$Y$360&gt;'Calc'!$B$8,"",MAX(Calc!$Z$359*(1+'财富模型'!$E$6/12)+('Calc'!$B$5-'财富模型'!$E$5-(IF('Calc'!$E$15=1,'财富模型'!$E$9,'财富模型'!$M$7+IF(Calc!$Y$360&lt;='财富模型'!$E$11*12,'Calc'!$W$15,'Calc'!$Y$15)-(IF('Calc'!$E$15=1,0,MIN(Calc!$AA$359*(1+'财富模型'!$E$20/12)+'Calc'!$B$6,IF(Calc!$Y$360&lt;='财富模型'!$E$11*12,'Calc'!$W$15,'Calc'!$Y$15))))))),0))</x:f>
      </x:c>
      <x:c r="AA360" t="str">
        <x:f>IF(Calc!$Y$360&gt;'Calc'!$B$8,"",MAX(Calc!$AA$359*(1+'财富模型'!$E$20/12)+'Calc'!$B$6-(IF('Calc'!$E$15=1,0,MIN(Calc!$AA$359*(1+'财富模型'!$E$20/12)+'Calc'!$B$6,IF(Calc!$Y$360&lt;='财富模型'!$E$11*12,'Calc'!$W$15,'Calc'!$Y$15)))),0))</x:f>
      </x:c>
      <x:c r="AB360" t="str">
        <x:f>IF(Calc!$Y$360&gt;'Calc'!$B$8,"",IF('Calc'!$E$15=1,'财富模型'!$E$9,'财富模型'!$M$7+IF(Calc!$Y$360&lt;='财富模型'!$E$11*12,'Calc'!$W$15,'Calc'!$Y$15)-(IF('Calc'!$E$15=1,0,MIN(Calc!$AA$359*(1+'财富模型'!$E$20/12)+'Calc'!$B$6,IF(Calc!$Y$360&lt;='财富模型'!$E$11*12,'Calc'!$W$15,'Calc'!$Y$15))))))</x:f>
      </x:c>
      <x:c r="AC360" t="str">
        <x:f>IF(Calc!$Y$360&gt;'Calc'!$B$8,"",IF('Calc'!$E$15=1,0,MIN(Calc!$AA$359*(1+'财富模型'!$E$20/12)+'Calc'!$B$6,IF(Calc!$Y$360&lt;='财富模型'!$E$11*12,'Calc'!$W$15,'Calc'!$Y$15))))</x:f>
      </x:c>
      <x:c r="AD360" t="str">
        <x:f>IF(Calc!$Y$360&gt;'Calc'!$B$8,"",'Calc'!$B$5-'财富模型'!$E$5-(IF('Calc'!$E$15=1,'财富模型'!$E$9,'财富模型'!$M$7+IF(Calc!$Y$360&lt;='财富模型'!$E$11*12,'Calc'!$W$15,'Calc'!$Y$15)-(IF('Calc'!$E$15=1,0,MIN(Calc!$AA$359*(1+'财富模型'!$E$20/12)+'Calc'!$B$6,IF(Calc!$Y$360&lt;='财富模型'!$E$11*12,'Calc'!$W$15,'Calc'!$Y$15)))))))</x:f>
      </x:c>
      <x:c r="AE360" t="str">
        <x:f>IF(Calc!$Y$360&gt;'Calc'!$B$8,"",IF('Calc'!$E$15=1,0,MAX(Calc!$AE$359*(1+IF(Calc!$Y$360&lt;='财富模型'!$E$11*12,'财富模型'!$E$10,'财富模型'!$E$12)/12)-IF('Calc'!$E$15=1,0,IF(Calc!$Y$360&lt;='财富模型'!$E$11*12,'Calc'!$W$15,'Calc'!$Y$15)),0)))</x:f>
      </x:c>
      <x:c r="AG360" t="n">
        <x:v>339</x:v>
      </x:c>
      <x:c r="AH360" t="str">
        <x:f>IF(Calc!$AG$360&gt;'Calc'!$B$8,"",MAX(Calc!$AH$359*(1+'财富模型'!$E$6/12)+('Calc'!$B$5-'财富模型'!$E$5-(IF('Calc'!$E$16=1,'财富模型'!$E$9,'财富模型'!$M$8+IF(Calc!$AG$360&lt;='财富模型'!$E$11*12,'Calc'!$W$16,'Calc'!$Y$16)-(IF('Calc'!$E$16=1,0,MIN(Calc!$AI$359*(1+'财富模型'!$E$20/12)+'Calc'!$B$6,IF(Calc!$AG$360&lt;='财富模型'!$E$11*12,'Calc'!$W$16,'Calc'!$Y$16))))))),0))</x:f>
      </x:c>
      <x:c r="AI360" t="str">
        <x:f>IF(Calc!$AG$360&gt;'Calc'!$B$8,"",MAX(Calc!$AI$359*(1+'财富模型'!$E$20/12)+'Calc'!$B$6-(IF('Calc'!$E$16=1,0,MIN(Calc!$AI$359*(1+'财富模型'!$E$20/12)+'Calc'!$B$6,IF(Calc!$AG$360&lt;='财富模型'!$E$11*12,'Calc'!$W$16,'Calc'!$Y$16)))),0))</x:f>
      </x:c>
      <x:c r="AJ360" t="str">
        <x:f>IF(Calc!$AG$360&gt;'Calc'!$B$8,"",IF('Calc'!$E$16=1,'财富模型'!$E$9,'财富模型'!$M$8+IF(Calc!$AG$360&lt;='财富模型'!$E$11*12,'Calc'!$W$16,'Calc'!$Y$16)-(IF('Calc'!$E$16=1,0,MIN(Calc!$AI$359*(1+'财富模型'!$E$20/12)+'Calc'!$B$6,IF(Calc!$AG$360&lt;='财富模型'!$E$11*12,'Calc'!$W$16,'Calc'!$Y$16))))))</x:f>
      </x:c>
      <x:c r="AK360" t="str">
        <x:f>IF(Calc!$AG$360&gt;'Calc'!$B$8,"",IF('Calc'!$E$16=1,0,MIN(Calc!$AI$359*(1+'财富模型'!$E$20/12)+'Calc'!$B$6,IF(Calc!$AG$360&lt;='财富模型'!$E$11*12,'Calc'!$W$16,'Calc'!$Y$16))))</x:f>
      </x:c>
      <x:c r="AL360" t="str">
        <x:f>IF(Calc!$AG$360&gt;'Calc'!$B$8,"",'Calc'!$B$5-'财富模型'!$E$5-(IF('Calc'!$E$16=1,'财富模型'!$E$9,'财富模型'!$M$8+IF(Calc!$AG$360&lt;='财富模型'!$E$11*12,'Calc'!$W$16,'Calc'!$Y$16)-(IF('Calc'!$E$16=1,0,MIN(Calc!$AI$359*(1+'财富模型'!$E$20/12)+'Calc'!$B$6,IF(Calc!$AG$360&lt;='财富模型'!$E$11*12,'Calc'!$W$16,'Calc'!$Y$16)))))))</x:f>
      </x:c>
      <x:c r="AM360" t="str">
        <x:f>IF(Calc!$AG$360&gt;'Calc'!$B$8,"",IF('Calc'!$E$16=1,0,MAX(Calc!$AM$359*(1+IF(Calc!$AG$360&lt;='财富模型'!$E$11*12,'财富模型'!$E$10,'财富模型'!$E$12)/12)-IF('Calc'!$E$16=1,0,IF(Calc!$AG$360&lt;='财富模型'!$E$11*12,'Calc'!$W$16,'Calc'!$Y$16)),0)))</x:f>
      </x:c>
      <x:c r="AO360" t="n">
        <x:v>339</x:v>
      </x:c>
      <x:c r="AP360" t="str">
        <x:f>IF(Calc!$AO$360&gt;'Calc'!$B$8,"",MAX(Calc!$AP$359*(1+'财富模型'!$E$6/12)+('Calc'!$B$5-'财富模型'!$E$5-(IF('Calc'!$E$17=1,'财富模型'!$E$9,'财富模型'!$M$9+IF(Calc!$AO$360&lt;='财富模型'!$E$11*12,'Calc'!$W$17,'Calc'!$Y$17)-(IF('Calc'!$E$17=1,0,MIN(Calc!$AQ$359*(1+'财富模型'!$E$20/12)+'Calc'!$B$6,IF(Calc!$AO$360&lt;='财富模型'!$E$11*12,'Calc'!$W$17,'Calc'!$Y$17))))))),0))</x:f>
      </x:c>
      <x:c r="AQ360" t="str">
        <x:f>IF(Calc!$AO$360&gt;'Calc'!$B$8,"",MAX(Calc!$AQ$359*(1+'财富模型'!$E$20/12)+'Calc'!$B$6-(IF('Calc'!$E$17=1,0,MIN(Calc!$AQ$359*(1+'财富模型'!$E$20/12)+'Calc'!$B$6,IF(Calc!$AO$360&lt;='财富模型'!$E$11*12,'Calc'!$W$17,'Calc'!$Y$17)))),0))</x:f>
      </x:c>
      <x:c r="AR360" t="str">
        <x:f>IF(Calc!$AO$360&gt;'Calc'!$B$8,"",IF('Calc'!$E$17=1,'财富模型'!$E$9,'财富模型'!$M$9+IF(Calc!$AO$360&lt;='财富模型'!$E$11*12,'Calc'!$W$17,'Calc'!$Y$17)-(IF('Calc'!$E$17=1,0,MIN(Calc!$AQ$359*(1+'财富模型'!$E$20/12)+'Calc'!$B$6,IF(Calc!$AO$360&lt;='财富模型'!$E$11*12,'Calc'!$W$17,'Calc'!$Y$17))))))</x:f>
      </x:c>
      <x:c r="AS360" t="str">
        <x:f>IF(Calc!$AO$360&gt;'Calc'!$B$8,"",IF('Calc'!$E$17=1,0,MIN(Calc!$AQ$359*(1+'财富模型'!$E$20/12)+'Calc'!$B$6,IF(Calc!$AO$360&lt;='财富模型'!$E$11*12,'Calc'!$W$17,'Calc'!$Y$17))))</x:f>
      </x:c>
      <x:c r="AT360" t="str">
        <x:f>IF(Calc!$AO$360&gt;'Calc'!$B$8,"",'Calc'!$B$5-'财富模型'!$E$5-(IF('Calc'!$E$17=1,'财富模型'!$E$9,'财富模型'!$M$9+IF(Calc!$AO$360&lt;='财富模型'!$E$11*12,'Calc'!$W$17,'Calc'!$Y$17)-(IF('Calc'!$E$17=1,0,MIN(Calc!$AQ$359*(1+'财富模型'!$E$20/12)+'Calc'!$B$6,IF(Calc!$AO$360&lt;='财富模型'!$E$11*12,'Calc'!$W$17,'Calc'!$Y$17)))))))</x:f>
      </x:c>
      <x:c r="AU360" t="str">
        <x:f>IF(Calc!$AO$360&gt;'Calc'!$B$8,"",IF('Calc'!$E$17=1,0,MAX(Calc!$AU$359*(1+IF(Calc!$AO$360&lt;='财富模型'!$E$11*12,'财富模型'!$E$10,'财富模型'!$E$12)/12)-IF('Calc'!$E$17=1,0,IF(Calc!$AO$360&lt;='财富模型'!$E$11*12,'Calc'!$W$17,'Calc'!$Y$17)),0)))</x:f>
      </x:c>
    </x:row>
    <x:row r="361">
      <x:c r="A361" t="n">
        <x:v>340</x:v>
      </x:c>
      <x:c r="B361" t="str">
        <x:f>IF(Calc!$A$361&gt;'Calc'!$B$8,"",MAX(Calc!$B$360*(1+'财富模型'!$E$6/12)+('Calc'!$B$5-'财富模型'!$E$5-(IF('Calc'!$E$12=1,'财富模型'!$E$9,'财富模型'!$M$4+IF(Calc!$A$361&lt;='财富模型'!$E$11*12,'Calc'!$W$12,'Calc'!$Y$12)-(IF('Calc'!$E$12=1,0,MIN(Calc!$C$360*(1+'财富模型'!$E$20/12)+'Calc'!$B$6,IF(Calc!$A$361&lt;='财富模型'!$E$11*12,'Calc'!$W$12,'Calc'!$Y$12))))))),0))</x:f>
      </x:c>
      <x:c r="C361" t="str">
        <x:f>IF(Calc!$A$361&gt;'Calc'!$B$8,"",MAX(Calc!$C$360*(1+'财富模型'!$E$20/12)+'Calc'!$B$6-(IF('Calc'!$E$12=1,0,MIN(Calc!$C$360*(1+'财富模型'!$E$20/12)+'Calc'!$B$6,IF(Calc!$A$361&lt;='财富模型'!$E$11*12,'Calc'!$W$12,'Calc'!$Y$12)))),0))</x:f>
      </x:c>
      <x:c r="D361" t="str">
        <x:f>IF(Calc!$A$361&gt;'Calc'!$B$8,"",IF('Calc'!$E$12=1,'财富模型'!$E$9,'财富模型'!$M$4+IF(Calc!$A$361&lt;='财富模型'!$E$11*12,'Calc'!$W$12,'Calc'!$Y$12)-(IF('Calc'!$E$12=1,0,MIN(Calc!$C$360*(1+'财富模型'!$E$20/12)+'Calc'!$B$6,IF(Calc!$A$361&lt;='财富模型'!$E$11*12,'Calc'!$W$12,'Calc'!$Y$12))))))</x:f>
      </x:c>
      <x:c r="E361" t="str">
        <x:f>IF(Calc!$A$361&gt;'Calc'!$B$8,"",IF('Calc'!$E$12=1,0,MIN(Calc!$C$360*(1+'财富模型'!$E$20/12)+'Calc'!$B$6,IF(Calc!$A$361&lt;='财富模型'!$E$11*12,'Calc'!$W$12,'Calc'!$Y$12))))</x:f>
      </x:c>
      <x:c r="F361" t="str">
        <x:f>IF(Calc!$A$361&gt;'Calc'!$B$8,"",'Calc'!$B$5-'财富模型'!$E$5-(IF('Calc'!$E$12=1,'财富模型'!$E$9,'财富模型'!$M$4+IF(Calc!$A$361&lt;='财富模型'!$E$11*12,'Calc'!$W$12,'Calc'!$Y$12)-(IF('Calc'!$E$12=1,0,MIN(Calc!$C$360*(1+'财富模型'!$E$20/12)+'Calc'!$B$6,IF(Calc!$A$361&lt;='财富模型'!$E$11*12,'Calc'!$W$12,'Calc'!$Y$12)))))))</x:f>
      </x:c>
      <x:c r="G361" t="str">
        <x:f>IF(Calc!$A$361&gt;'Calc'!$B$8,"",IF('Calc'!$E$12=1,0,MAX(Calc!$G$360*(1+IF(Calc!$A$361&lt;='财富模型'!$E$11*12,'财富模型'!$E$10,'财富模型'!$E$12)/12)-IF('Calc'!$E$12=1,0,IF(Calc!$A$361&lt;='财富模型'!$E$11*12,'Calc'!$W$12,'Calc'!$Y$12)),0)))</x:f>
      </x:c>
      <x:c r="I361" t="n">
        <x:v>340</x:v>
      </x:c>
      <x:c r="J361" t="str">
        <x:f>IF(Calc!$I$361&gt;'Calc'!$B$8,"",MAX(Calc!$J$360*(1+'财富模型'!$E$6/12)+('Calc'!$B$5-'财富模型'!$E$5-(IF('Calc'!$E$13=1,'财富模型'!$E$9,'财富模型'!$M$5+IF(Calc!$I$361&lt;='财富模型'!$E$11*12,'Calc'!$W$13,'Calc'!$Y$13)-(IF('Calc'!$E$13=1,0,MIN(Calc!$K$360*(1+'财富模型'!$E$20/12)+'Calc'!$B$6,IF(Calc!$I$361&lt;='财富模型'!$E$11*12,'Calc'!$W$13,'Calc'!$Y$13))))))),0))</x:f>
      </x:c>
      <x:c r="K361" t="str">
        <x:f>IF(Calc!$I$361&gt;'Calc'!$B$8,"",MAX(Calc!$K$360*(1+'财富模型'!$E$20/12)+'Calc'!$B$6-(IF('Calc'!$E$13=1,0,MIN(Calc!$K$360*(1+'财富模型'!$E$20/12)+'Calc'!$B$6,IF(Calc!$I$361&lt;='财富模型'!$E$11*12,'Calc'!$W$13,'Calc'!$Y$13)))),0))</x:f>
      </x:c>
      <x:c r="L361" t="str">
        <x:f>IF(Calc!$I$361&gt;'Calc'!$B$8,"",IF('Calc'!$E$13=1,'财富模型'!$E$9,'财富模型'!$M$5+IF(Calc!$I$361&lt;='财富模型'!$E$11*12,'Calc'!$W$13,'Calc'!$Y$13)-(IF('Calc'!$E$13=1,0,MIN(Calc!$K$360*(1+'财富模型'!$E$20/12)+'Calc'!$B$6,IF(Calc!$I$361&lt;='财富模型'!$E$11*12,'Calc'!$W$13,'Calc'!$Y$13))))))</x:f>
      </x:c>
      <x:c r="M361" t="str">
        <x:f>IF(Calc!$I$361&gt;'Calc'!$B$8,"",IF('Calc'!$E$13=1,0,MIN(Calc!$K$360*(1+'财富模型'!$E$20/12)+'Calc'!$B$6,IF(Calc!$I$361&lt;='财富模型'!$E$11*12,'Calc'!$W$13,'Calc'!$Y$13))))</x:f>
      </x:c>
      <x:c r="N361" t="str">
        <x:f>IF(Calc!$I$361&gt;'Calc'!$B$8,"",'Calc'!$B$5-'财富模型'!$E$5-(IF('Calc'!$E$13=1,'财富模型'!$E$9,'财富模型'!$M$5+IF(Calc!$I$361&lt;='财富模型'!$E$11*12,'Calc'!$W$13,'Calc'!$Y$13)-(IF('Calc'!$E$13=1,0,MIN(Calc!$K$360*(1+'财富模型'!$E$20/12)+'Calc'!$B$6,IF(Calc!$I$361&lt;='财富模型'!$E$11*12,'Calc'!$W$13,'Calc'!$Y$13)))))))</x:f>
      </x:c>
      <x:c r="O361" t="str">
        <x:f>IF(Calc!$I$361&gt;'Calc'!$B$8,"",IF('Calc'!$E$13=1,0,MAX(Calc!$O$360*(1+IF(Calc!$I$361&lt;='财富模型'!$E$11*12,'财富模型'!$E$10,'财富模型'!$E$12)/12)-IF('Calc'!$E$13=1,0,IF(Calc!$I$361&lt;='财富模型'!$E$11*12,'Calc'!$W$13,'Calc'!$Y$13)),0)))</x:f>
      </x:c>
      <x:c r="Q361" t="n">
        <x:v>340</x:v>
      </x:c>
      <x:c r="R361" t="str">
        <x:f>IF(Calc!$Q$361&gt;'Calc'!$B$8,"",MAX(Calc!$R$360*(1+'财富模型'!$E$6/12)+('Calc'!$B$5-'财富模型'!$E$5-(IF('Calc'!$E$14=1,'财富模型'!$E$9,'财富模型'!$M$6+IF(Calc!$Q$361&lt;='财富模型'!$E$11*12,'Calc'!$W$14,'Calc'!$Y$14)-(IF('Calc'!$E$14=1,0,MIN(Calc!$S$360*(1+'财富模型'!$E$20/12)+'Calc'!$B$6,IF(Calc!$Q$361&lt;='财富模型'!$E$11*12,'Calc'!$W$14,'Calc'!$Y$14))))))),0))</x:f>
      </x:c>
      <x:c r="S361" t="str">
        <x:f>IF(Calc!$Q$361&gt;'Calc'!$B$8,"",MAX(Calc!$S$360*(1+'财富模型'!$E$20/12)+'Calc'!$B$6-(IF('Calc'!$E$14=1,0,MIN(Calc!$S$360*(1+'财富模型'!$E$20/12)+'Calc'!$B$6,IF(Calc!$Q$361&lt;='财富模型'!$E$11*12,'Calc'!$W$14,'Calc'!$Y$14)))),0))</x:f>
      </x:c>
      <x:c r="T361" t="str">
        <x:f>IF(Calc!$Q$361&gt;'Calc'!$B$8,"",IF('Calc'!$E$14=1,'财富模型'!$E$9,'财富模型'!$M$6+IF(Calc!$Q$361&lt;='财富模型'!$E$11*12,'Calc'!$W$14,'Calc'!$Y$14)-(IF('Calc'!$E$14=1,0,MIN(Calc!$S$360*(1+'财富模型'!$E$20/12)+'Calc'!$B$6,IF(Calc!$Q$361&lt;='财富模型'!$E$11*12,'Calc'!$W$14,'Calc'!$Y$14))))))</x:f>
      </x:c>
      <x:c r="U361" t="str">
        <x:f>IF(Calc!$Q$361&gt;'Calc'!$B$8,"",IF('Calc'!$E$14=1,0,MIN(Calc!$S$360*(1+'财富模型'!$E$20/12)+'Calc'!$B$6,IF(Calc!$Q$361&lt;='财富模型'!$E$11*12,'Calc'!$W$14,'Calc'!$Y$14))))</x:f>
      </x:c>
      <x:c r="V361" t="str">
        <x:f>IF(Calc!$Q$361&gt;'Calc'!$B$8,"",'Calc'!$B$5-'财富模型'!$E$5-(IF('Calc'!$E$14=1,'财富模型'!$E$9,'财富模型'!$M$6+IF(Calc!$Q$361&lt;='财富模型'!$E$11*12,'Calc'!$W$14,'Calc'!$Y$14)-(IF('Calc'!$E$14=1,0,MIN(Calc!$S$360*(1+'财富模型'!$E$20/12)+'Calc'!$B$6,IF(Calc!$Q$361&lt;='财富模型'!$E$11*12,'Calc'!$W$14,'Calc'!$Y$14)))))))</x:f>
      </x:c>
      <x:c r="W361" t="str">
        <x:f>IF(Calc!$Q$361&gt;'Calc'!$B$8,"",IF('Calc'!$E$14=1,0,MAX(Calc!$W$360*(1+IF(Calc!$Q$361&lt;='财富模型'!$E$11*12,'财富模型'!$E$10,'财富模型'!$E$12)/12)-IF('Calc'!$E$14=1,0,IF(Calc!$Q$361&lt;='财富模型'!$E$11*12,'Calc'!$W$14,'Calc'!$Y$14)),0)))</x:f>
      </x:c>
      <x:c r="Y361" t="n">
        <x:v>340</x:v>
      </x:c>
      <x:c r="Z361" t="str">
        <x:f>IF(Calc!$Y$361&gt;'Calc'!$B$8,"",MAX(Calc!$Z$360*(1+'财富模型'!$E$6/12)+('Calc'!$B$5-'财富模型'!$E$5-(IF('Calc'!$E$15=1,'财富模型'!$E$9,'财富模型'!$M$7+IF(Calc!$Y$361&lt;='财富模型'!$E$11*12,'Calc'!$W$15,'Calc'!$Y$15)-(IF('Calc'!$E$15=1,0,MIN(Calc!$AA$360*(1+'财富模型'!$E$20/12)+'Calc'!$B$6,IF(Calc!$Y$361&lt;='财富模型'!$E$11*12,'Calc'!$W$15,'Calc'!$Y$15))))))),0))</x:f>
      </x:c>
      <x:c r="AA361" t="str">
        <x:f>IF(Calc!$Y$361&gt;'Calc'!$B$8,"",MAX(Calc!$AA$360*(1+'财富模型'!$E$20/12)+'Calc'!$B$6-(IF('Calc'!$E$15=1,0,MIN(Calc!$AA$360*(1+'财富模型'!$E$20/12)+'Calc'!$B$6,IF(Calc!$Y$361&lt;='财富模型'!$E$11*12,'Calc'!$W$15,'Calc'!$Y$15)))),0))</x:f>
      </x:c>
      <x:c r="AB361" t="str">
        <x:f>IF(Calc!$Y$361&gt;'Calc'!$B$8,"",IF('Calc'!$E$15=1,'财富模型'!$E$9,'财富模型'!$M$7+IF(Calc!$Y$361&lt;='财富模型'!$E$11*12,'Calc'!$W$15,'Calc'!$Y$15)-(IF('Calc'!$E$15=1,0,MIN(Calc!$AA$360*(1+'财富模型'!$E$20/12)+'Calc'!$B$6,IF(Calc!$Y$361&lt;='财富模型'!$E$11*12,'Calc'!$W$15,'Calc'!$Y$15))))))</x:f>
      </x:c>
      <x:c r="AC361" t="str">
        <x:f>IF(Calc!$Y$361&gt;'Calc'!$B$8,"",IF('Calc'!$E$15=1,0,MIN(Calc!$AA$360*(1+'财富模型'!$E$20/12)+'Calc'!$B$6,IF(Calc!$Y$361&lt;='财富模型'!$E$11*12,'Calc'!$W$15,'Calc'!$Y$15))))</x:f>
      </x:c>
      <x:c r="AD361" t="str">
        <x:f>IF(Calc!$Y$361&gt;'Calc'!$B$8,"",'Calc'!$B$5-'财富模型'!$E$5-(IF('Calc'!$E$15=1,'财富模型'!$E$9,'财富模型'!$M$7+IF(Calc!$Y$361&lt;='财富模型'!$E$11*12,'Calc'!$W$15,'Calc'!$Y$15)-(IF('Calc'!$E$15=1,0,MIN(Calc!$AA$360*(1+'财富模型'!$E$20/12)+'Calc'!$B$6,IF(Calc!$Y$361&lt;='财富模型'!$E$11*12,'Calc'!$W$15,'Calc'!$Y$15)))))))</x:f>
      </x:c>
      <x:c r="AE361" t="str">
        <x:f>IF(Calc!$Y$361&gt;'Calc'!$B$8,"",IF('Calc'!$E$15=1,0,MAX(Calc!$AE$360*(1+IF(Calc!$Y$361&lt;='财富模型'!$E$11*12,'财富模型'!$E$10,'财富模型'!$E$12)/12)-IF('Calc'!$E$15=1,0,IF(Calc!$Y$361&lt;='财富模型'!$E$11*12,'Calc'!$W$15,'Calc'!$Y$15)),0)))</x:f>
      </x:c>
      <x:c r="AG361" t="n">
        <x:v>340</x:v>
      </x:c>
      <x:c r="AH361" t="str">
        <x:f>IF(Calc!$AG$361&gt;'Calc'!$B$8,"",MAX(Calc!$AH$360*(1+'财富模型'!$E$6/12)+('Calc'!$B$5-'财富模型'!$E$5-(IF('Calc'!$E$16=1,'财富模型'!$E$9,'财富模型'!$M$8+IF(Calc!$AG$361&lt;='财富模型'!$E$11*12,'Calc'!$W$16,'Calc'!$Y$16)-(IF('Calc'!$E$16=1,0,MIN(Calc!$AI$360*(1+'财富模型'!$E$20/12)+'Calc'!$B$6,IF(Calc!$AG$361&lt;='财富模型'!$E$11*12,'Calc'!$W$16,'Calc'!$Y$16))))))),0))</x:f>
      </x:c>
      <x:c r="AI361" t="str">
        <x:f>IF(Calc!$AG$361&gt;'Calc'!$B$8,"",MAX(Calc!$AI$360*(1+'财富模型'!$E$20/12)+'Calc'!$B$6-(IF('Calc'!$E$16=1,0,MIN(Calc!$AI$360*(1+'财富模型'!$E$20/12)+'Calc'!$B$6,IF(Calc!$AG$361&lt;='财富模型'!$E$11*12,'Calc'!$W$16,'Calc'!$Y$16)))),0))</x:f>
      </x:c>
      <x:c r="AJ361" t="str">
        <x:f>IF(Calc!$AG$361&gt;'Calc'!$B$8,"",IF('Calc'!$E$16=1,'财富模型'!$E$9,'财富模型'!$M$8+IF(Calc!$AG$361&lt;='财富模型'!$E$11*12,'Calc'!$W$16,'Calc'!$Y$16)-(IF('Calc'!$E$16=1,0,MIN(Calc!$AI$360*(1+'财富模型'!$E$20/12)+'Calc'!$B$6,IF(Calc!$AG$361&lt;='财富模型'!$E$11*12,'Calc'!$W$16,'Calc'!$Y$16))))))</x:f>
      </x:c>
      <x:c r="AK361" t="str">
        <x:f>IF(Calc!$AG$361&gt;'Calc'!$B$8,"",IF('Calc'!$E$16=1,0,MIN(Calc!$AI$360*(1+'财富模型'!$E$20/12)+'Calc'!$B$6,IF(Calc!$AG$361&lt;='财富模型'!$E$11*12,'Calc'!$W$16,'Calc'!$Y$16))))</x:f>
      </x:c>
      <x:c r="AL361" t="str">
        <x:f>IF(Calc!$AG$361&gt;'Calc'!$B$8,"",'Calc'!$B$5-'财富模型'!$E$5-(IF('Calc'!$E$16=1,'财富模型'!$E$9,'财富模型'!$M$8+IF(Calc!$AG$361&lt;='财富模型'!$E$11*12,'Calc'!$W$16,'Calc'!$Y$16)-(IF('Calc'!$E$16=1,0,MIN(Calc!$AI$360*(1+'财富模型'!$E$20/12)+'Calc'!$B$6,IF(Calc!$AG$361&lt;='财富模型'!$E$11*12,'Calc'!$W$16,'Calc'!$Y$16)))))))</x:f>
      </x:c>
      <x:c r="AM361" t="str">
        <x:f>IF(Calc!$AG$361&gt;'Calc'!$B$8,"",IF('Calc'!$E$16=1,0,MAX(Calc!$AM$360*(1+IF(Calc!$AG$361&lt;='财富模型'!$E$11*12,'财富模型'!$E$10,'财富模型'!$E$12)/12)-IF('Calc'!$E$16=1,0,IF(Calc!$AG$361&lt;='财富模型'!$E$11*12,'Calc'!$W$16,'Calc'!$Y$16)),0)))</x:f>
      </x:c>
      <x:c r="AO361" t="n">
        <x:v>340</x:v>
      </x:c>
      <x:c r="AP361" t="str">
        <x:f>IF(Calc!$AO$361&gt;'Calc'!$B$8,"",MAX(Calc!$AP$360*(1+'财富模型'!$E$6/12)+('Calc'!$B$5-'财富模型'!$E$5-(IF('Calc'!$E$17=1,'财富模型'!$E$9,'财富模型'!$M$9+IF(Calc!$AO$361&lt;='财富模型'!$E$11*12,'Calc'!$W$17,'Calc'!$Y$17)-(IF('Calc'!$E$17=1,0,MIN(Calc!$AQ$360*(1+'财富模型'!$E$20/12)+'Calc'!$B$6,IF(Calc!$AO$361&lt;='财富模型'!$E$11*12,'Calc'!$W$17,'Calc'!$Y$17))))))),0))</x:f>
      </x:c>
      <x:c r="AQ361" t="str">
        <x:f>IF(Calc!$AO$361&gt;'Calc'!$B$8,"",MAX(Calc!$AQ$360*(1+'财富模型'!$E$20/12)+'Calc'!$B$6-(IF('Calc'!$E$17=1,0,MIN(Calc!$AQ$360*(1+'财富模型'!$E$20/12)+'Calc'!$B$6,IF(Calc!$AO$361&lt;='财富模型'!$E$11*12,'Calc'!$W$17,'Calc'!$Y$17)))),0))</x:f>
      </x:c>
      <x:c r="AR361" t="str">
        <x:f>IF(Calc!$AO$361&gt;'Calc'!$B$8,"",IF('Calc'!$E$17=1,'财富模型'!$E$9,'财富模型'!$M$9+IF(Calc!$AO$361&lt;='财富模型'!$E$11*12,'Calc'!$W$17,'Calc'!$Y$17)-(IF('Calc'!$E$17=1,0,MIN(Calc!$AQ$360*(1+'财富模型'!$E$20/12)+'Calc'!$B$6,IF(Calc!$AO$361&lt;='财富模型'!$E$11*12,'Calc'!$W$17,'Calc'!$Y$17))))))</x:f>
      </x:c>
      <x:c r="AS361" t="str">
        <x:f>IF(Calc!$AO$361&gt;'Calc'!$B$8,"",IF('Calc'!$E$17=1,0,MIN(Calc!$AQ$360*(1+'财富模型'!$E$20/12)+'Calc'!$B$6,IF(Calc!$AO$361&lt;='财富模型'!$E$11*12,'Calc'!$W$17,'Calc'!$Y$17))))</x:f>
      </x:c>
      <x:c r="AT361" t="str">
        <x:f>IF(Calc!$AO$361&gt;'Calc'!$B$8,"",'Calc'!$B$5-'财富模型'!$E$5-(IF('Calc'!$E$17=1,'财富模型'!$E$9,'财富模型'!$M$9+IF(Calc!$AO$361&lt;='财富模型'!$E$11*12,'Calc'!$W$17,'Calc'!$Y$17)-(IF('Calc'!$E$17=1,0,MIN(Calc!$AQ$360*(1+'财富模型'!$E$20/12)+'Calc'!$B$6,IF(Calc!$AO$361&lt;='财富模型'!$E$11*12,'Calc'!$W$17,'Calc'!$Y$17)))))))</x:f>
      </x:c>
      <x:c r="AU361" t="str">
        <x:f>IF(Calc!$AO$361&gt;'Calc'!$B$8,"",IF('Calc'!$E$17=1,0,MAX(Calc!$AU$360*(1+IF(Calc!$AO$361&lt;='财富模型'!$E$11*12,'财富模型'!$E$10,'财富模型'!$E$12)/12)-IF('Calc'!$E$17=1,0,IF(Calc!$AO$361&lt;='财富模型'!$E$11*12,'Calc'!$W$17,'Calc'!$Y$17)),0)))</x:f>
      </x:c>
    </x:row>
    <x:row r="362">
      <x:c r="A362" t="n">
        <x:v>341</x:v>
      </x:c>
      <x:c r="B362" t="str">
        <x:f>IF(Calc!$A$362&gt;'Calc'!$B$8,"",MAX(Calc!$B$361*(1+'财富模型'!$E$6/12)+('Calc'!$B$5-'财富模型'!$E$5-(IF('Calc'!$E$12=1,'财富模型'!$E$9,'财富模型'!$M$4+IF(Calc!$A$362&lt;='财富模型'!$E$11*12,'Calc'!$W$12,'Calc'!$Y$12)-(IF('Calc'!$E$12=1,0,MIN(Calc!$C$361*(1+'财富模型'!$E$20/12)+'Calc'!$B$6,IF(Calc!$A$362&lt;='财富模型'!$E$11*12,'Calc'!$W$12,'Calc'!$Y$12))))))),0))</x:f>
      </x:c>
      <x:c r="C362" t="str">
        <x:f>IF(Calc!$A$362&gt;'Calc'!$B$8,"",MAX(Calc!$C$361*(1+'财富模型'!$E$20/12)+'Calc'!$B$6-(IF('Calc'!$E$12=1,0,MIN(Calc!$C$361*(1+'财富模型'!$E$20/12)+'Calc'!$B$6,IF(Calc!$A$362&lt;='财富模型'!$E$11*12,'Calc'!$W$12,'Calc'!$Y$12)))),0))</x:f>
      </x:c>
      <x:c r="D362" t="str">
        <x:f>IF(Calc!$A$362&gt;'Calc'!$B$8,"",IF('Calc'!$E$12=1,'财富模型'!$E$9,'财富模型'!$M$4+IF(Calc!$A$362&lt;='财富模型'!$E$11*12,'Calc'!$W$12,'Calc'!$Y$12)-(IF('Calc'!$E$12=1,0,MIN(Calc!$C$361*(1+'财富模型'!$E$20/12)+'Calc'!$B$6,IF(Calc!$A$362&lt;='财富模型'!$E$11*12,'Calc'!$W$12,'Calc'!$Y$12))))))</x:f>
      </x:c>
      <x:c r="E362" t="str">
        <x:f>IF(Calc!$A$362&gt;'Calc'!$B$8,"",IF('Calc'!$E$12=1,0,MIN(Calc!$C$361*(1+'财富模型'!$E$20/12)+'Calc'!$B$6,IF(Calc!$A$362&lt;='财富模型'!$E$11*12,'Calc'!$W$12,'Calc'!$Y$12))))</x:f>
      </x:c>
      <x:c r="F362" t="str">
        <x:f>IF(Calc!$A$362&gt;'Calc'!$B$8,"",'Calc'!$B$5-'财富模型'!$E$5-(IF('Calc'!$E$12=1,'财富模型'!$E$9,'财富模型'!$M$4+IF(Calc!$A$362&lt;='财富模型'!$E$11*12,'Calc'!$W$12,'Calc'!$Y$12)-(IF('Calc'!$E$12=1,0,MIN(Calc!$C$361*(1+'财富模型'!$E$20/12)+'Calc'!$B$6,IF(Calc!$A$362&lt;='财富模型'!$E$11*12,'Calc'!$W$12,'Calc'!$Y$12)))))))</x:f>
      </x:c>
      <x:c r="G362" t="str">
        <x:f>IF(Calc!$A$362&gt;'Calc'!$B$8,"",IF('Calc'!$E$12=1,0,MAX(Calc!$G$361*(1+IF(Calc!$A$362&lt;='财富模型'!$E$11*12,'财富模型'!$E$10,'财富模型'!$E$12)/12)-IF('Calc'!$E$12=1,0,IF(Calc!$A$362&lt;='财富模型'!$E$11*12,'Calc'!$W$12,'Calc'!$Y$12)),0)))</x:f>
      </x:c>
      <x:c r="I362" t="n">
        <x:v>341</x:v>
      </x:c>
      <x:c r="J362" t="str">
        <x:f>IF(Calc!$I$362&gt;'Calc'!$B$8,"",MAX(Calc!$J$361*(1+'财富模型'!$E$6/12)+('Calc'!$B$5-'财富模型'!$E$5-(IF('Calc'!$E$13=1,'财富模型'!$E$9,'财富模型'!$M$5+IF(Calc!$I$362&lt;='财富模型'!$E$11*12,'Calc'!$W$13,'Calc'!$Y$13)-(IF('Calc'!$E$13=1,0,MIN(Calc!$K$361*(1+'财富模型'!$E$20/12)+'Calc'!$B$6,IF(Calc!$I$362&lt;='财富模型'!$E$11*12,'Calc'!$W$13,'Calc'!$Y$13))))))),0))</x:f>
      </x:c>
      <x:c r="K362" t="str">
        <x:f>IF(Calc!$I$362&gt;'Calc'!$B$8,"",MAX(Calc!$K$361*(1+'财富模型'!$E$20/12)+'Calc'!$B$6-(IF('Calc'!$E$13=1,0,MIN(Calc!$K$361*(1+'财富模型'!$E$20/12)+'Calc'!$B$6,IF(Calc!$I$362&lt;='财富模型'!$E$11*12,'Calc'!$W$13,'Calc'!$Y$13)))),0))</x:f>
      </x:c>
      <x:c r="L362" t="str">
        <x:f>IF(Calc!$I$362&gt;'Calc'!$B$8,"",IF('Calc'!$E$13=1,'财富模型'!$E$9,'财富模型'!$M$5+IF(Calc!$I$362&lt;='财富模型'!$E$11*12,'Calc'!$W$13,'Calc'!$Y$13)-(IF('Calc'!$E$13=1,0,MIN(Calc!$K$361*(1+'财富模型'!$E$20/12)+'Calc'!$B$6,IF(Calc!$I$362&lt;='财富模型'!$E$11*12,'Calc'!$W$13,'Calc'!$Y$13))))))</x:f>
      </x:c>
      <x:c r="M362" t="str">
        <x:f>IF(Calc!$I$362&gt;'Calc'!$B$8,"",IF('Calc'!$E$13=1,0,MIN(Calc!$K$361*(1+'财富模型'!$E$20/12)+'Calc'!$B$6,IF(Calc!$I$362&lt;='财富模型'!$E$11*12,'Calc'!$W$13,'Calc'!$Y$13))))</x:f>
      </x:c>
      <x:c r="N362" t="str">
        <x:f>IF(Calc!$I$362&gt;'Calc'!$B$8,"",'Calc'!$B$5-'财富模型'!$E$5-(IF('Calc'!$E$13=1,'财富模型'!$E$9,'财富模型'!$M$5+IF(Calc!$I$362&lt;='财富模型'!$E$11*12,'Calc'!$W$13,'Calc'!$Y$13)-(IF('Calc'!$E$13=1,0,MIN(Calc!$K$361*(1+'财富模型'!$E$20/12)+'Calc'!$B$6,IF(Calc!$I$362&lt;='财富模型'!$E$11*12,'Calc'!$W$13,'Calc'!$Y$13)))))))</x:f>
      </x:c>
      <x:c r="O362" t="str">
        <x:f>IF(Calc!$I$362&gt;'Calc'!$B$8,"",IF('Calc'!$E$13=1,0,MAX(Calc!$O$361*(1+IF(Calc!$I$362&lt;='财富模型'!$E$11*12,'财富模型'!$E$10,'财富模型'!$E$12)/12)-IF('Calc'!$E$13=1,0,IF(Calc!$I$362&lt;='财富模型'!$E$11*12,'Calc'!$W$13,'Calc'!$Y$13)),0)))</x:f>
      </x:c>
      <x:c r="Q362" t="n">
        <x:v>341</x:v>
      </x:c>
      <x:c r="R362" t="str">
        <x:f>IF(Calc!$Q$362&gt;'Calc'!$B$8,"",MAX(Calc!$R$361*(1+'财富模型'!$E$6/12)+('Calc'!$B$5-'财富模型'!$E$5-(IF('Calc'!$E$14=1,'财富模型'!$E$9,'财富模型'!$M$6+IF(Calc!$Q$362&lt;='财富模型'!$E$11*12,'Calc'!$W$14,'Calc'!$Y$14)-(IF('Calc'!$E$14=1,0,MIN(Calc!$S$361*(1+'财富模型'!$E$20/12)+'Calc'!$B$6,IF(Calc!$Q$362&lt;='财富模型'!$E$11*12,'Calc'!$W$14,'Calc'!$Y$14))))))),0))</x:f>
      </x:c>
      <x:c r="S362" t="str">
        <x:f>IF(Calc!$Q$362&gt;'Calc'!$B$8,"",MAX(Calc!$S$361*(1+'财富模型'!$E$20/12)+'Calc'!$B$6-(IF('Calc'!$E$14=1,0,MIN(Calc!$S$361*(1+'财富模型'!$E$20/12)+'Calc'!$B$6,IF(Calc!$Q$362&lt;='财富模型'!$E$11*12,'Calc'!$W$14,'Calc'!$Y$14)))),0))</x:f>
      </x:c>
      <x:c r="T362" t="str">
        <x:f>IF(Calc!$Q$362&gt;'Calc'!$B$8,"",IF('Calc'!$E$14=1,'财富模型'!$E$9,'财富模型'!$M$6+IF(Calc!$Q$362&lt;='财富模型'!$E$11*12,'Calc'!$W$14,'Calc'!$Y$14)-(IF('Calc'!$E$14=1,0,MIN(Calc!$S$361*(1+'财富模型'!$E$20/12)+'Calc'!$B$6,IF(Calc!$Q$362&lt;='财富模型'!$E$11*12,'Calc'!$W$14,'Calc'!$Y$14))))))</x:f>
      </x:c>
      <x:c r="U362" t="str">
        <x:f>IF(Calc!$Q$362&gt;'Calc'!$B$8,"",IF('Calc'!$E$14=1,0,MIN(Calc!$S$361*(1+'财富模型'!$E$20/12)+'Calc'!$B$6,IF(Calc!$Q$362&lt;='财富模型'!$E$11*12,'Calc'!$W$14,'Calc'!$Y$14))))</x:f>
      </x:c>
      <x:c r="V362" t="str">
        <x:f>IF(Calc!$Q$362&gt;'Calc'!$B$8,"",'Calc'!$B$5-'财富模型'!$E$5-(IF('Calc'!$E$14=1,'财富模型'!$E$9,'财富模型'!$M$6+IF(Calc!$Q$362&lt;='财富模型'!$E$11*12,'Calc'!$W$14,'Calc'!$Y$14)-(IF('Calc'!$E$14=1,0,MIN(Calc!$S$361*(1+'财富模型'!$E$20/12)+'Calc'!$B$6,IF(Calc!$Q$362&lt;='财富模型'!$E$11*12,'Calc'!$W$14,'Calc'!$Y$14)))))))</x:f>
      </x:c>
      <x:c r="W362" t="str">
        <x:f>IF(Calc!$Q$362&gt;'Calc'!$B$8,"",IF('Calc'!$E$14=1,0,MAX(Calc!$W$361*(1+IF(Calc!$Q$362&lt;='财富模型'!$E$11*12,'财富模型'!$E$10,'财富模型'!$E$12)/12)-IF('Calc'!$E$14=1,0,IF(Calc!$Q$362&lt;='财富模型'!$E$11*12,'Calc'!$W$14,'Calc'!$Y$14)),0)))</x:f>
      </x:c>
      <x:c r="Y362" t="n">
        <x:v>341</x:v>
      </x:c>
      <x:c r="Z362" t="str">
        <x:f>IF(Calc!$Y$362&gt;'Calc'!$B$8,"",MAX(Calc!$Z$361*(1+'财富模型'!$E$6/12)+('Calc'!$B$5-'财富模型'!$E$5-(IF('Calc'!$E$15=1,'财富模型'!$E$9,'财富模型'!$M$7+IF(Calc!$Y$362&lt;='财富模型'!$E$11*12,'Calc'!$W$15,'Calc'!$Y$15)-(IF('Calc'!$E$15=1,0,MIN(Calc!$AA$361*(1+'财富模型'!$E$20/12)+'Calc'!$B$6,IF(Calc!$Y$362&lt;='财富模型'!$E$11*12,'Calc'!$W$15,'Calc'!$Y$15))))))),0))</x:f>
      </x:c>
      <x:c r="AA362" t="str">
        <x:f>IF(Calc!$Y$362&gt;'Calc'!$B$8,"",MAX(Calc!$AA$361*(1+'财富模型'!$E$20/12)+'Calc'!$B$6-(IF('Calc'!$E$15=1,0,MIN(Calc!$AA$361*(1+'财富模型'!$E$20/12)+'Calc'!$B$6,IF(Calc!$Y$362&lt;='财富模型'!$E$11*12,'Calc'!$W$15,'Calc'!$Y$15)))),0))</x:f>
      </x:c>
      <x:c r="AB362" t="str">
        <x:f>IF(Calc!$Y$362&gt;'Calc'!$B$8,"",IF('Calc'!$E$15=1,'财富模型'!$E$9,'财富模型'!$M$7+IF(Calc!$Y$362&lt;='财富模型'!$E$11*12,'Calc'!$W$15,'Calc'!$Y$15)-(IF('Calc'!$E$15=1,0,MIN(Calc!$AA$361*(1+'财富模型'!$E$20/12)+'Calc'!$B$6,IF(Calc!$Y$362&lt;='财富模型'!$E$11*12,'Calc'!$W$15,'Calc'!$Y$15))))))</x:f>
      </x:c>
      <x:c r="AC362" t="str">
        <x:f>IF(Calc!$Y$362&gt;'Calc'!$B$8,"",IF('Calc'!$E$15=1,0,MIN(Calc!$AA$361*(1+'财富模型'!$E$20/12)+'Calc'!$B$6,IF(Calc!$Y$362&lt;='财富模型'!$E$11*12,'Calc'!$W$15,'Calc'!$Y$15))))</x:f>
      </x:c>
      <x:c r="AD362" t="str">
        <x:f>IF(Calc!$Y$362&gt;'Calc'!$B$8,"",'Calc'!$B$5-'财富模型'!$E$5-(IF('Calc'!$E$15=1,'财富模型'!$E$9,'财富模型'!$M$7+IF(Calc!$Y$362&lt;='财富模型'!$E$11*12,'Calc'!$W$15,'Calc'!$Y$15)-(IF('Calc'!$E$15=1,0,MIN(Calc!$AA$361*(1+'财富模型'!$E$20/12)+'Calc'!$B$6,IF(Calc!$Y$362&lt;='财富模型'!$E$11*12,'Calc'!$W$15,'Calc'!$Y$15)))))))</x:f>
      </x:c>
      <x:c r="AE362" t="str">
        <x:f>IF(Calc!$Y$362&gt;'Calc'!$B$8,"",IF('Calc'!$E$15=1,0,MAX(Calc!$AE$361*(1+IF(Calc!$Y$362&lt;='财富模型'!$E$11*12,'财富模型'!$E$10,'财富模型'!$E$12)/12)-IF('Calc'!$E$15=1,0,IF(Calc!$Y$362&lt;='财富模型'!$E$11*12,'Calc'!$W$15,'Calc'!$Y$15)),0)))</x:f>
      </x:c>
      <x:c r="AG362" t="n">
        <x:v>341</x:v>
      </x:c>
      <x:c r="AH362" t="str">
        <x:f>IF(Calc!$AG$362&gt;'Calc'!$B$8,"",MAX(Calc!$AH$361*(1+'财富模型'!$E$6/12)+('Calc'!$B$5-'财富模型'!$E$5-(IF('Calc'!$E$16=1,'财富模型'!$E$9,'财富模型'!$M$8+IF(Calc!$AG$362&lt;='财富模型'!$E$11*12,'Calc'!$W$16,'Calc'!$Y$16)-(IF('Calc'!$E$16=1,0,MIN(Calc!$AI$361*(1+'财富模型'!$E$20/12)+'Calc'!$B$6,IF(Calc!$AG$362&lt;='财富模型'!$E$11*12,'Calc'!$W$16,'Calc'!$Y$16))))))),0))</x:f>
      </x:c>
      <x:c r="AI362" t="str">
        <x:f>IF(Calc!$AG$362&gt;'Calc'!$B$8,"",MAX(Calc!$AI$361*(1+'财富模型'!$E$20/12)+'Calc'!$B$6-(IF('Calc'!$E$16=1,0,MIN(Calc!$AI$361*(1+'财富模型'!$E$20/12)+'Calc'!$B$6,IF(Calc!$AG$362&lt;='财富模型'!$E$11*12,'Calc'!$W$16,'Calc'!$Y$16)))),0))</x:f>
      </x:c>
      <x:c r="AJ362" t="str">
        <x:f>IF(Calc!$AG$362&gt;'Calc'!$B$8,"",IF('Calc'!$E$16=1,'财富模型'!$E$9,'财富模型'!$M$8+IF(Calc!$AG$362&lt;='财富模型'!$E$11*12,'Calc'!$W$16,'Calc'!$Y$16)-(IF('Calc'!$E$16=1,0,MIN(Calc!$AI$361*(1+'财富模型'!$E$20/12)+'Calc'!$B$6,IF(Calc!$AG$362&lt;='财富模型'!$E$11*12,'Calc'!$W$16,'Calc'!$Y$16))))))</x:f>
      </x:c>
      <x:c r="AK362" t="str">
        <x:f>IF(Calc!$AG$362&gt;'Calc'!$B$8,"",IF('Calc'!$E$16=1,0,MIN(Calc!$AI$361*(1+'财富模型'!$E$20/12)+'Calc'!$B$6,IF(Calc!$AG$362&lt;='财富模型'!$E$11*12,'Calc'!$W$16,'Calc'!$Y$16))))</x:f>
      </x:c>
      <x:c r="AL362" t="str">
        <x:f>IF(Calc!$AG$362&gt;'Calc'!$B$8,"",'Calc'!$B$5-'财富模型'!$E$5-(IF('Calc'!$E$16=1,'财富模型'!$E$9,'财富模型'!$M$8+IF(Calc!$AG$362&lt;='财富模型'!$E$11*12,'Calc'!$W$16,'Calc'!$Y$16)-(IF('Calc'!$E$16=1,0,MIN(Calc!$AI$361*(1+'财富模型'!$E$20/12)+'Calc'!$B$6,IF(Calc!$AG$362&lt;='财富模型'!$E$11*12,'Calc'!$W$16,'Calc'!$Y$16)))))))</x:f>
      </x:c>
      <x:c r="AM362" t="str">
        <x:f>IF(Calc!$AG$362&gt;'Calc'!$B$8,"",IF('Calc'!$E$16=1,0,MAX(Calc!$AM$361*(1+IF(Calc!$AG$362&lt;='财富模型'!$E$11*12,'财富模型'!$E$10,'财富模型'!$E$12)/12)-IF('Calc'!$E$16=1,0,IF(Calc!$AG$362&lt;='财富模型'!$E$11*12,'Calc'!$W$16,'Calc'!$Y$16)),0)))</x:f>
      </x:c>
      <x:c r="AO362" t="n">
        <x:v>341</x:v>
      </x:c>
      <x:c r="AP362" t="str">
        <x:f>IF(Calc!$AO$362&gt;'Calc'!$B$8,"",MAX(Calc!$AP$361*(1+'财富模型'!$E$6/12)+('Calc'!$B$5-'财富模型'!$E$5-(IF('Calc'!$E$17=1,'财富模型'!$E$9,'财富模型'!$M$9+IF(Calc!$AO$362&lt;='财富模型'!$E$11*12,'Calc'!$W$17,'Calc'!$Y$17)-(IF('Calc'!$E$17=1,0,MIN(Calc!$AQ$361*(1+'财富模型'!$E$20/12)+'Calc'!$B$6,IF(Calc!$AO$362&lt;='财富模型'!$E$11*12,'Calc'!$W$17,'Calc'!$Y$17))))))),0))</x:f>
      </x:c>
      <x:c r="AQ362" t="str">
        <x:f>IF(Calc!$AO$362&gt;'Calc'!$B$8,"",MAX(Calc!$AQ$361*(1+'财富模型'!$E$20/12)+'Calc'!$B$6-(IF('Calc'!$E$17=1,0,MIN(Calc!$AQ$361*(1+'财富模型'!$E$20/12)+'Calc'!$B$6,IF(Calc!$AO$362&lt;='财富模型'!$E$11*12,'Calc'!$W$17,'Calc'!$Y$17)))),0))</x:f>
      </x:c>
      <x:c r="AR362" t="str">
        <x:f>IF(Calc!$AO$362&gt;'Calc'!$B$8,"",IF('Calc'!$E$17=1,'财富模型'!$E$9,'财富模型'!$M$9+IF(Calc!$AO$362&lt;='财富模型'!$E$11*12,'Calc'!$W$17,'Calc'!$Y$17)-(IF('Calc'!$E$17=1,0,MIN(Calc!$AQ$361*(1+'财富模型'!$E$20/12)+'Calc'!$B$6,IF(Calc!$AO$362&lt;='财富模型'!$E$11*12,'Calc'!$W$17,'Calc'!$Y$17))))))</x:f>
      </x:c>
      <x:c r="AS362" t="str">
        <x:f>IF(Calc!$AO$362&gt;'Calc'!$B$8,"",IF('Calc'!$E$17=1,0,MIN(Calc!$AQ$361*(1+'财富模型'!$E$20/12)+'Calc'!$B$6,IF(Calc!$AO$362&lt;='财富模型'!$E$11*12,'Calc'!$W$17,'Calc'!$Y$17))))</x:f>
      </x:c>
      <x:c r="AT362" t="str">
        <x:f>IF(Calc!$AO$362&gt;'Calc'!$B$8,"",'Calc'!$B$5-'财富模型'!$E$5-(IF('Calc'!$E$17=1,'财富模型'!$E$9,'财富模型'!$M$9+IF(Calc!$AO$362&lt;='财富模型'!$E$11*12,'Calc'!$W$17,'Calc'!$Y$17)-(IF('Calc'!$E$17=1,0,MIN(Calc!$AQ$361*(1+'财富模型'!$E$20/12)+'Calc'!$B$6,IF(Calc!$AO$362&lt;='财富模型'!$E$11*12,'Calc'!$W$17,'Calc'!$Y$17)))))))</x:f>
      </x:c>
      <x:c r="AU362" t="str">
        <x:f>IF(Calc!$AO$362&gt;'Calc'!$B$8,"",IF('Calc'!$E$17=1,0,MAX(Calc!$AU$361*(1+IF(Calc!$AO$362&lt;='财富模型'!$E$11*12,'财富模型'!$E$10,'财富模型'!$E$12)/12)-IF('Calc'!$E$17=1,0,IF(Calc!$AO$362&lt;='财富模型'!$E$11*12,'Calc'!$W$17,'Calc'!$Y$17)),0)))</x:f>
      </x:c>
    </x:row>
    <x:row r="363">
      <x:c r="A363" t="n">
        <x:v>342</x:v>
      </x:c>
      <x:c r="B363" t="str">
        <x:f>IF(Calc!$A$363&gt;'Calc'!$B$8,"",MAX(Calc!$B$362*(1+'财富模型'!$E$6/12)+('Calc'!$B$5-'财富模型'!$E$5-(IF('Calc'!$E$12=1,'财富模型'!$E$9,'财富模型'!$M$4+IF(Calc!$A$363&lt;='财富模型'!$E$11*12,'Calc'!$W$12,'Calc'!$Y$12)-(IF('Calc'!$E$12=1,0,MIN(Calc!$C$362*(1+'财富模型'!$E$20/12)+'Calc'!$B$6,IF(Calc!$A$363&lt;='财富模型'!$E$11*12,'Calc'!$W$12,'Calc'!$Y$12))))))),0))</x:f>
      </x:c>
      <x:c r="C363" t="str">
        <x:f>IF(Calc!$A$363&gt;'Calc'!$B$8,"",MAX(Calc!$C$362*(1+'财富模型'!$E$20/12)+'Calc'!$B$6-(IF('Calc'!$E$12=1,0,MIN(Calc!$C$362*(1+'财富模型'!$E$20/12)+'Calc'!$B$6,IF(Calc!$A$363&lt;='财富模型'!$E$11*12,'Calc'!$W$12,'Calc'!$Y$12)))),0))</x:f>
      </x:c>
      <x:c r="D363" t="str">
        <x:f>IF(Calc!$A$363&gt;'Calc'!$B$8,"",IF('Calc'!$E$12=1,'财富模型'!$E$9,'财富模型'!$M$4+IF(Calc!$A$363&lt;='财富模型'!$E$11*12,'Calc'!$W$12,'Calc'!$Y$12)-(IF('Calc'!$E$12=1,0,MIN(Calc!$C$362*(1+'财富模型'!$E$20/12)+'Calc'!$B$6,IF(Calc!$A$363&lt;='财富模型'!$E$11*12,'Calc'!$W$12,'Calc'!$Y$12))))))</x:f>
      </x:c>
      <x:c r="E363" t="str">
        <x:f>IF(Calc!$A$363&gt;'Calc'!$B$8,"",IF('Calc'!$E$12=1,0,MIN(Calc!$C$362*(1+'财富模型'!$E$20/12)+'Calc'!$B$6,IF(Calc!$A$363&lt;='财富模型'!$E$11*12,'Calc'!$W$12,'Calc'!$Y$12))))</x:f>
      </x:c>
      <x:c r="F363" t="str">
        <x:f>IF(Calc!$A$363&gt;'Calc'!$B$8,"",'Calc'!$B$5-'财富模型'!$E$5-(IF('Calc'!$E$12=1,'财富模型'!$E$9,'财富模型'!$M$4+IF(Calc!$A$363&lt;='财富模型'!$E$11*12,'Calc'!$W$12,'Calc'!$Y$12)-(IF('Calc'!$E$12=1,0,MIN(Calc!$C$362*(1+'财富模型'!$E$20/12)+'Calc'!$B$6,IF(Calc!$A$363&lt;='财富模型'!$E$11*12,'Calc'!$W$12,'Calc'!$Y$12)))))))</x:f>
      </x:c>
      <x:c r="G363" t="str">
        <x:f>IF(Calc!$A$363&gt;'Calc'!$B$8,"",IF('Calc'!$E$12=1,0,MAX(Calc!$G$362*(1+IF(Calc!$A$363&lt;='财富模型'!$E$11*12,'财富模型'!$E$10,'财富模型'!$E$12)/12)-IF('Calc'!$E$12=1,0,IF(Calc!$A$363&lt;='财富模型'!$E$11*12,'Calc'!$W$12,'Calc'!$Y$12)),0)))</x:f>
      </x:c>
      <x:c r="I363" t="n">
        <x:v>342</x:v>
      </x:c>
      <x:c r="J363" t="str">
        <x:f>IF(Calc!$I$363&gt;'Calc'!$B$8,"",MAX(Calc!$J$362*(1+'财富模型'!$E$6/12)+('Calc'!$B$5-'财富模型'!$E$5-(IF('Calc'!$E$13=1,'财富模型'!$E$9,'财富模型'!$M$5+IF(Calc!$I$363&lt;='财富模型'!$E$11*12,'Calc'!$W$13,'Calc'!$Y$13)-(IF('Calc'!$E$13=1,0,MIN(Calc!$K$362*(1+'财富模型'!$E$20/12)+'Calc'!$B$6,IF(Calc!$I$363&lt;='财富模型'!$E$11*12,'Calc'!$W$13,'Calc'!$Y$13))))))),0))</x:f>
      </x:c>
      <x:c r="K363" t="str">
        <x:f>IF(Calc!$I$363&gt;'Calc'!$B$8,"",MAX(Calc!$K$362*(1+'财富模型'!$E$20/12)+'Calc'!$B$6-(IF('Calc'!$E$13=1,0,MIN(Calc!$K$362*(1+'财富模型'!$E$20/12)+'Calc'!$B$6,IF(Calc!$I$363&lt;='财富模型'!$E$11*12,'Calc'!$W$13,'Calc'!$Y$13)))),0))</x:f>
      </x:c>
      <x:c r="L363" t="str">
        <x:f>IF(Calc!$I$363&gt;'Calc'!$B$8,"",IF('Calc'!$E$13=1,'财富模型'!$E$9,'财富模型'!$M$5+IF(Calc!$I$363&lt;='财富模型'!$E$11*12,'Calc'!$W$13,'Calc'!$Y$13)-(IF('Calc'!$E$13=1,0,MIN(Calc!$K$362*(1+'财富模型'!$E$20/12)+'Calc'!$B$6,IF(Calc!$I$363&lt;='财富模型'!$E$11*12,'Calc'!$W$13,'Calc'!$Y$13))))))</x:f>
      </x:c>
      <x:c r="M363" t="str">
        <x:f>IF(Calc!$I$363&gt;'Calc'!$B$8,"",IF('Calc'!$E$13=1,0,MIN(Calc!$K$362*(1+'财富模型'!$E$20/12)+'Calc'!$B$6,IF(Calc!$I$363&lt;='财富模型'!$E$11*12,'Calc'!$W$13,'Calc'!$Y$13))))</x:f>
      </x:c>
      <x:c r="N363" t="str">
        <x:f>IF(Calc!$I$363&gt;'Calc'!$B$8,"",'Calc'!$B$5-'财富模型'!$E$5-(IF('Calc'!$E$13=1,'财富模型'!$E$9,'财富模型'!$M$5+IF(Calc!$I$363&lt;='财富模型'!$E$11*12,'Calc'!$W$13,'Calc'!$Y$13)-(IF('Calc'!$E$13=1,0,MIN(Calc!$K$362*(1+'财富模型'!$E$20/12)+'Calc'!$B$6,IF(Calc!$I$363&lt;='财富模型'!$E$11*12,'Calc'!$W$13,'Calc'!$Y$13)))))))</x:f>
      </x:c>
      <x:c r="O363" t="str">
        <x:f>IF(Calc!$I$363&gt;'Calc'!$B$8,"",IF('Calc'!$E$13=1,0,MAX(Calc!$O$362*(1+IF(Calc!$I$363&lt;='财富模型'!$E$11*12,'财富模型'!$E$10,'财富模型'!$E$12)/12)-IF('Calc'!$E$13=1,0,IF(Calc!$I$363&lt;='财富模型'!$E$11*12,'Calc'!$W$13,'Calc'!$Y$13)),0)))</x:f>
      </x:c>
      <x:c r="Q363" t="n">
        <x:v>342</x:v>
      </x:c>
      <x:c r="R363" t="str">
        <x:f>IF(Calc!$Q$363&gt;'Calc'!$B$8,"",MAX(Calc!$R$362*(1+'财富模型'!$E$6/12)+('Calc'!$B$5-'财富模型'!$E$5-(IF('Calc'!$E$14=1,'财富模型'!$E$9,'财富模型'!$M$6+IF(Calc!$Q$363&lt;='财富模型'!$E$11*12,'Calc'!$W$14,'Calc'!$Y$14)-(IF('Calc'!$E$14=1,0,MIN(Calc!$S$362*(1+'财富模型'!$E$20/12)+'Calc'!$B$6,IF(Calc!$Q$363&lt;='财富模型'!$E$11*12,'Calc'!$W$14,'Calc'!$Y$14))))))),0))</x:f>
      </x:c>
      <x:c r="S363" t="str">
        <x:f>IF(Calc!$Q$363&gt;'Calc'!$B$8,"",MAX(Calc!$S$362*(1+'财富模型'!$E$20/12)+'Calc'!$B$6-(IF('Calc'!$E$14=1,0,MIN(Calc!$S$362*(1+'财富模型'!$E$20/12)+'Calc'!$B$6,IF(Calc!$Q$363&lt;='财富模型'!$E$11*12,'Calc'!$W$14,'Calc'!$Y$14)))),0))</x:f>
      </x:c>
      <x:c r="T363" t="str">
        <x:f>IF(Calc!$Q$363&gt;'Calc'!$B$8,"",IF('Calc'!$E$14=1,'财富模型'!$E$9,'财富模型'!$M$6+IF(Calc!$Q$363&lt;='财富模型'!$E$11*12,'Calc'!$W$14,'Calc'!$Y$14)-(IF('Calc'!$E$14=1,0,MIN(Calc!$S$362*(1+'财富模型'!$E$20/12)+'Calc'!$B$6,IF(Calc!$Q$363&lt;='财富模型'!$E$11*12,'Calc'!$W$14,'Calc'!$Y$14))))))</x:f>
      </x:c>
      <x:c r="U363" t="str">
        <x:f>IF(Calc!$Q$363&gt;'Calc'!$B$8,"",IF('Calc'!$E$14=1,0,MIN(Calc!$S$362*(1+'财富模型'!$E$20/12)+'Calc'!$B$6,IF(Calc!$Q$363&lt;='财富模型'!$E$11*12,'Calc'!$W$14,'Calc'!$Y$14))))</x:f>
      </x:c>
      <x:c r="V363" t="str">
        <x:f>IF(Calc!$Q$363&gt;'Calc'!$B$8,"",'Calc'!$B$5-'财富模型'!$E$5-(IF('Calc'!$E$14=1,'财富模型'!$E$9,'财富模型'!$M$6+IF(Calc!$Q$363&lt;='财富模型'!$E$11*12,'Calc'!$W$14,'Calc'!$Y$14)-(IF('Calc'!$E$14=1,0,MIN(Calc!$S$362*(1+'财富模型'!$E$20/12)+'Calc'!$B$6,IF(Calc!$Q$363&lt;='财富模型'!$E$11*12,'Calc'!$W$14,'Calc'!$Y$14)))))))</x:f>
      </x:c>
      <x:c r="W363" t="str">
        <x:f>IF(Calc!$Q$363&gt;'Calc'!$B$8,"",IF('Calc'!$E$14=1,0,MAX(Calc!$W$362*(1+IF(Calc!$Q$363&lt;='财富模型'!$E$11*12,'财富模型'!$E$10,'财富模型'!$E$12)/12)-IF('Calc'!$E$14=1,0,IF(Calc!$Q$363&lt;='财富模型'!$E$11*12,'Calc'!$W$14,'Calc'!$Y$14)),0)))</x:f>
      </x:c>
      <x:c r="Y363" t="n">
        <x:v>342</x:v>
      </x:c>
      <x:c r="Z363" t="str">
        <x:f>IF(Calc!$Y$363&gt;'Calc'!$B$8,"",MAX(Calc!$Z$362*(1+'财富模型'!$E$6/12)+('Calc'!$B$5-'财富模型'!$E$5-(IF('Calc'!$E$15=1,'财富模型'!$E$9,'财富模型'!$M$7+IF(Calc!$Y$363&lt;='财富模型'!$E$11*12,'Calc'!$W$15,'Calc'!$Y$15)-(IF('Calc'!$E$15=1,0,MIN(Calc!$AA$362*(1+'财富模型'!$E$20/12)+'Calc'!$B$6,IF(Calc!$Y$363&lt;='财富模型'!$E$11*12,'Calc'!$W$15,'Calc'!$Y$15))))))),0))</x:f>
      </x:c>
      <x:c r="AA363" t="str">
        <x:f>IF(Calc!$Y$363&gt;'Calc'!$B$8,"",MAX(Calc!$AA$362*(1+'财富模型'!$E$20/12)+'Calc'!$B$6-(IF('Calc'!$E$15=1,0,MIN(Calc!$AA$362*(1+'财富模型'!$E$20/12)+'Calc'!$B$6,IF(Calc!$Y$363&lt;='财富模型'!$E$11*12,'Calc'!$W$15,'Calc'!$Y$15)))),0))</x:f>
      </x:c>
      <x:c r="AB363" t="str">
        <x:f>IF(Calc!$Y$363&gt;'Calc'!$B$8,"",IF('Calc'!$E$15=1,'财富模型'!$E$9,'财富模型'!$M$7+IF(Calc!$Y$363&lt;='财富模型'!$E$11*12,'Calc'!$W$15,'Calc'!$Y$15)-(IF('Calc'!$E$15=1,0,MIN(Calc!$AA$362*(1+'财富模型'!$E$20/12)+'Calc'!$B$6,IF(Calc!$Y$363&lt;='财富模型'!$E$11*12,'Calc'!$W$15,'Calc'!$Y$15))))))</x:f>
      </x:c>
      <x:c r="AC363" t="str">
        <x:f>IF(Calc!$Y$363&gt;'Calc'!$B$8,"",IF('Calc'!$E$15=1,0,MIN(Calc!$AA$362*(1+'财富模型'!$E$20/12)+'Calc'!$B$6,IF(Calc!$Y$363&lt;='财富模型'!$E$11*12,'Calc'!$W$15,'Calc'!$Y$15))))</x:f>
      </x:c>
      <x:c r="AD363" t="str">
        <x:f>IF(Calc!$Y$363&gt;'Calc'!$B$8,"",'Calc'!$B$5-'财富模型'!$E$5-(IF('Calc'!$E$15=1,'财富模型'!$E$9,'财富模型'!$M$7+IF(Calc!$Y$363&lt;='财富模型'!$E$11*12,'Calc'!$W$15,'Calc'!$Y$15)-(IF('Calc'!$E$15=1,0,MIN(Calc!$AA$362*(1+'财富模型'!$E$20/12)+'Calc'!$B$6,IF(Calc!$Y$363&lt;='财富模型'!$E$11*12,'Calc'!$W$15,'Calc'!$Y$15)))))))</x:f>
      </x:c>
      <x:c r="AE363" t="str">
        <x:f>IF(Calc!$Y$363&gt;'Calc'!$B$8,"",IF('Calc'!$E$15=1,0,MAX(Calc!$AE$362*(1+IF(Calc!$Y$363&lt;='财富模型'!$E$11*12,'财富模型'!$E$10,'财富模型'!$E$12)/12)-IF('Calc'!$E$15=1,0,IF(Calc!$Y$363&lt;='财富模型'!$E$11*12,'Calc'!$W$15,'Calc'!$Y$15)),0)))</x:f>
      </x:c>
      <x:c r="AG363" t="n">
        <x:v>342</x:v>
      </x:c>
      <x:c r="AH363" t="str">
        <x:f>IF(Calc!$AG$363&gt;'Calc'!$B$8,"",MAX(Calc!$AH$362*(1+'财富模型'!$E$6/12)+('Calc'!$B$5-'财富模型'!$E$5-(IF('Calc'!$E$16=1,'财富模型'!$E$9,'财富模型'!$M$8+IF(Calc!$AG$363&lt;='财富模型'!$E$11*12,'Calc'!$W$16,'Calc'!$Y$16)-(IF('Calc'!$E$16=1,0,MIN(Calc!$AI$362*(1+'财富模型'!$E$20/12)+'Calc'!$B$6,IF(Calc!$AG$363&lt;='财富模型'!$E$11*12,'Calc'!$W$16,'Calc'!$Y$16))))))),0))</x:f>
      </x:c>
      <x:c r="AI363" t="str">
        <x:f>IF(Calc!$AG$363&gt;'Calc'!$B$8,"",MAX(Calc!$AI$362*(1+'财富模型'!$E$20/12)+'Calc'!$B$6-(IF('Calc'!$E$16=1,0,MIN(Calc!$AI$362*(1+'财富模型'!$E$20/12)+'Calc'!$B$6,IF(Calc!$AG$363&lt;='财富模型'!$E$11*12,'Calc'!$W$16,'Calc'!$Y$16)))),0))</x:f>
      </x:c>
      <x:c r="AJ363" t="str">
        <x:f>IF(Calc!$AG$363&gt;'Calc'!$B$8,"",IF('Calc'!$E$16=1,'财富模型'!$E$9,'财富模型'!$M$8+IF(Calc!$AG$363&lt;='财富模型'!$E$11*12,'Calc'!$W$16,'Calc'!$Y$16)-(IF('Calc'!$E$16=1,0,MIN(Calc!$AI$362*(1+'财富模型'!$E$20/12)+'Calc'!$B$6,IF(Calc!$AG$363&lt;='财富模型'!$E$11*12,'Calc'!$W$16,'Calc'!$Y$16))))))</x:f>
      </x:c>
      <x:c r="AK363" t="str">
        <x:f>IF(Calc!$AG$363&gt;'Calc'!$B$8,"",IF('Calc'!$E$16=1,0,MIN(Calc!$AI$362*(1+'财富模型'!$E$20/12)+'Calc'!$B$6,IF(Calc!$AG$363&lt;='财富模型'!$E$11*12,'Calc'!$W$16,'Calc'!$Y$16))))</x:f>
      </x:c>
      <x:c r="AL363" t="str">
        <x:f>IF(Calc!$AG$363&gt;'Calc'!$B$8,"",'Calc'!$B$5-'财富模型'!$E$5-(IF('Calc'!$E$16=1,'财富模型'!$E$9,'财富模型'!$M$8+IF(Calc!$AG$363&lt;='财富模型'!$E$11*12,'Calc'!$W$16,'Calc'!$Y$16)-(IF('Calc'!$E$16=1,0,MIN(Calc!$AI$362*(1+'财富模型'!$E$20/12)+'Calc'!$B$6,IF(Calc!$AG$363&lt;='财富模型'!$E$11*12,'Calc'!$W$16,'Calc'!$Y$16)))))))</x:f>
      </x:c>
      <x:c r="AM363" t="str">
        <x:f>IF(Calc!$AG$363&gt;'Calc'!$B$8,"",IF('Calc'!$E$16=1,0,MAX(Calc!$AM$362*(1+IF(Calc!$AG$363&lt;='财富模型'!$E$11*12,'财富模型'!$E$10,'财富模型'!$E$12)/12)-IF('Calc'!$E$16=1,0,IF(Calc!$AG$363&lt;='财富模型'!$E$11*12,'Calc'!$W$16,'Calc'!$Y$16)),0)))</x:f>
      </x:c>
      <x:c r="AO363" t="n">
        <x:v>342</x:v>
      </x:c>
      <x:c r="AP363" t="str">
        <x:f>IF(Calc!$AO$363&gt;'Calc'!$B$8,"",MAX(Calc!$AP$362*(1+'财富模型'!$E$6/12)+('Calc'!$B$5-'财富模型'!$E$5-(IF('Calc'!$E$17=1,'财富模型'!$E$9,'财富模型'!$M$9+IF(Calc!$AO$363&lt;='财富模型'!$E$11*12,'Calc'!$W$17,'Calc'!$Y$17)-(IF('Calc'!$E$17=1,0,MIN(Calc!$AQ$362*(1+'财富模型'!$E$20/12)+'Calc'!$B$6,IF(Calc!$AO$363&lt;='财富模型'!$E$11*12,'Calc'!$W$17,'Calc'!$Y$17))))))),0))</x:f>
      </x:c>
      <x:c r="AQ363" t="str">
        <x:f>IF(Calc!$AO$363&gt;'Calc'!$B$8,"",MAX(Calc!$AQ$362*(1+'财富模型'!$E$20/12)+'Calc'!$B$6-(IF('Calc'!$E$17=1,0,MIN(Calc!$AQ$362*(1+'财富模型'!$E$20/12)+'Calc'!$B$6,IF(Calc!$AO$363&lt;='财富模型'!$E$11*12,'Calc'!$W$17,'Calc'!$Y$17)))),0))</x:f>
      </x:c>
      <x:c r="AR363" t="str">
        <x:f>IF(Calc!$AO$363&gt;'Calc'!$B$8,"",IF('Calc'!$E$17=1,'财富模型'!$E$9,'财富模型'!$M$9+IF(Calc!$AO$363&lt;='财富模型'!$E$11*12,'Calc'!$W$17,'Calc'!$Y$17)-(IF('Calc'!$E$17=1,0,MIN(Calc!$AQ$362*(1+'财富模型'!$E$20/12)+'Calc'!$B$6,IF(Calc!$AO$363&lt;='财富模型'!$E$11*12,'Calc'!$W$17,'Calc'!$Y$17))))))</x:f>
      </x:c>
      <x:c r="AS363" t="str">
        <x:f>IF(Calc!$AO$363&gt;'Calc'!$B$8,"",IF('Calc'!$E$17=1,0,MIN(Calc!$AQ$362*(1+'财富模型'!$E$20/12)+'Calc'!$B$6,IF(Calc!$AO$363&lt;='财富模型'!$E$11*12,'Calc'!$W$17,'Calc'!$Y$17))))</x:f>
      </x:c>
      <x:c r="AT363" t="str">
        <x:f>IF(Calc!$AO$363&gt;'Calc'!$B$8,"",'Calc'!$B$5-'财富模型'!$E$5-(IF('Calc'!$E$17=1,'财富模型'!$E$9,'财富模型'!$M$9+IF(Calc!$AO$363&lt;='财富模型'!$E$11*12,'Calc'!$W$17,'Calc'!$Y$17)-(IF('Calc'!$E$17=1,0,MIN(Calc!$AQ$362*(1+'财富模型'!$E$20/12)+'Calc'!$B$6,IF(Calc!$AO$363&lt;='财富模型'!$E$11*12,'Calc'!$W$17,'Calc'!$Y$17)))))))</x:f>
      </x:c>
      <x:c r="AU363" t="str">
        <x:f>IF(Calc!$AO$363&gt;'Calc'!$B$8,"",IF('Calc'!$E$17=1,0,MAX(Calc!$AU$362*(1+IF(Calc!$AO$363&lt;='财富模型'!$E$11*12,'财富模型'!$E$10,'财富模型'!$E$12)/12)-IF('Calc'!$E$17=1,0,IF(Calc!$AO$363&lt;='财富模型'!$E$11*12,'Calc'!$W$17,'Calc'!$Y$17)),0)))</x:f>
      </x:c>
    </x:row>
    <x:row r="364">
      <x:c r="A364" t="n">
        <x:v>343</x:v>
      </x:c>
      <x:c r="B364" t="str">
        <x:f>IF(Calc!$A$364&gt;'Calc'!$B$8,"",MAX(Calc!$B$363*(1+'财富模型'!$E$6/12)+('Calc'!$B$5-'财富模型'!$E$5-(IF('Calc'!$E$12=1,'财富模型'!$E$9,'财富模型'!$M$4+IF(Calc!$A$364&lt;='财富模型'!$E$11*12,'Calc'!$W$12,'Calc'!$Y$12)-(IF('Calc'!$E$12=1,0,MIN(Calc!$C$363*(1+'财富模型'!$E$20/12)+'Calc'!$B$6,IF(Calc!$A$364&lt;='财富模型'!$E$11*12,'Calc'!$W$12,'Calc'!$Y$12))))))),0))</x:f>
      </x:c>
      <x:c r="C364" t="str">
        <x:f>IF(Calc!$A$364&gt;'Calc'!$B$8,"",MAX(Calc!$C$363*(1+'财富模型'!$E$20/12)+'Calc'!$B$6-(IF('Calc'!$E$12=1,0,MIN(Calc!$C$363*(1+'财富模型'!$E$20/12)+'Calc'!$B$6,IF(Calc!$A$364&lt;='财富模型'!$E$11*12,'Calc'!$W$12,'Calc'!$Y$12)))),0))</x:f>
      </x:c>
      <x:c r="D364" t="str">
        <x:f>IF(Calc!$A$364&gt;'Calc'!$B$8,"",IF('Calc'!$E$12=1,'财富模型'!$E$9,'财富模型'!$M$4+IF(Calc!$A$364&lt;='财富模型'!$E$11*12,'Calc'!$W$12,'Calc'!$Y$12)-(IF('Calc'!$E$12=1,0,MIN(Calc!$C$363*(1+'财富模型'!$E$20/12)+'Calc'!$B$6,IF(Calc!$A$364&lt;='财富模型'!$E$11*12,'Calc'!$W$12,'Calc'!$Y$12))))))</x:f>
      </x:c>
      <x:c r="E364" t="str">
        <x:f>IF(Calc!$A$364&gt;'Calc'!$B$8,"",IF('Calc'!$E$12=1,0,MIN(Calc!$C$363*(1+'财富模型'!$E$20/12)+'Calc'!$B$6,IF(Calc!$A$364&lt;='财富模型'!$E$11*12,'Calc'!$W$12,'Calc'!$Y$12))))</x:f>
      </x:c>
      <x:c r="F364" t="str">
        <x:f>IF(Calc!$A$364&gt;'Calc'!$B$8,"",'Calc'!$B$5-'财富模型'!$E$5-(IF('Calc'!$E$12=1,'财富模型'!$E$9,'财富模型'!$M$4+IF(Calc!$A$364&lt;='财富模型'!$E$11*12,'Calc'!$W$12,'Calc'!$Y$12)-(IF('Calc'!$E$12=1,0,MIN(Calc!$C$363*(1+'财富模型'!$E$20/12)+'Calc'!$B$6,IF(Calc!$A$364&lt;='财富模型'!$E$11*12,'Calc'!$W$12,'Calc'!$Y$12)))))))</x:f>
      </x:c>
      <x:c r="G364" t="str">
        <x:f>IF(Calc!$A$364&gt;'Calc'!$B$8,"",IF('Calc'!$E$12=1,0,MAX(Calc!$G$363*(1+IF(Calc!$A$364&lt;='财富模型'!$E$11*12,'财富模型'!$E$10,'财富模型'!$E$12)/12)-IF('Calc'!$E$12=1,0,IF(Calc!$A$364&lt;='财富模型'!$E$11*12,'Calc'!$W$12,'Calc'!$Y$12)),0)))</x:f>
      </x:c>
      <x:c r="I364" t="n">
        <x:v>343</x:v>
      </x:c>
      <x:c r="J364" t="str">
        <x:f>IF(Calc!$I$364&gt;'Calc'!$B$8,"",MAX(Calc!$J$363*(1+'财富模型'!$E$6/12)+('Calc'!$B$5-'财富模型'!$E$5-(IF('Calc'!$E$13=1,'财富模型'!$E$9,'财富模型'!$M$5+IF(Calc!$I$364&lt;='财富模型'!$E$11*12,'Calc'!$W$13,'Calc'!$Y$13)-(IF('Calc'!$E$13=1,0,MIN(Calc!$K$363*(1+'财富模型'!$E$20/12)+'Calc'!$B$6,IF(Calc!$I$364&lt;='财富模型'!$E$11*12,'Calc'!$W$13,'Calc'!$Y$13))))))),0))</x:f>
      </x:c>
      <x:c r="K364" t="str">
        <x:f>IF(Calc!$I$364&gt;'Calc'!$B$8,"",MAX(Calc!$K$363*(1+'财富模型'!$E$20/12)+'Calc'!$B$6-(IF('Calc'!$E$13=1,0,MIN(Calc!$K$363*(1+'财富模型'!$E$20/12)+'Calc'!$B$6,IF(Calc!$I$364&lt;='财富模型'!$E$11*12,'Calc'!$W$13,'Calc'!$Y$13)))),0))</x:f>
      </x:c>
      <x:c r="L364" t="str">
        <x:f>IF(Calc!$I$364&gt;'Calc'!$B$8,"",IF('Calc'!$E$13=1,'财富模型'!$E$9,'财富模型'!$M$5+IF(Calc!$I$364&lt;='财富模型'!$E$11*12,'Calc'!$W$13,'Calc'!$Y$13)-(IF('Calc'!$E$13=1,0,MIN(Calc!$K$363*(1+'财富模型'!$E$20/12)+'Calc'!$B$6,IF(Calc!$I$364&lt;='财富模型'!$E$11*12,'Calc'!$W$13,'Calc'!$Y$13))))))</x:f>
      </x:c>
      <x:c r="M364" t="str">
        <x:f>IF(Calc!$I$364&gt;'Calc'!$B$8,"",IF('Calc'!$E$13=1,0,MIN(Calc!$K$363*(1+'财富模型'!$E$20/12)+'Calc'!$B$6,IF(Calc!$I$364&lt;='财富模型'!$E$11*12,'Calc'!$W$13,'Calc'!$Y$13))))</x:f>
      </x:c>
      <x:c r="N364" t="str">
        <x:f>IF(Calc!$I$364&gt;'Calc'!$B$8,"",'Calc'!$B$5-'财富模型'!$E$5-(IF('Calc'!$E$13=1,'财富模型'!$E$9,'财富模型'!$M$5+IF(Calc!$I$364&lt;='财富模型'!$E$11*12,'Calc'!$W$13,'Calc'!$Y$13)-(IF('Calc'!$E$13=1,0,MIN(Calc!$K$363*(1+'财富模型'!$E$20/12)+'Calc'!$B$6,IF(Calc!$I$364&lt;='财富模型'!$E$11*12,'Calc'!$W$13,'Calc'!$Y$13)))))))</x:f>
      </x:c>
      <x:c r="O364" t="str">
        <x:f>IF(Calc!$I$364&gt;'Calc'!$B$8,"",IF('Calc'!$E$13=1,0,MAX(Calc!$O$363*(1+IF(Calc!$I$364&lt;='财富模型'!$E$11*12,'财富模型'!$E$10,'财富模型'!$E$12)/12)-IF('Calc'!$E$13=1,0,IF(Calc!$I$364&lt;='财富模型'!$E$11*12,'Calc'!$W$13,'Calc'!$Y$13)),0)))</x:f>
      </x:c>
      <x:c r="Q364" t="n">
        <x:v>343</x:v>
      </x:c>
      <x:c r="R364" t="str">
        <x:f>IF(Calc!$Q$364&gt;'Calc'!$B$8,"",MAX(Calc!$R$363*(1+'财富模型'!$E$6/12)+('Calc'!$B$5-'财富模型'!$E$5-(IF('Calc'!$E$14=1,'财富模型'!$E$9,'财富模型'!$M$6+IF(Calc!$Q$364&lt;='财富模型'!$E$11*12,'Calc'!$W$14,'Calc'!$Y$14)-(IF('Calc'!$E$14=1,0,MIN(Calc!$S$363*(1+'财富模型'!$E$20/12)+'Calc'!$B$6,IF(Calc!$Q$364&lt;='财富模型'!$E$11*12,'Calc'!$W$14,'Calc'!$Y$14))))))),0))</x:f>
      </x:c>
      <x:c r="S364" t="str">
        <x:f>IF(Calc!$Q$364&gt;'Calc'!$B$8,"",MAX(Calc!$S$363*(1+'财富模型'!$E$20/12)+'Calc'!$B$6-(IF('Calc'!$E$14=1,0,MIN(Calc!$S$363*(1+'财富模型'!$E$20/12)+'Calc'!$B$6,IF(Calc!$Q$364&lt;='财富模型'!$E$11*12,'Calc'!$W$14,'Calc'!$Y$14)))),0))</x:f>
      </x:c>
      <x:c r="T364" t="str">
        <x:f>IF(Calc!$Q$364&gt;'Calc'!$B$8,"",IF('Calc'!$E$14=1,'财富模型'!$E$9,'财富模型'!$M$6+IF(Calc!$Q$364&lt;='财富模型'!$E$11*12,'Calc'!$W$14,'Calc'!$Y$14)-(IF('Calc'!$E$14=1,0,MIN(Calc!$S$363*(1+'财富模型'!$E$20/12)+'Calc'!$B$6,IF(Calc!$Q$364&lt;='财富模型'!$E$11*12,'Calc'!$W$14,'Calc'!$Y$14))))))</x:f>
      </x:c>
      <x:c r="U364" t="str">
        <x:f>IF(Calc!$Q$364&gt;'Calc'!$B$8,"",IF('Calc'!$E$14=1,0,MIN(Calc!$S$363*(1+'财富模型'!$E$20/12)+'Calc'!$B$6,IF(Calc!$Q$364&lt;='财富模型'!$E$11*12,'Calc'!$W$14,'Calc'!$Y$14))))</x:f>
      </x:c>
      <x:c r="V364" t="str">
        <x:f>IF(Calc!$Q$364&gt;'Calc'!$B$8,"",'Calc'!$B$5-'财富模型'!$E$5-(IF('Calc'!$E$14=1,'财富模型'!$E$9,'财富模型'!$M$6+IF(Calc!$Q$364&lt;='财富模型'!$E$11*12,'Calc'!$W$14,'Calc'!$Y$14)-(IF('Calc'!$E$14=1,0,MIN(Calc!$S$363*(1+'财富模型'!$E$20/12)+'Calc'!$B$6,IF(Calc!$Q$364&lt;='财富模型'!$E$11*12,'Calc'!$W$14,'Calc'!$Y$14)))))))</x:f>
      </x:c>
      <x:c r="W364" t="str">
        <x:f>IF(Calc!$Q$364&gt;'Calc'!$B$8,"",IF('Calc'!$E$14=1,0,MAX(Calc!$W$363*(1+IF(Calc!$Q$364&lt;='财富模型'!$E$11*12,'财富模型'!$E$10,'财富模型'!$E$12)/12)-IF('Calc'!$E$14=1,0,IF(Calc!$Q$364&lt;='财富模型'!$E$11*12,'Calc'!$W$14,'Calc'!$Y$14)),0)))</x:f>
      </x:c>
      <x:c r="Y364" t="n">
        <x:v>343</x:v>
      </x:c>
      <x:c r="Z364" t="str">
        <x:f>IF(Calc!$Y$364&gt;'Calc'!$B$8,"",MAX(Calc!$Z$363*(1+'财富模型'!$E$6/12)+('Calc'!$B$5-'财富模型'!$E$5-(IF('Calc'!$E$15=1,'财富模型'!$E$9,'财富模型'!$M$7+IF(Calc!$Y$364&lt;='财富模型'!$E$11*12,'Calc'!$W$15,'Calc'!$Y$15)-(IF('Calc'!$E$15=1,0,MIN(Calc!$AA$363*(1+'财富模型'!$E$20/12)+'Calc'!$B$6,IF(Calc!$Y$364&lt;='财富模型'!$E$11*12,'Calc'!$W$15,'Calc'!$Y$15))))))),0))</x:f>
      </x:c>
      <x:c r="AA364" t="str">
        <x:f>IF(Calc!$Y$364&gt;'Calc'!$B$8,"",MAX(Calc!$AA$363*(1+'财富模型'!$E$20/12)+'Calc'!$B$6-(IF('Calc'!$E$15=1,0,MIN(Calc!$AA$363*(1+'财富模型'!$E$20/12)+'Calc'!$B$6,IF(Calc!$Y$364&lt;='财富模型'!$E$11*12,'Calc'!$W$15,'Calc'!$Y$15)))),0))</x:f>
      </x:c>
      <x:c r="AB364" t="str">
        <x:f>IF(Calc!$Y$364&gt;'Calc'!$B$8,"",IF('Calc'!$E$15=1,'财富模型'!$E$9,'财富模型'!$M$7+IF(Calc!$Y$364&lt;='财富模型'!$E$11*12,'Calc'!$W$15,'Calc'!$Y$15)-(IF('Calc'!$E$15=1,0,MIN(Calc!$AA$363*(1+'财富模型'!$E$20/12)+'Calc'!$B$6,IF(Calc!$Y$364&lt;='财富模型'!$E$11*12,'Calc'!$W$15,'Calc'!$Y$15))))))</x:f>
      </x:c>
      <x:c r="AC364" t="str">
        <x:f>IF(Calc!$Y$364&gt;'Calc'!$B$8,"",IF('Calc'!$E$15=1,0,MIN(Calc!$AA$363*(1+'财富模型'!$E$20/12)+'Calc'!$B$6,IF(Calc!$Y$364&lt;='财富模型'!$E$11*12,'Calc'!$W$15,'Calc'!$Y$15))))</x:f>
      </x:c>
      <x:c r="AD364" t="str">
        <x:f>IF(Calc!$Y$364&gt;'Calc'!$B$8,"",'Calc'!$B$5-'财富模型'!$E$5-(IF('Calc'!$E$15=1,'财富模型'!$E$9,'财富模型'!$M$7+IF(Calc!$Y$364&lt;='财富模型'!$E$11*12,'Calc'!$W$15,'Calc'!$Y$15)-(IF('Calc'!$E$15=1,0,MIN(Calc!$AA$363*(1+'财富模型'!$E$20/12)+'Calc'!$B$6,IF(Calc!$Y$364&lt;='财富模型'!$E$11*12,'Calc'!$W$15,'Calc'!$Y$15)))))))</x:f>
      </x:c>
      <x:c r="AE364" t="str">
        <x:f>IF(Calc!$Y$364&gt;'Calc'!$B$8,"",IF('Calc'!$E$15=1,0,MAX(Calc!$AE$363*(1+IF(Calc!$Y$364&lt;='财富模型'!$E$11*12,'财富模型'!$E$10,'财富模型'!$E$12)/12)-IF('Calc'!$E$15=1,0,IF(Calc!$Y$364&lt;='财富模型'!$E$11*12,'Calc'!$W$15,'Calc'!$Y$15)),0)))</x:f>
      </x:c>
      <x:c r="AG364" t="n">
        <x:v>343</x:v>
      </x:c>
      <x:c r="AH364" t="str">
        <x:f>IF(Calc!$AG$364&gt;'Calc'!$B$8,"",MAX(Calc!$AH$363*(1+'财富模型'!$E$6/12)+('Calc'!$B$5-'财富模型'!$E$5-(IF('Calc'!$E$16=1,'财富模型'!$E$9,'财富模型'!$M$8+IF(Calc!$AG$364&lt;='财富模型'!$E$11*12,'Calc'!$W$16,'Calc'!$Y$16)-(IF('Calc'!$E$16=1,0,MIN(Calc!$AI$363*(1+'财富模型'!$E$20/12)+'Calc'!$B$6,IF(Calc!$AG$364&lt;='财富模型'!$E$11*12,'Calc'!$W$16,'Calc'!$Y$16))))))),0))</x:f>
      </x:c>
      <x:c r="AI364" t="str">
        <x:f>IF(Calc!$AG$364&gt;'Calc'!$B$8,"",MAX(Calc!$AI$363*(1+'财富模型'!$E$20/12)+'Calc'!$B$6-(IF('Calc'!$E$16=1,0,MIN(Calc!$AI$363*(1+'财富模型'!$E$20/12)+'Calc'!$B$6,IF(Calc!$AG$364&lt;='财富模型'!$E$11*12,'Calc'!$W$16,'Calc'!$Y$16)))),0))</x:f>
      </x:c>
      <x:c r="AJ364" t="str">
        <x:f>IF(Calc!$AG$364&gt;'Calc'!$B$8,"",IF('Calc'!$E$16=1,'财富模型'!$E$9,'财富模型'!$M$8+IF(Calc!$AG$364&lt;='财富模型'!$E$11*12,'Calc'!$W$16,'Calc'!$Y$16)-(IF('Calc'!$E$16=1,0,MIN(Calc!$AI$363*(1+'财富模型'!$E$20/12)+'Calc'!$B$6,IF(Calc!$AG$364&lt;='财富模型'!$E$11*12,'Calc'!$W$16,'Calc'!$Y$16))))))</x:f>
      </x:c>
      <x:c r="AK364" t="str">
        <x:f>IF(Calc!$AG$364&gt;'Calc'!$B$8,"",IF('Calc'!$E$16=1,0,MIN(Calc!$AI$363*(1+'财富模型'!$E$20/12)+'Calc'!$B$6,IF(Calc!$AG$364&lt;='财富模型'!$E$11*12,'Calc'!$W$16,'Calc'!$Y$16))))</x:f>
      </x:c>
      <x:c r="AL364" t="str">
        <x:f>IF(Calc!$AG$364&gt;'Calc'!$B$8,"",'Calc'!$B$5-'财富模型'!$E$5-(IF('Calc'!$E$16=1,'财富模型'!$E$9,'财富模型'!$M$8+IF(Calc!$AG$364&lt;='财富模型'!$E$11*12,'Calc'!$W$16,'Calc'!$Y$16)-(IF('Calc'!$E$16=1,0,MIN(Calc!$AI$363*(1+'财富模型'!$E$20/12)+'Calc'!$B$6,IF(Calc!$AG$364&lt;='财富模型'!$E$11*12,'Calc'!$W$16,'Calc'!$Y$16)))))))</x:f>
      </x:c>
      <x:c r="AM364" t="str">
        <x:f>IF(Calc!$AG$364&gt;'Calc'!$B$8,"",IF('Calc'!$E$16=1,0,MAX(Calc!$AM$363*(1+IF(Calc!$AG$364&lt;='财富模型'!$E$11*12,'财富模型'!$E$10,'财富模型'!$E$12)/12)-IF('Calc'!$E$16=1,0,IF(Calc!$AG$364&lt;='财富模型'!$E$11*12,'Calc'!$W$16,'Calc'!$Y$16)),0)))</x:f>
      </x:c>
      <x:c r="AO364" t="n">
        <x:v>343</x:v>
      </x:c>
      <x:c r="AP364" t="str">
        <x:f>IF(Calc!$AO$364&gt;'Calc'!$B$8,"",MAX(Calc!$AP$363*(1+'财富模型'!$E$6/12)+('Calc'!$B$5-'财富模型'!$E$5-(IF('Calc'!$E$17=1,'财富模型'!$E$9,'财富模型'!$M$9+IF(Calc!$AO$364&lt;='财富模型'!$E$11*12,'Calc'!$W$17,'Calc'!$Y$17)-(IF('Calc'!$E$17=1,0,MIN(Calc!$AQ$363*(1+'财富模型'!$E$20/12)+'Calc'!$B$6,IF(Calc!$AO$364&lt;='财富模型'!$E$11*12,'Calc'!$W$17,'Calc'!$Y$17))))))),0))</x:f>
      </x:c>
      <x:c r="AQ364" t="str">
        <x:f>IF(Calc!$AO$364&gt;'Calc'!$B$8,"",MAX(Calc!$AQ$363*(1+'财富模型'!$E$20/12)+'Calc'!$B$6-(IF('Calc'!$E$17=1,0,MIN(Calc!$AQ$363*(1+'财富模型'!$E$20/12)+'Calc'!$B$6,IF(Calc!$AO$364&lt;='财富模型'!$E$11*12,'Calc'!$W$17,'Calc'!$Y$17)))),0))</x:f>
      </x:c>
      <x:c r="AR364" t="str">
        <x:f>IF(Calc!$AO$364&gt;'Calc'!$B$8,"",IF('Calc'!$E$17=1,'财富模型'!$E$9,'财富模型'!$M$9+IF(Calc!$AO$364&lt;='财富模型'!$E$11*12,'Calc'!$W$17,'Calc'!$Y$17)-(IF('Calc'!$E$17=1,0,MIN(Calc!$AQ$363*(1+'财富模型'!$E$20/12)+'Calc'!$B$6,IF(Calc!$AO$364&lt;='财富模型'!$E$11*12,'Calc'!$W$17,'Calc'!$Y$17))))))</x:f>
      </x:c>
      <x:c r="AS364" t="str">
        <x:f>IF(Calc!$AO$364&gt;'Calc'!$B$8,"",IF('Calc'!$E$17=1,0,MIN(Calc!$AQ$363*(1+'财富模型'!$E$20/12)+'Calc'!$B$6,IF(Calc!$AO$364&lt;='财富模型'!$E$11*12,'Calc'!$W$17,'Calc'!$Y$17))))</x:f>
      </x:c>
      <x:c r="AT364" t="str">
        <x:f>IF(Calc!$AO$364&gt;'Calc'!$B$8,"",'Calc'!$B$5-'财富模型'!$E$5-(IF('Calc'!$E$17=1,'财富模型'!$E$9,'财富模型'!$M$9+IF(Calc!$AO$364&lt;='财富模型'!$E$11*12,'Calc'!$W$17,'Calc'!$Y$17)-(IF('Calc'!$E$17=1,0,MIN(Calc!$AQ$363*(1+'财富模型'!$E$20/12)+'Calc'!$B$6,IF(Calc!$AO$364&lt;='财富模型'!$E$11*12,'Calc'!$W$17,'Calc'!$Y$17)))))))</x:f>
      </x:c>
      <x:c r="AU364" t="str">
        <x:f>IF(Calc!$AO$364&gt;'Calc'!$B$8,"",IF('Calc'!$E$17=1,0,MAX(Calc!$AU$363*(1+IF(Calc!$AO$364&lt;='财富模型'!$E$11*12,'财富模型'!$E$10,'财富模型'!$E$12)/12)-IF('Calc'!$E$17=1,0,IF(Calc!$AO$364&lt;='财富模型'!$E$11*12,'Calc'!$W$17,'Calc'!$Y$17)),0)))</x:f>
      </x:c>
    </x:row>
    <x:row r="365">
      <x:c r="A365" t="n">
        <x:v>344</x:v>
      </x:c>
      <x:c r="B365" t="str">
        <x:f>IF(Calc!$A$365&gt;'Calc'!$B$8,"",MAX(Calc!$B$364*(1+'财富模型'!$E$6/12)+('Calc'!$B$5-'财富模型'!$E$5-(IF('Calc'!$E$12=1,'财富模型'!$E$9,'财富模型'!$M$4+IF(Calc!$A$365&lt;='财富模型'!$E$11*12,'Calc'!$W$12,'Calc'!$Y$12)-(IF('Calc'!$E$12=1,0,MIN(Calc!$C$364*(1+'财富模型'!$E$20/12)+'Calc'!$B$6,IF(Calc!$A$365&lt;='财富模型'!$E$11*12,'Calc'!$W$12,'Calc'!$Y$12))))))),0))</x:f>
      </x:c>
      <x:c r="C365" t="str">
        <x:f>IF(Calc!$A$365&gt;'Calc'!$B$8,"",MAX(Calc!$C$364*(1+'财富模型'!$E$20/12)+'Calc'!$B$6-(IF('Calc'!$E$12=1,0,MIN(Calc!$C$364*(1+'财富模型'!$E$20/12)+'Calc'!$B$6,IF(Calc!$A$365&lt;='财富模型'!$E$11*12,'Calc'!$W$12,'Calc'!$Y$12)))),0))</x:f>
      </x:c>
      <x:c r="D365" t="str">
        <x:f>IF(Calc!$A$365&gt;'Calc'!$B$8,"",IF('Calc'!$E$12=1,'财富模型'!$E$9,'财富模型'!$M$4+IF(Calc!$A$365&lt;='财富模型'!$E$11*12,'Calc'!$W$12,'Calc'!$Y$12)-(IF('Calc'!$E$12=1,0,MIN(Calc!$C$364*(1+'财富模型'!$E$20/12)+'Calc'!$B$6,IF(Calc!$A$365&lt;='财富模型'!$E$11*12,'Calc'!$W$12,'Calc'!$Y$12))))))</x:f>
      </x:c>
      <x:c r="E365" t="str">
        <x:f>IF(Calc!$A$365&gt;'Calc'!$B$8,"",IF('Calc'!$E$12=1,0,MIN(Calc!$C$364*(1+'财富模型'!$E$20/12)+'Calc'!$B$6,IF(Calc!$A$365&lt;='财富模型'!$E$11*12,'Calc'!$W$12,'Calc'!$Y$12))))</x:f>
      </x:c>
      <x:c r="F365" t="str">
        <x:f>IF(Calc!$A$365&gt;'Calc'!$B$8,"",'Calc'!$B$5-'财富模型'!$E$5-(IF('Calc'!$E$12=1,'财富模型'!$E$9,'财富模型'!$M$4+IF(Calc!$A$365&lt;='财富模型'!$E$11*12,'Calc'!$W$12,'Calc'!$Y$12)-(IF('Calc'!$E$12=1,0,MIN(Calc!$C$364*(1+'财富模型'!$E$20/12)+'Calc'!$B$6,IF(Calc!$A$365&lt;='财富模型'!$E$11*12,'Calc'!$W$12,'Calc'!$Y$12)))))))</x:f>
      </x:c>
      <x:c r="G365" t="str">
        <x:f>IF(Calc!$A$365&gt;'Calc'!$B$8,"",IF('Calc'!$E$12=1,0,MAX(Calc!$G$364*(1+IF(Calc!$A$365&lt;='财富模型'!$E$11*12,'财富模型'!$E$10,'财富模型'!$E$12)/12)-IF('Calc'!$E$12=1,0,IF(Calc!$A$365&lt;='财富模型'!$E$11*12,'Calc'!$W$12,'Calc'!$Y$12)),0)))</x:f>
      </x:c>
      <x:c r="I365" t="n">
        <x:v>344</x:v>
      </x:c>
      <x:c r="J365" t="str">
        <x:f>IF(Calc!$I$365&gt;'Calc'!$B$8,"",MAX(Calc!$J$364*(1+'财富模型'!$E$6/12)+('Calc'!$B$5-'财富模型'!$E$5-(IF('Calc'!$E$13=1,'财富模型'!$E$9,'财富模型'!$M$5+IF(Calc!$I$365&lt;='财富模型'!$E$11*12,'Calc'!$W$13,'Calc'!$Y$13)-(IF('Calc'!$E$13=1,0,MIN(Calc!$K$364*(1+'财富模型'!$E$20/12)+'Calc'!$B$6,IF(Calc!$I$365&lt;='财富模型'!$E$11*12,'Calc'!$W$13,'Calc'!$Y$13))))))),0))</x:f>
      </x:c>
      <x:c r="K365" t="str">
        <x:f>IF(Calc!$I$365&gt;'Calc'!$B$8,"",MAX(Calc!$K$364*(1+'财富模型'!$E$20/12)+'Calc'!$B$6-(IF('Calc'!$E$13=1,0,MIN(Calc!$K$364*(1+'财富模型'!$E$20/12)+'Calc'!$B$6,IF(Calc!$I$365&lt;='财富模型'!$E$11*12,'Calc'!$W$13,'Calc'!$Y$13)))),0))</x:f>
      </x:c>
      <x:c r="L365" t="str">
        <x:f>IF(Calc!$I$365&gt;'Calc'!$B$8,"",IF('Calc'!$E$13=1,'财富模型'!$E$9,'财富模型'!$M$5+IF(Calc!$I$365&lt;='财富模型'!$E$11*12,'Calc'!$W$13,'Calc'!$Y$13)-(IF('Calc'!$E$13=1,0,MIN(Calc!$K$364*(1+'财富模型'!$E$20/12)+'Calc'!$B$6,IF(Calc!$I$365&lt;='财富模型'!$E$11*12,'Calc'!$W$13,'Calc'!$Y$13))))))</x:f>
      </x:c>
      <x:c r="M365" t="str">
        <x:f>IF(Calc!$I$365&gt;'Calc'!$B$8,"",IF('Calc'!$E$13=1,0,MIN(Calc!$K$364*(1+'财富模型'!$E$20/12)+'Calc'!$B$6,IF(Calc!$I$365&lt;='财富模型'!$E$11*12,'Calc'!$W$13,'Calc'!$Y$13))))</x:f>
      </x:c>
      <x:c r="N365" t="str">
        <x:f>IF(Calc!$I$365&gt;'Calc'!$B$8,"",'Calc'!$B$5-'财富模型'!$E$5-(IF('Calc'!$E$13=1,'财富模型'!$E$9,'财富模型'!$M$5+IF(Calc!$I$365&lt;='财富模型'!$E$11*12,'Calc'!$W$13,'Calc'!$Y$13)-(IF('Calc'!$E$13=1,0,MIN(Calc!$K$364*(1+'财富模型'!$E$20/12)+'Calc'!$B$6,IF(Calc!$I$365&lt;='财富模型'!$E$11*12,'Calc'!$W$13,'Calc'!$Y$13)))))))</x:f>
      </x:c>
      <x:c r="O365" t="str">
        <x:f>IF(Calc!$I$365&gt;'Calc'!$B$8,"",IF('Calc'!$E$13=1,0,MAX(Calc!$O$364*(1+IF(Calc!$I$365&lt;='财富模型'!$E$11*12,'财富模型'!$E$10,'财富模型'!$E$12)/12)-IF('Calc'!$E$13=1,0,IF(Calc!$I$365&lt;='财富模型'!$E$11*12,'Calc'!$W$13,'Calc'!$Y$13)),0)))</x:f>
      </x:c>
      <x:c r="Q365" t="n">
        <x:v>344</x:v>
      </x:c>
      <x:c r="R365" t="str">
        <x:f>IF(Calc!$Q$365&gt;'Calc'!$B$8,"",MAX(Calc!$R$364*(1+'财富模型'!$E$6/12)+('Calc'!$B$5-'财富模型'!$E$5-(IF('Calc'!$E$14=1,'财富模型'!$E$9,'财富模型'!$M$6+IF(Calc!$Q$365&lt;='财富模型'!$E$11*12,'Calc'!$W$14,'Calc'!$Y$14)-(IF('Calc'!$E$14=1,0,MIN(Calc!$S$364*(1+'财富模型'!$E$20/12)+'Calc'!$B$6,IF(Calc!$Q$365&lt;='财富模型'!$E$11*12,'Calc'!$W$14,'Calc'!$Y$14))))))),0))</x:f>
      </x:c>
      <x:c r="S365" t="str">
        <x:f>IF(Calc!$Q$365&gt;'Calc'!$B$8,"",MAX(Calc!$S$364*(1+'财富模型'!$E$20/12)+'Calc'!$B$6-(IF('Calc'!$E$14=1,0,MIN(Calc!$S$364*(1+'财富模型'!$E$20/12)+'Calc'!$B$6,IF(Calc!$Q$365&lt;='财富模型'!$E$11*12,'Calc'!$W$14,'Calc'!$Y$14)))),0))</x:f>
      </x:c>
      <x:c r="T365" t="str">
        <x:f>IF(Calc!$Q$365&gt;'Calc'!$B$8,"",IF('Calc'!$E$14=1,'财富模型'!$E$9,'财富模型'!$M$6+IF(Calc!$Q$365&lt;='财富模型'!$E$11*12,'Calc'!$W$14,'Calc'!$Y$14)-(IF('Calc'!$E$14=1,0,MIN(Calc!$S$364*(1+'财富模型'!$E$20/12)+'Calc'!$B$6,IF(Calc!$Q$365&lt;='财富模型'!$E$11*12,'Calc'!$W$14,'Calc'!$Y$14))))))</x:f>
      </x:c>
      <x:c r="U365" t="str">
        <x:f>IF(Calc!$Q$365&gt;'Calc'!$B$8,"",IF('Calc'!$E$14=1,0,MIN(Calc!$S$364*(1+'财富模型'!$E$20/12)+'Calc'!$B$6,IF(Calc!$Q$365&lt;='财富模型'!$E$11*12,'Calc'!$W$14,'Calc'!$Y$14))))</x:f>
      </x:c>
      <x:c r="V365" t="str">
        <x:f>IF(Calc!$Q$365&gt;'Calc'!$B$8,"",'Calc'!$B$5-'财富模型'!$E$5-(IF('Calc'!$E$14=1,'财富模型'!$E$9,'财富模型'!$M$6+IF(Calc!$Q$365&lt;='财富模型'!$E$11*12,'Calc'!$W$14,'Calc'!$Y$14)-(IF('Calc'!$E$14=1,0,MIN(Calc!$S$364*(1+'财富模型'!$E$20/12)+'Calc'!$B$6,IF(Calc!$Q$365&lt;='财富模型'!$E$11*12,'Calc'!$W$14,'Calc'!$Y$14)))))))</x:f>
      </x:c>
      <x:c r="W365" t="str">
        <x:f>IF(Calc!$Q$365&gt;'Calc'!$B$8,"",IF('Calc'!$E$14=1,0,MAX(Calc!$W$364*(1+IF(Calc!$Q$365&lt;='财富模型'!$E$11*12,'财富模型'!$E$10,'财富模型'!$E$12)/12)-IF('Calc'!$E$14=1,0,IF(Calc!$Q$365&lt;='财富模型'!$E$11*12,'Calc'!$W$14,'Calc'!$Y$14)),0)))</x:f>
      </x:c>
      <x:c r="Y365" t="n">
        <x:v>344</x:v>
      </x:c>
      <x:c r="Z365" t="str">
        <x:f>IF(Calc!$Y$365&gt;'Calc'!$B$8,"",MAX(Calc!$Z$364*(1+'财富模型'!$E$6/12)+('Calc'!$B$5-'财富模型'!$E$5-(IF('Calc'!$E$15=1,'财富模型'!$E$9,'财富模型'!$M$7+IF(Calc!$Y$365&lt;='财富模型'!$E$11*12,'Calc'!$W$15,'Calc'!$Y$15)-(IF('Calc'!$E$15=1,0,MIN(Calc!$AA$364*(1+'财富模型'!$E$20/12)+'Calc'!$B$6,IF(Calc!$Y$365&lt;='财富模型'!$E$11*12,'Calc'!$W$15,'Calc'!$Y$15))))))),0))</x:f>
      </x:c>
      <x:c r="AA365" t="str">
        <x:f>IF(Calc!$Y$365&gt;'Calc'!$B$8,"",MAX(Calc!$AA$364*(1+'财富模型'!$E$20/12)+'Calc'!$B$6-(IF('Calc'!$E$15=1,0,MIN(Calc!$AA$364*(1+'财富模型'!$E$20/12)+'Calc'!$B$6,IF(Calc!$Y$365&lt;='财富模型'!$E$11*12,'Calc'!$W$15,'Calc'!$Y$15)))),0))</x:f>
      </x:c>
      <x:c r="AB365" t="str">
        <x:f>IF(Calc!$Y$365&gt;'Calc'!$B$8,"",IF('Calc'!$E$15=1,'财富模型'!$E$9,'财富模型'!$M$7+IF(Calc!$Y$365&lt;='财富模型'!$E$11*12,'Calc'!$W$15,'Calc'!$Y$15)-(IF('Calc'!$E$15=1,0,MIN(Calc!$AA$364*(1+'财富模型'!$E$20/12)+'Calc'!$B$6,IF(Calc!$Y$365&lt;='财富模型'!$E$11*12,'Calc'!$W$15,'Calc'!$Y$15))))))</x:f>
      </x:c>
      <x:c r="AC365" t="str">
        <x:f>IF(Calc!$Y$365&gt;'Calc'!$B$8,"",IF('Calc'!$E$15=1,0,MIN(Calc!$AA$364*(1+'财富模型'!$E$20/12)+'Calc'!$B$6,IF(Calc!$Y$365&lt;='财富模型'!$E$11*12,'Calc'!$W$15,'Calc'!$Y$15))))</x:f>
      </x:c>
      <x:c r="AD365" t="str">
        <x:f>IF(Calc!$Y$365&gt;'Calc'!$B$8,"",'Calc'!$B$5-'财富模型'!$E$5-(IF('Calc'!$E$15=1,'财富模型'!$E$9,'财富模型'!$M$7+IF(Calc!$Y$365&lt;='财富模型'!$E$11*12,'Calc'!$W$15,'Calc'!$Y$15)-(IF('Calc'!$E$15=1,0,MIN(Calc!$AA$364*(1+'财富模型'!$E$20/12)+'Calc'!$B$6,IF(Calc!$Y$365&lt;='财富模型'!$E$11*12,'Calc'!$W$15,'Calc'!$Y$15)))))))</x:f>
      </x:c>
      <x:c r="AE365" t="str">
        <x:f>IF(Calc!$Y$365&gt;'Calc'!$B$8,"",IF('Calc'!$E$15=1,0,MAX(Calc!$AE$364*(1+IF(Calc!$Y$365&lt;='财富模型'!$E$11*12,'财富模型'!$E$10,'财富模型'!$E$12)/12)-IF('Calc'!$E$15=1,0,IF(Calc!$Y$365&lt;='财富模型'!$E$11*12,'Calc'!$W$15,'Calc'!$Y$15)),0)))</x:f>
      </x:c>
      <x:c r="AG365" t="n">
        <x:v>344</x:v>
      </x:c>
      <x:c r="AH365" t="str">
        <x:f>IF(Calc!$AG$365&gt;'Calc'!$B$8,"",MAX(Calc!$AH$364*(1+'财富模型'!$E$6/12)+('Calc'!$B$5-'财富模型'!$E$5-(IF('Calc'!$E$16=1,'财富模型'!$E$9,'财富模型'!$M$8+IF(Calc!$AG$365&lt;='财富模型'!$E$11*12,'Calc'!$W$16,'Calc'!$Y$16)-(IF('Calc'!$E$16=1,0,MIN(Calc!$AI$364*(1+'财富模型'!$E$20/12)+'Calc'!$B$6,IF(Calc!$AG$365&lt;='财富模型'!$E$11*12,'Calc'!$W$16,'Calc'!$Y$16))))))),0))</x:f>
      </x:c>
      <x:c r="AI365" t="str">
        <x:f>IF(Calc!$AG$365&gt;'Calc'!$B$8,"",MAX(Calc!$AI$364*(1+'财富模型'!$E$20/12)+'Calc'!$B$6-(IF('Calc'!$E$16=1,0,MIN(Calc!$AI$364*(1+'财富模型'!$E$20/12)+'Calc'!$B$6,IF(Calc!$AG$365&lt;='财富模型'!$E$11*12,'Calc'!$W$16,'Calc'!$Y$16)))),0))</x:f>
      </x:c>
      <x:c r="AJ365" t="str">
        <x:f>IF(Calc!$AG$365&gt;'Calc'!$B$8,"",IF('Calc'!$E$16=1,'财富模型'!$E$9,'财富模型'!$M$8+IF(Calc!$AG$365&lt;='财富模型'!$E$11*12,'Calc'!$W$16,'Calc'!$Y$16)-(IF('Calc'!$E$16=1,0,MIN(Calc!$AI$364*(1+'财富模型'!$E$20/12)+'Calc'!$B$6,IF(Calc!$AG$365&lt;='财富模型'!$E$11*12,'Calc'!$W$16,'Calc'!$Y$16))))))</x:f>
      </x:c>
      <x:c r="AK365" t="str">
        <x:f>IF(Calc!$AG$365&gt;'Calc'!$B$8,"",IF('Calc'!$E$16=1,0,MIN(Calc!$AI$364*(1+'财富模型'!$E$20/12)+'Calc'!$B$6,IF(Calc!$AG$365&lt;='财富模型'!$E$11*12,'Calc'!$W$16,'Calc'!$Y$16))))</x:f>
      </x:c>
      <x:c r="AL365" t="str">
        <x:f>IF(Calc!$AG$365&gt;'Calc'!$B$8,"",'Calc'!$B$5-'财富模型'!$E$5-(IF('Calc'!$E$16=1,'财富模型'!$E$9,'财富模型'!$M$8+IF(Calc!$AG$365&lt;='财富模型'!$E$11*12,'Calc'!$W$16,'Calc'!$Y$16)-(IF('Calc'!$E$16=1,0,MIN(Calc!$AI$364*(1+'财富模型'!$E$20/12)+'Calc'!$B$6,IF(Calc!$AG$365&lt;='财富模型'!$E$11*12,'Calc'!$W$16,'Calc'!$Y$16)))))))</x:f>
      </x:c>
      <x:c r="AM365" t="str">
        <x:f>IF(Calc!$AG$365&gt;'Calc'!$B$8,"",IF('Calc'!$E$16=1,0,MAX(Calc!$AM$364*(1+IF(Calc!$AG$365&lt;='财富模型'!$E$11*12,'财富模型'!$E$10,'财富模型'!$E$12)/12)-IF('Calc'!$E$16=1,0,IF(Calc!$AG$365&lt;='财富模型'!$E$11*12,'Calc'!$W$16,'Calc'!$Y$16)),0)))</x:f>
      </x:c>
      <x:c r="AO365" t="n">
        <x:v>344</x:v>
      </x:c>
      <x:c r="AP365" t="str">
        <x:f>IF(Calc!$AO$365&gt;'Calc'!$B$8,"",MAX(Calc!$AP$364*(1+'财富模型'!$E$6/12)+('Calc'!$B$5-'财富模型'!$E$5-(IF('Calc'!$E$17=1,'财富模型'!$E$9,'财富模型'!$M$9+IF(Calc!$AO$365&lt;='财富模型'!$E$11*12,'Calc'!$W$17,'Calc'!$Y$17)-(IF('Calc'!$E$17=1,0,MIN(Calc!$AQ$364*(1+'财富模型'!$E$20/12)+'Calc'!$B$6,IF(Calc!$AO$365&lt;='财富模型'!$E$11*12,'Calc'!$W$17,'Calc'!$Y$17))))))),0))</x:f>
      </x:c>
      <x:c r="AQ365" t="str">
        <x:f>IF(Calc!$AO$365&gt;'Calc'!$B$8,"",MAX(Calc!$AQ$364*(1+'财富模型'!$E$20/12)+'Calc'!$B$6-(IF('Calc'!$E$17=1,0,MIN(Calc!$AQ$364*(1+'财富模型'!$E$20/12)+'Calc'!$B$6,IF(Calc!$AO$365&lt;='财富模型'!$E$11*12,'Calc'!$W$17,'Calc'!$Y$17)))),0))</x:f>
      </x:c>
      <x:c r="AR365" t="str">
        <x:f>IF(Calc!$AO$365&gt;'Calc'!$B$8,"",IF('Calc'!$E$17=1,'财富模型'!$E$9,'财富模型'!$M$9+IF(Calc!$AO$365&lt;='财富模型'!$E$11*12,'Calc'!$W$17,'Calc'!$Y$17)-(IF('Calc'!$E$17=1,0,MIN(Calc!$AQ$364*(1+'财富模型'!$E$20/12)+'Calc'!$B$6,IF(Calc!$AO$365&lt;='财富模型'!$E$11*12,'Calc'!$W$17,'Calc'!$Y$17))))))</x:f>
      </x:c>
      <x:c r="AS365" t="str">
        <x:f>IF(Calc!$AO$365&gt;'Calc'!$B$8,"",IF('Calc'!$E$17=1,0,MIN(Calc!$AQ$364*(1+'财富模型'!$E$20/12)+'Calc'!$B$6,IF(Calc!$AO$365&lt;='财富模型'!$E$11*12,'Calc'!$W$17,'Calc'!$Y$17))))</x:f>
      </x:c>
      <x:c r="AT365" t="str">
        <x:f>IF(Calc!$AO$365&gt;'Calc'!$B$8,"",'Calc'!$B$5-'财富模型'!$E$5-(IF('Calc'!$E$17=1,'财富模型'!$E$9,'财富模型'!$M$9+IF(Calc!$AO$365&lt;='财富模型'!$E$11*12,'Calc'!$W$17,'Calc'!$Y$17)-(IF('Calc'!$E$17=1,0,MIN(Calc!$AQ$364*(1+'财富模型'!$E$20/12)+'Calc'!$B$6,IF(Calc!$AO$365&lt;='财富模型'!$E$11*12,'Calc'!$W$17,'Calc'!$Y$17)))))))</x:f>
      </x:c>
      <x:c r="AU365" t="str">
        <x:f>IF(Calc!$AO$365&gt;'Calc'!$B$8,"",IF('Calc'!$E$17=1,0,MAX(Calc!$AU$364*(1+IF(Calc!$AO$365&lt;='财富模型'!$E$11*12,'财富模型'!$E$10,'财富模型'!$E$12)/12)-IF('Calc'!$E$17=1,0,IF(Calc!$AO$365&lt;='财富模型'!$E$11*12,'Calc'!$W$17,'Calc'!$Y$17)),0)))</x:f>
      </x:c>
    </x:row>
    <x:row r="366">
      <x:c r="A366" t="n">
        <x:v>345</x:v>
      </x:c>
      <x:c r="B366" t="str">
        <x:f>IF(Calc!$A$366&gt;'Calc'!$B$8,"",MAX(Calc!$B$365*(1+'财富模型'!$E$6/12)+('Calc'!$B$5-'财富模型'!$E$5-(IF('Calc'!$E$12=1,'财富模型'!$E$9,'财富模型'!$M$4+IF(Calc!$A$366&lt;='财富模型'!$E$11*12,'Calc'!$W$12,'Calc'!$Y$12)-(IF('Calc'!$E$12=1,0,MIN(Calc!$C$365*(1+'财富模型'!$E$20/12)+'Calc'!$B$6,IF(Calc!$A$366&lt;='财富模型'!$E$11*12,'Calc'!$W$12,'Calc'!$Y$12))))))),0))</x:f>
      </x:c>
      <x:c r="C366" t="str">
        <x:f>IF(Calc!$A$366&gt;'Calc'!$B$8,"",MAX(Calc!$C$365*(1+'财富模型'!$E$20/12)+'Calc'!$B$6-(IF('Calc'!$E$12=1,0,MIN(Calc!$C$365*(1+'财富模型'!$E$20/12)+'Calc'!$B$6,IF(Calc!$A$366&lt;='财富模型'!$E$11*12,'Calc'!$W$12,'Calc'!$Y$12)))),0))</x:f>
      </x:c>
      <x:c r="D366" t="str">
        <x:f>IF(Calc!$A$366&gt;'Calc'!$B$8,"",IF('Calc'!$E$12=1,'财富模型'!$E$9,'财富模型'!$M$4+IF(Calc!$A$366&lt;='财富模型'!$E$11*12,'Calc'!$W$12,'Calc'!$Y$12)-(IF('Calc'!$E$12=1,0,MIN(Calc!$C$365*(1+'财富模型'!$E$20/12)+'Calc'!$B$6,IF(Calc!$A$366&lt;='财富模型'!$E$11*12,'Calc'!$W$12,'Calc'!$Y$12))))))</x:f>
      </x:c>
      <x:c r="E366" t="str">
        <x:f>IF(Calc!$A$366&gt;'Calc'!$B$8,"",IF('Calc'!$E$12=1,0,MIN(Calc!$C$365*(1+'财富模型'!$E$20/12)+'Calc'!$B$6,IF(Calc!$A$366&lt;='财富模型'!$E$11*12,'Calc'!$W$12,'Calc'!$Y$12))))</x:f>
      </x:c>
      <x:c r="F366" t="str">
        <x:f>IF(Calc!$A$366&gt;'Calc'!$B$8,"",'Calc'!$B$5-'财富模型'!$E$5-(IF('Calc'!$E$12=1,'财富模型'!$E$9,'财富模型'!$M$4+IF(Calc!$A$366&lt;='财富模型'!$E$11*12,'Calc'!$W$12,'Calc'!$Y$12)-(IF('Calc'!$E$12=1,0,MIN(Calc!$C$365*(1+'财富模型'!$E$20/12)+'Calc'!$B$6,IF(Calc!$A$366&lt;='财富模型'!$E$11*12,'Calc'!$W$12,'Calc'!$Y$12)))))))</x:f>
      </x:c>
      <x:c r="G366" t="str">
        <x:f>IF(Calc!$A$366&gt;'Calc'!$B$8,"",IF('Calc'!$E$12=1,0,MAX(Calc!$G$365*(1+IF(Calc!$A$366&lt;='财富模型'!$E$11*12,'财富模型'!$E$10,'财富模型'!$E$12)/12)-IF('Calc'!$E$12=1,0,IF(Calc!$A$366&lt;='财富模型'!$E$11*12,'Calc'!$W$12,'Calc'!$Y$12)),0)))</x:f>
      </x:c>
      <x:c r="I366" t="n">
        <x:v>345</x:v>
      </x:c>
      <x:c r="J366" t="str">
        <x:f>IF(Calc!$I$366&gt;'Calc'!$B$8,"",MAX(Calc!$J$365*(1+'财富模型'!$E$6/12)+('Calc'!$B$5-'财富模型'!$E$5-(IF('Calc'!$E$13=1,'财富模型'!$E$9,'财富模型'!$M$5+IF(Calc!$I$366&lt;='财富模型'!$E$11*12,'Calc'!$W$13,'Calc'!$Y$13)-(IF('Calc'!$E$13=1,0,MIN(Calc!$K$365*(1+'财富模型'!$E$20/12)+'Calc'!$B$6,IF(Calc!$I$366&lt;='财富模型'!$E$11*12,'Calc'!$W$13,'Calc'!$Y$13))))))),0))</x:f>
      </x:c>
      <x:c r="K366" t="str">
        <x:f>IF(Calc!$I$366&gt;'Calc'!$B$8,"",MAX(Calc!$K$365*(1+'财富模型'!$E$20/12)+'Calc'!$B$6-(IF('Calc'!$E$13=1,0,MIN(Calc!$K$365*(1+'财富模型'!$E$20/12)+'Calc'!$B$6,IF(Calc!$I$366&lt;='财富模型'!$E$11*12,'Calc'!$W$13,'Calc'!$Y$13)))),0))</x:f>
      </x:c>
      <x:c r="L366" t="str">
        <x:f>IF(Calc!$I$366&gt;'Calc'!$B$8,"",IF('Calc'!$E$13=1,'财富模型'!$E$9,'财富模型'!$M$5+IF(Calc!$I$366&lt;='财富模型'!$E$11*12,'Calc'!$W$13,'Calc'!$Y$13)-(IF('Calc'!$E$13=1,0,MIN(Calc!$K$365*(1+'财富模型'!$E$20/12)+'Calc'!$B$6,IF(Calc!$I$366&lt;='财富模型'!$E$11*12,'Calc'!$W$13,'Calc'!$Y$13))))))</x:f>
      </x:c>
      <x:c r="M366" t="str">
        <x:f>IF(Calc!$I$366&gt;'Calc'!$B$8,"",IF('Calc'!$E$13=1,0,MIN(Calc!$K$365*(1+'财富模型'!$E$20/12)+'Calc'!$B$6,IF(Calc!$I$366&lt;='财富模型'!$E$11*12,'Calc'!$W$13,'Calc'!$Y$13))))</x:f>
      </x:c>
      <x:c r="N366" t="str">
        <x:f>IF(Calc!$I$366&gt;'Calc'!$B$8,"",'Calc'!$B$5-'财富模型'!$E$5-(IF('Calc'!$E$13=1,'财富模型'!$E$9,'财富模型'!$M$5+IF(Calc!$I$366&lt;='财富模型'!$E$11*12,'Calc'!$W$13,'Calc'!$Y$13)-(IF('Calc'!$E$13=1,0,MIN(Calc!$K$365*(1+'财富模型'!$E$20/12)+'Calc'!$B$6,IF(Calc!$I$366&lt;='财富模型'!$E$11*12,'Calc'!$W$13,'Calc'!$Y$13)))))))</x:f>
      </x:c>
      <x:c r="O366" t="str">
        <x:f>IF(Calc!$I$366&gt;'Calc'!$B$8,"",IF('Calc'!$E$13=1,0,MAX(Calc!$O$365*(1+IF(Calc!$I$366&lt;='财富模型'!$E$11*12,'财富模型'!$E$10,'财富模型'!$E$12)/12)-IF('Calc'!$E$13=1,0,IF(Calc!$I$366&lt;='财富模型'!$E$11*12,'Calc'!$W$13,'Calc'!$Y$13)),0)))</x:f>
      </x:c>
      <x:c r="Q366" t="n">
        <x:v>345</x:v>
      </x:c>
      <x:c r="R366" t="str">
        <x:f>IF(Calc!$Q$366&gt;'Calc'!$B$8,"",MAX(Calc!$R$365*(1+'财富模型'!$E$6/12)+('Calc'!$B$5-'财富模型'!$E$5-(IF('Calc'!$E$14=1,'财富模型'!$E$9,'财富模型'!$M$6+IF(Calc!$Q$366&lt;='财富模型'!$E$11*12,'Calc'!$W$14,'Calc'!$Y$14)-(IF('Calc'!$E$14=1,0,MIN(Calc!$S$365*(1+'财富模型'!$E$20/12)+'Calc'!$B$6,IF(Calc!$Q$366&lt;='财富模型'!$E$11*12,'Calc'!$W$14,'Calc'!$Y$14))))))),0))</x:f>
      </x:c>
      <x:c r="S366" t="str">
        <x:f>IF(Calc!$Q$366&gt;'Calc'!$B$8,"",MAX(Calc!$S$365*(1+'财富模型'!$E$20/12)+'Calc'!$B$6-(IF('Calc'!$E$14=1,0,MIN(Calc!$S$365*(1+'财富模型'!$E$20/12)+'Calc'!$B$6,IF(Calc!$Q$366&lt;='财富模型'!$E$11*12,'Calc'!$W$14,'Calc'!$Y$14)))),0))</x:f>
      </x:c>
      <x:c r="T366" t="str">
        <x:f>IF(Calc!$Q$366&gt;'Calc'!$B$8,"",IF('Calc'!$E$14=1,'财富模型'!$E$9,'财富模型'!$M$6+IF(Calc!$Q$366&lt;='财富模型'!$E$11*12,'Calc'!$W$14,'Calc'!$Y$14)-(IF('Calc'!$E$14=1,0,MIN(Calc!$S$365*(1+'财富模型'!$E$20/12)+'Calc'!$B$6,IF(Calc!$Q$366&lt;='财富模型'!$E$11*12,'Calc'!$W$14,'Calc'!$Y$14))))))</x:f>
      </x:c>
      <x:c r="U366" t="str">
        <x:f>IF(Calc!$Q$366&gt;'Calc'!$B$8,"",IF('Calc'!$E$14=1,0,MIN(Calc!$S$365*(1+'财富模型'!$E$20/12)+'Calc'!$B$6,IF(Calc!$Q$366&lt;='财富模型'!$E$11*12,'Calc'!$W$14,'Calc'!$Y$14))))</x:f>
      </x:c>
      <x:c r="V366" t="str">
        <x:f>IF(Calc!$Q$366&gt;'Calc'!$B$8,"",'Calc'!$B$5-'财富模型'!$E$5-(IF('Calc'!$E$14=1,'财富模型'!$E$9,'财富模型'!$M$6+IF(Calc!$Q$366&lt;='财富模型'!$E$11*12,'Calc'!$W$14,'Calc'!$Y$14)-(IF('Calc'!$E$14=1,0,MIN(Calc!$S$365*(1+'财富模型'!$E$20/12)+'Calc'!$B$6,IF(Calc!$Q$366&lt;='财富模型'!$E$11*12,'Calc'!$W$14,'Calc'!$Y$14)))))))</x:f>
      </x:c>
      <x:c r="W366" t="str">
        <x:f>IF(Calc!$Q$366&gt;'Calc'!$B$8,"",IF('Calc'!$E$14=1,0,MAX(Calc!$W$365*(1+IF(Calc!$Q$366&lt;='财富模型'!$E$11*12,'财富模型'!$E$10,'财富模型'!$E$12)/12)-IF('Calc'!$E$14=1,0,IF(Calc!$Q$366&lt;='财富模型'!$E$11*12,'Calc'!$W$14,'Calc'!$Y$14)),0)))</x:f>
      </x:c>
      <x:c r="Y366" t="n">
        <x:v>345</x:v>
      </x:c>
      <x:c r="Z366" t="str">
        <x:f>IF(Calc!$Y$366&gt;'Calc'!$B$8,"",MAX(Calc!$Z$365*(1+'财富模型'!$E$6/12)+('Calc'!$B$5-'财富模型'!$E$5-(IF('Calc'!$E$15=1,'财富模型'!$E$9,'财富模型'!$M$7+IF(Calc!$Y$366&lt;='财富模型'!$E$11*12,'Calc'!$W$15,'Calc'!$Y$15)-(IF('Calc'!$E$15=1,0,MIN(Calc!$AA$365*(1+'财富模型'!$E$20/12)+'Calc'!$B$6,IF(Calc!$Y$366&lt;='财富模型'!$E$11*12,'Calc'!$W$15,'Calc'!$Y$15))))))),0))</x:f>
      </x:c>
      <x:c r="AA366" t="str">
        <x:f>IF(Calc!$Y$366&gt;'Calc'!$B$8,"",MAX(Calc!$AA$365*(1+'财富模型'!$E$20/12)+'Calc'!$B$6-(IF('Calc'!$E$15=1,0,MIN(Calc!$AA$365*(1+'财富模型'!$E$20/12)+'Calc'!$B$6,IF(Calc!$Y$366&lt;='财富模型'!$E$11*12,'Calc'!$W$15,'Calc'!$Y$15)))),0))</x:f>
      </x:c>
      <x:c r="AB366" t="str">
        <x:f>IF(Calc!$Y$366&gt;'Calc'!$B$8,"",IF('Calc'!$E$15=1,'财富模型'!$E$9,'财富模型'!$M$7+IF(Calc!$Y$366&lt;='财富模型'!$E$11*12,'Calc'!$W$15,'Calc'!$Y$15)-(IF('Calc'!$E$15=1,0,MIN(Calc!$AA$365*(1+'财富模型'!$E$20/12)+'Calc'!$B$6,IF(Calc!$Y$366&lt;='财富模型'!$E$11*12,'Calc'!$W$15,'Calc'!$Y$15))))))</x:f>
      </x:c>
      <x:c r="AC366" t="str">
        <x:f>IF(Calc!$Y$366&gt;'Calc'!$B$8,"",IF('Calc'!$E$15=1,0,MIN(Calc!$AA$365*(1+'财富模型'!$E$20/12)+'Calc'!$B$6,IF(Calc!$Y$366&lt;='财富模型'!$E$11*12,'Calc'!$W$15,'Calc'!$Y$15))))</x:f>
      </x:c>
      <x:c r="AD366" t="str">
        <x:f>IF(Calc!$Y$366&gt;'Calc'!$B$8,"",'Calc'!$B$5-'财富模型'!$E$5-(IF('Calc'!$E$15=1,'财富模型'!$E$9,'财富模型'!$M$7+IF(Calc!$Y$366&lt;='财富模型'!$E$11*12,'Calc'!$W$15,'Calc'!$Y$15)-(IF('Calc'!$E$15=1,0,MIN(Calc!$AA$365*(1+'财富模型'!$E$20/12)+'Calc'!$B$6,IF(Calc!$Y$366&lt;='财富模型'!$E$11*12,'Calc'!$W$15,'Calc'!$Y$15)))))))</x:f>
      </x:c>
      <x:c r="AE366" t="str">
        <x:f>IF(Calc!$Y$366&gt;'Calc'!$B$8,"",IF('Calc'!$E$15=1,0,MAX(Calc!$AE$365*(1+IF(Calc!$Y$366&lt;='财富模型'!$E$11*12,'财富模型'!$E$10,'财富模型'!$E$12)/12)-IF('Calc'!$E$15=1,0,IF(Calc!$Y$366&lt;='财富模型'!$E$11*12,'Calc'!$W$15,'Calc'!$Y$15)),0)))</x:f>
      </x:c>
      <x:c r="AG366" t="n">
        <x:v>345</x:v>
      </x:c>
      <x:c r="AH366" t="str">
        <x:f>IF(Calc!$AG$366&gt;'Calc'!$B$8,"",MAX(Calc!$AH$365*(1+'财富模型'!$E$6/12)+('Calc'!$B$5-'财富模型'!$E$5-(IF('Calc'!$E$16=1,'财富模型'!$E$9,'财富模型'!$M$8+IF(Calc!$AG$366&lt;='财富模型'!$E$11*12,'Calc'!$W$16,'Calc'!$Y$16)-(IF('Calc'!$E$16=1,0,MIN(Calc!$AI$365*(1+'财富模型'!$E$20/12)+'Calc'!$B$6,IF(Calc!$AG$366&lt;='财富模型'!$E$11*12,'Calc'!$W$16,'Calc'!$Y$16))))))),0))</x:f>
      </x:c>
      <x:c r="AI366" t="str">
        <x:f>IF(Calc!$AG$366&gt;'Calc'!$B$8,"",MAX(Calc!$AI$365*(1+'财富模型'!$E$20/12)+'Calc'!$B$6-(IF('Calc'!$E$16=1,0,MIN(Calc!$AI$365*(1+'财富模型'!$E$20/12)+'Calc'!$B$6,IF(Calc!$AG$366&lt;='财富模型'!$E$11*12,'Calc'!$W$16,'Calc'!$Y$16)))),0))</x:f>
      </x:c>
      <x:c r="AJ366" t="str">
        <x:f>IF(Calc!$AG$366&gt;'Calc'!$B$8,"",IF('Calc'!$E$16=1,'财富模型'!$E$9,'财富模型'!$M$8+IF(Calc!$AG$366&lt;='财富模型'!$E$11*12,'Calc'!$W$16,'Calc'!$Y$16)-(IF('Calc'!$E$16=1,0,MIN(Calc!$AI$365*(1+'财富模型'!$E$20/12)+'Calc'!$B$6,IF(Calc!$AG$366&lt;='财富模型'!$E$11*12,'Calc'!$W$16,'Calc'!$Y$16))))))</x:f>
      </x:c>
      <x:c r="AK366" t="str">
        <x:f>IF(Calc!$AG$366&gt;'Calc'!$B$8,"",IF('Calc'!$E$16=1,0,MIN(Calc!$AI$365*(1+'财富模型'!$E$20/12)+'Calc'!$B$6,IF(Calc!$AG$366&lt;='财富模型'!$E$11*12,'Calc'!$W$16,'Calc'!$Y$16))))</x:f>
      </x:c>
      <x:c r="AL366" t="str">
        <x:f>IF(Calc!$AG$366&gt;'Calc'!$B$8,"",'Calc'!$B$5-'财富模型'!$E$5-(IF('Calc'!$E$16=1,'财富模型'!$E$9,'财富模型'!$M$8+IF(Calc!$AG$366&lt;='财富模型'!$E$11*12,'Calc'!$W$16,'Calc'!$Y$16)-(IF('Calc'!$E$16=1,0,MIN(Calc!$AI$365*(1+'财富模型'!$E$20/12)+'Calc'!$B$6,IF(Calc!$AG$366&lt;='财富模型'!$E$11*12,'Calc'!$W$16,'Calc'!$Y$16)))))))</x:f>
      </x:c>
      <x:c r="AM366" t="str">
        <x:f>IF(Calc!$AG$366&gt;'Calc'!$B$8,"",IF('Calc'!$E$16=1,0,MAX(Calc!$AM$365*(1+IF(Calc!$AG$366&lt;='财富模型'!$E$11*12,'财富模型'!$E$10,'财富模型'!$E$12)/12)-IF('Calc'!$E$16=1,0,IF(Calc!$AG$366&lt;='财富模型'!$E$11*12,'Calc'!$W$16,'Calc'!$Y$16)),0)))</x:f>
      </x:c>
      <x:c r="AO366" t="n">
        <x:v>345</x:v>
      </x:c>
      <x:c r="AP366" t="str">
        <x:f>IF(Calc!$AO$366&gt;'Calc'!$B$8,"",MAX(Calc!$AP$365*(1+'财富模型'!$E$6/12)+('Calc'!$B$5-'财富模型'!$E$5-(IF('Calc'!$E$17=1,'财富模型'!$E$9,'财富模型'!$M$9+IF(Calc!$AO$366&lt;='财富模型'!$E$11*12,'Calc'!$W$17,'Calc'!$Y$17)-(IF('Calc'!$E$17=1,0,MIN(Calc!$AQ$365*(1+'财富模型'!$E$20/12)+'Calc'!$B$6,IF(Calc!$AO$366&lt;='财富模型'!$E$11*12,'Calc'!$W$17,'Calc'!$Y$17))))))),0))</x:f>
      </x:c>
      <x:c r="AQ366" t="str">
        <x:f>IF(Calc!$AO$366&gt;'Calc'!$B$8,"",MAX(Calc!$AQ$365*(1+'财富模型'!$E$20/12)+'Calc'!$B$6-(IF('Calc'!$E$17=1,0,MIN(Calc!$AQ$365*(1+'财富模型'!$E$20/12)+'Calc'!$B$6,IF(Calc!$AO$366&lt;='财富模型'!$E$11*12,'Calc'!$W$17,'Calc'!$Y$17)))),0))</x:f>
      </x:c>
      <x:c r="AR366" t="str">
        <x:f>IF(Calc!$AO$366&gt;'Calc'!$B$8,"",IF('Calc'!$E$17=1,'财富模型'!$E$9,'财富模型'!$M$9+IF(Calc!$AO$366&lt;='财富模型'!$E$11*12,'Calc'!$W$17,'Calc'!$Y$17)-(IF('Calc'!$E$17=1,0,MIN(Calc!$AQ$365*(1+'财富模型'!$E$20/12)+'Calc'!$B$6,IF(Calc!$AO$366&lt;='财富模型'!$E$11*12,'Calc'!$W$17,'Calc'!$Y$17))))))</x:f>
      </x:c>
      <x:c r="AS366" t="str">
        <x:f>IF(Calc!$AO$366&gt;'Calc'!$B$8,"",IF('Calc'!$E$17=1,0,MIN(Calc!$AQ$365*(1+'财富模型'!$E$20/12)+'Calc'!$B$6,IF(Calc!$AO$366&lt;='财富模型'!$E$11*12,'Calc'!$W$17,'Calc'!$Y$17))))</x:f>
      </x:c>
      <x:c r="AT366" t="str">
        <x:f>IF(Calc!$AO$366&gt;'Calc'!$B$8,"",'Calc'!$B$5-'财富模型'!$E$5-(IF('Calc'!$E$17=1,'财富模型'!$E$9,'财富模型'!$M$9+IF(Calc!$AO$366&lt;='财富模型'!$E$11*12,'Calc'!$W$17,'Calc'!$Y$17)-(IF('Calc'!$E$17=1,0,MIN(Calc!$AQ$365*(1+'财富模型'!$E$20/12)+'Calc'!$B$6,IF(Calc!$AO$366&lt;='财富模型'!$E$11*12,'Calc'!$W$17,'Calc'!$Y$17)))))))</x:f>
      </x:c>
      <x:c r="AU366" t="str">
        <x:f>IF(Calc!$AO$366&gt;'Calc'!$B$8,"",IF('Calc'!$E$17=1,0,MAX(Calc!$AU$365*(1+IF(Calc!$AO$366&lt;='财富模型'!$E$11*12,'财富模型'!$E$10,'财富模型'!$E$12)/12)-IF('Calc'!$E$17=1,0,IF(Calc!$AO$366&lt;='财富模型'!$E$11*12,'Calc'!$W$17,'Calc'!$Y$17)),0)))</x:f>
      </x:c>
    </x:row>
    <x:row r="367">
      <x:c r="A367" t="n">
        <x:v>346</x:v>
      </x:c>
      <x:c r="B367" t="str">
        <x:f>IF(Calc!$A$367&gt;'Calc'!$B$8,"",MAX(Calc!$B$366*(1+'财富模型'!$E$6/12)+('Calc'!$B$5-'财富模型'!$E$5-(IF('Calc'!$E$12=1,'财富模型'!$E$9,'财富模型'!$M$4+IF(Calc!$A$367&lt;='财富模型'!$E$11*12,'Calc'!$W$12,'Calc'!$Y$12)-(IF('Calc'!$E$12=1,0,MIN(Calc!$C$366*(1+'财富模型'!$E$20/12)+'Calc'!$B$6,IF(Calc!$A$367&lt;='财富模型'!$E$11*12,'Calc'!$W$12,'Calc'!$Y$12))))))),0))</x:f>
      </x:c>
      <x:c r="C367" t="str">
        <x:f>IF(Calc!$A$367&gt;'Calc'!$B$8,"",MAX(Calc!$C$366*(1+'财富模型'!$E$20/12)+'Calc'!$B$6-(IF('Calc'!$E$12=1,0,MIN(Calc!$C$366*(1+'财富模型'!$E$20/12)+'Calc'!$B$6,IF(Calc!$A$367&lt;='财富模型'!$E$11*12,'Calc'!$W$12,'Calc'!$Y$12)))),0))</x:f>
      </x:c>
      <x:c r="D367" t="str">
        <x:f>IF(Calc!$A$367&gt;'Calc'!$B$8,"",IF('Calc'!$E$12=1,'财富模型'!$E$9,'财富模型'!$M$4+IF(Calc!$A$367&lt;='财富模型'!$E$11*12,'Calc'!$W$12,'Calc'!$Y$12)-(IF('Calc'!$E$12=1,0,MIN(Calc!$C$366*(1+'财富模型'!$E$20/12)+'Calc'!$B$6,IF(Calc!$A$367&lt;='财富模型'!$E$11*12,'Calc'!$W$12,'Calc'!$Y$12))))))</x:f>
      </x:c>
      <x:c r="E367" t="str">
        <x:f>IF(Calc!$A$367&gt;'Calc'!$B$8,"",IF('Calc'!$E$12=1,0,MIN(Calc!$C$366*(1+'财富模型'!$E$20/12)+'Calc'!$B$6,IF(Calc!$A$367&lt;='财富模型'!$E$11*12,'Calc'!$W$12,'Calc'!$Y$12))))</x:f>
      </x:c>
      <x:c r="F367" t="str">
        <x:f>IF(Calc!$A$367&gt;'Calc'!$B$8,"",'Calc'!$B$5-'财富模型'!$E$5-(IF('Calc'!$E$12=1,'财富模型'!$E$9,'财富模型'!$M$4+IF(Calc!$A$367&lt;='财富模型'!$E$11*12,'Calc'!$W$12,'Calc'!$Y$12)-(IF('Calc'!$E$12=1,0,MIN(Calc!$C$366*(1+'财富模型'!$E$20/12)+'Calc'!$B$6,IF(Calc!$A$367&lt;='财富模型'!$E$11*12,'Calc'!$W$12,'Calc'!$Y$12)))))))</x:f>
      </x:c>
      <x:c r="G367" t="str">
        <x:f>IF(Calc!$A$367&gt;'Calc'!$B$8,"",IF('Calc'!$E$12=1,0,MAX(Calc!$G$366*(1+IF(Calc!$A$367&lt;='财富模型'!$E$11*12,'财富模型'!$E$10,'财富模型'!$E$12)/12)-IF('Calc'!$E$12=1,0,IF(Calc!$A$367&lt;='财富模型'!$E$11*12,'Calc'!$W$12,'Calc'!$Y$12)),0)))</x:f>
      </x:c>
      <x:c r="I367" t="n">
        <x:v>346</x:v>
      </x:c>
      <x:c r="J367" t="str">
        <x:f>IF(Calc!$I$367&gt;'Calc'!$B$8,"",MAX(Calc!$J$366*(1+'财富模型'!$E$6/12)+('Calc'!$B$5-'财富模型'!$E$5-(IF('Calc'!$E$13=1,'财富模型'!$E$9,'财富模型'!$M$5+IF(Calc!$I$367&lt;='财富模型'!$E$11*12,'Calc'!$W$13,'Calc'!$Y$13)-(IF('Calc'!$E$13=1,0,MIN(Calc!$K$366*(1+'财富模型'!$E$20/12)+'Calc'!$B$6,IF(Calc!$I$367&lt;='财富模型'!$E$11*12,'Calc'!$W$13,'Calc'!$Y$13))))))),0))</x:f>
      </x:c>
      <x:c r="K367" t="str">
        <x:f>IF(Calc!$I$367&gt;'Calc'!$B$8,"",MAX(Calc!$K$366*(1+'财富模型'!$E$20/12)+'Calc'!$B$6-(IF('Calc'!$E$13=1,0,MIN(Calc!$K$366*(1+'财富模型'!$E$20/12)+'Calc'!$B$6,IF(Calc!$I$367&lt;='财富模型'!$E$11*12,'Calc'!$W$13,'Calc'!$Y$13)))),0))</x:f>
      </x:c>
      <x:c r="L367" t="str">
        <x:f>IF(Calc!$I$367&gt;'Calc'!$B$8,"",IF('Calc'!$E$13=1,'财富模型'!$E$9,'财富模型'!$M$5+IF(Calc!$I$367&lt;='财富模型'!$E$11*12,'Calc'!$W$13,'Calc'!$Y$13)-(IF('Calc'!$E$13=1,0,MIN(Calc!$K$366*(1+'财富模型'!$E$20/12)+'Calc'!$B$6,IF(Calc!$I$367&lt;='财富模型'!$E$11*12,'Calc'!$W$13,'Calc'!$Y$13))))))</x:f>
      </x:c>
      <x:c r="M367" t="str">
        <x:f>IF(Calc!$I$367&gt;'Calc'!$B$8,"",IF('Calc'!$E$13=1,0,MIN(Calc!$K$366*(1+'财富模型'!$E$20/12)+'Calc'!$B$6,IF(Calc!$I$367&lt;='财富模型'!$E$11*12,'Calc'!$W$13,'Calc'!$Y$13))))</x:f>
      </x:c>
      <x:c r="N367" t="str">
        <x:f>IF(Calc!$I$367&gt;'Calc'!$B$8,"",'Calc'!$B$5-'财富模型'!$E$5-(IF('Calc'!$E$13=1,'财富模型'!$E$9,'财富模型'!$M$5+IF(Calc!$I$367&lt;='财富模型'!$E$11*12,'Calc'!$W$13,'Calc'!$Y$13)-(IF('Calc'!$E$13=1,0,MIN(Calc!$K$366*(1+'财富模型'!$E$20/12)+'Calc'!$B$6,IF(Calc!$I$367&lt;='财富模型'!$E$11*12,'Calc'!$W$13,'Calc'!$Y$13)))))))</x:f>
      </x:c>
      <x:c r="O367" t="str">
        <x:f>IF(Calc!$I$367&gt;'Calc'!$B$8,"",IF('Calc'!$E$13=1,0,MAX(Calc!$O$366*(1+IF(Calc!$I$367&lt;='财富模型'!$E$11*12,'财富模型'!$E$10,'财富模型'!$E$12)/12)-IF('Calc'!$E$13=1,0,IF(Calc!$I$367&lt;='财富模型'!$E$11*12,'Calc'!$W$13,'Calc'!$Y$13)),0)))</x:f>
      </x:c>
      <x:c r="Q367" t="n">
        <x:v>346</x:v>
      </x:c>
      <x:c r="R367" t="str">
        <x:f>IF(Calc!$Q$367&gt;'Calc'!$B$8,"",MAX(Calc!$R$366*(1+'财富模型'!$E$6/12)+('Calc'!$B$5-'财富模型'!$E$5-(IF('Calc'!$E$14=1,'财富模型'!$E$9,'财富模型'!$M$6+IF(Calc!$Q$367&lt;='财富模型'!$E$11*12,'Calc'!$W$14,'Calc'!$Y$14)-(IF('Calc'!$E$14=1,0,MIN(Calc!$S$366*(1+'财富模型'!$E$20/12)+'Calc'!$B$6,IF(Calc!$Q$367&lt;='财富模型'!$E$11*12,'Calc'!$W$14,'Calc'!$Y$14))))))),0))</x:f>
      </x:c>
      <x:c r="S367" t="str">
        <x:f>IF(Calc!$Q$367&gt;'Calc'!$B$8,"",MAX(Calc!$S$366*(1+'财富模型'!$E$20/12)+'Calc'!$B$6-(IF('Calc'!$E$14=1,0,MIN(Calc!$S$366*(1+'财富模型'!$E$20/12)+'Calc'!$B$6,IF(Calc!$Q$367&lt;='财富模型'!$E$11*12,'Calc'!$W$14,'Calc'!$Y$14)))),0))</x:f>
      </x:c>
      <x:c r="T367" t="str">
        <x:f>IF(Calc!$Q$367&gt;'Calc'!$B$8,"",IF('Calc'!$E$14=1,'财富模型'!$E$9,'财富模型'!$M$6+IF(Calc!$Q$367&lt;='财富模型'!$E$11*12,'Calc'!$W$14,'Calc'!$Y$14)-(IF('Calc'!$E$14=1,0,MIN(Calc!$S$366*(1+'财富模型'!$E$20/12)+'Calc'!$B$6,IF(Calc!$Q$367&lt;='财富模型'!$E$11*12,'Calc'!$W$14,'Calc'!$Y$14))))))</x:f>
      </x:c>
      <x:c r="U367" t="str">
        <x:f>IF(Calc!$Q$367&gt;'Calc'!$B$8,"",IF('Calc'!$E$14=1,0,MIN(Calc!$S$366*(1+'财富模型'!$E$20/12)+'Calc'!$B$6,IF(Calc!$Q$367&lt;='财富模型'!$E$11*12,'Calc'!$W$14,'Calc'!$Y$14))))</x:f>
      </x:c>
      <x:c r="V367" t="str">
        <x:f>IF(Calc!$Q$367&gt;'Calc'!$B$8,"",'Calc'!$B$5-'财富模型'!$E$5-(IF('Calc'!$E$14=1,'财富模型'!$E$9,'财富模型'!$M$6+IF(Calc!$Q$367&lt;='财富模型'!$E$11*12,'Calc'!$W$14,'Calc'!$Y$14)-(IF('Calc'!$E$14=1,0,MIN(Calc!$S$366*(1+'财富模型'!$E$20/12)+'Calc'!$B$6,IF(Calc!$Q$367&lt;='财富模型'!$E$11*12,'Calc'!$W$14,'Calc'!$Y$14)))))))</x:f>
      </x:c>
      <x:c r="W367" t="str">
        <x:f>IF(Calc!$Q$367&gt;'Calc'!$B$8,"",IF('Calc'!$E$14=1,0,MAX(Calc!$W$366*(1+IF(Calc!$Q$367&lt;='财富模型'!$E$11*12,'财富模型'!$E$10,'财富模型'!$E$12)/12)-IF('Calc'!$E$14=1,0,IF(Calc!$Q$367&lt;='财富模型'!$E$11*12,'Calc'!$W$14,'Calc'!$Y$14)),0)))</x:f>
      </x:c>
      <x:c r="Y367" t="n">
        <x:v>346</x:v>
      </x:c>
      <x:c r="Z367" t="str">
        <x:f>IF(Calc!$Y$367&gt;'Calc'!$B$8,"",MAX(Calc!$Z$366*(1+'财富模型'!$E$6/12)+('Calc'!$B$5-'财富模型'!$E$5-(IF('Calc'!$E$15=1,'财富模型'!$E$9,'财富模型'!$M$7+IF(Calc!$Y$367&lt;='财富模型'!$E$11*12,'Calc'!$W$15,'Calc'!$Y$15)-(IF('Calc'!$E$15=1,0,MIN(Calc!$AA$366*(1+'财富模型'!$E$20/12)+'Calc'!$B$6,IF(Calc!$Y$367&lt;='财富模型'!$E$11*12,'Calc'!$W$15,'Calc'!$Y$15))))))),0))</x:f>
      </x:c>
      <x:c r="AA367" t="str">
        <x:f>IF(Calc!$Y$367&gt;'Calc'!$B$8,"",MAX(Calc!$AA$366*(1+'财富模型'!$E$20/12)+'Calc'!$B$6-(IF('Calc'!$E$15=1,0,MIN(Calc!$AA$366*(1+'财富模型'!$E$20/12)+'Calc'!$B$6,IF(Calc!$Y$367&lt;='财富模型'!$E$11*12,'Calc'!$W$15,'Calc'!$Y$15)))),0))</x:f>
      </x:c>
      <x:c r="AB367" t="str">
        <x:f>IF(Calc!$Y$367&gt;'Calc'!$B$8,"",IF('Calc'!$E$15=1,'财富模型'!$E$9,'财富模型'!$M$7+IF(Calc!$Y$367&lt;='财富模型'!$E$11*12,'Calc'!$W$15,'Calc'!$Y$15)-(IF('Calc'!$E$15=1,0,MIN(Calc!$AA$366*(1+'财富模型'!$E$20/12)+'Calc'!$B$6,IF(Calc!$Y$367&lt;='财富模型'!$E$11*12,'Calc'!$W$15,'Calc'!$Y$15))))))</x:f>
      </x:c>
      <x:c r="AC367" t="str">
        <x:f>IF(Calc!$Y$367&gt;'Calc'!$B$8,"",IF('Calc'!$E$15=1,0,MIN(Calc!$AA$366*(1+'财富模型'!$E$20/12)+'Calc'!$B$6,IF(Calc!$Y$367&lt;='财富模型'!$E$11*12,'Calc'!$W$15,'Calc'!$Y$15))))</x:f>
      </x:c>
      <x:c r="AD367" t="str">
        <x:f>IF(Calc!$Y$367&gt;'Calc'!$B$8,"",'Calc'!$B$5-'财富模型'!$E$5-(IF('Calc'!$E$15=1,'财富模型'!$E$9,'财富模型'!$M$7+IF(Calc!$Y$367&lt;='财富模型'!$E$11*12,'Calc'!$W$15,'Calc'!$Y$15)-(IF('Calc'!$E$15=1,0,MIN(Calc!$AA$366*(1+'财富模型'!$E$20/12)+'Calc'!$B$6,IF(Calc!$Y$367&lt;='财富模型'!$E$11*12,'Calc'!$W$15,'Calc'!$Y$15)))))))</x:f>
      </x:c>
      <x:c r="AE367" t="str">
        <x:f>IF(Calc!$Y$367&gt;'Calc'!$B$8,"",IF('Calc'!$E$15=1,0,MAX(Calc!$AE$366*(1+IF(Calc!$Y$367&lt;='财富模型'!$E$11*12,'财富模型'!$E$10,'财富模型'!$E$12)/12)-IF('Calc'!$E$15=1,0,IF(Calc!$Y$367&lt;='财富模型'!$E$11*12,'Calc'!$W$15,'Calc'!$Y$15)),0)))</x:f>
      </x:c>
      <x:c r="AG367" t="n">
        <x:v>346</x:v>
      </x:c>
      <x:c r="AH367" t="str">
        <x:f>IF(Calc!$AG$367&gt;'Calc'!$B$8,"",MAX(Calc!$AH$366*(1+'财富模型'!$E$6/12)+('Calc'!$B$5-'财富模型'!$E$5-(IF('Calc'!$E$16=1,'财富模型'!$E$9,'财富模型'!$M$8+IF(Calc!$AG$367&lt;='财富模型'!$E$11*12,'Calc'!$W$16,'Calc'!$Y$16)-(IF('Calc'!$E$16=1,0,MIN(Calc!$AI$366*(1+'财富模型'!$E$20/12)+'Calc'!$B$6,IF(Calc!$AG$367&lt;='财富模型'!$E$11*12,'Calc'!$W$16,'Calc'!$Y$16))))))),0))</x:f>
      </x:c>
      <x:c r="AI367" t="str">
        <x:f>IF(Calc!$AG$367&gt;'Calc'!$B$8,"",MAX(Calc!$AI$366*(1+'财富模型'!$E$20/12)+'Calc'!$B$6-(IF('Calc'!$E$16=1,0,MIN(Calc!$AI$366*(1+'财富模型'!$E$20/12)+'Calc'!$B$6,IF(Calc!$AG$367&lt;='财富模型'!$E$11*12,'Calc'!$W$16,'Calc'!$Y$16)))),0))</x:f>
      </x:c>
      <x:c r="AJ367" t="str">
        <x:f>IF(Calc!$AG$367&gt;'Calc'!$B$8,"",IF('Calc'!$E$16=1,'财富模型'!$E$9,'财富模型'!$M$8+IF(Calc!$AG$367&lt;='财富模型'!$E$11*12,'Calc'!$W$16,'Calc'!$Y$16)-(IF('Calc'!$E$16=1,0,MIN(Calc!$AI$366*(1+'财富模型'!$E$20/12)+'Calc'!$B$6,IF(Calc!$AG$367&lt;='财富模型'!$E$11*12,'Calc'!$W$16,'Calc'!$Y$16))))))</x:f>
      </x:c>
      <x:c r="AK367" t="str">
        <x:f>IF(Calc!$AG$367&gt;'Calc'!$B$8,"",IF('Calc'!$E$16=1,0,MIN(Calc!$AI$366*(1+'财富模型'!$E$20/12)+'Calc'!$B$6,IF(Calc!$AG$367&lt;='财富模型'!$E$11*12,'Calc'!$W$16,'Calc'!$Y$16))))</x:f>
      </x:c>
      <x:c r="AL367" t="str">
        <x:f>IF(Calc!$AG$367&gt;'Calc'!$B$8,"",'Calc'!$B$5-'财富模型'!$E$5-(IF('Calc'!$E$16=1,'财富模型'!$E$9,'财富模型'!$M$8+IF(Calc!$AG$367&lt;='财富模型'!$E$11*12,'Calc'!$W$16,'Calc'!$Y$16)-(IF('Calc'!$E$16=1,0,MIN(Calc!$AI$366*(1+'财富模型'!$E$20/12)+'Calc'!$B$6,IF(Calc!$AG$367&lt;='财富模型'!$E$11*12,'Calc'!$W$16,'Calc'!$Y$16)))))))</x:f>
      </x:c>
      <x:c r="AM367" t="str">
        <x:f>IF(Calc!$AG$367&gt;'Calc'!$B$8,"",IF('Calc'!$E$16=1,0,MAX(Calc!$AM$366*(1+IF(Calc!$AG$367&lt;='财富模型'!$E$11*12,'财富模型'!$E$10,'财富模型'!$E$12)/12)-IF('Calc'!$E$16=1,0,IF(Calc!$AG$367&lt;='财富模型'!$E$11*12,'Calc'!$W$16,'Calc'!$Y$16)),0)))</x:f>
      </x:c>
      <x:c r="AO367" t="n">
        <x:v>346</x:v>
      </x:c>
      <x:c r="AP367" t="str">
        <x:f>IF(Calc!$AO$367&gt;'Calc'!$B$8,"",MAX(Calc!$AP$366*(1+'财富模型'!$E$6/12)+('Calc'!$B$5-'财富模型'!$E$5-(IF('Calc'!$E$17=1,'财富模型'!$E$9,'财富模型'!$M$9+IF(Calc!$AO$367&lt;='财富模型'!$E$11*12,'Calc'!$W$17,'Calc'!$Y$17)-(IF('Calc'!$E$17=1,0,MIN(Calc!$AQ$366*(1+'财富模型'!$E$20/12)+'Calc'!$B$6,IF(Calc!$AO$367&lt;='财富模型'!$E$11*12,'Calc'!$W$17,'Calc'!$Y$17))))))),0))</x:f>
      </x:c>
      <x:c r="AQ367" t="str">
        <x:f>IF(Calc!$AO$367&gt;'Calc'!$B$8,"",MAX(Calc!$AQ$366*(1+'财富模型'!$E$20/12)+'Calc'!$B$6-(IF('Calc'!$E$17=1,0,MIN(Calc!$AQ$366*(1+'财富模型'!$E$20/12)+'Calc'!$B$6,IF(Calc!$AO$367&lt;='财富模型'!$E$11*12,'Calc'!$W$17,'Calc'!$Y$17)))),0))</x:f>
      </x:c>
      <x:c r="AR367" t="str">
        <x:f>IF(Calc!$AO$367&gt;'Calc'!$B$8,"",IF('Calc'!$E$17=1,'财富模型'!$E$9,'财富模型'!$M$9+IF(Calc!$AO$367&lt;='财富模型'!$E$11*12,'Calc'!$W$17,'Calc'!$Y$17)-(IF('Calc'!$E$17=1,0,MIN(Calc!$AQ$366*(1+'财富模型'!$E$20/12)+'Calc'!$B$6,IF(Calc!$AO$367&lt;='财富模型'!$E$11*12,'Calc'!$W$17,'Calc'!$Y$17))))))</x:f>
      </x:c>
      <x:c r="AS367" t="str">
        <x:f>IF(Calc!$AO$367&gt;'Calc'!$B$8,"",IF('Calc'!$E$17=1,0,MIN(Calc!$AQ$366*(1+'财富模型'!$E$20/12)+'Calc'!$B$6,IF(Calc!$AO$367&lt;='财富模型'!$E$11*12,'Calc'!$W$17,'Calc'!$Y$17))))</x:f>
      </x:c>
      <x:c r="AT367" t="str">
        <x:f>IF(Calc!$AO$367&gt;'Calc'!$B$8,"",'Calc'!$B$5-'财富模型'!$E$5-(IF('Calc'!$E$17=1,'财富模型'!$E$9,'财富模型'!$M$9+IF(Calc!$AO$367&lt;='财富模型'!$E$11*12,'Calc'!$W$17,'Calc'!$Y$17)-(IF('Calc'!$E$17=1,0,MIN(Calc!$AQ$366*(1+'财富模型'!$E$20/12)+'Calc'!$B$6,IF(Calc!$AO$367&lt;='财富模型'!$E$11*12,'Calc'!$W$17,'Calc'!$Y$17)))))))</x:f>
      </x:c>
      <x:c r="AU367" t="str">
        <x:f>IF(Calc!$AO$367&gt;'Calc'!$B$8,"",IF('Calc'!$E$17=1,0,MAX(Calc!$AU$366*(1+IF(Calc!$AO$367&lt;='财富模型'!$E$11*12,'财富模型'!$E$10,'财富模型'!$E$12)/12)-IF('Calc'!$E$17=1,0,IF(Calc!$AO$367&lt;='财富模型'!$E$11*12,'Calc'!$W$17,'Calc'!$Y$17)),0)))</x:f>
      </x:c>
    </x:row>
    <x:row r="368">
      <x:c r="A368" t="n">
        <x:v>347</x:v>
      </x:c>
      <x:c r="B368" t="str">
        <x:f>IF(Calc!$A$368&gt;'Calc'!$B$8,"",MAX(Calc!$B$367*(1+'财富模型'!$E$6/12)+('Calc'!$B$5-'财富模型'!$E$5-(IF('Calc'!$E$12=1,'财富模型'!$E$9,'财富模型'!$M$4+IF(Calc!$A$368&lt;='财富模型'!$E$11*12,'Calc'!$W$12,'Calc'!$Y$12)-(IF('Calc'!$E$12=1,0,MIN(Calc!$C$367*(1+'财富模型'!$E$20/12)+'Calc'!$B$6,IF(Calc!$A$368&lt;='财富模型'!$E$11*12,'Calc'!$W$12,'Calc'!$Y$12))))))),0))</x:f>
      </x:c>
      <x:c r="C368" t="str">
        <x:f>IF(Calc!$A$368&gt;'Calc'!$B$8,"",MAX(Calc!$C$367*(1+'财富模型'!$E$20/12)+'Calc'!$B$6-(IF('Calc'!$E$12=1,0,MIN(Calc!$C$367*(1+'财富模型'!$E$20/12)+'Calc'!$B$6,IF(Calc!$A$368&lt;='财富模型'!$E$11*12,'Calc'!$W$12,'Calc'!$Y$12)))),0))</x:f>
      </x:c>
      <x:c r="D368" t="str">
        <x:f>IF(Calc!$A$368&gt;'Calc'!$B$8,"",IF('Calc'!$E$12=1,'财富模型'!$E$9,'财富模型'!$M$4+IF(Calc!$A$368&lt;='财富模型'!$E$11*12,'Calc'!$W$12,'Calc'!$Y$12)-(IF('Calc'!$E$12=1,0,MIN(Calc!$C$367*(1+'财富模型'!$E$20/12)+'Calc'!$B$6,IF(Calc!$A$368&lt;='财富模型'!$E$11*12,'Calc'!$W$12,'Calc'!$Y$12))))))</x:f>
      </x:c>
      <x:c r="E368" t="str">
        <x:f>IF(Calc!$A$368&gt;'Calc'!$B$8,"",IF('Calc'!$E$12=1,0,MIN(Calc!$C$367*(1+'财富模型'!$E$20/12)+'Calc'!$B$6,IF(Calc!$A$368&lt;='财富模型'!$E$11*12,'Calc'!$W$12,'Calc'!$Y$12))))</x:f>
      </x:c>
      <x:c r="F368" t="str">
        <x:f>IF(Calc!$A$368&gt;'Calc'!$B$8,"",'Calc'!$B$5-'财富模型'!$E$5-(IF('Calc'!$E$12=1,'财富模型'!$E$9,'财富模型'!$M$4+IF(Calc!$A$368&lt;='财富模型'!$E$11*12,'Calc'!$W$12,'Calc'!$Y$12)-(IF('Calc'!$E$12=1,0,MIN(Calc!$C$367*(1+'财富模型'!$E$20/12)+'Calc'!$B$6,IF(Calc!$A$368&lt;='财富模型'!$E$11*12,'Calc'!$W$12,'Calc'!$Y$12)))))))</x:f>
      </x:c>
      <x:c r="G368" t="str">
        <x:f>IF(Calc!$A$368&gt;'Calc'!$B$8,"",IF('Calc'!$E$12=1,0,MAX(Calc!$G$367*(1+IF(Calc!$A$368&lt;='财富模型'!$E$11*12,'财富模型'!$E$10,'财富模型'!$E$12)/12)-IF('Calc'!$E$12=1,0,IF(Calc!$A$368&lt;='财富模型'!$E$11*12,'Calc'!$W$12,'Calc'!$Y$12)),0)))</x:f>
      </x:c>
      <x:c r="I368" t="n">
        <x:v>347</x:v>
      </x:c>
      <x:c r="J368" t="str">
        <x:f>IF(Calc!$I$368&gt;'Calc'!$B$8,"",MAX(Calc!$J$367*(1+'财富模型'!$E$6/12)+('Calc'!$B$5-'财富模型'!$E$5-(IF('Calc'!$E$13=1,'财富模型'!$E$9,'财富模型'!$M$5+IF(Calc!$I$368&lt;='财富模型'!$E$11*12,'Calc'!$W$13,'Calc'!$Y$13)-(IF('Calc'!$E$13=1,0,MIN(Calc!$K$367*(1+'财富模型'!$E$20/12)+'Calc'!$B$6,IF(Calc!$I$368&lt;='财富模型'!$E$11*12,'Calc'!$W$13,'Calc'!$Y$13))))))),0))</x:f>
      </x:c>
      <x:c r="K368" t="str">
        <x:f>IF(Calc!$I$368&gt;'Calc'!$B$8,"",MAX(Calc!$K$367*(1+'财富模型'!$E$20/12)+'Calc'!$B$6-(IF('Calc'!$E$13=1,0,MIN(Calc!$K$367*(1+'财富模型'!$E$20/12)+'Calc'!$B$6,IF(Calc!$I$368&lt;='财富模型'!$E$11*12,'Calc'!$W$13,'Calc'!$Y$13)))),0))</x:f>
      </x:c>
      <x:c r="L368" t="str">
        <x:f>IF(Calc!$I$368&gt;'Calc'!$B$8,"",IF('Calc'!$E$13=1,'财富模型'!$E$9,'财富模型'!$M$5+IF(Calc!$I$368&lt;='财富模型'!$E$11*12,'Calc'!$W$13,'Calc'!$Y$13)-(IF('Calc'!$E$13=1,0,MIN(Calc!$K$367*(1+'财富模型'!$E$20/12)+'Calc'!$B$6,IF(Calc!$I$368&lt;='财富模型'!$E$11*12,'Calc'!$W$13,'Calc'!$Y$13))))))</x:f>
      </x:c>
      <x:c r="M368" t="str">
        <x:f>IF(Calc!$I$368&gt;'Calc'!$B$8,"",IF('Calc'!$E$13=1,0,MIN(Calc!$K$367*(1+'财富模型'!$E$20/12)+'Calc'!$B$6,IF(Calc!$I$368&lt;='财富模型'!$E$11*12,'Calc'!$W$13,'Calc'!$Y$13))))</x:f>
      </x:c>
      <x:c r="N368" t="str">
        <x:f>IF(Calc!$I$368&gt;'Calc'!$B$8,"",'Calc'!$B$5-'财富模型'!$E$5-(IF('Calc'!$E$13=1,'财富模型'!$E$9,'财富模型'!$M$5+IF(Calc!$I$368&lt;='财富模型'!$E$11*12,'Calc'!$W$13,'Calc'!$Y$13)-(IF('Calc'!$E$13=1,0,MIN(Calc!$K$367*(1+'财富模型'!$E$20/12)+'Calc'!$B$6,IF(Calc!$I$368&lt;='财富模型'!$E$11*12,'Calc'!$W$13,'Calc'!$Y$13)))))))</x:f>
      </x:c>
      <x:c r="O368" t="str">
        <x:f>IF(Calc!$I$368&gt;'Calc'!$B$8,"",IF('Calc'!$E$13=1,0,MAX(Calc!$O$367*(1+IF(Calc!$I$368&lt;='财富模型'!$E$11*12,'财富模型'!$E$10,'财富模型'!$E$12)/12)-IF('Calc'!$E$13=1,0,IF(Calc!$I$368&lt;='财富模型'!$E$11*12,'Calc'!$W$13,'Calc'!$Y$13)),0)))</x:f>
      </x:c>
      <x:c r="Q368" t="n">
        <x:v>347</x:v>
      </x:c>
      <x:c r="R368" t="str">
        <x:f>IF(Calc!$Q$368&gt;'Calc'!$B$8,"",MAX(Calc!$R$367*(1+'财富模型'!$E$6/12)+('Calc'!$B$5-'财富模型'!$E$5-(IF('Calc'!$E$14=1,'财富模型'!$E$9,'财富模型'!$M$6+IF(Calc!$Q$368&lt;='财富模型'!$E$11*12,'Calc'!$W$14,'Calc'!$Y$14)-(IF('Calc'!$E$14=1,0,MIN(Calc!$S$367*(1+'财富模型'!$E$20/12)+'Calc'!$B$6,IF(Calc!$Q$368&lt;='财富模型'!$E$11*12,'Calc'!$W$14,'Calc'!$Y$14))))))),0))</x:f>
      </x:c>
      <x:c r="S368" t="str">
        <x:f>IF(Calc!$Q$368&gt;'Calc'!$B$8,"",MAX(Calc!$S$367*(1+'财富模型'!$E$20/12)+'Calc'!$B$6-(IF('Calc'!$E$14=1,0,MIN(Calc!$S$367*(1+'财富模型'!$E$20/12)+'Calc'!$B$6,IF(Calc!$Q$368&lt;='财富模型'!$E$11*12,'Calc'!$W$14,'Calc'!$Y$14)))),0))</x:f>
      </x:c>
      <x:c r="T368" t="str">
        <x:f>IF(Calc!$Q$368&gt;'Calc'!$B$8,"",IF('Calc'!$E$14=1,'财富模型'!$E$9,'财富模型'!$M$6+IF(Calc!$Q$368&lt;='财富模型'!$E$11*12,'Calc'!$W$14,'Calc'!$Y$14)-(IF('Calc'!$E$14=1,0,MIN(Calc!$S$367*(1+'财富模型'!$E$20/12)+'Calc'!$B$6,IF(Calc!$Q$368&lt;='财富模型'!$E$11*12,'Calc'!$W$14,'Calc'!$Y$14))))))</x:f>
      </x:c>
      <x:c r="U368" t="str">
        <x:f>IF(Calc!$Q$368&gt;'Calc'!$B$8,"",IF('Calc'!$E$14=1,0,MIN(Calc!$S$367*(1+'财富模型'!$E$20/12)+'Calc'!$B$6,IF(Calc!$Q$368&lt;='财富模型'!$E$11*12,'Calc'!$W$14,'Calc'!$Y$14))))</x:f>
      </x:c>
      <x:c r="V368" t="str">
        <x:f>IF(Calc!$Q$368&gt;'Calc'!$B$8,"",'Calc'!$B$5-'财富模型'!$E$5-(IF('Calc'!$E$14=1,'财富模型'!$E$9,'财富模型'!$M$6+IF(Calc!$Q$368&lt;='财富模型'!$E$11*12,'Calc'!$W$14,'Calc'!$Y$14)-(IF('Calc'!$E$14=1,0,MIN(Calc!$S$367*(1+'财富模型'!$E$20/12)+'Calc'!$B$6,IF(Calc!$Q$368&lt;='财富模型'!$E$11*12,'Calc'!$W$14,'Calc'!$Y$14)))))))</x:f>
      </x:c>
      <x:c r="W368" t="str">
        <x:f>IF(Calc!$Q$368&gt;'Calc'!$B$8,"",IF('Calc'!$E$14=1,0,MAX(Calc!$W$367*(1+IF(Calc!$Q$368&lt;='财富模型'!$E$11*12,'财富模型'!$E$10,'财富模型'!$E$12)/12)-IF('Calc'!$E$14=1,0,IF(Calc!$Q$368&lt;='财富模型'!$E$11*12,'Calc'!$W$14,'Calc'!$Y$14)),0)))</x:f>
      </x:c>
      <x:c r="Y368" t="n">
        <x:v>347</x:v>
      </x:c>
      <x:c r="Z368" t="str">
        <x:f>IF(Calc!$Y$368&gt;'Calc'!$B$8,"",MAX(Calc!$Z$367*(1+'财富模型'!$E$6/12)+('Calc'!$B$5-'财富模型'!$E$5-(IF('Calc'!$E$15=1,'财富模型'!$E$9,'财富模型'!$M$7+IF(Calc!$Y$368&lt;='财富模型'!$E$11*12,'Calc'!$W$15,'Calc'!$Y$15)-(IF('Calc'!$E$15=1,0,MIN(Calc!$AA$367*(1+'财富模型'!$E$20/12)+'Calc'!$B$6,IF(Calc!$Y$368&lt;='财富模型'!$E$11*12,'Calc'!$W$15,'Calc'!$Y$15))))))),0))</x:f>
      </x:c>
      <x:c r="AA368" t="str">
        <x:f>IF(Calc!$Y$368&gt;'Calc'!$B$8,"",MAX(Calc!$AA$367*(1+'财富模型'!$E$20/12)+'Calc'!$B$6-(IF('Calc'!$E$15=1,0,MIN(Calc!$AA$367*(1+'财富模型'!$E$20/12)+'Calc'!$B$6,IF(Calc!$Y$368&lt;='财富模型'!$E$11*12,'Calc'!$W$15,'Calc'!$Y$15)))),0))</x:f>
      </x:c>
      <x:c r="AB368" t="str">
        <x:f>IF(Calc!$Y$368&gt;'Calc'!$B$8,"",IF('Calc'!$E$15=1,'财富模型'!$E$9,'财富模型'!$M$7+IF(Calc!$Y$368&lt;='财富模型'!$E$11*12,'Calc'!$W$15,'Calc'!$Y$15)-(IF('Calc'!$E$15=1,0,MIN(Calc!$AA$367*(1+'财富模型'!$E$20/12)+'Calc'!$B$6,IF(Calc!$Y$368&lt;='财富模型'!$E$11*12,'Calc'!$W$15,'Calc'!$Y$15))))))</x:f>
      </x:c>
      <x:c r="AC368" t="str">
        <x:f>IF(Calc!$Y$368&gt;'Calc'!$B$8,"",IF('Calc'!$E$15=1,0,MIN(Calc!$AA$367*(1+'财富模型'!$E$20/12)+'Calc'!$B$6,IF(Calc!$Y$368&lt;='财富模型'!$E$11*12,'Calc'!$W$15,'Calc'!$Y$15))))</x:f>
      </x:c>
      <x:c r="AD368" t="str">
        <x:f>IF(Calc!$Y$368&gt;'Calc'!$B$8,"",'Calc'!$B$5-'财富模型'!$E$5-(IF('Calc'!$E$15=1,'财富模型'!$E$9,'财富模型'!$M$7+IF(Calc!$Y$368&lt;='财富模型'!$E$11*12,'Calc'!$W$15,'Calc'!$Y$15)-(IF('Calc'!$E$15=1,0,MIN(Calc!$AA$367*(1+'财富模型'!$E$20/12)+'Calc'!$B$6,IF(Calc!$Y$368&lt;='财富模型'!$E$11*12,'Calc'!$W$15,'Calc'!$Y$15)))))))</x:f>
      </x:c>
      <x:c r="AE368" t="str">
        <x:f>IF(Calc!$Y$368&gt;'Calc'!$B$8,"",IF('Calc'!$E$15=1,0,MAX(Calc!$AE$367*(1+IF(Calc!$Y$368&lt;='财富模型'!$E$11*12,'财富模型'!$E$10,'财富模型'!$E$12)/12)-IF('Calc'!$E$15=1,0,IF(Calc!$Y$368&lt;='财富模型'!$E$11*12,'Calc'!$W$15,'Calc'!$Y$15)),0)))</x:f>
      </x:c>
      <x:c r="AG368" t="n">
        <x:v>347</x:v>
      </x:c>
      <x:c r="AH368" t="str">
        <x:f>IF(Calc!$AG$368&gt;'Calc'!$B$8,"",MAX(Calc!$AH$367*(1+'财富模型'!$E$6/12)+('Calc'!$B$5-'财富模型'!$E$5-(IF('Calc'!$E$16=1,'财富模型'!$E$9,'财富模型'!$M$8+IF(Calc!$AG$368&lt;='财富模型'!$E$11*12,'Calc'!$W$16,'Calc'!$Y$16)-(IF('Calc'!$E$16=1,0,MIN(Calc!$AI$367*(1+'财富模型'!$E$20/12)+'Calc'!$B$6,IF(Calc!$AG$368&lt;='财富模型'!$E$11*12,'Calc'!$W$16,'Calc'!$Y$16))))))),0))</x:f>
      </x:c>
      <x:c r="AI368" t="str">
        <x:f>IF(Calc!$AG$368&gt;'Calc'!$B$8,"",MAX(Calc!$AI$367*(1+'财富模型'!$E$20/12)+'Calc'!$B$6-(IF('Calc'!$E$16=1,0,MIN(Calc!$AI$367*(1+'财富模型'!$E$20/12)+'Calc'!$B$6,IF(Calc!$AG$368&lt;='财富模型'!$E$11*12,'Calc'!$W$16,'Calc'!$Y$16)))),0))</x:f>
      </x:c>
      <x:c r="AJ368" t="str">
        <x:f>IF(Calc!$AG$368&gt;'Calc'!$B$8,"",IF('Calc'!$E$16=1,'财富模型'!$E$9,'财富模型'!$M$8+IF(Calc!$AG$368&lt;='财富模型'!$E$11*12,'Calc'!$W$16,'Calc'!$Y$16)-(IF('Calc'!$E$16=1,0,MIN(Calc!$AI$367*(1+'财富模型'!$E$20/12)+'Calc'!$B$6,IF(Calc!$AG$368&lt;='财富模型'!$E$11*12,'Calc'!$W$16,'Calc'!$Y$16))))))</x:f>
      </x:c>
      <x:c r="AK368" t="str">
        <x:f>IF(Calc!$AG$368&gt;'Calc'!$B$8,"",IF('Calc'!$E$16=1,0,MIN(Calc!$AI$367*(1+'财富模型'!$E$20/12)+'Calc'!$B$6,IF(Calc!$AG$368&lt;='财富模型'!$E$11*12,'Calc'!$W$16,'Calc'!$Y$16))))</x:f>
      </x:c>
      <x:c r="AL368" t="str">
        <x:f>IF(Calc!$AG$368&gt;'Calc'!$B$8,"",'Calc'!$B$5-'财富模型'!$E$5-(IF('Calc'!$E$16=1,'财富模型'!$E$9,'财富模型'!$M$8+IF(Calc!$AG$368&lt;='财富模型'!$E$11*12,'Calc'!$W$16,'Calc'!$Y$16)-(IF('Calc'!$E$16=1,0,MIN(Calc!$AI$367*(1+'财富模型'!$E$20/12)+'Calc'!$B$6,IF(Calc!$AG$368&lt;='财富模型'!$E$11*12,'Calc'!$W$16,'Calc'!$Y$16)))))))</x:f>
      </x:c>
      <x:c r="AM368" t="str">
        <x:f>IF(Calc!$AG$368&gt;'Calc'!$B$8,"",IF('Calc'!$E$16=1,0,MAX(Calc!$AM$367*(1+IF(Calc!$AG$368&lt;='财富模型'!$E$11*12,'财富模型'!$E$10,'财富模型'!$E$12)/12)-IF('Calc'!$E$16=1,0,IF(Calc!$AG$368&lt;='财富模型'!$E$11*12,'Calc'!$W$16,'Calc'!$Y$16)),0)))</x:f>
      </x:c>
      <x:c r="AO368" t="n">
        <x:v>347</x:v>
      </x:c>
      <x:c r="AP368" t="str">
        <x:f>IF(Calc!$AO$368&gt;'Calc'!$B$8,"",MAX(Calc!$AP$367*(1+'财富模型'!$E$6/12)+('Calc'!$B$5-'财富模型'!$E$5-(IF('Calc'!$E$17=1,'财富模型'!$E$9,'财富模型'!$M$9+IF(Calc!$AO$368&lt;='财富模型'!$E$11*12,'Calc'!$W$17,'Calc'!$Y$17)-(IF('Calc'!$E$17=1,0,MIN(Calc!$AQ$367*(1+'财富模型'!$E$20/12)+'Calc'!$B$6,IF(Calc!$AO$368&lt;='财富模型'!$E$11*12,'Calc'!$W$17,'Calc'!$Y$17))))))),0))</x:f>
      </x:c>
      <x:c r="AQ368" t="str">
        <x:f>IF(Calc!$AO$368&gt;'Calc'!$B$8,"",MAX(Calc!$AQ$367*(1+'财富模型'!$E$20/12)+'Calc'!$B$6-(IF('Calc'!$E$17=1,0,MIN(Calc!$AQ$367*(1+'财富模型'!$E$20/12)+'Calc'!$B$6,IF(Calc!$AO$368&lt;='财富模型'!$E$11*12,'Calc'!$W$17,'Calc'!$Y$17)))),0))</x:f>
      </x:c>
      <x:c r="AR368" t="str">
        <x:f>IF(Calc!$AO$368&gt;'Calc'!$B$8,"",IF('Calc'!$E$17=1,'财富模型'!$E$9,'财富模型'!$M$9+IF(Calc!$AO$368&lt;='财富模型'!$E$11*12,'Calc'!$W$17,'Calc'!$Y$17)-(IF('Calc'!$E$17=1,0,MIN(Calc!$AQ$367*(1+'财富模型'!$E$20/12)+'Calc'!$B$6,IF(Calc!$AO$368&lt;='财富模型'!$E$11*12,'Calc'!$W$17,'Calc'!$Y$17))))))</x:f>
      </x:c>
      <x:c r="AS368" t="str">
        <x:f>IF(Calc!$AO$368&gt;'Calc'!$B$8,"",IF('Calc'!$E$17=1,0,MIN(Calc!$AQ$367*(1+'财富模型'!$E$20/12)+'Calc'!$B$6,IF(Calc!$AO$368&lt;='财富模型'!$E$11*12,'Calc'!$W$17,'Calc'!$Y$17))))</x:f>
      </x:c>
      <x:c r="AT368" t="str">
        <x:f>IF(Calc!$AO$368&gt;'Calc'!$B$8,"",'Calc'!$B$5-'财富模型'!$E$5-(IF('Calc'!$E$17=1,'财富模型'!$E$9,'财富模型'!$M$9+IF(Calc!$AO$368&lt;='财富模型'!$E$11*12,'Calc'!$W$17,'Calc'!$Y$17)-(IF('Calc'!$E$17=1,0,MIN(Calc!$AQ$367*(1+'财富模型'!$E$20/12)+'Calc'!$B$6,IF(Calc!$AO$368&lt;='财富模型'!$E$11*12,'Calc'!$W$17,'Calc'!$Y$17)))))))</x:f>
      </x:c>
      <x:c r="AU368" t="str">
        <x:f>IF(Calc!$AO$368&gt;'Calc'!$B$8,"",IF('Calc'!$E$17=1,0,MAX(Calc!$AU$367*(1+IF(Calc!$AO$368&lt;='财富模型'!$E$11*12,'财富模型'!$E$10,'财富模型'!$E$12)/12)-IF('Calc'!$E$17=1,0,IF(Calc!$AO$368&lt;='财富模型'!$E$11*12,'Calc'!$W$17,'Calc'!$Y$17)),0)))</x:f>
      </x:c>
    </x:row>
    <x:row r="369">
      <x:c r="A369" t="n">
        <x:v>348</x:v>
      </x:c>
      <x:c r="B369" t="str">
        <x:f>IF(Calc!$A$369&gt;'Calc'!$B$8,"",MAX(Calc!$B$368*(1+'财富模型'!$E$6/12)+('Calc'!$B$5-'财富模型'!$E$5-(IF('Calc'!$E$12=1,'财富模型'!$E$9,'财富模型'!$M$4+IF(Calc!$A$369&lt;='财富模型'!$E$11*12,'Calc'!$W$12,'Calc'!$Y$12)-(IF('Calc'!$E$12=1,0,MIN(Calc!$C$368*(1+'财富模型'!$E$20/12)+'Calc'!$B$6,IF(Calc!$A$369&lt;='财富模型'!$E$11*12,'Calc'!$W$12,'Calc'!$Y$12))))))),0))</x:f>
      </x:c>
      <x:c r="C369" t="str">
        <x:f>IF(Calc!$A$369&gt;'Calc'!$B$8,"",MAX(Calc!$C$368*(1+'财富模型'!$E$20/12)+'Calc'!$B$6-(IF('Calc'!$E$12=1,0,MIN(Calc!$C$368*(1+'财富模型'!$E$20/12)+'Calc'!$B$6,IF(Calc!$A$369&lt;='财富模型'!$E$11*12,'Calc'!$W$12,'Calc'!$Y$12)))),0))</x:f>
      </x:c>
      <x:c r="D369" t="str">
        <x:f>IF(Calc!$A$369&gt;'Calc'!$B$8,"",IF('Calc'!$E$12=1,'财富模型'!$E$9,'财富模型'!$M$4+IF(Calc!$A$369&lt;='财富模型'!$E$11*12,'Calc'!$W$12,'Calc'!$Y$12)-(IF('Calc'!$E$12=1,0,MIN(Calc!$C$368*(1+'财富模型'!$E$20/12)+'Calc'!$B$6,IF(Calc!$A$369&lt;='财富模型'!$E$11*12,'Calc'!$W$12,'Calc'!$Y$12))))))</x:f>
      </x:c>
      <x:c r="E369" t="str">
        <x:f>IF(Calc!$A$369&gt;'Calc'!$B$8,"",IF('Calc'!$E$12=1,0,MIN(Calc!$C$368*(1+'财富模型'!$E$20/12)+'Calc'!$B$6,IF(Calc!$A$369&lt;='财富模型'!$E$11*12,'Calc'!$W$12,'Calc'!$Y$12))))</x:f>
      </x:c>
      <x:c r="F369" t="str">
        <x:f>IF(Calc!$A$369&gt;'Calc'!$B$8,"",'Calc'!$B$5-'财富模型'!$E$5-(IF('Calc'!$E$12=1,'财富模型'!$E$9,'财富模型'!$M$4+IF(Calc!$A$369&lt;='财富模型'!$E$11*12,'Calc'!$W$12,'Calc'!$Y$12)-(IF('Calc'!$E$12=1,0,MIN(Calc!$C$368*(1+'财富模型'!$E$20/12)+'Calc'!$B$6,IF(Calc!$A$369&lt;='财富模型'!$E$11*12,'Calc'!$W$12,'Calc'!$Y$12)))))))</x:f>
      </x:c>
      <x:c r="G369" t="str">
        <x:f>IF(Calc!$A$369&gt;'Calc'!$B$8,"",IF('Calc'!$E$12=1,0,MAX(Calc!$G$368*(1+IF(Calc!$A$369&lt;='财富模型'!$E$11*12,'财富模型'!$E$10,'财富模型'!$E$12)/12)-IF('Calc'!$E$12=1,0,IF(Calc!$A$369&lt;='财富模型'!$E$11*12,'Calc'!$W$12,'Calc'!$Y$12)),0)))</x:f>
      </x:c>
      <x:c r="I369" t="n">
        <x:v>348</x:v>
      </x:c>
      <x:c r="J369" t="str">
        <x:f>IF(Calc!$I$369&gt;'Calc'!$B$8,"",MAX(Calc!$J$368*(1+'财富模型'!$E$6/12)+('Calc'!$B$5-'财富模型'!$E$5-(IF('Calc'!$E$13=1,'财富模型'!$E$9,'财富模型'!$M$5+IF(Calc!$I$369&lt;='财富模型'!$E$11*12,'Calc'!$W$13,'Calc'!$Y$13)-(IF('Calc'!$E$13=1,0,MIN(Calc!$K$368*(1+'财富模型'!$E$20/12)+'Calc'!$B$6,IF(Calc!$I$369&lt;='财富模型'!$E$11*12,'Calc'!$W$13,'Calc'!$Y$13))))))),0))</x:f>
      </x:c>
      <x:c r="K369" t="str">
        <x:f>IF(Calc!$I$369&gt;'Calc'!$B$8,"",MAX(Calc!$K$368*(1+'财富模型'!$E$20/12)+'Calc'!$B$6-(IF('Calc'!$E$13=1,0,MIN(Calc!$K$368*(1+'财富模型'!$E$20/12)+'Calc'!$B$6,IF(Calc!$I$369&lt;='财富模型'!$E$11*12,'Calc'!$W$13,'Calc'!$Y$13)))),0))</x:f>
      </x:c>
      <x:c r="L369" t="str">
        <x:f>IF(Calc!$I$369&gt;'Calc'!$B$8,"",IF('Calc'!$E$13=1,'财富模型'!$E$9,'财富模型'!$M$5+IF(Calc!$I$369&lt;='财富模型'!$E$11*12,'Calc'!$W$13,'Calc'!$Y$13)-(IF('Calc'!$E$13=1,0,MIN(Calc!$K$368*(1+'财富模型'!$E$20/12)+'Calc'!$B$6,IF(Calc!$I$369&lt;='财富模型'!$E$11*12,'Calc'!$W$13,'Calc'!$Y$13))))))</x:f>
      </x:c>
      <x:c r="M369" t="str">
        <x:f>IF(Calc!$I$369&gt;'Calc'!$B$8,"",IF('Calc'!$E$13=1,0,MIN(Calc!$K$368*(1+'财富模型'!$E$20/12)+'Calc'!$B$6,IF(Calc!$I$369&lt;='财富模型'!$E$11*12,'Calc'!$W$13,'Calc'!$Y$13))))</x:f>
      </x:c>
      <x:c r="N369" t="str">
        <x:f>IF(Calc!$I$369&gt;'Calc'!$B$8,"",'Calc'!$B$5-'财富模型'!$E$5-(IF('Calc'!$E$13=1,'财富模型'!$E$9,'财富模型'!$M$5+IF(Calc!$I$369&lt;='财富模型'!$E$11*12,'Calc'!$W$13,'Calc'!$Y$13)-(IF('Calc'!$E$13=1,0,MIN(Calc!$K$368*(1+'财富模型'!$E$20/12)+'Calc'!$B$6,IF(Calc!$I$369&lt;='财富模型'!$E$11*12,'Calc'!$W$13,'Calc'!$Y$13)))))))</x:f>
      </x:c>
      <x:c r="O369" t="str">
        <x:f>IF(Calc!$I$369&gt;'Calc'!$B$8,"",IF('Calc'!$E$13=1,0,MAX(Calc!$O$368*(1+IF(Calc!$I$369&lt;='财富模型'!$E$11*12,'财富模型'!$E$10,'财富模型'!$E$12)/12)-IF('Calc'!$E$13=1,0,IF(Calc!$I$369&lt;='财富模型'!$E$11*12,'Calc'!$W$13,'Calc'!$Y$13)),0)))</x:f>
      </x:c>
      <x:c r="Q369" t="n">
        <x:v>348</x:v>
      </x:c>
      <x:c r="R369" t="str">
        <x:f>IF(Calc!$Q$369&gt;'Calc'!$B$8,"",MAX(Calc!$R$368*(1+'财富模型'!$E$6/12)+('Calc'!$B$5-'财富模型'!$E$5-(IF('Calc'!$E$14=1,'财富模型'!$E$9,'财富模型'!$M$6+IF(Calc!$Q$369&lt;='财富模型'!$E$11*12,'Calc'!$W$14,'Calc'!$Y$14)-(IF('Calc'!$E$14=1,0,MIN(Calc!$S$368*(1+'财富模型'!$E$20/12)+'Calc'!$B$6,IF(Calc!$Q$369&lt;='财富模型'!$E$11*12,'Calc'!$W$14,'Calc'!$Y$14))))))),0))</x:f>
      </x:c>
      <x:c r="S369" t="str">
        <x:f>IF(Calc!$Q$369&gt;'Calc'!$B$8,"",MAX(Calc!$S$368*(1+'财富模型'!$E$20/12)+'Calc'!$B$6-(IF('Calc'!$E$14=1,0,MIN(Calc!$S$368*(1+'财富模型'!$E$20/12)+'Calc'!$B$6,IF(Calc!$Q$369&lt;='财富模型'!$E$11*12,'Calc'!$W$14,'Calc'!$Y$14)))),0))</x:f>
      </x:c>
      <x:c r="T369" t="str">
        <x:f>IF(Calc!$Q$369&gt;'Calc'!$B$8,"",IF('Calc'!$E$14=1,'财富模型'!$E$9,'财富模型'!$M$6+IF(Calc!$Q$369&lt;='财富模型'!$E$11*12,'Calc'!$W$14,'Calc'!$Y$14)-(IF('Calc'!$E$14=1,0,MIN(Calc!$S$368*(1+'财富模型'!$E$20/12)+'Calc'!$B$6,IF(Calc!$Q$369&lt;='财富模型'!$E$11*12,'Calc'!$W$14,'Calc'!$Y$14))))))</x:f>
      </x:c>
      <x:c r="U369" t="str">
        <x:f>IF(Calc!$Q$369&gt;'Calc'!$B$8,"",IF('Calc'!$E$14=1,0,MIN(Calc!$S$368*(1+'财富模型'!$E$20/12)+'Calc'!$B$6,IF(Calc!$Q$369&lt;='财富模型'!$E$11*12,'Calc'!$W$14,'Calc'!$Y$14))))</x:f>
      </x:c>
      <x:c r="V369" t="str">
        <x:f>IF(Calc!$Q$369&gt;'Calc'!$B$8,"",'Calc'!$B$5-'财富模型'!$E$5-(IF('Calc'!$E$14=1,'财富模型'!$E$9,'财富模型'!$M$6+IF(Calc!$Q$369&lt;='财富模型'!$E$11*12,'Calc'!$W$14,'Calc'!$Y$14)-(IF('Calc'!$E$14=1,0,MIN(Calc!$S$368*(1+'财富模型'!$E$20/12)+'Calc'!$B$6,IF(Calc!$Q$369&lt;='财富模型'!$E$11*12,'Calc'!$W$14,'Calc'!$Y$14)))))))</x:f>
      </x:c>
      <x:c r="W369" t="str">
        <x:f>IF(Calc!$Q$369&gt;'Calc'!$B$8,"",IF('Calc'!$E$14=1,0,MAX(Calc!$W$368*(1+IF(Calc!$Q$369&lt;='财富模型'!$E$11*12,'财富模型'!$E$10,'财富模型'!$E$12)/12)-IF('Calc'!$E$14=1,0,IF(Calc!$Q$369&lt;='财富模型'!$E$11*12,'Calc'!$W$14,'Calc'!$Y$14)),0)))</x:f>
      </x:c>
      <x:c r="Y369" t="n">
        <x:v>348</x:v>
      </x:c>
      <x:c r="Z369" t="str">
        <x:f>IF(Calc!$Y$369&gt;'Calc'!$B$8,"",MAX(Calc!$Z$368*(1+'财富模型'!$E$6/12)+('Calc'!$B$5-'财富模型'!$E$5-(IF('Calc'!$E$15=1,'财富模型'!$E$9,'财富模型'!$M$7+IF(Calc!$Y$369&lt;='财富模型'!$E$11*12,'Calc'!$W$15,'Calc'!$Y$15)-(IF('Calc'!$E$15=1,0,MIN(Calc!$AA$368*(1+'财富模型'!$E$20/12)+'Calc'!$B$6,IF(Calc!$Y$369&lt;='财富模型'!$E$11*12,'Calc'!$W$15,'Calc'!$Y$15))))))),0))</x:f>
      </x:c>
      <x:c r="AA369" t="str">
        <x:f>IF(Calc!$Y$369&gt;'Calc'!$B$8,"",MAX(Calc!$AA$368*(1+'财富模型'!$E$20/12)+'Calc'!$B$6-(IF('Calc'!$E$15=1,0,MIN(Calc!$AA$368*(1+'财富模型'!$E$20/12)+'Calc'!$B$6,IF(Calc!$Y$369&lt;='财富模型'!$E$11*12,'Calc'!$W$15,'Calc'!$Y$15)))),0))</x:f>
      </x:c>
      <x:c r="AB369" t="str">
        <x:f>IF(Calc!$Y$369&gt;'Calc'!$B$8,"",IF('Calc'!$E$15=1,'财富模型'!$E$9,'财富模型'!$M$7+IF(Calc!$Y$369&lt;='财富模型'!$E$11*12,'Calc'!$W$15,'Calc'!$Y$15)-(IF('Calc'!$E$15=1,0,MIN(Calc!$AA$368*(1+'财富模型'!$E$20/12)+'Calc'!$B$6,IF(Calc!$Y$369&lt;='财富模型'!$E$11*12,'Calc'!$W$15,'Calc'!$Y$15))))))</x:f>
      </x:c>
      <x:c r="AC369" t="str">
        <x:f>IF(Calc!$Y$369&gt;'Calc'!$B$8,"",IF('Calc'!$E$15=1,0,MIN(Calc!$AA$368*(1+'财富模型'!$E$20/12)+'Calc'!$B$6,IF(Calc!$Y$369&lt;='财富模型'!$E$11*12,'Calc'!$W$15,'Calc'!$Y$15))))</x:f>
      </x:c>
      <x:c r="AD369" t="str">
        <x:f>IF(Calc!$Y$369&gt;'Calc'!$B$8,"",'Calc'!$B$5-'财富模型'!$E$5-(IF('Calc'!$E$15=1,'财富模型'!$E$9,'财富模型'!$M$7+IF(Calc!$Y$369&lt;='财富模型'!$E$11*12,'Calc'!$W$15,'Calc'!$Y$15)-(IF('Calc'!$E$15=1,0,MIN(Calc!$AA$368*(1+'财富模型'!$E$20/12)+'Calc'!$B$6,IF(Calc!$Y$369&lt;='财富模型'!$E$11*12,'Calc'!$W$15,'Calc'!$Y$15)))))))</x:f>
      </x:c>
      <x:c r="AE369" t="str">
        <x:f>IF(Calc!$Y$369&gt;'Calc'!$B$8,"",IF('Calc'!$E$15=1,0,MAX(Calc!$AE$368*(1+IF(Calc!$Y$369&lt;='财富模型'!$E$11*12,'财富模型'!$E$10,'财富模型'!$E$12)/12)-IF('Calc'!$E$15=1,0,IF(Calc!$Y$369&lt;='财富模型'!$E$11*12,'Calc'!$W$15,'Calc'!$Y$15)),0)))</x:f>
      </x:c>
      <x:c r="AG369" t="n">
        <x:v>348</x:v>
      </x:c>
      <x:c r="AH369" t="str">
        <x:f>IF(Calc!$AG$369&gt;'Calc'!$B$8,"",MAX(Calc!$AH$368*(1+'财富模型'!$E$6/12)+('Calc'!$B$5-'财富模型'!$E$5-(IF('Calc'!$E$16=1,'财富模型'!$E$9,'财富模型'!$M$8+IF(Calc!$AG$369&lt;='财富模型'!$E$11*12,'Calc'!$W$16,'Calc'!$Y$16)-(IF('Calc'!$E$16=1,0,MIN(Calc!$AI$368*(1+'财富模型'!$E$20/12)+'Calc'!$B$6,IF(Calc!$AG$369&lt;='财富模型'!$E$11*12,'Calc'!$W$16,'Calc'!$Y$16))))))),0))</x:f>
      </x:c>
      <x:c r="AI369" t="str">
        <x:f>IF(Calc!$AG$369&gt;'Calc'!$B$8,"",MAX(Calc!$AI$368*(1+'财富模型'!$E$20/12)+'Calc'!$B$6-(IF('Calc'!$E$16=1,0,MIN(Calc!$AI$368*(1+'财富模型'!$E$20/12)+'Calc'!$B$6,IF(Calc!$AG$369&lt;='财富模型'!$E$11*12,'Calc'!$W$16,'Calc'!$Y$16)))),0))</x:f>
      </x:c>
      <x:c r="AJ369" t="str">
        <x:f>IF(Calc!$AG$369&gt;'Calc'!$B$8,"",IF('Calc'!$E$16=1,'财富模型'!$E$9,'财富模型'!$M$8+IF(Calc!$AG$369&lt;='财富模型'!$E$11*12,'Calc'!$W$16,'Calc'!$Y$16)-(IF('Calc'!$E$16=1,0,MIN(Calc!$AI$368*(1+'财富模型'!$E$20/12)+'Calc'!$B$6,IF(Calc!$AG$369&lt;='财富模型'!$E$11*12,'Calc'!$W$16,'Calc'!$Y$16))))))</x:f>
      </x:c>
      <x:c r="AK369" t="str">
        <x:f>IF(Calc!$AG$369&gt;'Calc'!$B$8,"",IF('Calc'!$E$16=1,0,MIN(Calc!$AI$368*(1+'财富模型'!$E$20/12)+'Calc'!$B$6,IF(Calc!$AG$369&lt;='财富模型'!$E$11*12,'Calc'!$W$16,'Calc'!$Y$16))))</x:f>
      </x:c>
      <x:c r="AL369" t="str">
        <x:f>IF(Calc!$AG$369&gt;'Calc'!$B$8,"",'Calc'!$B$5-'财富模型'!$E$5-(IF('Calc'!$E$16=1,'财富模型'!$E$9,'财富模型'!$M$8+IF(Calc!$AG$369&lt;='财富模型'!$E$11*12,'Calc'!$W$16,'Calc'!$Y$16)-(IF('Calc'!$E$16=1,0,MIN(Calc!$AI$368*(1+'财富模型'!$E$20/12)+'Calc'!$B$6,IF(Calc!$AG$369&lt;='财富模型'!$E$11*12,'Calc'!$W$16,'Calc'!$Y$16)))))))</x:f>
      </x:c>
      <x:c r="AM369" t="str">
        <x:f>IF(Calc!$AG$369&gt;'Calc'!$B$8,"",IF('Calc'!$E$16=1,0,MAX(Calc!$AM$368*(1+IF(Calc!$AG$369&lt;='财富模型'!$E$11*12,'财富模型'!$E$10,'财富模型'!$E$12)/12)-IF('Calc'!$E$16=1,0,IF(Calc!$AG$369&lt;='财富模型'!$E$11*12,'Calc'!$W$16,'Calc'!$Y$16)),0)))</x:f>
      </x:c>
      <x:c r="AO369" t="n">
        <x:v>348</x:v>
      </x:c>
      <x:c r="AP369" t="str">
        <x:f>IF(Calc!$AO$369&gt;'Calc'!$B$8,"",MAX(Calc!$AP$368*(1+'财富模型'!$E$6/12)+('Calc'!$B$5-'财富模型'!$E$5-(IF('Calc'!$E$17=1,'财富模型'!$E$9,'财富模型'!$M$9+IF(Calc!$AO$369&lt;='财富模型'!$E$11*12,'Calc'!$W$17,'Calc'!$Y$17)-(IF('Calc'!$E$17=1,0,MIN(Calc!$AQ$368*(1+'财富模型'!$E$20/12)+'Calc'!$B$6,IF(Calc!$AO$369&lt;='财富模型'!$E$11*12,'Calc'!$W$17,'Calc'!$Y$17))))))),0))</x:f>
      </x:c>
      <x:c r="AQ369" t="str">
        <x:f>IF(Calc!$AO$369&gt;'Calc'!$B$8,"",MAX(Calc!$AQ$368*(1+'财富模型'!$E$20/12)+'Calc'!$B$6-(IF('Calc'!$E$17=1,0,MIN(Calc!$AQ$368*(1+'财富模型'!$E$20/12)+'Calc'!$B$6,IF(Calc!$AO$369&lt;='财富模型'!$E$11*12,'Calc'!$W$17,'Calc'!$Y$17)))),0))</x:f>
      </x:c>
      <x:c r="AR369" t="str">
        <x:f>IF(Calc!$AO$369&gt;'Calc'!$B$8,"",IF('Calc'!$E$17=1,'财富模型'!$E$9,'财富模型'!$M$9+IF(Calc!$AO$369&lt;='财富模型'!$E$11*12,'Calc'!$W$17,'Calc'!$Y$17)-(IF('Calc'!$E$17=1,0,MIN(Calc!$AQ$368*(1+'财富模型'!$E$20/12)+'Calc'!$B$6,IF(Calc!$AO$369&lt;='财富模型'!$E$11*12,'Calc'!$W$17,'Calc'!$Y$17))))))</x:f>
      </x:c>
      <x:c r="AS369" t="str">
        <x:f>IF(Calc!$AO$369&gt;'Calc'!$B$8,"",IF('Calc'!$E$17=1,0,MIN(Calc!$AQ$368*(1+'财富模型'!$E$20/12)+'Calc'!$B$6,IF(Calc!$AO$369&lt;='财富模型'!$E$11*12,'Calc'!$W$17,'Calc'!$Y$17))))</x:f>
      </x:c>
      <x:c r="AT369" t="str">
        <x:f>IF(Calc!$AO$369&gt;'Calc'!$B$8,"",'Calc'!$B$5-'财富模型'!$E$5-(IF('Calc'!$E$17=1,'财富模型'!$E$9,'财富模型'!$M$9+IF(Calc!$AO$369&lt;='财富模型'!$E$11*12,'Calc'!$W$17,'Calc'!$Y$17)-(IF('Calc'!$E$17=1,0,MIN(Calc!$AQ$368*(1+'财富模型'!$E$20/12)+'Calc'!$B$6,IF(Calc!$AO$369&lt;='财富模型'!$E$11*12,'Calc'!$W$17,'Calc'!$Y$17)))))))</x:f>
      </x:c>
      <x:c r="AU369" t="str">
        <x:f>IF(Calc!$AO$369&gt;'Calc'!$B$8,"",IF('Calc'!$E$17=1,0,MAX(Calc!$AU$368*(1+IF(Calc!$AO$369&lt;='财富模型'!$E$11*12,'财富模型'!$E$10,'财富模型'!$E$12)/12)-IF('Calc'!$E$17=1,0,IF(Calc!$AO$369&lt;='财富模型'!$E$11*12,'Calc'!$W$17,'Calc'!$Y$17)),0)))</x:f>
      </x:c>
    </x:row>
    <x:row r="370">
      <x:c r="A370" t="n">
        <x:v>349</x:v>
      </x:c>
      <x:c r="B370" t="str">
        <x:f>IF(Calc!$A$370&gt;'Calc'!$B$8,"",MAX(Calc!$B$369*(1+'财富模型'!$E$6/12)+('Calc'!$B$5-'财富模型'!$E$5-(IF('Calc'!$E$12=1,'财富模型'!$E$9,'财富模型'!$M$4+IF(Calc!$A$370&lt;='财富模型'!$E$11*12,'Calc'!$W$12,'Calc'!$Y$12)-(IF('Calc'!$E$12=1,0,MIN(Calc!$C$369*(1+'财富模型'!$E$20/12)+'Calc'!$B$6,IF(Calc!$A$370&lt;='财富模型'!$E$11*12,'Calc'!$W$12,'Calc'!$Y$12))))))),0))</x:f>
      </x:c>
      <x:c r="C370" t="str">
        <x:f>IF(Calc!$A$370&gt;'Calc'!$B$8,"",MAX(Calc!$C$369*(1+'财富模型'!$E$20/12)+'Calc'!$B$6-(IF('Calc'!$E$12=1,0,MIN(Calc!$C$369*(1+'财富模型'!$E$20/12)+'Calc'!$B$6,IF(Calc!$A$370&lt;='财富模型'!$E$11*12,'Calc'!$W$12,'Calc'!$Y$12)))),0))</x:f>
      </x:c>
      <x:c r="D370" t="str">
        <x:f>IF(Calc!$A$370&gt;'Calc'!$B$8,"",IF('Calc'!$E$12=1,'财富模型'!$E$9,'财富模型'!$M$4+IF(Calc!$A$370&lt;='财富模型'!$E$11*12,'Calc'!$W$12,'Calc'!$Y$12)-(IF('Calc'!$E$12=1,0,MIN(Calc!$C$369*(1+'财富模型'!$E$20/12)+'Calc'!$B$6,IF(Calc!$A$370&lt;='财富模型'!$E$11*12,'Calc'!$W$12,'Calc'!$Y$12))))))</x:f>
      </x:c>
      <x:c r="E370" t="str">
        <x:f>IF(Calc!$A$370&gt;'Calc'!$B$8,"",IF('Calc'!$E$12=1,0,MIN(Calc!$C$369*(1+'财富模型'!$E$20/12)+'Calc'!$B$6,IF(Calc!$A$370&lt;='财富模型'!$E$11*12,'Calc'!$W$12,'Calc'!$Y$12))))</x:f>
      </x:c>
      <x:c r="F370" t="str">
        <x:f>IF(Calc!$A$370&gt;'Calc'!$B$8,"",'Calc'!$B$5-'财富模型'!$E$5-(IF('Calc'!$E$12=1,'财富模型'!$E$9,'财富模型'!$M$4+IF(Calc!$A$370&lt;='财富模型'!$E$11*12,'Calc'!$W$12,'Calc'!$Y$12)-(IF('Calc'!$E$12=1,0,MIN(Calc!$C$369*(1+'财富模型'!$E$20/12)+'Calc'!$B$6,IF(Calc!$A$370&lt;='财富模型'!$E$11*12,'Calc'!$W$12,'Calc'!$Y$12)))))))</x:f>
      </x:c>
      <x:c r="G370" t="str">
        <x:f>IF(Calc!$A$370&gt;'Calc'!$B$8,"",IF('Calc'!$E$12=1,0,MAX(Calc!$G$369*(1+IF(Calc!$A$370&lt;='财富模型'!$E$11*12,'财富模型'!$E$10,'财富模型'!$E$12)/12)-IF('Calc'!$E$12=1,0,IF(Calc!$A$370&lt;='财富模型'!$E$11*12,'Calc'!$W$12,'Calc'!$Y$12)),0)))</x:f>
      </x:c>
      <x:c r="I370" t="n">
        <x:v>349</x:v>
      </x:c>
      <x:c r="J370" t="str">
        <x:f>IF(Calc!$I$370&gt;'Calc'!$B$8,"",MAX(Calc!$J$369*(1+'财富模型'!$E$6/12)+('Calc'!$B$5-'财富模型'!$E$5-(IF('Calc'!$E$13=1,'财富模型'!$E$9,'财富模型'!$M$5+IF(Calc!$I$370&lt;='财富模型'!$E$11*12,'Calc'!$W$13,'Calc'!$Y$13)-(IF('Calc'!$E$13=1,0,MIN(Calc!$K$369*(1+'财富模型'!$E$20/12)+'Calc'!$B$6,IF(Calc!$I$370&lt;='财富模型'!$E$11*12,'Calc'!$W$13,'Calc'!$Y$13))))))),0))</x:f>
      </x:c>
      <x:c r="K370" t="str">
        <x:f>IF(Calc!$I$370&gt;'Calc'!$B$8,"",MAX(Calc!$K$369*(1+'财富模型'!$E$20/12)+'Calc'!$B$6-(IF('Calc'!$E$13=1,0,MIN(Calc!$K$369*(1+'财富模型'!$E$20/12)+'Calc'!$B$6,IF(Calc!$I$370&lt;='财富模型'!$E$11*12,'Calc'!$W$13,'Calc'!$Y$13)))),0))</x:f>
      </x:c>
      <x:c r="L370" t="str">
        <x:f>IF(Calc!$I$370&gt;'Calc'!$B$8,"",IF('Calc'!$E$13=1,'财富模型'!$E$9,'财富模型'!$M$5+IF(Calc!$I$370&lt;='财富模型'!$E$11*12,'Calc'!$W$13,'Calc'!$Y$13)-(IF('Calc'!$E$13=1,0,MIN(Calc!$K$369*(1+'财富模型'!$E$20/12)+'Calc'!$B$6,IF(Calc!$I$370&lt;='财富模型'!$E$11*12,'Calc'!$W$13,'Calc'!$Y$13))))))</x:f>
      </x:c>
      <x:c r="M370" t="str">
        <x:f>IF(Calc!$I$370&gt;'Calc'!$B$8,"",IF('Calc'!$E$13=1,0,MIN(Calc!$K$369*(1+'财富模型'!$E$20/12)+'Calc'!$B$6,IF(Calc!$I$370&lt;='财富模型'!$E$11*12,'Calc'!$W$13,'Calc'!$Y$13))))</x:f>
      </x:c>
      <x:c r="N370" t="str">
        <x:f>IF(Calc!$I$370&gt;'Calc'!$B$8,"",'Calc'!$B$5-'财富模型'!$E$5-(IF('Calc'!$E$13=1,'财富模型'!$E$9,'财富模型'!$M$5+IF(Calc!$I$370&lt;='财富模型'!$E$11*12,'Calc'!$W$13,'Calc'!$Y$13)-(IF('Calc'!$E$13=1,0,MIN(Calc!$K$369*(1+'财富模型'!$E$20/12)+'Calc'!$B$6,IF(Calc!$I$370&lt;='财富模型'!$E$11*12,'Calc'!$W$13,'Calc'!$Y$13)))))))</x:f>
      </x:c>
      <x:c r="O370" t="str">
        <x:f>IF(Calc!$I$370&gt;'Calc'!$B$8,"",IF('Calc'!$E$13=1,0,MAX(Calc!$O$369*(1+IF(Calc!$I$370&lt;='财富模型'!$E$11*12,'财富模型'!$E$10,'财富模型'!$E$12)/12)-IF('Calc'!$E$13=1,0,IF(Calc!$I$370&lt;='财富模型'!$E$11*12,'Calc'!$W$13,'Calc'!$Y$13)),0)))</x:f>
      </x:c>
      <x:c r="Q370" t="n">
        <x:v>349</x:v>
      </x:c>
      <x:c r="R370" t="str">
        <x:f>IF(Calc!$Q$370&gt;'Calc'!$B$8,"",MAX(Calc!$R$369*(1+'财富模型'!$E$6/12)+('Calc'!$B$5-'财富模型'!$E$5-(IF('Calc'!$E$14=1,'财富模型'!$E$9,'财富模型'!$M$6+IF(Calc!$Q$370&lt;='财富模型'!$E$11*12,'Calc'!$W$14,'Calc'!$Y$14)-(IF('Calc'!$E$14=1,0,MIN(Calc!$S$369*(1+'财富模型'!$E$20/12)+'Calc'!$B$6,IF(Calc!$Q$370&lt;='财富模型'!$E$11*12,'Calc'!$W$14,'Calc'!$Y$14))))))),0))</x:f>
      </x:c>
      <x:c r="S370" t="str">
        <x:f>IF(Calc!$Q$370&gt;'Calc'!$B$8,"",MAX(Calc!$S$369*(1+'财富模型'!$E$20/12)+'Calc'!$B$6-(IF('Calc'!$E$14=1,0,MIN(Calc!$S$369*(1+'财富模型'!$E$20/12)+'Calc'!$B$6,IF(Calc!$Q$370&lt;='财富模型'!$E$11*12,'Calc'!$W$14,'Calc'!$Y$14)))),0))</x:f>
      </x:c>
      <x:c r="T370" t="str">
        <x:f>IF(Calc!$Q$370&gt;'Calc'!$B$8,"",IF('Calc'!$E$14=1,'财富模型'!$E$9,'财富模型'!$M$6+IF(Calc!$Q$370&lt;='财富模型'!$E$11*12,'Calc'!$W$14,'Calc'!$Y$14)-(IF('Calc'!$E$14=1,0,MIN(Calc!$S$369*(1+'财富模型'!$E$20/12)+'Calc'!$B$6,IF(Calc!$Q$370&lt;='财富模型'!$E$11*12,'Calc'!$W$14,'Calc'!$Y$14))))))</x:f>
      </x:c>
      <x:c r="U370" t="str">
        <x:f>IF(Calc!$Q$370&gt;'Calc'!$B$8,"",IF('Calc'!$E$14=1,0,MIN(Calc!$S$369*(1+'财富模型'!$E$20/12)+'Calc'!$B$6,IF(Calc!$Q$370&lt;='财富模型'!$E$11*12,'Calc'!$W$14,'Calc'!$Y$14))))</x:f>
      </x:c>
      <x:c r="V370" t="str">
        <x:f>IF(Calc!$Q$370&gt;'Calc'!$B$8,"",'Calc'!$B$5-'财富模型'!$E$5-(IF('Calc'!$E$14=1,'财富模型'!$E$9,'财富模型'!$M$6+IF(Calc!$Q$370&lt;='财富模型'!$E$11*12,'Calc'!$W$14,'Calc'!$Y$14)-(IF('Calc'!$E$14=1,0,MIN(Calc!$S$369*(1+'财富模型'!$E$20/12)+'Calc'!$B$6,IF(Calc!$Q$370&lt;='财富模型'!$E$11*12,'Calc'!$W$14,'Calc'!$Y$14)))))))</x:f>
      </x:c>
      <x:c r="W370" t="str">
        <x:f>IF(Calc!$Q$370&gt;'Calc'!$B$8,"",IF('Calc'!$E$14=1,0,MAX(Calc!$W$369*(1+IF(Calc!$Q$370&lt;='财富模型'!$E$11*12,'财富模型'!$E$10,'财富模型'!$E$12)/12)-IF('Calc'!$E$14=1,0,IF(Calc!$Q$370&lt;='财富模型'!$E$11*12,'Calc'!$W$14,'Calc'!$Y$14)),0)))</x:f>
      </x:c>
      <x:c r="Y370" t="n">
        <x:v>349</x:v>
      </x:c>
      <x:c r="Z370" t="str">
        <x:f>IF(Calc!$Y$370&gt;'Calc'!$B$8,"",MAX(Calc!$Z$369*(1+'财富模型'!$E$6/12)+('Calc'!$B$5-'财富模型'!$E$5-(IF('Calc'!$E$15=1,'财富模型'!$E$9,'财富模型'!$M$7+IF(Calc!$Y$370&lt;='财富模型'!$E$11*12,'Calc'!$W$15,'Calc'!$Y$15)-(IF('Calc'!$E$15=1,0,MIN(Calc!$AA$369*(1+'财富模型'!$E$20/12)+'Calc'!$B$6,IF(Calc!$Y$370&lt;='财富模型'!$E$11*12,'Calc'!$W$15,'Calc'!$Y$15))))))),0))</x:f>
      </x:c>
      <x:c r="AA370" t="str">
        <x:f>IF(Calc!$Y$370&gt;'Calc'!$B$8,"",MAX(Calc!$AA$369*(1+'财富模型'!$E$20/12)+'Calc'!$B$6-(IF('Calc'!$E$15=1,0,MIN(Calc!$AA$369*(1+'财富模型'!$E$20/12)+'Calc'!$B$6,IF(Calc!$Y$370&lt;='财富模型'!$E$11*12,'Calc'!$W$15,'Calc'!$Y$15)))),0))</x:f>
      </x:c>
      <x:c r="AB370" t="str">
        <x:f>IF(Calc!$Y$370&gt;'Calc'!$B$8,"",IF('Calc'!$E$15=1,'财富模型'!$E$9,'财富模型'!$M$7+IF(Calc!$Y$370&lt;='财富模型'!$E$11*12,'Calc'!$W$15,'Calc'!$Y$15)-(IF('Calc'!$E$15=1,0,MIN(Calc!$AA$369*(1+'财富模型'!$E$20/12)+'Calc'!$B$6,IF(Calc!$Y$370&lt;='财富模型'!$E$11*12,'Calc'!$W$15,'Calc'!$Y$15))))))</x:f>
      </x:c>
      <x:c r="AC370" t="str">
        <x:f>IF(Calc!$Y$370&gt;'Calc'!$B$8,"",IF('Calc'!$E$15=1,0,MIN(Calc!$AA$369*(1+'财富模型'!$E$20/12)+'Calc'!$B$6,IF(Calc!$Y$370&lt;='财富模型'!$E$11*12,'Calc'!$W$15,'Calc'!$Y$15))))</x:f>
      </x:c>
      <x:c r="AD370" t="str">
        <x:f>IF(Calc!$Y$370&gt;'Calc'!$B$8,"",'Calc'!$B$5-'财富模型'!$E$5-(IF('Calc'!$E$15=1,'财富模型'!$E$9,'财富模型'!$M$7+IF(Calc!$Y$370&lt;='财富模型'!$E$11*12,'Calc'!$W$15,'Calc'!$Y$15)-(IF('Calc'!$E$15=1,0,MIN(Calc!$AA$369*(1+'财富模型'!$E$20/12)+'Calc'!$B$6,IF(Calc!$Y$370&lt;='财富模型'!$E$11*12,'Calc'!$W$15,'Calc'!$Y$15)))))))</x:f>
      </x:c>
      <x:c r="AE370" t="str">
        <x:f>IF(Calc!$Y$370&gt;'Calc'!$B$8,"",IF('Calc'!$E$15=1,0,MAX(Calc!$AE$369*(1+IF(Calc!$Y$370&lt;='财富模型'!$E$11*12,'财富模型'!$E$10,'财富模型'!$E$12)/12)-IF('Calc'!$E$15=1,0,IF(Calc!$Y$370&lt;='财富模型'!$E$11*12,'Calc'!$W$15,'Calc'!$Y$15)),0)))</x:f>
      </x:c>
      <x:c r="AG370" t="n">
        <x:v>349</x:v>
      </x:c>
      <x:c r="AH370" t="str">
        <x:f>IF(Calc!$AG$370&gt;'Calc'!$B$8,"",MAX(Calc!$AH$369*(1+'财富模型'!$E$6/12)+('Calc'!$B$5-'财富模型'!$E$5-(IF('Calc'!$E$16=1,'财富模型'!$E$9,'财富模型'!$M$8+IF(Calc!$AG$370&lt;='财富模型'!$E$11*12,'Calc'!$W$16,'Calc'!$Y$16)-(IF('Calc'!$E$16=1,0,MIN(Calc!$AI$369*(1+'财富模型'!$E$20/12)+'Calc'!$B$6,IF(Calc!$AG$370&lt;='财富模型'!$E$11*12,'Calc'!$W$16,'Calc'!$Y$16))))))),0))</x:f>
      </x:c>
      <x:c r="AI370" t="str">
        <x:f>IF(Calc!$AG$370&gt;'Calc'!$B$8,"",MAX(Calc!$AI$369*(1+'财富模型'!$E$20/12)+'Calc'!$B$6-(IF('Calc'!$E$16=1,0,MIN(Calc!$AI$369*(1+'财富模型'!$E$20/12)+'Calc'!$B$6,IF(Calc!$AG$370&lt;='财富模型'!$E$11*12,'Calc'!$W$16,'Calc'!$Y$16)))),0))</x:f>
      </x:c>
      <x:c r="AJ370" t="str">
        <x:f>IF(Calc!$AG$370&gt;'Calc'!$B$8,"",IF('Calc'!$E$16=1,'财富模型'!$E$9,'财富模型'!$M$8+IF(Calc!$AG$370&lt;='财富模型'!$E$11*12,'Calc'!$W$16,'Calc'!$Y$16)-(IF('Calc'!$E$16=1,0,MIN(Calc!$AI$369*(1+'财富模型'!$E$20/12)+'Calc'!$B$6,IF(Calc!$AG$370&lt;='财富模型'!$E$11*12,'Calc'!$W$16,'Calc'!$Y$16))))))</x:f>
      </x:c>
      <x:c r="AK370" t="str">
        <x:f>IF(Calc!$AG$370&gt;'Calc'!$B$8,"",IF('Calc'!$E$16=1,0,MIN(Calc!$AI$369*(1+'财富模型'!$E$20/12)+'Calc'!$B$6,IF(Calc!$AG$370&lt;='财富模型'!$E$11*12,'Calc'!$W$16,'Calc'!$Y$16))))</x:f>
      </x:c>
      <x:c r="AL370" t="str">
        <x:f>IF(Calc!$AG$370&gt;'Calc'!$B$8,"",'Calc'!$B$5-'财富模型'!$E$5-(IF('Calc'!$E$16=1,'财富模型'!$E$9,'财富模型'!$M$8+IF(Calc!$AG$370&lt;='财富模型'!$E$11*12,'Calc'!$W$16,'Calc'!$Y$16)-(IF('Calc'!$E$16=1,0,MIN(Calc!$AI$369*(1+'财富模型'!$E$20/12)+'Calc'!$B$6,IF(Calc!$AG$370&lt;='财富模型'!$E$11*12,'Calc'!$W$16,'Calc'!$Y$16)))))))</x:f>
      </x:c>
      <x:c r="AM370" t="str">
        <x:f>IF(Calc!$AG$370&gt;'Calc'!$B$8,"",IF('Calc'!$E$16=1,0,MAX(Calc!$AM$369*(1+IF(Calc!$AG$370&lt;='财富模型'!$E$11*12,'财富模型'!$E$10,'财富模型'!$E$12)/12)-IF('Calc'!$E$16=1,0,IF(Calc!$AG$370&lt;='财富模型'!$E$11*12,'Calc'!$W$16,'Calc'!$Y$16)),0)))</x:f>
      </x:c>
      <x:c r="AO370" t="n">
        <x:v>349</x:v>
      </x:c>
      <x:c r="AP370" t="str">
        <x:f>IF(Calc!$AO$370&gt;'Calc'!$B$8,"",MAX(Calc!$AP$369*(1+'财富模型'!$E$6/12)+('Calc'!$B$5-'财富模型'!$E$5-(IF('Calc'!$E$17=1,'财富模型'!$E$9,'财富模型'!$M$9+IF(Calc!$AO$370&lt;='财富模型'!$E$11*12,'Calc'!$W$17,'Calc'!$Y$17)-(IF('Calc'!$E$17=1,0,MIN(Calc!$AQ$369*(1+'财富模型'!$E$20/12)+'Calc'!$B$6,IF(Calc!$AO$370&lt;='财富模型'!$E$11*12,'Calc'!$W$17,'Calc'!$Y$17))))))),0))</x:f>
      </x:c>
      <x:c r="AQ370" t="str">
        <x:f>IF(Calc!$AO$370&gt;'Calc'!$B$8,"",MAX(Calc!$AQ$369*(1+'财富模型'!$E$20/12)+'Calc'!$B$6-(IF('Calc'!$E$17=1,0,MIN(Calc!$AQ$369*(1+'财富模型'!$E$20/12)+'Calc'!$B$6,IF(Calc!$AO$370&lt;='财富模型'!$E$11*12,'Calc'!$W$17,'Calc'!$Y$17)))),0))</x:f>
      </x:c>
      <x:c r="AR370" t="str">
        <x:f>IF(Calc!$AO$370&gt;'Calc'!$B$8,"",IF('Calc'!$E$17=1,'财富模型'!$E$9,'财富模型'!$M$9+IF(Calc!$AO$370&lt;='财富模型'!$E$11*12,'Calc'!$W$17,'Calc'!$Y$17)-(IF('Calc'!$E$17=1,0,MIN(Calc!$AQ$369*(1+'财富模型'!$E$20/12)+'Calc'!$B$6,IF(Calc!$AO$370&lt;='财富模型'!$E$11*12,'Calc'!$W$17,'Calc'!$Y$17))))))</x:f>
      </x:c>
      <x:c r="AS370" t="str">
        <x:f>IF(Calc!$AO$370&gt;'Calc'!$B$8,"",IF('Calc'!$E$17=1,0,MIN(Calc!$AQ$369*(1+'财富模型'!$E$20/12)+'Calc'!$B$6,IF(Calc!$AO$370&lt;='财富模型'!$E$11*12,'Calc'!$W$17,'Calc'!$Y$17))))</x:f>
      </x:c>
      <x:c r="AT370" t="str">
        <x:f>IF(Calc!$AO$370&gt;'Calc'!$B$8,"",'Calc'!$B$5-'财富模型'!$E$5-(IF('Calc'!$E$17=1,'财富模型'!$E$9,'财富模型'!$M$9+IF(Calc!$AO$370&lt;='财富模型'!$E$11*12,'Calc'!$W$17,'Calc'!$Y$17)-(IF('Calc'!$E$17=1,0,MIN(Calc!$AQ$369*(1+'财富模型'!$E$20/12)+'Calc'!$B$6,IF(Calc!$AO$370&lt;='财富模型'!$E$11*12,'Calc'!$W$17,'Calc'!$Y$17)))))))</x:f>
      </x:c>
      <x:c r="AU370" t="str">
        <x:f>IF(Calc!$AO$370&gt;'Calc'!$B$8,"",IF('Calc'!$E$17=1,0,MAX(Calc!$AU$369*(1+IF(Calc!$AO$370&lt;='财富模型'!$E$11*12,'财富模型'!$E$10,'财富模型'!$E$12)/12)-IF('Calc'!$E$17=1,0,IF(Calc!$AO$370&lt;='财富模型'!$E$11*12,'Calc'!$W$17,'Calc'!$Y$17)),0)))</x:f>
      </x:c>
    </x:row>
    <x:row r="371">
      <x:c r="A371" t="n">
        <x:v>350</x:v>
      </x:c>
      <x:c r="B371" t="str">
        <x:f>IF(Calc!$A$371&gt;'Calc'!$B$8,"",MAX(Calc!$B$370*(1+'财富模型'!$E$6/12)+('Calc'!$B$5-'财富模型'!$E$5-(IF('Calc'!$E$12=1,'财富模型'!$E$9,'财富模型'!$M$4+IF(Calc!$A$371&lt;='财富模型'!$E$11*12,'Calc'!$W$12,'Calc'!$Y$12)-(IF('Calc'!$E$12=1,0,MIN(Calc!$C$370*(1+'财富模型'!$E$20/12)+'Calc'!$B$6,IF(Calc!$A$371&lt;='财富模型'!$E$11*12,'Calc'!$W$12,'Calc'!$Y$12))))))),0))</x:f>
      </x:c>
      <x:c r="C371" t="str">
        <x:f>IF(Calc!$A$371&gt;'Calc'!$B$8,"",MAX(Calc!$C$370*(1+'财富模型'!$E$20/12)+'Calc'!$B$6-(IF('Calc'!$E$12=1,0,MIN(Calc!$C$370*(1+'财富模型'!$E$20/12)+'Calc'!$B$6,IF(Calc!$A$371&lt;='财富模型'!$E$11*12,'Calc'!$W$12,'Calc'!$Y$12)))),0))</x:f>
      </x:c>
      <x:c r="D371" t="str">
        <x:f>IF(Calc!$A$371&gt;'Calc'!$B$8,"",IF('Calc'!$E$12=1,'财富模型'!$E$9,'财富模型'!$M$4+IF(Calc!$A$371&lt;='财富模型'!$E$11*12,'Calc'!$W$12,'Calc'!$Y$12)-(IF('Calc'!$E$12=1,0,MIN(Calc!$C$370*(1+'财富模型'!$E$20/12)+'Calc'!$B$6,IF(Calc!$A$371&lt;='财富模型'!$E$11*12,'Calc'!$W$12,'Calc'!$Y$12))))))</x:f>
      </x:c>
      <x:c r="E371" t="str">
        <x:f>IF(Calc!$A$371&gt;'Calc'!$B$8,"",IF('Calc'!$E$12=1,0,MIN(Calc!$C$370*(1+'财富模型'!$E$20/12)+'Calc'!$B$6,IF(Calc!$A$371&lt;='财富模型'!$E$11*12,'Calc'!$W$12,'Calc'!$Y$12))))</x:f>
      </x:c>
      <x:c r="F371" t="str">
        <x:f>IF(Calc!$A$371&gt;'Calc'!$B$8,"",'Calc'!$B$5-'财富模型'!$E$5-(IF('Calc'!$E$12=1,'财富模型'!$E$9,'财富模型'!$M$4+IF(Calc!$A$371&lt;='财富模型'!$E$11*12,'Calc'!$W$12,'Calc'!$Y$12)-(IF('Calc'!$E$12=1,0,MIN(Calc!$C$370*(1+'财富模型'!$E$20/12)+'Calc'!$B$6,IF(Calc!$A$371&lt;='财富模型'!$E$11*12,'Calc'!$W$12,'Calc'!$Y$12)))))))</x:f>
      </x:c>
      <x:c r="G371" t="str">
        <x:f>IF(Calc!$A$371&gt;'Calc'!$B$8,"",IF('Calc'!$E$12=1,0,MAX(Calc!$G$370*(1+IF(Calc!$A$371&lt;='财富模型'!$E$11*12,'财富模型'!$E$10,'财富模型'!$E$12)/12)-IF('Calc'!$E$12=1,0,IF(Calc!$A$371&lt;='财富模型'!$E$11*12,'Calc'!$W$12,'Calc'!$Y$12)),0)))</x:f>
      </x:c>
      <x:c r="I371" t="n">
        <x:v>350</x:v>
      </x:c>
      <x:c r="J371" t="str">
        <x:f>IF(Calc!$I$371&gt;'Calc'!$B$8,"",MAX(Calc!$J$370*(1+'财富模型'!$E$6/12)+('Calc'!$B$5-'财富模型'!$E$5-(IF('Calc'!$E$13=1,'财富模型'!$E$9,'财富模型'!$M$5+IF(Calc!$I$371&lt;='财富模型'!$E$11*12,'Calc'!$W$13,'Calc'!$Y$13)-(IF('Calc'!$E$13=1,0,MIN(Calc!$K$370*(1+'财富模型'!$E$20/12)+'Calc'!$B$6,IF(Calc!$I$371&lt;='财富模型'!$E$11*12,'Calc'!$W$13,'Calc'!$Y$13))))))),0))</x:f>
      </x:c>
      <x:c r="K371" t="str">
        <x:f>IF(Calc!$I$371&gt;'Calc'!$B$8,"",MAX(Calc!$K$370*(1+'财富模型'!$E$20/12)+'Calc'!$B$6-(IF('Calc'!$E$13=1,0,MIN(Calc!$K$370*(1+'财富模型'!$E$20/12)+'Calc'!$B$6,IF(Calc!$I$371&lt;='财富模型'!$E$11*12,'Calc'!$W$13,'Calc'!$Y$13)))),0))</x:f>
      </x:c>
      <x:c r="L371" t="str">
        <x:f>IF(Calc!$I$371&gt;'Calc'!$B$8,"",IF('Calc'!$E$13=1,'财富模型'!$E$9,'财富模型'!$M$5+IF(Calc!$I$371&lt;='财富模型'!$E$11*12,'Calc'!$W$13,'Calc'!$Y$13)-(IF('Calc'!$E$13=1,0,MIN(Calc!$K$370*(1+'财富模型'!$E$20/12)+'Calc'!$B$6,IF(Calc!$I$371&lt;='财富模型'!$E$11*12,'Calc'!$W$13,'Calc'!$Y$13))))))</x:f>
      </x:c>
      <x:c r="M371" t="str">
        <x:f>IF(Calc!$I$371&gt;'Calc'!$B$8,"",IF('Calc'!$E$13=1,0,MIN(Calc!$K$370*(1+'财富模型'!$E$20/12)+'Calc'!$B$6,IF(Calc!$I$371&lt;='财富模型'!$E$11*12,'Calc'!$W$13,'Calc'!$Y$13))))</x:f>
      </x:c>
      <x:c r="N371" t="str">
        <x:f>IF(Calc!$I$371&gt;'Calc'!$B$8,"",'Calc'!$B$5-'财富模型'!$E$5-(IF('Calc'!$E$13=1,'财富模型'!$E$9,'财富模型'!$M$5+IF(Calc!$I$371&lt;='财富模型'!$E$11*12,'Calc'!$W$13,'Calc'!$Y$13)-(IF('Calc'!$E$13=1,0,MIN(Calc!$K$370*(1+'财富模型'!$E$20/12)+'Calc'!$B$6,IF(Calc!$I$371&lt;='财富模型'!$E$11*12,'Calc'!$W$13,'Calc'!$Y$13)))))))</x:f>
      </x:c>
      <x:c r="O371" t="str">
        <x:f>IF(Calc!$I$371&gt;'Calc'!$B$8,"",IF('Calc'!$E$13=1,0,MAX(Calc!$O$370*(1+IF(Calc!$I$371&lt;='财富模型'!$E$11*12,'财富模型'!$E$10,'财富模型'!$E$12)/12)-IF('Calc'!$E$13=1,0,IF(Calc!$I$371&lt;='财富模型'!$E$11*12,'Calc'!$W$13,'Calc'!$Y$13)),0)))</x:f>
      </x:c>
      <x:c r="Q371" t="n">
        <x:v>350</x:v>
      </x:c>
      <x:c r="R371" t="str">
        <x:f>IF(Calc!$Q$371&gt;'Calc'!$B$8,"",MAX(Calc!$R$370*(1+'财富模型'!$E$6/12)+('Calc'!$B$5-'财富模型'!$E$5-(IF('Calc'!$E$14=1,'财富模型'!$E$9,'财富模型'!$M$6+IF(Calc!$Q$371&lt;='财富模型'!$E$11*12,'Calc'!$W$14,'Calc'!$Y$14)-(IF('Calc'!$E$14=1,0,MIN(Calc!$S$370*(1+'财富模型'!$E$20/12)+'Calc'!$B$6,IF(Calc!$Q$371&lt;='财富模型'!$E$11*12,'Calc'!$W$14,'Calc'!$Y$14))))))),0))</x:f>
      </x:c>
      <x:c r="S371" t="str">
        <x:f>IF(Calc!$Q$371&gt;'Calc'!$B$8,"",MAX(Calc!$S$370*(1+'财富模型'!$E$20/12)+'Calc'!$B$6-(IF('Calc'!$E$14=1,0,MIN(Calc!$S$370*(1+'财富模型'!$E$20/12)+'Calc'!$B$6,IF(Calc!$Q$371&lt;='财富模型'!$E$11*12,'Calc'!$W$14,'Calc'!$Y$14)))),0))</x:f>
      </x:c>
      <x:c r="T371" t="str">
        <x:f>IF(Calc!$Q$371&gt;'Calc'!$B$8,"",IF('Calc'!$E$14=1,'财富模型'!$E$9,'财富模型'!$M$6+IF(Calc!$Q$371&lt;='财富模型'!$E$11*12,'Calc'!$W$14,'Calc'!$Y$14)-(IF('Calc'!$E$14=1,0,MIN(Calc!$S$370*(1+'财富模型'!$E$20/12)+'Calc'!$B$6,IF(Calc!$Q$371&lt;='财富模型'!$E$11*12,'Calc'!$W$14,'Calc'!$Y$14))))))</x:f>
      </x:c>
      <x:c r="U371" t="str">
        <x:f>IF(Calc!$Q$371&gt;'Calc'!$B$8,"",IF('Calc'!$E$14=1,0,MIN(Calc!$S$370*(1+'财富模型'!$E$20/12)+'Calc'!$B$6,IF(Calc!$Q$371&lt;='财富模型'!$E$11*12,'Calc'!$W$14,'Calc'!$Y$14))))</x:f>
      </x:c>
      <x:c r="V371" t="str">
        <x:f>IF(Calc!$Q$371&gt;'Calc'!$B$8,"",'Calc'!$B$5-'财富模型'!$E$5-(IF('Calc'!$E$14=1,'财富模型'!$E$9,'财富模型'!$M$6+IF(Calc!$Q$371&lt;='财富模型'!$E$11*12,'Calc'!$W$14,'Calc'!$Y$14)-(IF('Calc'!$E$14=1,0,MIN(Calc!$S$370*(1+'财富模型'!$E$20/12)+'Calc'!$B$6,IF(Calc!$Q$371&lt;='财富模型'!$E$11*12,'Calc'!$W$14,'Calc'!$Y$14)))))))</x:f>
      </x:c>
      <x:c r="W371" t="str">
        <x:f>IF(Calc!$Q$371&gt;'Calc'!$B$8,"",IF('Calc'!$E$14=1,0,MAX(Calc!$W$370*(1+IF(Calc!$Q$371&lt;='财富模型'!$E$11*12,'财富模型'!$E$10,'财富模型'!$E$12)/12)-IF('Calc'!$E$14=1,0,IF(Calc!$Q$371&lt;='财富模型'!$E$11*12,'Calc'!$W$14,'Calc'!$Y$14)),0)))</x:f>
      </x:c>
      <x:c r="Y371" t="n">
        <x:v>350</x:v>
      </x:c>
      <x:c r="Z371" t="str">
        <x:f>IF(Calc!$Y$371&gt;'Calc'!$B$8,"",MAX(Calc!$Z$370*(1+'财富模型'!$E$6/12)+('Calc'!$B$5-'财富模型'!$E$5-(IF('Calc'!$E$15=1,'财富模型'!$E$9,'财富模型'!$M$7+IF(Calc!$Y$371&lt;='财富模型'!$E$11*12,'Calc'!$W$15,'Calc'!$Y$15)-(IF('Calc'!$E$15=1,0,MIN(Calc!$AA$370*(1+'财富模型'!$E$20/12)+'Calc'!$B$6,IF(Calc!$Y$371&lt;='财富模型'!$E$11*12,'Calc'!$W$15,'Calc'!$Y$15))))))),0))</x:f>
      </x:c>
      <x:c r="AA371" t="str">
        <x:f>IF(Calc!$Y$371&gt;'Calc'!$B$8,"",MAX(Calc!$AA$370*(1+'财富模型'!$E$20/12)+'Calc'!$B$6-(IF('Calc'!$E$15=1,0,MIN(Calc!$AA$370*(1+'财富模型'!$E$20/12)+'Calc'!$B$6,IF(Calc!$Y$371&lt;='财富模型'!$E$11*12,'Calc'!$W$15,'Calc'!$Y$15)))),0))</x:f>
      </x:c>
      <x:c r="AB371" t="str">
        <x:f>IF(Calc!$Y$371&gt;'Calc'!$B$8,"",IF('Calc'!$E$15=1,'财富模型'!$E$9,'财富模型'!$M$7+IF(Calc!$Y$371&lt;='财富模型'!$E$11*12,'Calc'!$W$15,'Calc'!$Y$15)-(IF('Calc'!$E$15=1,0,MIN(Calc!$AA$370*(1+'财富模型'!$E$20/12)+'Calc'!$B$6,IF(Calc!$Y$371&lt;='财富模型'!$E$11*12,'Calc'!$W$15,'Calc'!$Y$15))))))</x:f>
      </x:c>
      <x:c r="AC371" t="str">
        <x:f>IF(Calc!$Y$371&gt;'Calc'!$B$8,"",IF('Calc'!$E$15=1,0,MIN(Calc!$AA$370*(1+'财富模型'!$E$20/12)+'Calc'!$B$6,IF(Calc!$Y$371&lt;='财富模型'!$E$11*12,'Calc'!$W$15,'Calc'!$Y$15))))</x:f>
      </x:c>
      <x:c r="AD371" t="str">
        <x:f>IF(Calc!$Y$371&gt;'Calc'!$B$8,"",'Calc'!$B$5-'财富模型'!$E$5-(IF('Calc'!$E$15=1,'财富模型'!$E$9,'财富模型'!$M$7+IF(Calc!$Y$371&lt;='财富模型'!$E$11*12,'Calc'!$W$15,'Calc'!$Y$15)-(IF('Calc'!$E$15=1,0,MIN(Calc!$AA$370*(1+'财富模型'!$E$20/12)+'Calc'!$B$6,IF(Calc!$Y$371&lt;='财富模型'!$E$11*12,'Calc'!$W$15,'Calc'!$Y$15)))))))</x:f>
      </x:c>
      <x:c r="AE371" t="str">
        <x:f>IF(Calc!$Y$371&gt;'Calc'!$B$8,"",IF('Calc'!$E$15=1,0,MAX(Calc!$AE$370*(1+IF(Calc!$Y$371&lt;='财富模型'!$E$11*12,'财富模型'!$E$10,'财富模型'!$E$12)/12)-IF('Calc'!$E$15=1,0,IF(Calc!$Y$371&lt;='财富模型'!$E$11*12,'Calc'!$W$15,'Calc'!$Y$15)),0)))</x:f>
      </x:c>
      <x:c r="AG371" t="n">
        <x:v>350</x:v>
      </x:c>
      <x:c r="AH371" t="str">
        <x:f>IF(Calc!$AG$371&gt;'Calc'!$B$8,"",MAX(Calc!$AH$370*(1+'财富模型'!$E$6/12)+('Calc'!$B$5-'财富模型'!$E$5-(IF('Calc'!$E$16=1,'财富模型'!$E$9,'财富模型'!$M$8+IF(Calc!$AG$371&lt;='财富模型'!$E$11*12,'Calc'!$W$16,'Calc'!$Y$16)-(IF('Calc'!$E$16=1,0,MIN(Calc!$AI$370*(1+'财富模型'!$E$20/12)+'Calc'!$B$6,IF(Calc!$AG$371&lt;='财富模型'!$E$11*12,'Calc'!$W$16,'Calc'!$Y$16))))))),0))</x:f>
      </x:c>
      <x:c r="AI371" t="str">
        <x:f>IF(Calc!$AG$371&gt;'Calc'!$B$8,"",MAX(Calc!$AI$370*(1+'财富模型'!$E$20/12)+'Calc'!$B$6-(IF('Calc'!$E$16=1,0,MIN(Calc!$AI$370*(1+'财富模型'!$E$20/12)+'Calc'!$B$6,IF(Calc!$AG$371&lt;='财富模型'!$E$11*12,'Calc'!$W$16,'Calc'!$Y$16)))),0))</x:f>
      </x:c>
      <x:c r="AJ371" t="str">
        <x:f>IF(Calc!$AG$371&gt;'Calc'!$B$8,"",IF('Calc'!$E$16=1,'财富模型'!$E$9,'财富模型'!$M$8+IF(Calc!$AG$371&lt;='财富模型'!$E$11*12,'Calc'!$W$16,'Calc'!$Y$16)-(IF('Calc'!$E$16=1,0,MIN(Calc!$AI$370*(1+'财富模型'!$E$20/12)+'Calc'!$B$6,IF(Calc!$AG$371&lt;='财富模型'!$E$11*12,'Calc'!$W$16,'Calc'!$Y$16))))))</x:f>
      </x:c>
      <x:c r="AK371" t="str">
        <x:f>IF(Calc!$AG$371&gt;'Calc'!$B$8,"",IF('Calc'!$E$16=1,0,MIN(Calc!$AI$370*(1+'财富模型'!$E$20/12)+'Calc'!$B$6,IF(Calc!$AG$371&lt;='财富模型'!$E$11*12,'Calc'!$W$16,'Calc'!$Y$16))))</x:f>
      </x:c>
      <x:c r="AL371" t="str">
        <x:f>IF(Calc!$AG$371&gt;'Calc'!$B$8,"",'Calc'!$B$5-'财富模型'!$E$5-(IF('Calc'!$E$16=1,'财富模型'!$E$9,'财富模型'!$M$8+IF(Calc!$AG$371&lt;='财富模型'!$E$11*12,'Calc'!$W$16,'Calc'!$Y$16)-(IF('Calc'!$E$16=1,0,MIN(Calc!$AI$370*(1+'财富模型'!$E$20/12)+'Calc'!$B$6,IF(Calc!$AG$371&lt;='财富模型'!$E$11*12,'Calc'!$W$16,'Calc'!$Y$16)))))))</x:f>
      </x:c>
      <x:c r="AM371" t="str">
        <x:f>IF(Calc!$AG$371&gt;'Calc'!$B$8,"",IF('Calc'!$E$16=1,0,MAX(Calc!$AM$370*(1+IF(Calc!$AG$371&lt;='财富模型'!$E$11*12,'财富模型'!$E$10,'财富模型'!$E$12)/12)-IF('Calc'!$E$16=1,0,IF(Calc!$AG$371&lt;='财富模型'!$E$11*12,'Calc'!$W$16,'Calc'!$Y$16)),0)))</x:f>
      </x:c>
      <x:c r="AO371" t="n">
        <x:v>350</x:v>
      </x:c>
      <x:c r="AP371" t="str">
        <x:f>IF(Calc!$AO$371&gt;'Calc'!$B$8,"",MAX(Calc!$AP$370*(1+'财富模型'!$E$6/12)+('Calc'!$B$5-'财富模型'!$E$5-(IF('Calc'!$E$17=1,'财富模型'!$E$9,'财富模型'!$M$9+IF(Calc!$AO$371&lt;='财富模型'!$E$11*12,'Calc'!$W$17,'Calc'!$Y$17)-(IF('Calc'!$E$17=1,0,MIN(Calc!$AQ$370*(1+'财富模型'!$E$20/12)+'Calc'!$B$6,IF(Calc!$AO$371&lt;='财富模型'!$E$11*12,'Calc'!$W$17,'Calc'!$Y$17))))))),0))</x:f>
      </x:c>
      <x:c r="AQ371" t="str">
        <x:f>IF(Calc!$AO$371&gt;'Calc'!$B$8,"",MAX(Calc!$AQ$370*(1+'财富模型'!$E$20/12)+'Calc'!$B$6-(IF('Calc'!$E$17=1,0,MIN(Calc!$AQ$370*(1+'财富模型'!$E$20/12)+'Calc'!$B$6,IF(Calc!$AO$371&lt;='财富模型'!$E$11*12,'Calc'!$W$17,'Calc'!$Y$17)))),0))</x:f>
      </x:c>
      <x:c r="AR371" t="str">
        <x:f>IF(Calc!$AO$371&gt;'Calc'!$B$8,"",IF('Calc'!$E$17=1,'财富模型'!$E$9,'财富模型'!$M$9+IF(Calc!$AO$371&lt;='财富模型'!$E$11*12,'Calc'!$W$17,'Calc'!$Y$17)-(IF('Calc'!$E$17=1,0,MIN(Calc!$AQ$370*(1+'财富模型'!$E$20/12)+'Calc'!$B$6,IF(Calc!$AO$371&lt;='财富模型'!$E$11*12,'Calc'!$W$17,'Calc'!$Y$17))))))</x:f>
      </x:c>
      <x:c r="AS371" t="str">
        <x:f>IF(Calc!$AO$371&gt;'Calc'!$B$8,"",IF('Calc'!$E$17=1,0,MIN(Calc!$AQ$370*(1+'财富模型'!$E$20/12)+'Calc'!$B$6,IF(Calc!$AO$371&lt;='财富模型'!$E$11*12,'Calc'!$W$17,'Calc'!$Y$17))))</x:f>
      </x:c>
      <x:c r="AT371" t="str">
        <x:f>IF(Calc!$AO$371&gt;'Calc'!$B$8,"",'Calc'!$B$5-'财富模型'!$E$5-(IF('Calc'!$E$17=1,'财富模型'!$E$9,'财富模型'!$M$9+IF(Calc!$AO$371&lt;='财富模型'!$E$11*12,'Calc'!$W$17,'Calc'!$Y$17)-(IF('Calc'!$E$17=1,0,MIN(Calc!$AQ$370*(1+'财富模型'!$E$20/12)+'Calc'!$B$6,IF(Calc!$AO$371&lt;='财富模型'!$E$11*12,'Calc'!$W$17,'Calc'!$Y$17)))))))</x:f>
      </x:c>
      <x:c r="AU371" t="str">
        <x:f>IF(Calc!$AO$371&gt;'Calc'!$B$8,"",IF('Calc'!$E$17=1,0,MAX(Calc!$AU$370*(1+IF(Calc!$AO$371&lt;='财富模型'!$E$11*12,'财富模型'!$E$10,'财富模型'!$E$12)/12)-IF('Calc'!$E$17=1,0,IF(Calc!$AO$371&lt;='财富模型'!$E$11*12,'Calc'!$W$17,'Calc'!$Y$17)),0)))</x:f>
      </x:c>
    </x:row>
    <x:row r="372">
      <x:c r="A372" t="n">
        <x:v>351</x:v>
      </x:c>
      <x:c r="B372" t="str">
        <x:f>IF(Calc!$A$372&gt;'Calc'!$B$8,"",MAX(Calc!$B$371*(1+'财富模型'!$E$6/12)+('Calc'!$B$5-'财富模型'!$E$5-(IF('Calc'!$E$12=1,'财富模型'!$E$9,'财富模型'!$M$4+IF(Calc!$A$372&lt;='财富模型'!$E$11*12,'Calc'!$W$12,'Calc'!$Y$12)-(IF('Calc'!$E$12=1,0,MIN(Calc!$C$371*(1+'财富模型'!$E$20/12)+'Calc'!$B$6,IF(Calc!$A$372&lt;='财富模型'!$E$11*12,'Calc'!$W$12,'Calc'!$Y$12))))))),0))</x:f>
      </x:c>
      <x:c r="C372" t="str">
        <x:f>IF(Calc!$A$372&gt;'Calc'!$B$8,"",MAX(Calc!$C$371*(1+'财富模型'!$E$20/12)+'Calc'!$B$6-(IF('Calc'!$E$12=1,0,MIN(Calc!$C$371*(1+'财富模型'!$E$20/12)+'Calc'!$B$6,IF(Calc!$A$372&lt;='财富模型'!$E$11*12,'Calc'!$W$12,'Calc'!$Y$12)))),0))</x:f>
      </x:c>
      <x:c r="D372" t="str">
        <x:f>IF(Calc!$A$372&gt;'Calc'!$B$8,"",IF('Calc'!$E$12=1,'财富模型'!$E$9,'财富模型'!$M$4+IF(Calc!$A$372&lt;='财富模型'!$E$11*12,'Calc'!$W$12,'Calc'!$Y$12)-(IF('Calc'!$E$12=1,0,MIN(Calc!$C$371*(1+'财富模型'!$E$20/12)+'Calc'!$B$6,IF(Calc!$A$372&lt;='财富模型'!$E$11*12,'Calc'!$W$12,'Calc'!$Y$12))))))</x:f>
      </x:c>
      <x:c r="E372" t="str">
        <x:f>IF(Calc!$A$372&gt;'Calc'!$B$8,"",IF('Calc'!$E$12=1,0,MIN(Calc!$C$371*(1+'财富模型'!$E$20/12)+'Calc'!$B$6,IF(Calc!$A$372&lt;='财富模型'!$E$11*12,'Calc'!$W$12,'Calc'!$Y$12))))</x:f>
      </x:c>
      <x:c r="F372" t="str">
        <x:f>IF(Calc!$A$372&gt;'Calc'!$B$8,"",'Calc'!$B$5-'财富模型'!$E$5-(IF('Calc'!$E$12=1,'财富模型'!$E$9,'财富模型'!$M$4+IF(Calc!$A$372&lt;='财富模型'!$E$11*12,'Calc'!$W$12,'Calc'!$Y$12)-(IF('Calc'!$E$12=1,0,MIN(Calc!$C$371*(1+'财富模型'!$E$20/12)+'Calc'!$B$6,IF(Calc!$A$372&lt;='财富模型'!$E$11*12,'Calc'!$W$12,'Calc'!$Y$12)))))))</x:f>
      </x:c>
      <x:c r="G372" t="str">
        <x:f>IF(Calc!$A$372&gt;'Calc'!$B$8,"",IF('Calc'!$E$12=1,0,MAX(Calc!$G$371*(1+IF(Calc!$A$372&lt;='财富模型'!$E$11*12,'财富模型'!$E$10,'财富模型'!$E$12)/12)-IF('Calc'!$E$12=1,0,IF(Calc!$A$372&lt;='财富模型'!$E$11*12,'Calc'!$W$12,'Calc'!$Y$12)),0)))</x:f>
      </x:c>
      <x:c r="I372" t="n">
        <x:v>351</x:v>
      </x:c>
      <x:c r="J372" t="str">
        <x:f>IF(Calc!$I$372&gt;'Calc'!$B$8,"",MAX(Calc!$J$371*(1+'财富模型'!$E$6/12)+('Calc'!$B$5-'财富模型'!$E$5-(IF('Calc'!$E$13=1,'财富模型'!$E$9,'财富模型'!$M$5+IF(Calc!$I$372&lt;='财富模型'!$E$11*12,'Calc'!$W$13,'Calc'!$Y$13)-(IF('Calc'!$E$13=1,0,MIN(Calc!$K$371*(1+'财富模型'!$E$20/12)+'Calc'!$B$6,IF(Calc!$I$372&lt;='财富模型'!$E$11*12,'Calc'!$W$13,'Calc'!$Y$13))))))),0))</x:f>
      </x:c>
      <x:c r="K372" t="str">
        <x:f>IF(Calc!$I$372&gt;'Calc'!$B$8,"",MAX(Calc!$K$371*(1+'财富模型'!$E$20/12)+'Calc'!$B$6-(IF('Calc'!$E$13=1,0,MIN(Calc!$K$371*(1+'财富模型'!$E$20/12)+'Calc'!$B$6,IF(Calc!$I$372&lt;='财富模型'!$E$11*12,'Calc'!$W$13,'Calc'!$Y$13)))),0))</x:f>
      </x:c>
      <x:c r="L372" t="str">
        <x:f>IF(Calc!$I$372&gt;'Calc'!$B$8,"",IF('Calc'!$E$13=1,'财富模型'!$E$9,'财富模型'!$M$5+IF(Calc!$I$372&lt;='财富模型'!$E$11*12,'Calc'!$W$13,'Calc'!$Y$13)-(IF('Calc'!$E$13=1,0,MIN(Calc!$K$371*(1+'财富模型'!$E$20/12)+'Calc'!$B$6,IF(Calc!$I$372&lt;='财富模型'!$E$11*12,'Calc'!$W$13,'Calc'!$Y$13))))))</x:f>
      </x:c>
      <x:c r="M372" t="str">
        <x:f>IF(Calc!$I$372&gt;'Calc'!$B$8,"",IF('Calc'!$E$13=1,0,MIN(Calc!$K$371*(1+'财富模型'!$E$20/12)+'Calc'!$B$6,IF(Calc!$I$372&lt;='财富模型'!$E$11*12,'Calc'!$W$13,'Calc'!$Y$13))))</x:f>
      </x:c>
      <x:c r="N372" t="str">
        <x:f>IF(Calc!$I$372&gt;'Calc'!$B$8,"",'Calc'!$B$5-'财富模型'!$E$5-(IF('Calc'!$E$13=1,'财富模型'!$E$9,'财富模型'!$M$5+IF(Calc!$I$372&lt;='财富模型'!$E$11*12,'Calc'!$W$13,'Calc'!$Y$13)-(IF('Calc'!$E$13=1,0,MIN(Calc!$K$371*(1+'财富模型'!$E$20/12)+'Calc'!$B$6,IF(Calc!$I$372&lt;='财富模型'!$E$11*12,'Calc'!$W$13,'Calc'!$Y$13)))))))</x:f>
      </x:c>
      <x:c r="O372" t="str">
        <x:f>IF(Calc!$I$372&gt;'Calc'!$B$8,"",IF('Calc'!$E$13=1,0,MAX(Calc!$O$371*(1+IF(Calc!$I$372&lt;='财富模型'!$E$11*12,'财富模型'!$E$10,'财富模型'!$E$12)/12)-IF('Calc'!$E$13=1,0,IF(Calc!$I$372&lt;='财富模型'!$E$11*12,'Calc'!$W$13,'Calc'!$Y$13)),0)))</x:f>
      </x:c>
      <x:c r="Q372" t="n">
        <x:v>351</x:v>
      </x:c>
      <x:c r="R372" t="str">
        <x:f>IF(Calc!$Q$372&gt;'Calc'!$B$8,"",MAX(Calc!$R$371*(1+'财富模型'!$E$6/12)+('Calc'!$B$5-'财富模型'!$E$5-(IF('Calc'!$E$14=1,'财富模型'!$E$9,'财富模型'!$M$6+IF(Calc!$Q$372&lt;='财富模型'!$E$11*12,'Calc'!$W$14,'Calc'!$Y$14)-(IF('Calc'!$E$14=1,0,MIN(Calc!$S$371*(1+'财富模型'!$E$20/12)+'Calc'!$B$6,IF(Calc!$Q$372&lt;='财富模型'!$E$11*12,'Calc'!$W$14,'Calc'!$Y$14))))))),0))</x:f>
      </x:c>
      <x:c r="S372" t="str">
        <x:f>IF(Calc!$Q$372&gt;'Calc'!$B$8,"",MAX(Calc!$S$371*(1+'财富模型'!$E$20/12)+'Calc'!$B$6-(IF('Calc'!$E$14=1,0,MIN(Calc!$S$371*(1+'财富模型'!$E$20/12)+'Calc'!$B$6,IF(Calc!$Q$372&lt;='财富模型'!$E$11*12,'Calc'!$W$14,'Calc'!$Y$14)))),0))</x:f>
      </x:c>
      <x:c r="T372" t="str">
        <x:f>IF(Calc!$Q$372&gt;'Calc'!$B$8,"",IF('Calc'!$E$14=1,'财富模型'!$E$9,'财富模型'!$M$6+IF(Calc!$Q$372&lt;='财富模型'!$E$11*12,'Calc'!$W$14,'Calc'!$Y$14)-(IF('Calc'!$E$14=1,0,MIN(Calc!$S$371*(1+'财富模型'!$E$20/12)+'Calc'!$B$6,IF(Calc!$Q$372&lt;='财富模型'!$E$11*12,'Calc'!$W$14,'Calc'!$Y$14))))))</x:f>
      </x:c>
      <x:c r="U372" t="str">
        <x:f>IF(Calc!$Q$372&gt;'Calc'!$B$8,"",IF('Calc'!$E$14=1,0,MIN(Calc!$S$371*(1+'财富模型'!$E$20/12)+'Calc'!$B$6,IF(Calc!$Q$372&lt;='财富模型'!$E$11*12,'Calc'!$W$14,'Calc'!$Y$14))))</x:f>
      </x:c>
      <x:c r="V372" t="str">
        <x:f>IF(Calc!$Q$372&gt;'Calc'!$B$8,"",'Calc'!$B$5-'财富模型'!$E$5-(IF('Calc'!$E$14=1,'财富模型'!$E$9,'财富模型'!$M$6+IF(Calc!$Q$372&lt;='财富模型'!$E$11*12,'Calc'!$W$14,'Calc'!$Y$14)-(IF('Calc'!$E$14=1,0,MIN(Calc!$S$371*(1+'财富模型'!$E$20/12)+'Calc'!$B$6,IF(Calc!$Q$372&lt;='财富模型'!$E$11*12,'Calc'!$W$14,'Calc'!$Y$14)))))))</x:f>
      </x:c>
      <x:c r="W372" t="str">
        <x:f>IF(Calc!$Q$372&gt;'Calc'!$B$8,"",IF('Calc'!$E$14=1,0,MAX(Calc!$W$371*(1+IF(Calc!$Q$372&lt;='财富模型'!$E$11*12,'财富模型'!$E$10,'财富模型'!$E$12)/12)-IF('Calc'!$E$14=1,0,IF(Calc!$Q$372&lt;='财富模型'!$E$11*12,'Calc'!$W$14,'Calc'!$Y$14)),0)))</x:f>
      </x:c>
      <x:c r="Y372" t="n">
        <x:v>351</x:v>
      </x:c>
      <x:c r="Z372" t="str">
        <x:f>IF(Calc!$Y$372&gt;'Calc'!$B$8,"",MAX(Calc!$Z$371*(1+'财富模型'!$E$6/12)+('Calc'!$B$5-'财富模型'!$E$5-(IF('Calc'!$E$15=1,'财富模型'!$E$9,'财富模型'!$M$7+IF(Calc!$Y$372&lt;='财富模型'!$E$11*12,'Calc'!$W$15,'Calc'!$Y$15)-(IF('Calc'!$E$15=1,0,MIN(Calc!$AA$371*(1+'财富模型'!$E$20/12)+'Calc'!$B$6,IF(Calc!$Y$372&lt;='财富模型'!$E$11*12,'Calc'!$W$15,'Calc'!$Y$15))))))),0))</x:f>
      </x:c>
      <x:c r="AA372" t="str">
        <x:f>IF(Calc!$Y$372&gt;'Calc'!$B$8,"",MAX(Calc!$AA$371*(1+'财富模型'!$E$20/12)+'Calc'!$B$6-(IF('Calc'!$E$15=1,0,MIN(Calc!$AA$371*(1+'财富模型'!$E$20/12)+'Calc'!$B$6,IF(Calc!$Y$372&lt;='财富模型'!$E$11*12,'Calc'!$W$15,'Calc'!$Y$15)))),0))</x:f>
      </x:c>
      <x:c r="AB372" t="str">
        <x:f>IF(Calc!$Y$372&gt;'Calc'!$B$8,"",IF('Calc'!$E$15=1,'财富模型'!$E$9,'财富模型'!$M$7+IF(Calc!$Y$372&lt;='财富模型'!$E$11*12,'Calc'!$W$15,'Calc'!$Y$15)-(IF('Calc'!$E$15=1,0,MIN(Calc!$AA$371*(1+'财富模型'!$E$20/12)+'Calc'!$B$6,IF(Calc!$Y$372&lt;='财富模型'!$E$11*12,'Calc'!$W$15,'Calc'!$Y$15))))))</x:f>
      </x:c>
      <x:c r="AC372" t="str">
        <x:f>IF(Calc!$Y$372&gt;'Calc'!$B$8,"",IF('Calc'!$E$15=1,0,MIN(Calc!$AA$371*(1+'财富模型'!$E$20/12)+'Calc'!$B$6,IF(Calc!$Y$372&lt;='财富模型'!$E$11*12,'Calc'!$W$15,'Calc'!$Y$15))))</x:f>
      </x:c>
      <x:c r="AD372" t="str">
        <x:f>IF(Calc!$Y$372&gt;'Calc'!$B$8,"",'Calc'!$B$5-'财富模型'!$E$5-(IF('Calc'!$E$15=1,'财富模型'!$E$9,'财富模型'!$M$7+IF(Calc!$Y$372&lt;='财富模型'!$E$11*12,'Calc'!$W$15,'Calc'!$Y$15)-(IF('Calc'!$E$15=1,0,MIN(Calc!$AA$371*(1+'财富模型'!$E$20/12)+'Calc'!$B$6,IF(Calc!$Y$372&lt;='财富模型'!$E$11*12,'Calc'!$W$15,'Calc'!$Y$15)))))))</x:f>
      </x:c>
      <x:c r="AE372" t="str">
        <x:f>IF(Calc!$Y$372&gt;'Calc'!$B$8,"",IF('Calc'!$E$15=1,0,MAX(Calc!$AE$371*(1+IF(Calc!$Y$372&lt;='财富模型'!$E$11*12,'财富模型'!$E$10,'财富模型'!$E$12)/12)-IF('Calc'!$E$15=1,0,IF(Calc!$Y$372&lt;='财富模型'!$E$11*12,'Calc'!$W$15,'Calc'!$Y$15)),0)))</x:f>
      </x:c>
      <x:c r="AG372" t="n">
        <x:v>351</x:v>
      </x:c>
      <x:c r="AH372" t="str">
        <x:f>IF(Calc!$AG$372&gt;'Calc'!$B$8,"",MAX(Calc!$AH$371*(1+'财富模型'!$E$6/12)+('Calc'!$B$5-'财富模型'!$E$5-(IF('Calc'!$E$16=1,'财富模型'!$E$9,'财富模型'!$M$8+IF(Calc!$AG$372&lt;='财富模型'!$E$11*12,'Calc'!$W$16,'Calc'!$Y$16)-(IF('Calc'!$E$16=1,0,MIN(Calc!$AI$371*(1+'财富模型'!$E$20/12)+'Calc'!$B$6,IF(Calc!$AG$372&lt;='财富模型'!$E$11*12,'Calc'!$W$16,'Calc'!$Y$16))))))),0))</x:f>
      </x:c>
      <x:c r="AI372" t="str">
        <x:f>IF(Calc!$AG$372&gt;'Calc'!$B$8,"",MAX(Calc!$AI$371*(1+'财富模型'!$E$20/12)+'Calc'!$B$6-(IF('Calc'!$E$16=1,0,MIN(Calc!$AI$371*(1+'财富模型'!$E$20/12)+'Calc'!$B$6,IF(Calc!$AG$372&lt;='财富模型'!$E$11*12,'Calc'!$W$16,'Calc'!$Y$16)))),0))</x:f>
      </x:c>
      <x:c r="AJ372" t="str">
        <x:f>IF(Calc!$AG$372&gt;'Calc'!$B$8,"",IF('Calc'!$E$16=1,'财富模型'!$E$9,'财富模型'!$M$8+IF(Calc!$AG$372&lt;='财富模型'!$E$11*12,'Calc'!$W$16,'Calc'!$Y$16)-(IF('Calc'!$E$16=1,0,MIN(Calc!$AI$371*(1+'财富模型'!$E$20/12)+'Calc'!$B$6,IF(Calc!$AG$372&lt;='财富模型'!$E$11*12,'Calc'!$W$16,'Calc'!$Y$16))))))</x:f>
      </x:c>
      <x:c r="AK372" t="str">
        <x:f>IF(Calc!$AG$372&gt;'Calc'!$B$8,"",IF('Calc'!$E$16=1,0,MIN(Calc!$AI$371*(1+'财富模型'!$E$20/12)+'Calc'!$B$6,IF(Calc!$AG$372&lt;='财富模型'!$E$11*12,'Calc'!$W$16,'Calc'!$Y$16))))</x:f>
      </x:c>
      <x:c r="AL372" t="str">
        <x:f>IF(Calc!$AG$372&gt;'Calc'!$B$8,"",'Calc'!$B$5-'财富模型'!$E$5-(IF('Calc'!$E$16=1,'财富模型'!$E$9,'财富模型'!$M$8+IF(Calc!$AG$372&lt;='财富模型'!$E$11*12,'Calc'!$W$16,'Calc'!$Y$16)-(IF('Calc'!$E$16=1,0,MIN(Calc!$AI$371*(1+'财富模型'!$E$20/12)+'Calc'!$B$6,IF(Calc!$AG$372&lt;='财富模型'!$E$11*12,'Calc'!$W$16,'Calc'!$Y$16)))))))</x:f>
      </x:c>
      <x:c r="AM372" t="str">
        <x:f>IF(Calc!$AG$372&gt;'Calc'!$B$8,"",IF('Calc'!$E$16=1,0,MAX(Calc!$AM$371*(1+IF(Calc!$AG$372&lt;='财富模型'!$E$11*12,'财富模型'!$E$10,'财富模型'!$E$12)/12)-IF('Calc'!$E$16=1,0,IF(Calc!$AG$372&lt;='财富模型'!$E$11*12,'Calc'!$W$16,'Calc'!$Y$16)),0)))</x:f>
      </x:c>
      <x:c r="AO372" t="n">
        <x:v>351</x:v>
      </x:c>
      <x:c r="AP372" t="str">
        <x:f>IF(Calc!$AO$372&gt;'Calc'!$B$8,"",MAX(Calc!$AP$371*(1+'财富模型'!$E$6/12)+('Calc'!$B$5-'财富模型'!$E$5-(IF('Calc'!$E$17=1,'财富模型'!$E$9,'财富模型'!$M$9+IF(Calc!$AO$372&lt;='财富模型'!$E$11*12,'Calc'!$W$17,'Calc'!$Y$17)-(IF('Calc'!$E$17=1,0,MIN(Calc!$AQ$371*(1+'财富模型'!$E$20/12)+'Calc'!$B$6,IF(Calc!$AO$372&lt;='财富模型'!$E$11*12,'Calc'!$W$17,'Calc'!$Y$17))))))),0))</x:f>
      </x:c>
      <x:c r="AQ372" t="str">
        <x:f>IF(Calc!$AO$372&gt;'Calc'!$B$8,"",MAX(Calc!$AQ$371*(1+'财富模型'!$E$20/12)+'Calc'!$B$6-(IF('Calc'!$E$17=1,0,MIN(Calc!$AQ$371*(1+'财富模型'!$E$20/12)+'Calc'!$B$6,IF(Calc!$AO$372&lt;='财富模型'!$E$11*12,'Calc'!$W$17,'Calc'!$Y$17)))),0))</x:f>
      </x:c>
      <x:c r="AR372" t="str">
        <x:f>IF(Calc!$AO$372&gt;'Calc'!$B$8,"",IF('Calc'!$E$17=1,'财富模型'!$E$9,'财富模型'!$M$9+IF(Calc!$AO$372&lt;='财富模型'!$E$11*12,'Calc'!$W$17,'Calc'!$Y$17)-(IF('Calc'!$E$17=1,0,MIN(Calc!$AQ$371*(1+'财富模型'!$E$20/12)+'Calc'!$B$6,IF(Calc!$AO$372&lt;='财富模型'!$E$11*12,'Calc'!$W$17,'Calc'!$Y$17))))))</x:f>
      </x:c>
      <x:c r="AS372" t="str">
        <x:f>IF(Calc!$AO$372&gt;'Calc'!$B$8,"",IF('Calc'!$E$17=1,0,MIN(Calc!$AQ$371*(1+'财富模型'!$E$20/12)+'Calc'!$B$6,IF(Calc!$AO$372&lt;='财富模型'!$E$11*12,'Calc'!$W$17,'Calc'!$Y$17))))</x:f>
      </x:c>
      <x:c r="AT372" t="str">
        <x:f>IF(Calc!$AO$372&gt;'Calc'!$B$8,"",'Calc'!$B$5-'财富模型'!$E$5-(IF('Calc'!$E$17=1,'财富模型'!$E$9,'财富模型'!$M$9+IF(Calc!$AO$372&lt;='财富模型'!$E$11*12,'Calc'!$W$17,'Calc'!$Y$17)-(IF('Calc'!$E$17=1,0,MIN(Calc!$AQ$371*(1+'财富模型'!$E$20/12)+'Calc'!$B$6,IF(Calc!$AO$372&lt;='财富模型'!$E$11*12,'Calc'!$W$17,'Calc'!$Y$17)))))))</x:f>
      </x:c>
      <x:c r="AU372" t="str">
        <x:f>IF(Calc!$AO$372&gt;'Calc'!$B$8,"",IF('Calc'!$E$17=1,0,MAX(Calc!$AU$371*(1+IF(Calc!$AO$372&lt;='财富模型'!$E$11*12,'财富模型'!$E$10,'财富模型'!$E$12)/12)-IF('Calc'!$E$17=1,0,IF(Calc!$AO$372&lt;='财富模型'!$E$11*12,'Calc'!$W$17,'Calc'!$Y$17)),0)))</x:f>
      </x:c>
    </x:row>
    <x:row r="373">
      <x:c r="A373" t="n">
        <x:v>352</x:v>
      </x:c>
      <x:c r="B373" t="str">
        <x:f>IF(Calc!$A$373&gt;'Calc'!$B$8,"",MAX(Calc!$B$372*(1+'财富模型'!$E$6/12)+('Calc'!$B$5-'财富模型'!$E$5-(IF('Calc'!$E$12=1,'财富模型'!$E$9,'财富模型'!$M$4+IF(Calc!$A$373&lt;='财富模型'!$E$11*12,'Calc'!$W$12,'Calc'!$Y$12)-(IF('Calc'!$E$12=1,0,MIN(Calc!$C$372*(1+'财富模型'!$E$20/12)+'Calc'!$B$6,IF(Calc!$A$373&lt;='财富模型'!$E$11*12,'Calc'!$W$12,'Calc'!$Y$12))))))),0))</x:f>
      </x:c>
      <x:c r="C373" t="str">
        <x:f>IF(Calc!$A$373&gt;'Calc'!$B$8,"",MAX(Calc!$C$372*(1+'财富模型'!$E$20/12)+'Calc'!$B$6-(IF('Calc'!$E$12=1,0,MIN(Calc!$C$372*(1+'财富模型'!$E$20/12)+'Calc'!$B$6,IF(Calc!$A$373&lt;='财富模型'!$E$11*12,'Calc'!$W$12,'Calc'!$Y$12)))),0))</x:f>
      </x:c>
      <x:c r="D373" t="str">
        <x:f>IF(Calc!$A$373&gt;'Calc'!$B$8,"",IF('Calc'!$E$12=1,'财富模型'!$E$9,'财富模型'!$M$4+IF(Calc!$A$373&lt;='财富模型'!$E$11*12,'Calc'!$W$12,'Calc'!$Y$12)-(IF('Calc'!$E$12=1,0,MIN(Calc!$C$372*(1+'财富模型'!$E$20/12)+'Calc'!$B$6,IF(Calc!$A$373&lt;='财富模型'!$E$11*12,'Calc'!$W$12,'Calc'!$Y$12))))))</x:f>
      </x:c>
      <x:c r="E373" t="str">
        <x:f>IF(Calc!$A$373&gt;'Calc'!$B$8,"",IF('Calc'!$E$12=1,0,MIN(Calc!$C$372*(1+'财富模型'!$E$20/12)+'Calc'!$B$6,IF(Calc!$A$373&lt;='财富模型'!$E$11*12,'Calc'!$W$12,'Calc'!$Y$12))))</x:f>
      </x:c>
      <x:c r="F373" t="str">
        <x:f>IF(Calc!$A$373&gt;'Calc'!$B$8,"",'Calc'!$B$5-'财富模型'!$E$5-(IF('Calc'!$E$12=1,'财富模型'!$E$9,'财富模型'!$M$4+IF(Calc!$A$373&lt;='财富模型'!$E$11*12,'Calc'!$W$12,'Calc'!$Y$12)-(IF('Calc'!$E$12=1,0,MIN(Calc!$C$372*(1+'财富模型'!$E$20/12)+'Calc'!$B$6,IF(Calc!$A$373&lt;='财富模型'!$E$11*12,'Calc'!$W$12,'Calc'!$Y$12)))))))</x:f>
      </x:c>
      <x:c r="G373" t="str">
        <x:f>IF(Calc!$A$373&gt;'Calc'!$B$8,"",IF('Calc'!$E$12=1,0,MAX(Calc!$G$372*(1+IF(Calc!$A$373&lt;='财富模型'!$E$11*12,'财富模型'!$E$10,'财富模型'!$E$12)/12)-IF('Calc'!$E$12=1,0,IF(Calc!$A$373&lt;='财富模型'!$E$11*12,'Calc'!$W$12,'Calc'!$Y$12)),0)))</x:f>
      </x:c>
      <x:c r="I373" t="n">
        <x:v>352</x:v>
      </x:c>
      <x:c r="J373" t="str">
        <x:f>IF(Calc!$I$373&gt;'Calc'!$B$8,"",MAX(Calc!$J$372*(1+'财富模型'!$E$6/12)+('Calc'!$B$5-'财富模型'!$E$5-(IF('Calc'!$E$13=1,'财富模型'!$E$9,'财富模型'!$M$5+IF(Calc!$I$373&lt;='财富模型'!$E$11*12,'Calc'!$W$13,'Calc'!$Y$13)-(IF('Calc'!$E$13=1,0,MIN(Calc!$K$372*(1+'财富模型'!$E$20/12)+'Calc'!$B$6,IF(Calc!$I$373&lt;='财富模型'!$E$11*12,'Calc'!$W$13,'Calc'!$Y$13))))))),0))</x:f>
      </x:c>
      <x:c r="K373" t="str">
        <x:f>IF(Calc!$I$373&gt;'Calc'!$B$8,"",MAX(Calc!$K$372*(1+'财富模型'!$E$20/12)+'Calc'!$B$6-(IF('Calc'!$E$13=1,0,MIN(Calc!$K$372*(1+'财富模型'!$E$20/12)+'Calc'!$B$6,IF(Calc!$I$373&lt;='财富模型'!$E$11*12,'Calc'!$W$13,'Calc'!$Y$13)))),0))</x:f>
      </x:c>
      <x:c r="L373" t="str">
        <x:f>IF(Calc!$I$373&gt;'Calc'!$B$8,"",IF('Calc'!$E$13=1,'财富模型'!$E$9,'财富模型'!$M$5+IF(Calc!$I$373&lt;='财富模型'!$E$11*12,'Calc'!$W$13,'Calc'!$Y$13)-(IF('Calc'!$E$13=1,0,MIN(Calc!$K$372*(1+'财富模型'!$E$20/12)+'Calc'!$B$6,IF(Calc!$I$373&lt;='财富模型'!$E$11*12,'Calc'!$W$13,'Calc'!$Y$13))))))</x:f>
      </x:c>
      <x:c r="M373" t="str">
        <x:f>IF(Calc!$I$373&gt;'Calc'!$B$8,"",IF('Calc'!$E$13=1,0,MIN(Calc!$K$372*(1+'财富模型'!$E$20/12)+'Calc'!$B$6,IF(Calc!$I$373&lt;='财富模型'!$E$11*12,'Calc'!$W$13,'Calc'!$Y$13))))</x:f>
      </x:c>
      <x:c r="N373" t="str">
        <x:f>IF(Calc!$I$373&gt;'Calc'!$B$8,"",'Calc'!$B$5-'财富模型'!$E$5-(IF('Calc'!$E$13=1,'财富模型'!$E$9,'财富模型'!$M$5+IF(Calc!$I$373&lt;='财富模型'!$E$11*12,'Calc'!$W$13,'Calc'!$Y$13)-(IF('Calc'!$E$13=1,0,MIN(Calc!$K$372*(1+'财富模型'!$E$20/12)+'Calc'!$B$6,IF(Calc!$I$373&lt;='财富模型'!$E$11*12,'Calc'!$W$13,'Calc'!$Y$13)))))))</x:f>
      </x:c>
      <x:c r="O373" t="str">
        <x:f>IF(Calc!$I$373&gt;'Calc'!$B$8,"",IF('Calc'!$E$13=1,0,MAX(Calc!$O$372*(1+IF(Calc!$I$373&lt;='财富模型'!$E$11*12,'财富模型'!$E$10,'财富模型'!$E$12)/12)-IF('Calc'!$E$13=1,0,IF(Calc!$I$373&lt;='财富模型'!$E$11*12,'Calc'!$W$13,'Calc'!$Y$13)),0)))</x:f>
      </x:c>
      <x:c r="Q373" t="n">
        <x:v>352</x:v>
      </x:c>
      <x:c r="R373" t="str">
        <x:f>IF(Calc!$Q$373&gt;'Calc'!$B$8,"",MAX(Calc!$R$372*(1+'财富模型'!$E$6/12)+('Calc'!$B$5-'财富模型'!$E$5-(IF('Calc'!$E$14=1,'财富模型'!$E$9,'财富模型'!$M$6+IF(Calc!$Q$373&lt;='财富模型'!$E$11*12,'Calc'!$W$14,'Calc'!$Y$14)-(IF('Calc'!$E$14=1,0,MIN(Calc!$S$372*(1+'财富模型'!$E$20/12)+'Calc'!$B$6,IF(Calc!$Q$373&lt;='财富模型'!$E$11*12,'Calc'!$W$14,'Calc'!$Y$14))))))),0))</x:f>
      </x:c>
      <x:c r="S373" t="str">
        <x:f>IF(Calc!$Q$373&gt;'Calc'!$B$8,"",MAX(Calc!$S$372*(1+'财富模型'!$E$20/12)+'Calc'!$B$6-(IF('Calc'!$E$14=1,0,MIN(Calc!$S$372*(1+'财富模型'!$E$20/12)+'Calc'!$B$6,IF(Calc!$Q$373&lt;='财富模型'!$E$11*12,'Calc'!$W$14,'Calc'!$Y$14)))),0))</x:f>
      </x:c>
      <x:c r="T373" t="str">
        <x:f>IF(Calc!$Q$373&gt;'Calc'!$B$8,"",IF('Calc'!$E$14=1,'财富模型'!$E$9,'财富模型'!$M$6+IF(Calc!$Q$373&lt;='财富模型'!$E$11*12,'Calc'!$W$14,'Calc'!$Y$14)-(IF('Calc'!$E$14=1,0,MIN(Calc!$S$372*(1+'财富模型'!$E$20/12)+'Calc'!$B$6,IF(Calc!$Q$373&lt;='财富模型'!$E$11*12,'Calc'!$W$14,'Calc'!$Y$14))))))</x:f>
      </x:c>
      <x:c r="U373" t="str">
        <x:f>IF(Calc!$Q$373&gt;'Calc'!$B$8,"",IF('Calc'!$E$14=1,0,MIN(Calc!$S$372*(1+'财富模型'!$E$20/12)+'Calc'!$B$6,IF(Calc!$Q$373&lt;='财富模型'!$E$11*12,'Calc'!$W$14,'Calc'!$Y$14))))</x:f>
      </x:c>
      <x:c r="V373" t="str">
        <x:f>IF(Calc!$Q$373&gt;'Calc'!$B$8,"",'Calc'!$B$5-'财富模型'!$E$5-(IF('Calc'!$E$14=1,'财富模型'!$E$9,'财富模型'!$M$6+IF(Calc!$Q$373&lt;='财富模型'!$E$11*12,'Calc'!$W$14,'Calc'!$Y$14)-(IF('Calc'!$E$14=1,0,MIN(Calc!$S$372*(1+'财富模型'!$E$20/12)+'Calc'!$B$6,IF(Calc!$Q$373&lt;='财富模型'!$E$11*12,'Calc'!$W$14,'Calc'!$Y$14)))))))</x:f>
      </x:c>
      <x:c r="W373" t="str">
        <x:f>IF(Calc!$Q$373&gt;'Calc'!$B$8,"",IF('Calc'!$E$14=1,0,MAX(Calc!$W$372*(1+IF(Calc!$Q$373&lt;='财富模型'!$E$11*12,'财富模型'!$E$10,'财富模型'!$E$12)/12)-IF('Calc'!$E$14=1,0,IF(Calc!$Q$373&lt;='财富模型'!$E$11*12,'Calc'!$W$14,'Calc'!$Y$14)),0)))</x:f>
      </x:c>
      <x:c r="Y373" t="n">
        <x:v>352</x:v>
      </x:c>
      <x:c r="Z373" t="str">
        <x:f>IF(Calc!$Y$373&gt;'Calc'!$B$8,"",MAX(Calc!$Z$372*(1+'财富模型'!$E$6/12)+('Calc'!$B$5-'财富模型'!$E$5-(IF('Calc'!$E$15=1,'财富模型'!$E$9,'财富模型'!$M$7+IF(Calc!$Y$373&lt;='财富模型'!$E$11*12,'Calc'!$W$15,'Calc'!$Y$15)-(IF('Calc'!$E$15=1,0,MIN(Calc!$AA$372*(1+'财富模型'!$E$20/12)+'Calc'!$B$6,IF(Calc!$Y$373&lt;='财富模型'!$E$11*12,'Calc'!$W$15,'Calc'!$Y$15))))))),0))</x:f>
      </x:c>
      <x:c r="AA373" t="str">
        <x:f>IF(Calc!$Y$373&gt;'Calc'!$B$8,"",MAX(Calc!$AA$372*(1+'财富模型'!$E$20/12)+'Calc'!$B$6-(IF('Calc'!$E$15=1,0,MIN(Calc!$AA$372*(1+'财富模型'!$E$20/12)+'Calc'!$B$6,IF(Calc!$Y$373&lt;='财富模型'!$E$11*12,'Calc'!$W$15,'Calc'!$Y$15)))),0))</x:f>
      </x:c>
      <x:c r="AB373" t="str">
        <x:f>IF(Calc!$Y$373&gt;'Calc'!$B$8,"",IF('Calc'!$E$15=1,'财富模型'!$E$9,'财富模型'!$M$7+IF(Calc!$Y$373&lt;='财富模型'!$E$11*12,'Calc'!$W$15,'Calc'!$Y$15)-(IF('Calc'!$E$15=1,0,MIN(Calc!$AA$372*(1+'财富模型'!$E$20/12)+'Calc'!$B$6,IF(Calc!$Y$373&lt;='财富模型'!$E$11*12,'Calc'!$W$15,'Calc'!$Y$15))))))</x:f>
      </x:c>
      <x:c r="AC373" t="str">
        <x:f>IF(Calc!$Y$373&gt;'Calc'!$B$8,"",IF('Calc'!$E$15=1,0,MIN(Calc!$AA$372*(1+'财富模型'!$E$20/12)+'Calc'!$B$6,IF(Calc!$Y$373&lt;='财富模型'!$E$11*12,'Calc'!$W$15,'Calc'!$Y$15))))</x:f>
      </x:c>
      <x:c r="AD373" t="str">
        <x:f>IF(Calc!$Y$373&gt;'Calc'!$B$8,"",'Calc'!$B$5-'财富模型'!$E$5-(IF('Calc'!$E$15=1,'财富模型'!$E$9,'财富模型'!$M$7+IF(Calc!$Y$373&lt;='财富模型'!$E$11*12,'Calc'!$W$15,'Calc'!$Y$15)-(IF('Calc'!$E$15=1,0,MIN(Calc!$AA$372*(1+'财富模型'!$E$20/12)+'Calc'!$B$6,IF(Calc!$Y$373&lt;='财富模型'!$E$11*12,'Calc'!$W$15,'Calc'!$Y$15)))))))</x:f>
      </x:c>
      <x:c r="AE373" t="str">
        <x:f>IF(Calc!$Y$373&gt;'Calc'!$B$8,"",IF('Calc'!$E$15=1,0,MAX(Calc!$AE$372*(1+IF(Calc!$Y$373&lt;='财富模型'!$E$11*12,'财富模型'!$E$10,'财富模型'!$E$12)/12)-IF('Calc'!$E$15=1,0,IF(Calc!$Y$373&lt;='财富模型'!$E$11*12,'Calc'!$W$15,'Calc'!$Y$15)),0)))</x:f>
      </x:c>
      <x:c r="AG373" t="n">
        <x:v>352</x:v>
      </x:c>
      <x:c r="AH373" t="str">
        <x:f>IF(Calc!$AG$373&gt;'Calc'!$B$8,"",MAX(Calc!$AH$372*(1+'财富模型'!$E$6/12)+('Calc'!$B$5-'财富模型'!$E$5-(IF('Calc'!$E$16=1,'财富模型'!$E$9,'财富模型'!$M$8+IF(Calc!$AG$373&lt;='财富模型'!$E$11*12,'Calc'!$W$16,'Calc'!$Y$16)-(IF('Calc'!$E$16=1,0,MIN(Calc!$AI$372*(1+'财富模型'!$E$20/12)+'Calc'!$B$6,IF(Calc!$AG$373&lt;='财富模型'!$E$11*12,'Calc'!$W$16,'Calc'!$Y$16))))))),0))</x:f>
      </x:c>
      <x:c r="AI373" t="str">
        <x:f>IF(Calc!$AG$373&gt;'Calc'!$B$8,"",MAX(Calc!$AI$372*(1+'财富模型'!$E$20/12)+'Calc'!$B$6-(IF('Calc'!$E$16=1,0,MIN(Calc!$AI$372*(1+'财富模型'!$E$20/12)+'Calc'!$B$6,IF(Calc!$AG$373&lt;='财富模型'!$E$11*12,'Calc'!$W$16,'Calc'!$Y$16)))),0))</x:f>
      </x:c>
      <x:c r="AJ373" t="str">
        <x:f>IF(Calc!$AG$373&gt;'Calc'!$B$8,"",IF('Calc'!$E$16=1,'财富模型'!$E$9,'财富模型'!$M$8+IF(Calc!$AG$373&lt;='财富模型'!$E$11*12,'Calc'!$W$16,'Calc'!$Y$16)-(IF('Calc'!$E$16=1,0,MIN(Calc!$AI$372*(1+'财富模型'!$E$20/12)+'Calc'!$B$6,IF(Calc!$AG$373&lt;='财富模型'!$E$11*12,'Calc'!$W$16,'Calc'!$Y$16))))))</x:f>
      </x:c>
      <x:c r="AK373" t="str">
        <x:f>IF(Calc!$AG$373&gt;'Calc'!$B$8,"",IF('Calc'!$E$16=1,0,MIN(Calc!$AI$372*(1+'财富模型'!$E$20/12)+'Calc'!$B$6,IF(Calc!$AG$373&lt;='财富模型'!$E$11*12,'Calc'!$W$16,'Calc'!$Y$16))))</x:f>
      </x:c>
      <x:c r="AL373" t="str">
        <x:f>IF(Calc!$AG$373&gt;'Calc'!$B$8,"",'Calc'!$B$5-'财富模型'!$E$5-(IF('Calc'!$E$16=1,'财富模型'!$E$9,'财富模型'!$M$8+IF(Calc!$AG$373&lt;='财富模型'!$E$11*12,'Calc'!$W$16,'Calc'!$Y$16)-(IF('Calc'!$E$16=1,0,MIN(Calc!$AI$372*(1+'财富模型'!$E$20/12)+'Calc'!$B$6,IF(Calc!$AG$373&lt;='财富模型'!$E$11*12,'Calc'!$W$16,'Calc'!$Y$16)))))))</x:f>
      </x:c>
      <x:c r="AM373" t="str">
        <x:f>IF(Calc!$AG$373&gt;'Calc'!$B$8,"",IF('Calc'!$E$16=1,0,MAX(Calc!$AM$372*(1+IF(Calc!$AG$373&lt;='财富模型'!$E$11*12,'财富模型'!$E$10,'财富模型'!$E$12)/12)-IF('Calc'!$E$16=1,0,IF(Calc!$AG$373&lt;='财富模型'!$E$11*12,'Calc'!$W$16,'Calc'!$Y$16)),0)))</x:f>
      </x:c>
      <x:c r="AO373" t="n">
        <x:v>352</x:v>
      </x:c>
      <x:c r="AP373" t="str">
        <x:f>IF(Calc!$AO$373&gt;'Calc'!$B$8,"",MAX(Calc!$AP$372*(1+'财富模型'!$E$6/12)+('Calc'!$B$5-'财富模型'!$E$5-(IF('Calc'!$E$17=1,'财富模型'!$E$9,'财富模型'!$M$9+IF(Calc!$AO$373&lt;='财富模型'!$E$11*12,'Calc'!$W$17,'Calc'!$Y$17)-(IF('Calc'!$E$17=1,0,MIN(Calc!$AQ$372*(1+'财富模型'!$E$20/12)+'Calc'!$B$6,IF(Calc!$AO$373&lt;='财富模型'!$E$11*12,'Calc'!$W$17,'Calc'!$Y$17))))))),0))</x:f>
      </x:c>
      <x:c r="AQ373" t="str">
        <x:f>IF(Calc!$AO$373&gt;'Calc'!$B$8,"",MAX(Calc!$AQ$372*(1+'财富模型'!$E$20/12)+'Calc'!$B$6-(IF('Calc'!$E$17=1,0,MIN(Calc!$AQ$372*(1+'财富模型'!$E$20/12)+'Calc'!$B$6,IF(Calc!$AO$373&lt;='财富模型'!$E$11*12,'Calc'!$W$17,'Calc'!$Y$17)))),0))</x:f>
      </x:c>
      <x:c r="AR373" t="str">
        <x:f>IF(Calc!$AO$373&gt;'Calc'!$B$8,"",IF('Calc'!$E$17=1,'财富模型'!$E$9,'财富模型'!$M$9+IF(Calc!$AO$373&lt;='财富模型'!$E$11*12,'Calc'!$W$17,'Calc'!$Y$17)-(IF('Calc'!$E$17=1,0,MIN(Calc!$AQ$372*(1+'财富模型'!$E$20/12)+'Calc'!$B$6,IF(Calc!$AO$373&lt;='财富模型'!$E$11*12,'Calc'!$W$17,'Calc'!$Y$17))))))</x:f>
      </x:c>
      <x:c r="AS373" t="str">
        <x:f>IF(Calc!$AO$373&gt;'Calc'!$B$8,"",IF('Calc'!$E$17=1,0,MIN(Calc!$AQ$372*(1+'财富模型'!$E$20/12)+'Calc'!$B$6,IF(Calc!$AO$373&lt;='财富模型'!$E$11*12,'Calc'!$W$17,'Calc'!$Y$17))))</x:f>
      </x:c>
      <x:c r="AT373" t="str">
        <x:f>IF(Calc!$AO$373&gt;'Calc'!$B$8,"",'Calc'!$B$5-'财富模型'!$E$5-(IF('Calc'!$E$17=1,'财富模型'!$E$9,'财富模型'!$M$9+IF(Calc!$AO$373&lt;='财富模型'!$E$11*12,'Calc'!$W$17,'Calc'!$Y$17)-(IF('Calc'!$E$17=1,0,MIN(Calc!$AQ$372*(1+'财富模型'!$E$20/12)+'Calc'!$B$6,IF(Calc!$AO$373&lt;='财富模型'!$E$11*12,'Calc'!$W$17,'Calc'!$Y$17)))))))</x:f>
      </x:c>
      <x:c r="AU373" t="str">
        <x:f>IF(Calc!$AO$373&gt;'Calc'!$B$8,"",IF('Calc'!$E$17=1,0,MAX(Calc!$AU$372*(1+IF(Calc!$AO$373&lt;='财富模型'!$E$11*12,'财富模型'!$E$10,'财富模型'!$E$12)/12)-IF('Calc'!$E$17=1,0,IF(Calc!$AO$373&lt;='财富模型'!$E$11*12,'Calc'!$W$17,'Calc'!$Y$17)),0)))</x:f>
      </x:c>
    </x:row>
    <x:row r="374">
      <x:c r="A374" t="n">
        <x:v>353</x:v>
      </x:c>
      <x:c r="B374" t="str">
        <x:f>IF(Calc!$A$374&gt;'Calc'!$B$8,"",MAX(Calc!$B$373*(1+'财富模型'!$E$6/12)+('Calc'!$B$5-'财富模型'!$E$5-(IF('Calc'!$E$12=1,'财富模型'!$E$9,'财富模型'!$M$4+IF(Calc!$A$374&lt;='财富模型'!$E$11*12,'Calc'!$W$12,'Calc'!$Y$12)-(IF('Calc'!$E$12=1,0,MIN(Calc!$C$373*(1+'财富模型'!$E$20/12)+'Calc'!$B$6,IF(Calc!$A$374&lt;='财富模型'!$E$11*12,'Calc'!$W$12,'Calc'!$Y$12))))))),0))</x:f>
      </x:c>
      <x:c r="C374" t="str">
        <x:f>IF(Calc!$A$374&gt;'Calc'!$B$8,"",MAX(Calc!$C$373*(1+'财富模型'!$E$20/12)+'Calc'!$B$6-(IF('Calc'!$E$12=1,0,MIN(Calc!$C$373*(1+'财富模型'!$E$20/12)+'Calc'!$B$6,IF(Calc!$A$374&lt;='财富模型'!$E$11*12,'Calc'!$W$12,'Calc'!$Y$12)))),0))</x:f>
      </x:c>
      <x:c r="D374" t="str">
        <x:f>IF(Calc!$A$374&gt;'Calc'!$B$8,"",IF('Calc'!$E$12=1,'财富模型'!$E$9,'财富模型'!$M$4+IF(Calc!$A$374&lt;='财富模型'!$E$11*12,'Calc'!$W$12,'Calc'!$Y$12)-(IF('Calc'!$E$12=1,0,MIN(Calc!$C$373*(1+'财富模型'!$E$20/12)+'Calc'!$B$6,IF(Calc!$A$374&lt;='财富模型'!$E$11*12,'Calc'!$W$12,'Calc'!$Y$12))))))</x:f>
      </x:c>
      <x:c r="E374" t="str">
        <x:f>IF(Calc!$A$374&gt;'Calc'!$B$8,"",IF('Calc'!$E$12=1,0,MIN(Calc!$C$373*(1+'财富模型'!$E$20/12)+'Calc'!$B$6,IF(Calc!$A$374&lt;='财富模型'!$E$11*12,'Calc'!$W$12,'Calc'!$Y$12))))</x:f>
      </x:c>
      <x:c r="F374" t="str">
        <x:f>IF(Calc!$A$374&gt;'Calc'!$B$8,"",'Calc'!$B$5-'财富模型'!$E$5-(IF('Calc'!$E$12=1,'财富模型'!$E$9,'财富模型'!$M$4+IF(Calc!$A$374&lt;='财富模型'!$E$11*12,'Calc'!$W$12,'Calc'!$Y$12)-(IF('Calc'!$E$12=1,0,MIN(Calc!$C$373*(1+'财富模型'!$E$20/12)+'Calc'!$B$6,IF(Calc!$A$374&lt;='财富模型'!$E$11*12,'Calc'!$W$12,'Calc'!$Y$12)))))))</x:f>
      </x:c>
      <x:c r="G374" t="str">
        <x:f>IF(Calc!$A$374&gt;'Calc'!$B$8,"",IF('Calc'!$E$12=1,0,MAX(Calc!$G$373*(1+IF(Calc!$A$374&lt;='财富模型'!$E$11*12,'财富模型'!$E$10,'财富模型'!$E$12)/12)-IF('Calc'!$E$12=1,0,IF(Calc!$A$374&lt;='财富模型'!$E$11*12,'Calc'!$W$12,'Calc'!$Y$12)),0)))</x:f>
      </x:c>
      <x:c r="I374" t="n">
        <x:v>353</x:v>
      </x:c>
      <x:c r="J374" t="str">
        <x:f>IF(Calc!$I$374&gt;'Calc'!$B$8,"",MAX(Calc!$J$373*(1+'财富模型'!$E$6/12)+('Calc'!$B$5-'财富模型'!$E$5-(IF('Calc'!$E$13=1,'财富模型'!$E$9,'财富模型'!$M$5+IF(Calc!$I$374&lt;='财富模型'!$E$11*12,'Calc'!$W$13,'Calc'!$Y$13)-(IF('Calc'!$E$13=1,0,MIN(Calc!$K$373*(1+'财富模型'!$E$20/12)+'Calc'!$B$6,IF(Calc!$I$374&lt;='财富模型'!$E$11*12,'Calc'!$W$13,'Calc'!$Y$13))))))),0))</x:f>
      </x:c>
      <x:c r="K374" t="str">
        <x:f>IF(Calc!$I$374&gt;'Calc'!$B$8,"",MAX(Calc!$K$373*(1+'财富模型'!$E$20/12)+'Calc'!$B$6-(IF('Calc'!$E$13=1,0,MIN(Calc!$K$373*(1+'财富模型'!$E$20/12)+'Calc'!$B$6,IF(Calc!$I$374&lt;='财富模型'!$E$11*12,'Calc'!$W$13,'Calc'!$Y$13)))),0))</x:f>
      </x:c>
      <x:c r="L374" t="str">
        <x:f>IF(Calc!$I$374&gt;'Calc'!$B$8,"",IF('Calc'!$E$13=1,'财富模型'!$E$9,'财富模型'!$M$5+IF(Calc!$I$374&lt;='财富模型'!$E$11*12,'Calc'!$W$13,'Calc'!$Y$13)-(IF('Calc'!$E$13=1,0,MIN(Calc!$K$373*(1+'财富模型'!$E$20/12)+'Calc'!$B$6,IF(Calc!$I$374&lt;='财富模型'!$E$11*12,'Calc'!$W$13,'Calc'!$Y$13))))))</x:f>
      </x:c>
      <x:c r="M374" t="str">
        <x:f>IF(Calc!$I$374&gt;'Calc'!$B$8,"",IF('Calc'!$E$13=1,0,MIN(Calc!$K$373*(1+'财富模型'!$E$20/12)+'Calc'!$B$6,IF(Calc!$I$374&lt;='财富模型'!$E$11*12,'Calc'!$W$13,'Calc'!$Y$13))))</x:f>
      </x:c>
      <x:c r="N374" t="str">
        <x:f>IF(Calc!$I$374&gt;'Calc'!$B$8,"",'Calc'!$B$5-'财富模型'!$E$5-(IF('Calc'!$E$13=1,'财富模型'!$E$9,'财富模型'!$M$5+IF(Calc!$I$374&lt;='财富模型'!$E$11*12,'Calc'!$W$13,'Calc'!$Y$13)-(IF('Calc'!$E$13=1,0,MIN(Calc!$K$373*(1+'财富模型'!$E$20/12)+'Calc'!$B$6,IF(Calc!$I$374&lt;='财富模型'!$E$11*12,'Calc'!$W$13,'Calc'!$Y$13)))))))</x:f>
      </x:c>
      <x:c r="O374" t="str">
        <x:f>IF(Calc!$I$374&gt;'Calc'!$B$8,"",IF('Calc'!$E$13=1,0,MAX(Calc!$O$373*(1+IF(Calc!$I$374&lt;='财富模型'!$E$11*12,'财富模型'!$E$10,'财富模型'!$E$12)/12)-IF('Calc'!$E$13=1,0,IF(Calc!$I$374&lt;='财富模型'!$E$11*12,'Calc'!$W$13,'Calc'!$Y$13)),0)))</x:f>
      </x:c>
      <x:c r="Q374" t="n">
        <x:v>353</x:v>
      </x:c>
      <x:c r="R374" t="str">
        <x:f>IF(Calc!$Q$374&gt;'Calc'!$B$8,"",MAX(Calc!$R$373*(1+'财富模型'!$E$6/12)+('Calc'!$B$5-'财富模型'!$E$5-(IF('Calc'!$E$14=1,'财富模型'!$E$9,'财富模型'!$M$6+IF(Calc!$Q$374&lt;='财富模型'!$E$11*12,'Calc'!$W$14,'Calc'!$Y$14)-(IF('Calc'!$E$14=1,0,MIN(Calc!$S$373*(1+'财富模型'!$E$20/12)+'Calc'!$B$6,IF(Calc!$Q$374&lt;='财富模型'!$E$11*12,'Calc'!$W$14,'Calc'!$Y$14))))))),0))</x:f>
      </x:c>
      <x:c r="S374" t="str">
        <x:f>IF(Calc!$Q$374&gt;'Calc'!$B$8,"",MAX(Calc!$S$373*(1+'财富模型'!$E$20/12)+'Calc'!$B$6-(IF('Calc'!$E$14=1,0,MIN(Calc!$S$373*(1+'财富模型'!$E$20/12)+'Calc'!$B$6,IF(Calc!$Q$374&lt;='财富模型'!$E$11*12,'Calc'!$W$14,'Calc'!$Y$14)))),0))</x:f>
      </x:c>
      <x:c r="T374" t="str">
        <x:f>IF(Calc!$Q$374&gt;'Calc'!$B$8,"",IF('Calc'!$E$14=1,'财富模型'!$E$9,'财富模型'!$M$6+IF(Calc!$Q$374&lt;='财富模型'!$E$11*12,'Calc'!$W$14,'Calc'!$Y$14)-(IF('Calc'!$E$14=1,0,MIN(Calc!$S$373*(1+'财富模型'!$E$20/12)+'Calc'!$B$6,IF(Calc!$Q$374&lt;='财富模型'!$E$11*12,'Calc'!$W$14,'Calc'!$Y$14))))))</x:f>
      </x:c>
      <x:c r="U374" t="str">
        <x:f>IF(Calc!$Q$374&gt;'Calc'!$B$8,"",IF('Calc'!$E$14=1,0,MIN(Calc!$S$373*(1+'财富模型'!$E$20/12)+'Calc'!$B$6,IF(Calc!$Q$374&lt;='财富模型'!$E$11*12,'Calc'!$W$14,'Calc'!$Y$14))))</x:f>
      </x:c>
      <x:c r="V374" t="str">
        <x:f>IF(Calc!$Q$374&gt;'Calc'!$B$8,"",'Calc'!$B$5-'财富模型'!$E$5-(IF('Calc'!$E$14=1,'财富模型'!$E$9,'财富模型'!$M$6+IF(Calc!$Q$374&lt;='财富模型'!$E$11*12,'Calc'!$W$14,'Calc'!$Y$14)-(IF('Calc'!$E$14=1,0,MIN(Calc!$S$373*(1+'财富模型'!$E$20/12)+'Calc'!$B$6,IF(Calc!$Q$374&lt;='财富模型'!$E$11*12,'Calc'!$W$14,'Calc'!$Y$14)))))))</x:f>
      </x:c>
      <x:c r="W374" t="str">
        <x:f>IF(Calc!$Q$374&gt;'Calc'!$B$8,"",IF('Calc'!$E$14=1,0,MAX(Calc!$W$373*(1+IF(Calc!$Q$374&lt;='财富模型'!$E$11*12,'财富模型'!$E$10,'财富模型'!$E$12)/12)-IF('Calc'!$E$14=1,0,IF(Calc!$Q$374&lt;='财富模型'!$E$11*12,'Calc'!$W$14,'Calc'!$Y$14)),0)))</x:f>
      </x:c>
      <x:c r="Y374" t="n">
        <x:v>353</x:v>
      </x:c>
      <x:c r="Z374" t="str">
        <x:f>IF(Calc!$Y$374&gt;'Calc'!$B$8,"",MAX(Calc!$Z$373*(1+'财富模型'!$E$6/12)+('Calc'!$B$5-'财富模型'!$E$5-(IF('Calc'!$E$15=1,'财富模型'!$E$9,'财富模型'!$M$7+IF(Calc!$Y$374&lt;='财富模型'!$E$11*12,'Calc'!$W$15,'Calc'!$Y$15)-(IF('Calc'!$E$15=1,0,MIN(Calc!$AA$373*(1+'财富模型'!$E$20/12)+'Calc'!$B$6,IF(Calc!$Y$374&lt;='财富模型'!$E$11*12,'Calc'!$W$15,'Calc'!$Y$15))))))),0))</x:f>
      </x:c>
      <x:c r="AA374" t="str">
        <x:f>IF(Calc!$Y$374&gt;'Calc'!$B$8,"",MAX(Calc!$AA$373*(1+'财富模型'!$E$20/12)+'Calc'!$B$6-(IF('Calc'!$E$15=1,0,MIN(Calc!$AA$373*(1+'财富模型'!$E$20/12)+'Calc'!$B$6,IF(Calc!$Y$374&lt;='财富模型'!$E$11*12,'Calc'!$W$15,'Calc'!$Y$15)))),0))</x:f>
      </x:c>
      <x:c r="AB374" t="str">
        <x:f>IF(Calc!$Y$374&gt;'Calc'!$B$8,"",IF('Calc'!$E$15=1,'财富模型'!$E$9,'财富模型'!$M$7+IF(Calc!$Y$374&lt;='财富模型'!$E$11*12,'Calc'!$W$15,'Calc'!$Y$15)-(IF('Calc'!$E$15=1,0,MIN(Calc!$AA$373*(1+'财富模型'!$E$20/12)+'Calc'!$B$6,IF(Calc!$Y$374&lt;='财富模型'!$E$11*12,'Calc'!$W$15,'Calc'!$Y$15))))))</x:f>
      </x:c>
      <x:c r="AC374" t="str">
        <x:f>IF(Calc!$Y$374&gt;'Calc'!$B$8,"",IF('Calc'!$E$15=1,0,MIN(Calc!$AA$373*(1+'财富模型'!$E$20/12)+'Calc'!$B$6,IF(Calc!$Y$374&lt;='财富模型'!$E$11*12,'Calc'!$W$15,'Calc'!$Y$15))))</x:f>
      </x:c>
      <x:c r="AD374" t="str">
        <x:f>IF(Calc!$Y$374&gt;'Calc'!$B$8,"",'Calc'!$B$5-'财富模型'!$E$5-(IF('Calc'!$E$15=1,'财富模型'!$E$9,'财富模型'!$M$7+IF(Calc!$Y$374&lt;='财富模型'!$E$11*12,'Calc'!$W$15,'Calc'!$Y$15)-(IF('Calc'!$E$15=1,0,MIN(Calc!$AA$373*(1+'财富模型'!$E$20/12)+'Calc'!$B$6,IF(Calc!$Y$374&lt;='财富模型'!$E$11*12,'Calc'!$W$15,'Calc'!$Y$15)))))))</x:f>
      </x:c>
      <x:c r="AE374" t="str">
        <x:f>IF(Calc!$Y$374&gt;'Calc'!$B$8,"",IF('Calc'!$E$15=1,0,MAX(Calc!$AE$373*(1+IF(Calc!$Y$374&lt;='财富模型'!$E$11*12,'财富模型'!$E$10,'财富模型'!$E$12)/12)-IF('Calc'!$E$15=1,0,IF(Calc!$Y$374&lt;='财富模型'!$E$11*12,'Calc'!$W$15,'Calc'!$Y$15)),0)))</x:f>
      </x:c>
      <x:c r="AG374" t="n">
        <x:v>353</x:v>
      </x:c>
      <x:c r="AH374" t="str">
        <x:f>IF(Calc!$AG$374&gt;'Calc'!$B$8,"",MAX(Calc!$AH$373*(1+'财富模型'!$E$6/12)+('Calc'!$B$5-'财富模型'!$E$5-(IF('Calc'!$E$16=1,'财富模型'!$E$9,'财富模型'!$M$8+IF(Calc!$AG$374&lt;='财富模型'!$E$11*12,'Calc'!$W$16,'Calc'!$Y$16)-(IF('Calc'!$E$16=1,0,MIN(Calc!$AI$373*(1+'财富模型'!$E$20/12)+'Calc'!$B$6,IF(Calc!$AG$374&lt;='财富模型'!$E$11*12,'Calc'!$W$16,'Calc'!$Y$16))))))),0))</x:f>
      </x:c>
      <x:c r="AI374" t="str">
        <x:f>IF(Calc!$AG$374&gt;'Calc'!$B$8,"",MAX(Calc!$AI$373*(1+'财富模型'!$E$20/12)+'Calc'!$B$6-(IF('Calc'!$E$16=1,0,MIN(Calc!$AI$373*(1+'财富模型'!$E$20/12)+'Calc'!$B$6,IF(Calc!$AG$374&lt;='财富模型'!$E$11*12,'Calc'!$W$16,'Calc'!$Y$16)))),0))</x:f>
      </x:c>
      <x:c r="AJ374" t="str">
        <x:f>IF(Calc!$AG$374&gt;'Calc'!$B$8,"",IF('Calc'!$E$16=1,'财富模型'!$E$9,'财富模型'!$M$8+IF(Calc!$AG$374&lt;='财富模型'!$E$11*12,'Calc'!$W$16,'Calc'!$Y$16)-(IF('Calc'!$E$16=1,0,MIN(Calc!$AI$373*(1+'财富模型'!$E$20/12)+'Calc'!$B$6,IF(Calc!$AG$374&lt;='财富模型'!$E$11*12,'Calc'!$W$16,'Calc'!$Y$16))))))</x:f>
      </x:c>
      <x:c r="AK374" t="str">
        <x:f>IF(Calc!$AG$374&gt;'Calc'!$B$8,"",IF('Calc'!$E$16=1,0,MIN(Calc!$AI$373*(1+'财富模型'!$E$20/12)+'Calc'!$B$6,IF(Calc!$AG$374&lt;='财富模型'!$E$11*12,'Calc'!$W$16,'Calc'!$Y$16))))</x:f>
      </x:c>
      <x:c r="AL374" t="str">
        <x:f>IF(Calc!$AG$374&gt;'Calc'!$B$8,"",'Calc'!$B$5-'财富模型'!$E$5-(IF('Calc'!$E$16=1,'财富模型'!$E$9,'财富模型'!$M$8+IF(Calc!$AG$374&lt;='财富模型'!$E$11*12,'Calc'!$W$16,'Calc'!$Y$16)-(IF('Calc'!$E$16=1,0,MIN(Calc!$AI$373*(1+'财富模型'!$E$20/12)+'Calc'!$B$6,IF(Calc!$AG$374&lt;='财富模型'!$E$11*12,'Calc'!$W$16,'Calc'!$Y$16)))))))</x:f>
      </x:c>
      <x:c r="AM374" t="str">
        <x:f>IF(Calc!$AG$374&gt;'Calc'!$B$8,"",IF('Calc'!$E$16=1,0,MAX(Calc!$AM$373*(1+IF(Calc!$AG$374&lt;='财富模型'!$E$11*12,'财富模型'!$E$10,'财富模型'!$E$12)/12)-IF('Calc'!$E$16=1,0,IF(Calc!$AG$374&lt;='财富模型'!$E$11*12,'Calc'!$W$16,'Calc'!$Y$16)),0)))</x:f>
      </x:c>
      <x:c r="AO374" t="n">
        <x:v>353</x:v>
      </x:c>
      <x:c r="AP374" t="str">
        <x:f>IF(Calc!$AO$374&gt;'Calc'!$B$8,"",MAX(Calc!$AP$373*(1+'财富模型'!$E$6/12)+('Calc'!$B$5-'财富模型'!$E$5-(IF('Calc'!$E$17=1,'财富模型'!$E$9,'财富模型'!$M$9+IF(Calc!$AO$374&lt;='财富模型'!$E$11*12,'Calc'!$W$17,'Calc'!$Y$17)-(IF('Calc'!$E$17=1,0,MIN(Calc!$AQ$373*(1+'财富模型'!$E$20/12)+'Calc'!$B$6,IF(Calc!$AO$374&lt;='财富模型'!$E$11*12,'Calc'!$W$17,'Calc'!$Y$17))))))),0))</x:f>
      </x:c>
      <x:c r="AQ374" t="str">
        <x:f>IF(Calc!$AO$374&gt;'Calc'!$B$8,"",MAX(Calc!$AQ$373*(1+'财富模型'!$E$20/12)+'Calc'!$B$6-(IF('Calc'!$E$17=1,0,MIN(Calc!$AQ$373*(1+'财富模型'!$E$20/12)+'Calc'!$B$6,IF(Calc!$AO$374&lt;='财富模型'!$E$11*12,'Calc'!$W$17,'Calc'!$Y$17)))),0))</x:f>
      </x:c>
      <x:c r="AR374" t="str">
        <x:f>IF(Calc!$AO$374&gt;'Calc'!$B$8,"",IF('Calc'!$E$17=1,'财富模型'!$E$9,'财富模型'!$M$9+IF(Calc!$AO$374&lt;='财富模型'!$E$11*12,'Calc'!$W$17,'Calc'!$Y$17)-(IF('Calc'!$E$17=1,0,MIN(Calc!$AQ$373*(1+'财富模型'!$E$20/12)+'Calc'!$B$6,IF(Calc!$AO$374&lt;='财富模型'!$E$11*12,'Calc'!$W$17,'Calc'!$Y$17))))))</x:f>
      </x:c>
      <x:c r="AS374" t="str">
        <x:f>IF(Calc!$AO$374&gt;'Calc'!$B$8,"",IF('Calc'!$E$17=1,0,MIN(Calc!$AQ$373*(1+'财富模型'!$E$20/12)+'Calc'!$B$6,IF(Calc!$AO$374&lt;='财富模型'!$E$11*12,'Calc'!$W$17,'Calc'!$Y$17))))</x:f>
      </x:c>
      <x:c r="AT374" t="str">
        <x:f>IF(Calc!$AO$374&gt;'Calc'!$B$8,"",'Calc'!$B$5-'财富模型'!$E$5-(IF('Calc'!$E$17=1,'财富模型'!$E$9,'财富模型'!$M$9+IF(Calc!$AO$374&lt;='财富模型'!$E$11*12,'Calc'!$W$17,'Calc'!$Y$17)-(IF('Calc'!$E$17=1,0,MIN(Calc!$AQ$373*(1+'财富模型'!$E$20/12)+'Calc'!$B$6,IF(Calc!$AO$374&lt;='财富模型'!$E$11*12,'Calc'!$W$17,'Calc'!$Y$17)))))))</x:f>
      </x:c>
      <x:c r="AU374" t="str">
        <x:f>IF(Calc!$AO$374&gt;'Calc'!$B$8,"",IF('Calc'!$E$17=1,0,MAX(Calc!$AU$373*(1+IF(Calc!$AO$374&lt;='财富模型'!$E$11*12,'财富模型'!$E$10,'财富模型'!$E$12)/12)-IF('Calc'!$E$17=1,0,IF(Calc!$AO$374&lt;='财富模型'!$E$11*12,'Calc'!$W$17,'Calc'!$Y$17)),0)))</x:f>
      </x:c>
    </x:row>
    <x:row r="375">
      <x:c r="A375" t="n">
        <x:v>354</x:v>
      </x:c>
      <x:c r="B375" t="str">
        <x:f>IF(Calc!$A$375&gt;'Calc'!$B$8,"",MAX(Calc!$B$374*(1+'财富模型'!$E$6/12)+('Calc'!$B$5-'财富模型'!$E$5-(IF('Calc'!$E$12=1,'财富模型'!$E$9,'财富模型'!$M$4+IF(Calc!$A$375&lt;='财富模型'!$E$11*12,'Calc'!$W$12,'Calc'!$Y$12)-(IF('Calc'!$E$12=1,0,MIN(Calc!$C$374*(1+'财富模型'!$E$20/12)+'Calc'!$B$6,IF(Calc!$A$375&lt;='财富模型'!$E$11*12,'Calc'!$W$12,'Calc'!$Y$12))))))),0))</x:f>
      </x:c>
      <x:c r="C375" t="str">
        <x:f>IF(Calc!$A$375&gt;'Calc'!$B$8,"",MAX(Calc!$C$374*(1+'财富模型'!$E$20/12)+'Calc'!$B$6-(IF('Calc'!$E$12=1,0,MIN(Calc!$C$374*(1+'财富模型'!$E$20/12)+'Calc'!$B$6,IF(Calc!$A$375&lt;='财富模型'!$E$11*12,'Calc'!$W$12,'Calc'!$Y$12)))),0))</x:f>
      </x:c>
      <x:c r="D375" t="str">
        <x:f>IF(Calc!$A$375&gt;'Calc'!$B$8,"",IF('Calc'!$E$12=1,'财富模型'!$E$9,'财富模型'!$M$4+IF(Calc!$A$375&lt;='财富模型'!$E$11*12,'Calc'!$W$12,'Calc'!$Y$12)-(IF('Calc'!$E$12=1,0,MIN(Calc!$C$374*(1+'财富模型'!$E$20/12)+'Calc'!$B$6,IF(Calc!$A$375&lt;='财富模型'!$E$11*12,'Calc'!$W$12,'Calc'!$Y$12))))))</x:f>
      </x:c>
      <x:c r="E375" t="str">
        <x:f>IF(Calc!$A$375&gt;'Calc'!$B$8,"",IF('Calc'!$E$12=1,0,MIN(Calc!$C$374*(1+'财富模型'!$E$20/12)+'Calc'!$B$6,IF(Calc!$A$375&lt;='财富模型'!$E$11*12,'Calc'!$W$12,'Calc'!$Y$12))))</x:f>
      </x:c>
      <x:c r="F375" t="str">
        <x:f>IF(Calc!$A$375&gt;'Calc'!$B$8,"",'Calc'!$B$5-'财富模型'!$E$5-(IF('Calc'!$E$12=1,'财富模型'!$E$9,'财富模型'!$M$4+IF(Calc!$A$375&lt;='财富模型'!$E$11*12,'Calc'!$W$12,'Calc'!$Y$12)-(IF('Calc'!$E$12=1,0,MIN(Calc!$C$374*(1+'财富模型'!$E$20/12)+'Calc'!$B$6,IF(Calc!$A$375&lt;='财富模型'!$E$11*12,'Calc'!$W$12,'Calc'!$Y$12)))))))</x:f>
      </x:c>
      <x:c r="G375" t="str">
        <x:f>IF(Calc!$A$375&gt;'Calc'!$B$8,"",IF('Calc'!$E$12=1,0,MAX(Calc!$G$374*(1+IF(Calc!$A$375&lt;='财富模型'!$E$11*12,'财富模型'!$E$10,'财富模型'!$E$12)/12)-IF('Calc'!$E$12=1,0,IF(Calc!$A$375&lt;='财富模型'!$E$11*12,'Calc'!$W$12,'Calc'!$Y$12)),0)))</x:f>
      </x:c>
      <x:c r="I375" t="n">
        <x:v>354</x:v>
      </x:c>
      <x:c r="J375" t="str">
        <x:f>IF(Calc!$I$375&gt;'Calc'!$B$8,"",MAX(Calc!$J$374*(1+'财富模型'!$E$6/12)+('Calc'!$B$5-'财富模型'!$E$5-(IF('Calc'!$E$13=1,'财富模型'!$E$9,'财富模型'!$M$5+IF(Calc!$I$375&lt;='财富模型'!$E$11*12,'Calc'!$W$13,'Calc'!$Y$13)-(IF('Calc'!$E$13=1,0,MIN(Calc!$K$374*(1+'财富模型'!$E$20/12)+'Calc'!$B$6,IF(Calc!$I$375&lt;='财富模型'!$E$11*12,'Calc'!$W$13,'Calc'!$Y$13))))))),0))</x:f>
      </x:c>
      <x:c r="K375" t="str">
        <x:f>IF(Calc!$I$375&gt;'Calc'!$B$8,"",MAX(Calc!$K$374*(1+'财富模型'!$E$20/12)+'Calc'!$B$6-(IF('Calc'!$E$13=1,0,MIN(Calc!$K$374*(1+'财富模型'!$E$20/12)+'Calc'!$B$6,IF(Calc!$I$375&lt;='财富模型'!$E$11*12,'Calc'!$W$13,'Calc'!$Y$13)))),0))</x:f>
      </x:c>
      <x:c r="L375" t="str">
        <x:f>IF(Calc!$I$375&gt;'Calc'!$B$8,"",IF('Calc'!$E$13=1,'财富模型'!$E$9,'财富模型'!$M$5+IF(Calc!$I$375&lt;='财富模型'!$E$11*12,'Calc'!$W$13,'Calc'!$Y$13)-(IF('Calc'!$E$13=1,0,MIN(Calc!$K$374*(1+'财富模型'!$E$20/12)+'Calc'!$B$6,IF(Calc!$I$375&lt;='财富模型'!$E$11*12,'Calc'!$W$13,'Calc'!$Y$13))))))</x:f>
      </x:c>
      <x:c r="M375" t="str">
        <x:f>IF(Calc!$I$375&gt;'Calc'!$B$8,"",IF('Calc'!$E$13=1,0,MIN(Calc!$K$374*(1+'财富模型'!$E$20/12)+'Calc'!$B$6,IF(Calc!$I$375&lt;='财富模型'!$E$11*12,'Calc'!$W$13,'Calc'!$Y$13))))</x:f>
      </x:c>
      <x:c r="N375" t="str">
        <x:f>IF(Calc!$I$375&gt;'Calc'!$B$8,"",'Calc'!$B$5-'财富模型'!$E$5-(IF('Calc'!$E$13=1,'财富模型'!$E$9,'财富模型'!$M$5+IF(Calc!$I$375&lt;='财富模型'!$E$11*12,'Calc'!$W$13,'Calc'!$Y$13)-(IF('Calc'!$E$13=1,0,MIN(Calc!$K$374*(1+'财富模型'!$E$20/12)+'Calc'!$B$6,IF(Calc!$I$375&lt;='财富模型'!$E$11*12,'Calc'!$W$13,'Calc'!$Y$13)))))))</x:f>
      </x:c>
      <x:c r="O375" t="str">
        <x:f>IF(Calc!$I$375&gt;'Calc'!$B$8,"",IF('Calc'!$E$13=1,0,MAX(Calc!$O$374*(1+IF(Calc!$I$375&lt;='财富模型'!$E$11*12,'财富模型'!$E$10,'财富模型'!$E$12)/12)-IF('Calc'!$E$13=1,0,IF(Calc!$I$375&lt;='财富模型'!$E$11*12,'Calc'!$W$13,'Calc'!$Y$13)),0)))</x:f>
      </x:c>
      <x:c r="Q375" t="n">
        <x:v>354</x:v>
      </x:c>
      <x:c r="R375" t="str">
        <x:f>IF(Calc!$Q$375&gt;'Calc'!$B$8,"",MAX(Calc!$R$374*(1+'财富模型'!$E$6/12)+('Calc'!$B$5-'财富模型'!$E$5-(IF('Calc'!$E$14=1,'财富模型'!$E$9,'财富模型'!$M$6+IF(Calc!$Q$375&lt;='财富模型'!$E$11*12,'Calc'!$W$14,'Calc'!$Y$14)-(IF('Calc'!$E$14=1,0,MIN(Calc!$S$374*(1+'财富模型'!$E$20/12)+'Calc'!$B$6,IF(Calc!$Q$375&lt;='财富模型'!$E$11*12,'Calc'!$W$14,'Calc'!$Y$14))))))),0))</x:f>
      </x:c>
      <x:c r="S375" t="str">
        <x:f>IF(Calc!$Q$375&gt;'Calc'!$B$8,"",MAX(Calc!$S$374*(1+'财富模型'!$E$20/12)+'Calc'!$B$6-(IF('Calc'!$E$14=1,0,MIN(Calc!$S$374*(1+'财富模型'!$E$20/12)+'Calc'!$B$6,IF(Calc!$Q$375&lt;='财富模型'!$E$11*12,'Calc'!$W$14,'Calc'!$Y$14)))),0))</x:f>
      </x:c>
      <x:c r="T375" t="str">
        <x:f>IF(Calc!$Q$375&gt;'Calc'!$B$8,"",IF('Calc'!$E$14=1,'财富模型'!$E$9,'财富模型'!$M$6+IF(Calc!$Q$375&lt;='财富模型'!$E$11*12,'Calc'!$W$14,'Calc'!$Y$14)-(IF('Calc'!$E$14=1,0,MIN(Calc!$S$374*(1+'财富模型'!$E$20/12)+'Calc'!$B$6,IF(Calc!$Q$375&lt;='财富模型'!$E$11*12,'Calc'!$W$14,'Calc'!$Y$14))))))</x:f>
      </x:c>
      <x:c r="U375" t="str">
        <x:f>IF(Calc!$Q$375&gt;'Calc'!$B$8,"",IF('Calc'!$E$14=1,0,MIN(Calc!$S$374*(1+'财富模型'!$E$20/12)+'Calc'!$B$6,IF(Calc!$Q$375&lt;='财富模型'!$E$11*12,'Calc'!$W$14,'Calc'!$Y$14))))</x:f>
      </x:c>
      <x:c r="V375" t="str">
        <x:f>IF(Calc!$Q$375&gt;'Calc'!$B$8,"",'Calc'!$B$5-'财富模型'!$E$5-(IF('Calc'!$E$14=1,'财富模型'!$E$9,'财富模型'!$M$6+IF(Calc!$Q$375&lt;='财富模型'!$E$11*12,'Calc'!$W$14,'Calc'!$Y$14)-(IF('Calc'!$E$14=1,0,MIN(Calc!$S$374*(1+'财富模型'!$E$20/12)+'Calc'!$B$6,IF(Calc!$Q$375&lt;='财富模型'!$E$11*12,'Calc'!$W$14,'Calc'!$Y$14)))))))</x:f>
      </x:c>
      <x:c r="W375" t="str">
        <x:f>IF(Calc!$Q$375&gt;'Calc'!$B$8,"",IF('Calc'!$E$14=1,0,MAX(Calc!$W$374*(1+IF(Calc!$Q$375&lt;='财富模型'!$E$11*12,'财富模型'!$E$10,'财富模型'!$E$12)/12)-IF('Calc'!$E$14=1,0,IF(Calc!$Q$375&lt;='财富模型'!$E$11*12,'Calc'!$W$14,'Calc'!$Y$14)),0)))</x:f>
      </x:c>
      <x:c r="Y375" t="n">
        <x:v>354</x:v>
      </x:c>
      <x:c r="Z375" t="str">
        <x:f>IF(Calc!$Y$375&gt;'Calc'!$B$8,"",MAX(Calc!$Z$374*(1+'财富模型'!$E$6/12)+('Calc'!$B$5-'财富模型'!$E$5-(IF('Calc'!$E$15=1,'财富模型'!$E$9,'财富模型'!$M$7+IF(Calc!$Y$375&lt;='财富模型'!$E$11*12,'Calc'!$W$15,'Calc'!$Y$15)-(IF('Calc'!$E$15=1,0,MIN(Calc!$AA$374*(1+'财富模型'!$E$20/12)+'Calc'!$B$6,IF(Calc!$Y$375&lt;='财富模型'!$E$11*12,'Calc'!$W$15,'Calc'!$Y$15))))))),0))</x:f>
      </x:c>
      <x:c r="AA375" t="str">
        <x:f>IF(Calc!$Y$375&gt;'Calc'!$B$8,"",MAX(Calc!$AA$374*(1+'财富模型'!$E$20/12)+'Calc'!$B$6-(IF('Calc'!$E$15=1,0,MIN(Calc!$AA$374*(1+'财富模型'!$E$20/12)+'Calc'!$B$6,IF(Calc!$Y$375&lt;='财富模型'!$E$11*12,'Calc'!$W$15,'Calc'!$Y$15)))),0))</x:f>
      </x:c>
      <x:c r="AB375" t="str">
        <x:f>IF(Calc!$Y$375&gt;'Calc'!$B$8,"",IF('Calc'!$E$15=1,'财富模型'!$E$9,'财富模型'!$M$7+IF(Calc!$Y$375&lt;='财富模型'!$E$11*12,'Calc'!$W$15,'Calc'!$Y$15)-(IF('Calc'!$E$15=1,0,MIN(Calc!$AA$374*(1+'财富模型'!$E$20/12)+'Calc'!$B$6,IF(Calc!$Y$375&lt;='财富模型'!$E$11*12,'Calc'!$W$15,'Calc'!$Y$15))))))</x:f>
      </x:c>
      <x:c r="AC375" t="str">
        <x:f>IF(Calc!$Y$375&gt;'Calc'!$B$8,"",IF('Calc'!$E$15=1,0,MIN(Calc!$AA$374*(1+'财富模型'!$E$20/12)+'Calc'!$B$6,IF(Calc!$Y$375&lt;='财富模型'!$E$11*12,'Calc'!$W$15,'Calc'!$Y$15))))</x:f>
      </x:c>
      <x:c r="AD375" t="str">
        <x:f>IF(Calc!$Y$375&gt;'Calc'!$B$8,"",'Calc'!$B$5-'财富模型'!$E$5-(IF('Calc'!$E$15=1,'财富模型'!$E$9,'财富模型'!$M$7+IF(Calc!$Y$375&lt;='财富模型'!$E$11*12,'Calc'!$W$15,'Calc'!$Y$15)-(IF('Calc'!$E$15=1,0,MIN(Calc!$AA$374*(1+'财富模型'!$E$20/12)+'Calc'!$B$6,IF(Calc!$Y$375&lt;='财富模型'!$E$11*12,'Calc'!$W$15,'Calc'!$Y$15)))))))</x:f>
      </x:c>
      <x:c r="AE375" t="str">
        <x:f>IF(Calc!$Y$375&gt;'Calc'!$B$8,"",IF('Calc'!$E$15=1,0,MAX(Calc!$AE$374*(1+IF(Calc!$Y$375&lt;='财富模型'!$E$11*12,'财富模型'!$E$10,'财富模型'!$E$12)/12)-IF('Calc'!$E$15=1,0,IF(Calc!$Y$375&lt;='财富模型'!$E$11*12,'Calc'!$W$15,'Calc'!$Y$15)),0)))</x:f>
      </x:c>
      <x:c r="AG375" t="n">
        <x:v>354</x:v>
      </x:c>
      <x:c r="AH375" t="str">
        <x:f>IF(Calc!$AG$375&gt;'Calc'!$B$8,"",MAX(Calc!$AH$374*(1+'财富模型'!$E$6/12)+('Calc'!$B$5-'财富模型'!$E$5-(IF('Calc'!$E$16=1,'财富模型'!$E$9,'财富模型'!$M$8+IF(Calc!$AG$375&lt;='财富模型'!$E$11*12,'Calc'!$W$16,'Calc'!$Y$16)-(IF('Calc'!$E$16=1,0,MIN(Calc!$AI$374*(1+'财富模型'!$E$20/12)+'Calc'!$B$6,IF(Calc!$AG$375&lt;='财富模型'!$E$11*12,'Calc'!$W$16,'Calc'!$Y$16))))))),0))</x:f>
      </x:c>
      <x:c r="AI375" t="str">
        <x:f>IF(Calc!$AG$375&gt;'Calc'!$B$8,"",MAX(Calc!$AI$374*(1+'财富模型'!$E$20/12)+'Calc'!$B$6-(IF('Calc'!$E$16=1,0,MIN(Calc!$AI$374*(1+'财富模型'!$E$20/12)+'Calc'!$B$6,IF(Calc!$AG$375&lt;='财富模型'!$E$11*12,'Calc'!$W$16,'Calc'!$Y$16)))),0))</x:f>
      </x:c>
      <x:c r="AJ375" t="str">
        <x:f>IF(Calc!$AG$375&gt;'Calc'!$B$8,"",IF('Calc'!$E$16=1,'财富模型'!$E$9,'财富模型'!$M$8+IF(Calc!$AG$375&lt;='财富模型'!$E$11*12,'Calc'!$W$16,'Calc'!$Y$16)-(IF('Calc'!$E$16=1,0,MIN(Calc!$AI$374*(1+'财富模型'!$E$20/12)+'Calc'!$B$6,IF(Calc!$AG$375&lt;='财富模型'!$E$11*12,'Calc'!$W$16,'Calc'!$Y$16))))))</x:f>
      </x:c>
      <x:c r="AK375" t="str">
        <x:f>IF(Calc!$AG$375&gt;'Calc'!$B$8,"",IF('Calc'!$E$16=1,0,MIN(Calc!$AI$374*(1+'财富模型'!$E$20/12)+'Calc'!$B$6,IF(Calc!$AG$375&lt;='财富模型'!$E$11*12,'Calc'!$W$16,'Calc'!$Y$16))))</x:f>
      </x:c>
      <x:c r="AL375" t="str">
        <x:f>IF(Calc!$AG$375&gt;'Calc'!$B$8,"",'Calc'!$B$5-'财富模型'!$E$5-(IF('Calc'!$E$16=1,'财富模型'!$E$9,'财富模型'!$M$8+IF(Calc!$AG$375&lt;='财富模型'!$E$11*12,'Calc'!$W$16,'Calc'!$Y$16)-(IF('Calc'!$E$16=1,0,MIN(Calc!$AI$374*(1+'财富模型'!$E$20/12)+'Calc'!$B$6,IF(Calc!$AG$375&lt;='财富模型'!$E$11*12,'Calc'!$W$16,'Calc'!$Y$16)))))))</x:f>
      </x:c>
      <x:c r="AM375" t="str">
        <x:f>IF(Calc!$AG$375&gt;'Calc'!$B$8,"",IF('Calc'!$E$16=1,0,MAX(Calc!$AM$374*(1+IF(Calc!$AG$375&lt;='财富模型'!$E$11*12,'财富模型'!$E$10,'财富模型'!$E$12)/12)-IF('Calc'!$E$16=1,0,IF(Calc!$AG$375&lt;='财富模型'!$E$11*12,'Calc'!$W$16,'Calc'!$Y$16)),0)))</x:f>
      </x:c>
      <x:c r="AO375" t="n">
        <x:v>354</x:v>
      </x:c>
      <x:c r="AP375" t="str">
        <x:f>IF(Calc!$AO$375&gt;'Calc'!$B$8,"",MAX(Calc!$AP$374*(1+'财富模型'!$E$6/12)+('Calc'!$B$5-'财富模型'!$E$5-(IF('Calc'!$E$17=1,'财富模型'!$E$9,'财富模型'!$M$9+IF(Calc!$AO$375&lt;='财富模型'!$E$11*12,'Calc'!$W$17,'Calc'!$Y$17)-(IF('Calc'!$E$17=1,0,MIN(Calc!$AQ$374*(1+'财富模型'!$E$20/12)+'Calc'!$B$6,IF(Calc!$AO$375&lt;='财富模型'!$E$11*12,'Calc'!$W$17,'Calc'!$Y$17))))))),0))</x:f>
      </x:c>
      <x:c r="AQ375" t="str">
        <x:f>IF(Calc!$AO$375&gt;'Calc'!$B$8,"",MAX(Calc!$AQ$374*(1+'财富模型'!$E$20/12)+'Calc'!$B$6-(IF('Calc'!$E$17=1,0,MIN(Calc!$AQ$374*(1+'财富模型'!$E$20/12)+'Calc'!$B$6,IF(Calc!$AO$375&lt;='财富模型'!$E$11*12,'Calc'!$W$17,'Calc'!$Y$17)))),0))</x:f>
      </x:c>
      <x:c r="AR375" t="str">
        <x:f>IF(Calc!$AO$375&gt;'Calc'!$B$8,"",IF('Calc'!$E$17=1,'财富模型'!$E$9,'财富模型'!$M$9+IF(Calc!$AO$375&lt;='财富模型'!$E$11*12,'Calc'!$W$17,'Calc'!$Y$17)-(IF('Calc'!$E$17=1,0,MIN(Calc!$AQ$374*(1+'财富模型'!$E$20/12)+'Calc'!$B$6,IF(Calc!$AO$375&lt;='财富模型'!$E$11*12,'Calc'!$W$17,'Calc'!$Y$17))))))</x:f>
      </x:c>
      <x:c r="AS375" t="str">
        <x:f>IF(Calc!$AO$375&gt;'Calc'!$B$8,"",IF('Calc'!$E$17=1,0,MIN(Calc!$AQ$374*(1+'财富模型'!$E$20/12)+'Calc'!$B$6,IF(Calc!$AO$375&lt;='财富模型'!$E$11*12,'Calc'!$W$17,'Calc'!$Y$17))))</x:f>
      </x:c>
      <x:c r="AT375" t="str">
        <x:f>IF(Calc!$AO$375&gt;'Calc'!$B$8,"",'Calc'!$B$5-'财富模型'!$E$5-(IF('Calc'!$E$17=1,'财富模型'!$E$9,'财富模型'!$M$9+IF(Calc!$AO$375&lt;='财富模型'!$E$11*12,'Calc'!$W$17,'Calc'!$Y$17)-(IF('Calc'!$E$17=1,0,MIN(Calc!$AQ$374*(1+'财富模型'!$E$20/12)+'Calc'!$B$6,IF(Calc!$AO$375&lt;='财富模型'!$E$11*12,'Calc'!$W$17,'Calc'!$Y$17)))))))</x:f>
      </x:c>
      <x:c r="AU375" t="str">
        <x:f>IF(Calc!$AO$375&gt;'Calc'!$B$8,"",IF('Calc'!$E$17=1,0,MAX(Calc!$AU$374*(1+IF(Calc!$AO$375&lt;='财富模型'!$E$11*12,'财富模型'!$E$10,'财富模型'!$E$12)/12)-IF('Calc'!$E$17=1,0,IF(Calc!$AO$375&lt;='财富模型'!$E$11*12,'Calc'!$W$17,'Calc'!$Y$17)),0)))</x:f>
      </x:c>
    </x:row>
    <x:row r="376">
      <x:c r="A376" t="n">
        <x:v>355</x:v>
      </x:c>
      <x:c r="B376" t="str">
        <x:f>IF(Calc!$A$376&gt;'Calc'!$B$8,"",MAX(Calc!$B$375*(1+'财富模型'!$E$6/12)+('Calc'!$B$5-'财富模型'!$E$5-(IF('Calc'!$E$12=1,'财富模型'!$E$9,'财富模型'!$M$4+IF(Calc!$A$376&lt;='财富模型'!$E$11*12,'Calc'!$W$12,'Calc'!$Y$12)-(IF('Calc'!$E$12=1,0,MIN(Calc!$C$375*(1+'财富模型'!$E$20/12)+'Calc'!$B$6,IF(Calc!$A$376&lt;='财富模型'!$E$11*12,'Calc'!$W$12,'Calc'!$Y$12))))))),0))</x:f>
      </x:c>
      <x:c r="C376" t="str">
        <x:f>IF(Calc!$A$376&gt;'Calc'!$B$8,"",MAX(Calc!$C$375*(1+'财富模型'!$E$20/12)+'Calc'!$B$6-(IF('Calc'!$E$12=1,0,MIN(Calc!$C$375*(1+'财富模型'!$E$20/12)+'Calc'!$B$6,IF(Calc!$A$376&lt;='财富模型'!$E$11*12,'Calc'!$W$12,'Calc'!$Y$12)))),0))</x:f>
      </x:c>
      <x:c r="D376" t="str">
        <x:f>IF(Calc!$A$376&gt;'Calc'!$B$8,"",IF('Calc'!$E$12=1,'财富模型'!$E$9,'财富模型'!$M$4+IF(Calc!$A$376&lt;='财富模型'!$E$11*12,'Calc'!$W$12,'Calc'!$Y$12)-(IF('Calc'!$E$12=1,0,MIN(Calc!$C$375*(1+'财富模型'!$E$20/12)+'Calc'!$B$6,IF(Calc!$A$376&lt;='财富模型'!$E$11*12,'Calc'!$W$12,'Calc'!$Y$12))))))</x:f>
      </x:c>
      <x:c r="E376" t="str">
        <x:f>IF(Calc!$A$376&gt;'Calc'!$B$8,"",IF('Calc'!$E$12=1,0,MIN(Calc!$C$375*(1+'财富模型'!$E$20/12)+'Calc'!$B$6,IF(Calc!$A$376&lt;='财富模型'!$E$11*12,'Calc'!$W$12,'Calc'!$Y$12))))</x:f>
      </x:c>
      <x:c r="F376" t="str">
        <x:f>IF(Calc!$A$376&gt;'Calc'!$B$8,"",'Calc'!$B$5-'财富模型'!$E$5-(IF('Calc'!$E$12=1,'财富模型'!$E$9,'财富模型'!$M$4+IF(Calc!$A$376&lt;='财富模型'!$E$11*12,'Calc'!$W$12,'Calc'!$Y$12)-(IF('Calc'!$E$12=1,0,MIN(Calc!$C$375*(1+'财富模型'!$E$20/12)+'Calc'!$B$6,IF(Calc!$A$376&lt;='财富模型'!$E$11*12,'Calc'!$W$12,'Calc'!$Y$12)))))))</x:f>
      </x:c>
      <x:c r="G376" t="str">
        <x:f>IF(Calc!$A$376&gt;'Calc'!$B$8,"",IF('Calc'!$E$12=1,0,MAX(Calc!$G$375*(1+IF(Calc!$A$376&lt;='财富模型'!$E$11*12,'财富模型'!$E$10,'财富模型'!$E$12)/12)-IF('Calc'!$E$12=1,0,IF(Calc!$A$376&lt;='财富模型'!$E$11*12,'Calc'!$W$12,'Calc'!$Y$12)),0)))</x:f>
      </x:c>
      <x:c r="I376" t="n">
        <x:v>355</x:v>
      </x:c>
      <x:c r="J376" t="str">
        <x:f>IF(Calc!$I$376&gt;'Calc'!$B$8,"",MAX(Calc!$J$375*(1+'财富模型'!$E$6/12)+('Calc'!$B$5-'财富模型'!$E$5-(IF('Calc'!$E$13=1,'财富模型'!$E$9,'财富模型'!$M$5+IF(Calc!$I$376&lt;='财富模型'!$E$11*12,'Calc'!$W$13,'Calc'!$Y$13)-(IF('Calc'!$E$13=1,0,MIN(Calc!$K$375*(1+'财富模型'!$E$20/12)+'Calc'!$B$6,IF(Calc!$I$376&lt;='财富模型'!$E$11*12,'Calc'!$W$13,'Calc'!$Y$13))))))),0))</x:f>
      </x:c>
      <x:c r="K376" t="str">
        <x:f>IF(Calc!$I$376&gt;'Calc'!$B$8,"",MAX(Calc!$K$375*(1+'财富模型'!$E$20/12)+'Calc'!$B$6-(IF('Calc'!$E$13=1,0,MIN(Calc!$K$375*(1+'财富模型'!$E$20/12)+'Calc'!$B$6,IF(Calc!$I$376&lt;='财富模型'!$E$11*12,'Calc'!$W$13,'Calc'!$Y$13)))),0))</x:f>
      </x:c>
      <x:c r="L376" t="str">
        <x:f>IF(Calc!$I$376&gt;'Calc'!$B$8,"",IF('Calc'!$E$13=1,'财富模型'!$E$9,'财富模型'!$M$5+IF(Calc!$I$376&lt;='财富模型'!$E$11*12,'Calc'!$W$13,'Calc'!$Y$13)-(IF('Calc'!$E$13=1,0,MIN(Calc!$K$375*(1+'财富模型'!$E$20/12)+'Calc'!$B$6,IF(Calc!$I$376&lt;='财富模型'!$E$11*12,'Calc'!$W$13,'Calc'!$Y$13))))))</x:f>
      </x:c>
      <x:c r="M376" t="str">
        <x:f>IF(Calc!$I$376&gt;'Calc'!$B$8,"",IF('Calc'!$E$13=1,0,MIN(Calc!$K$375*(1+'财富模型'!$E$20/12)+'Calc'!$B$6,IF(Calc!$I$376&lt;='财富模型'!$E$11*12,'Calc'!$W$13,'Calc'!$Y$13))))</x:f>
      </x:c>
      <x:c r="N376" t="str">
        <x:f>IF(Calc!$I$376&gt;'Calc'!$B$8,"",'Calc'!$B$5-'财富模型'!$E$5-(IF('Calc'!$E$13=1,'财富模型'!$E$9,'财富模型'!$M$5+IF(Calc!$I$376&lt;='财富模型'!$E$11*12,'Calc'!$W$13,'Calc'!$Y$13)-(IF('Calc'!$E$13=1,0,MIN(Calc!$K$375*(1+'财富模型'!$E$20/12)+'Calc'!$B$6,IF(Calc!$I$376&lt;='财富模型'!$E$11*12,'Calc'!$W$13,'Calc'!$Y$13)))))))</x:f>
      </x:c>
      <x:c r="O376" t="str">
        <x:f>IF(Calc!$I$376&gt;'Calc'!$B$8,"",IF('Calc'!$E$13=1,0,MAX(Calc!$O$375*(1+IF(Calc!$I$376&lt;='财富模型'!$E$11*12,'财富模型'!$E$10,'财富模型'!$E$12)/12)-IF('Calc'!$E$13=1,0,IF(Calc!$I$376&lt;='财富模型'!$E$11*12,'Calc'!$W$13,'Calc'!$Y$13)),0)))</x:f>
      </x:c>
      <x:c r="Q376" t="n">
        <x:v>355</x:v>
      </x:c>
      <x:c r="R376" t="str">
        <x:f>IF(Calc!$Q$376&gt;'Calc'!$B$8,"",MAX(Calc!$R$375*(1+'财富模型'!$E$6/12)+('Calc'!$B$5-'财富模型'!$E$5-(IF('Calc'!$E$14=1,'财富模型'!$E$9,'财富模型'!$M$6+IF(Calc!$Q$376&lt;='财富模型'!$E$11*12,'Calc'!$W$14,'Calc'!$Y$14)-(IF('Calc'!$E$14=1,0,MIN(Calc!$S$375*(1+'财富模型'!$E$20/12)+'Calc'!$B$6,IF(Calc!$Q$376&lt;='财富模型'!$E$11*12,'Calc'!$W$14,'Calc'!$Y$14))))))),0))</x:f>
      </x:c>
      <x:c r="S376" t="str">
        <x:f>IF(Calc!$Q$376&gt;'Calc'!$B$8,"",MAX(Calc!$S$375*(1+'财富模型'!$E$20/12)+'Calc'!$B$6-(IF('Calc'!$E$14=1,0,MIN(Calc!$S$375*(1+'财富模型'!$E$20/12)+'Calc'!$B$6,IF(Calc!$Q$376&lt;='财富模型'!$E$11*12,'Calc'!$W$14,'Calc'!$Y$14)))),0))</x:f>
      </x:c>
      <x:c r="T376" t="str">
        <x:f>IF(Calc!$Q$376&gt;'Calc'!$B$8,"",IF('Calc'!$E$14=1,'财富模型'!$E$9,'财富模型'!$M$6+IF(Calc!$Q$376&lt;='财富模型'!$E$11*12,'Calc'!$W$14,'Calc'!$Y$14)-(IF('Calc'!$E$14=1,0,MIN(Calc!$S$375*(1+'财富模型'!$E$20/12)+'Calc'!$B$6,IF(Calc!$Q$376&lt;='财富模型'!$E$11*12,'Calc'!$W$14,'Calc'!$Y$14))))))</x:f>
      </x:c>
      <x:c r="U376" t="str">
        <x:f>IF(Calc!$Q$376&gt;'Calc'!$B$8,"",IF('Calc'!$E$14=1,0,MIN(Calc!$S$375*(1+'财富模型'!$E$20/12)+'Calc'!$B$6,IF(Calc!$Q$376&lt;='财富模型'!$E$11*12,'Calc'!$W$14,'Calc'!$Y$14))))</x:f>
      </x:c>
      <x:c r="V376" t="str">
        <x:f>IF(Calc!$Q$376&gt;'Calc'!$B$8,"",'Calc'!$B$5-'财富模型'!$E$5-(IF('Calc'!$E$14=1,'财富模型'!$E$9,'财富模型'!$M$6+IF(Calc!$Q$376&lt;='财富模型'!$E$11*12,'Calc'!$W$14,'Calc'!$Y$14)-(IF('Calc'!$E$14=1,0,MIN(Calc!$S$375*(1+'财富模型'!$E$20/12)+'Calc'!$B$6,IF(Calc!$Q$376&lt;='财富模型'!$E$11*12,'Calc'!$W$14,'Calc'!$Y$14)))))))</x:f>
      </x:c>
      <x:c r="W376" t="str">
        <x:f>IF(Calc!$Q$376&gt;'Calc'!$B$8,"",IF('Calc'!$E$14=1,0,MAX(Calc!$W$375*(1+IF(Calc!$Q$376&lt;='财富模型'!$E$11*12,'财富模型'!$E$10,'财富模型'!$E$12)/12)-IF('Calc'!$E$14=1,0,IF(Calc!$Q$376&lt;='财富模型'!$E$11*12,'Calc'!$W$14,'Calc'!$Y$14)),0)))</x:f>
      </x:c>
      <x:c r="Y376" t="n">
        <x:v>355</x:v>
      </x:c>
      <x:c r="Z376" t="str">
        <x:f>IF(Calc!$Y$376&gt;'Calc'!$B$8,"",MAX(Calc!$Z$375*(1+'财富模型'!$E$6/12)+('Calc'!$B$5-'财富模型'!$E$5-(IF('Calc'!$E$15=1,'财富模型'!$E$9,'财富模型'!$M$7+IF(Calc!$Y$376&lt;='财富模型'!$E$11*12,'Calc'!$W$15,'Calc'!$Y$15)-(IF('Calc'!$E$15=1,0,MIN(Calc!$AA$375*(1+'财富模型'!$E$20/12)+'Calc'!$B$6,IF(Calc!$Y$376&lt;='财富模型'!$E$11*12,'Calc'!$W$15,'Calc'!$Y$15))))))),0))</x:f>
      </x:c>
      <x:c r="AA376" t="str">
        <x:f>IF(Calc!$Y$376&gt;'Calc'!$B$8,"",MAX(Calc!$AA$375*(1+'财富模型'!$E$20/12)+'Calc'!$B$6-(IF('Calc'!$E$15=1,0,MIN(Calc!$AA$375*(1+'财富模型'!$E$20/12)+'Calc'!$B$6,IF(Calc!$Y$376&lt;='财富模型'!$E$11*12,'Calc'!$W$15,'Calc'!$Y$15)))),0))</x:f>
      </x:c>
      <x:c r="AB376" t="str">
        <x:f>IF(Calc!$Y$376&gt;'Calc'!$B$8,"",IF('Calc'!$E$15=1,'财富模型'!$E$9,'财富模型'!$M$7+IF(Calc!$Y$376&lt;='财富模型'!$E$11*12,'Calc'!$W$15,'Calc'!$Y$15)-(IF('Calc'!$E$15=1,0,MIN(Calc!$AA$375*(1+'财富模型'!$E$20/12)+'Calc'!$B$6,IF(Calc!$Y$376&lt;='财富模型'!$E$11*12,'Calc'!$W$15,'Calc'!$Y$15))))))</x:f>
      </x:c>
      <x:c r="AC376" t="str">
        <x:f>IF(Calc!$Y$376&gt;'Calc'!$B$8,"",IF('Calc'!$E$15=1,0,MIN(Calc!$AA$375*(1+'财富模型'!$E$20/12)+'Calc'!$B$6,IF(Calc!$Y$376&lt;='财富模型'!$E$11*12,'Calc'!$W$15,'Calc'!$Y$15))))</x:f>
      </x:c>
      <x:c r="AD376" t="str">
        <x:f>IF(Calc!$Y$376&gt;'Calc'!$B$8,"",'Calc'!$B$5-'财富模型'!$E$5-(IF('Calc'!$E$15=1,'财富模型'!$E$9,'财富模型'!$M$7+IF(Calc!$Y$376&lt;='财富模型'!$E$11*12,'Calc'!$W$15,'Calc'!$Y$15)-(IF('Calc'!$E$15=1,0,MIN(Calc!$AA$375*(1+'财富模型'!$E$20/12)+'Calc'!$B$6,IF(Calc!$Y$376&lt;='财富模型'!$E$11*12,'Calc'!$W$15,'Calc'!$Y$15)))))))</x:f>
      </x:c>
      <x:c r="AE376" t="str">
        <x:f>IF(Calc!$Y$376&gt;'Calc'!$B$8,"",IF('Calc'!$E$15=1,0,MAX(Calc!$AE$375*(1+IF(Calc!$Y$376&lt;='财富模型'!$E$11*12,'财富模型'!$E$10,'财富模型'!$E$12)/12)-IF('Calc'!$E$15=1,0,IF(Calc!$Y$376&lt;='财富模型'!$E$11*12,'Calc'!$W$15,'Calc'!$Y$15)),0)))</x:f>
      </x:c>
      <x:c r="AG376" t="n">
        <x:v>355</x:v>
      </x:c>
      <x:c r="AH376" t="str">
        <x:f>IF(Calc!$AG$376&gt;'Calc'!$B$8,"",MAX(Calc!$AH$375*(1+'财富模型'!$E$6/12)+('Calc'!$B$5-'财富模型'!$E$5-(IF('Calc'!$E$16=1,'财富模型'!$E$9,'财富模型'!$M$8+IF(Calc!$AG$376&lt;='财富模型'!$E$11*12,'Calc'!$W$16,'Calc'!$Y$16)-(IF('Calc'!$E$16=1,0,MIN(Calc!$AI$375*(1+'财富模型'!$E$20/12)+'Calc'!$B$6,IF(Calc!$AG$376&lt;='财富模型'!$E$11*12,'Calc'!$W$16,'Calc'!$Y$16))))))),0))</x:f>
      </x:c>
      <x:c r="AI376" t="str">
        <x:f>IF(Calc!$AG$376&gt;'Calc'!$B$8,"",MAX(Calc!$AI$375*(1+'财富模型'!$E$20/12)+'Calc'!$B$6-(IF('Calc'!$E$16=1,0,MIN(Calc!$AI$375*(1+'财富模型'!$E$20/12)+'Calc'!$B$6,IF(Calc!$AG$376&lt;='财富模型'!$E$11*12,'Calc'!$W$16,'Calc'!$Y$16)))),0))</x:f>
      </x:c>
      <x:c r="AJ376" t="str">
        <x:f>IF(Calc!$AG$376&gt;'Calc'!$B$8,"",IF('Calc'!$E$16=1,'财富模型'!$E$9,'财富模型'!$M$8+IF(Calc!$AG$376&lt;='财富模型'!$E$11*12,'Calc'!$W$16,'Calc'!$Y$16)-(IF('Calc'!$E$16=1,0,MIN(Calc!$AI$375*(1+'财富模型'!$E$20/12)+'Calc'!$B$6,IF(Calc!$AG$376&lt;='财富模型'!$E$11*12,'Calc'!$W$16,'Calc'!$Y$16))))))</x:f>
      </x:c>
      <x:c r="AK376" t="str">
        <x:f>IF(Calc!$AG$376&gt;'Calc'!$B$8,"",IF('Calc'!$E$16=1,0,MIN(Calc!$AI$375*(1+'财富模型'!$E$20/12)+'Calc'!$B$6,IF(Calc!$AG$376&lt;='财富模型'!$E$11*12,'Calc'!$W$16,'Calc'!$Y$16))))</x:f>
      </x:c>
      <x:c r="AL376" t="str">
        <x:f>IF(Calc!$AG$376&gt;'Calc'!$B$8,"",'Calc'!$B$5-'财富模型'!$E$5-(IF('Calc'!$E$16=1,'财富模型'!$E$9,'财富模型'!$M$8+IF(Calc!$AG$376&lt;='财富模型'!$E$11*12,'Calc'!$W$16,'Calc'!$Y$16)-(IF('Calc'!$E$16=1,0,MIN(Calc!$AI$375*(1+'财富模型'!$E$20/12)+'Calc'!$B$6,IF(Calc!$AG$376&lt;='财富模型'!$E$11*12,'Calc'!$W$16,'Calc'!$Y$16)))))))</x:f>
      </x:c>
      <x:c r="AM376" t="str">
        <x:f>IF(Calc!$AG$376&gt;'Calc'!$B$8,"",IF('Calc'!$E$16=1,0,MAX(Calc!$AM$375*(1+IF(Calc!$AG$376&lt;='财富模型'!$E$11*12,'财富模型'!$E$10,'财富模型'!$E$12)/12)-IF('Calc'!$E$16=1,0,IF(Calc!$AG$376&lt;='财富模型'!$E$11*12,'Calc'!$W$16,'Calc'!$Y$16)),0)))</x:f>
      </x:c>
      <x:c r="AO376" t="n">
        <x:v>355</x:v>
      </x:c>
      <x:c r="AP376" t="str">
        <x:f>IF(Calc!$AO$376&gt;'Calc'!$B$8,"",MAX(Calc!$AP$375*(1+'财富模型'!$E$6/12)+('Calc'!$B$5-'财富模型'!$E$5-(IF('Calc'!$E$17=1,'财富模型'!$E$9,'财富模型'!$M$9+IF(Calc!$AO$376&lt;='财富模型'!$E$11*12,'Calc'!$W$17,'Calc'!$Y$17)-(IF('Calc'!$E$17=1,0,MIN(Calc!$AQ$375*(1+'财富模型'!$E$20/12)+'Calc'!$B$6,IF(Calc!$AO$376&lt;='财富模型'!$E$11*12,'Calc'!$W$17,'Calc'!$Y$17))))))),0))</x:f>
      </x:c>
      <x:c r="AQ376" t="str">
        <x:f>IF(Calc!$AO$376&gt;'Calc'!$B$8,"",MAX(Calc!$AQ$375*(1+'财富模型'!$E$20/12)+'Calc'!$B$6-(IF('Calc'!$E$17=1,0,MIN(Calc!$AQ$375*(1+'财富模型'!$E$20/12)+'Calc'!$B$6,IF(Calc!$AO$376&lt;='财富模型'!$E$11*12,'Calc'!$W$17,'Calc'!$Y$17)))),0))</x:f>
      </x:c>
      <x:c r="AR376" t="str">
        <x:f>IF(Calc!$AO$376&gt;'Calc'!$B$8,"",IF('Calc'!$E$17=1,'财富模型'!$E$9,'财富模型'!$M$9+IF(Calc!$AO$376&lt;='财富模型'!$E$11*12,'Calc'!$W$17,'Calc'!$Y$17)-(IF('Calc'!$E$17=1,0,MIN(Calc!$AQ$375*(1+'财富模型'!$E$20/12)+'Calc'!$B$6,IF(Calc!$AO$376&lt;='财富模型'!$E$11*12,'Calc'!$W$17,'Calc'!$Y$17))))))</x:f>
      </x:c>
      <x:c r="AS376" t="str">
        <x:f>IF(Calc!$AO$376&gt;'Calc'!$B$8,"",IF('Calc'!$E$17=1,0,MIN(Calc!$AQ$375*(1+'财富模型'!$E$20/12)+'Calc'!$B$6,IF(Calc!$AO$376&lt;='财富模型'!$E$11*12,'Calc'!$W$17,'Calc'!$Y$17))))</x:f>
      </x:c>
      <x:c r="AT376" t="str">
        <x:f>IF(Calc!$AO$376&gt;'Calc'!$B$8,"",'Calc'!$B$5-'财富模型'!$E$5-(IF('Calc'!$E$17=1,'财富模型'!$E$9,'财富模型'!$M$9+IF(Calc!$AO$376&lt;='财富模型'!$E$11*12,'Calc'!$W$17,'Calc'!$Y$17)-(IF('Calc'!$E$17=1,0,MIN(Calc!$AQ$375*(1+'财富模型'!$E$20/12)+'Calc'!$B$6,IF(Calc!$AO$376&lt;='财富模型'!$E$11*12,'Calc'!$W$17,'Calc'!$Y$17)))))))</x:f>
      </x:c>
      <x:c r="AU376" t="str">
        <x:f>IF(Calc!$AO$376&gt;'Calc'!$B$8,"",IF('Calc'!$E$17=1,0,MAX(Calc!$AU$375*(1+IF(Calc!$AO$376&lt;='财富模型'!$E$11*12,'财富模型'!$E$10,'财富模型'!$E$12)/12)-IF('Calc'!$E$17=1,0,IF(Calc!$AO$376&lt;='财富模型'!$E$11*12,'Calc'!$W$17,'Calc'!$Y$17)),0)))</x:f>
      </x:c>
    </x:row>
    <x:row r="377">
      <x:c r="A377" t="n">
        <x:v>356</x:v>
      </x:c>
      <x:c r="B377" t="str">
        <x:f>IF(Calc!$A$377&gt;'Calc'!$B$8,"",MAX(Calc!$B$376*(1+'财富模型'!$E$6/12)+('Calc'!$B$5-'财富模型'!$E$5-(IF('Calc'!$E$12=1,'财富模型'!$E$9,'财富模型'!$M$4+IF(Calc!$A$377&lt;='财富模型'!$E$11*12,'Calc'!$W$12,'Calc'!$Y$12)-(IF('Calc'!$E$12=1,0,MIN(Calc!$C$376*(1+'财富模型'!$E$20/12)+'Calc'!$B$6,IF(Calc!$A$377&lt;='财富模型'!$E$11*12,'Calc'!$W$12,'Calc'!$Y$12))))))),0))</x:f>
      </x:c>
      <x:c r="C377" t="str">
        <x:f>IF(Calc!$A$377&gt;'Calc'!$B$8,"",MAX(Calc!$C$376*(1+'财富模型'!$E$20/12)+'Calc'!$B$6-(IF('Calc'!$E$12=1,0,MIN(Calc!$C$376*(1+'财富模型'!$E$20/12)+'Calc'!$B$6,IF(Calc!$A$377&lt;='财富模型'!$E$11*12,'Calc'!$W$12,'Calc'!$Y$12)))),0))</x:f>
      </x:c>
      <x:c r="D377" t="str">
        <x:f>IF(Calc!$A$377&gt;'Calc'!$B$8,"",IF('Calc'!$E$12=1,'财富模型'!$E$9,'财富模型'!$M$4+IF(Calc!$A$377&lt;='财富模型'!$E$11*12,'Calc'!$W$12,'Calc'!$Y$12)-(IF('Calc'!$E$12=1,0,MIN(Calc!$C$376*(1+'财富模型'!$E$20/12)+'Calc'!$B$6,IF(Calc!$A$377&lt;='财富模型'!$E$11*12,'Calc'!$W$12,'Calc'!$Y$12))))))</x:f>
      </x:c>
      <x:c r="E377" t="str">
        <x:f>IF(Calc!$A$377&gt;'Calc'!$B$8,"",IF('Calc'!$E$12=1,0,MIN(Calc!$C$376*(1+'财富模型'!$E$20/12)+'Calc'!$B$6,IF(Calc!$A$377&lt;='财富模型'!$E$11*12,'Calc'!$W$12,'Calc'!$Y$12))))</x:f>
      </x:c>
      <x:c r="F377" t="str">
        <x:f>IF(Calc!$A$377&gt;'Calc'!$B$8,"",'Calc'!$B$5-'财富模型'!$E$5-(IF('Calc'!$E$12=1,'财富模型'!$E$9,'财富模型'!$M$4+IF(Calc!$A$377&lt;='财富模型'!$E$11*12,'Calc'!$W$12,'Calc'!$Y$12)-(IF('Calc'!$E$12=1,0,MIN(Calc!$C$376*(1+'财富模型'!$E$20/12)+'Calc'!$B$6,IF(Calc!$A$377&lt;='财富模型'!$E$11*12,'Calc'!$W$12,'Calc'!$Y$12)))))))</x:f>
      </x:c>
      <x:c r="G377" t="str">
        <x:f>IF(Calc!$A$377&gt;'Calc'!$B$8,"",IF('Calc'!$E$12=1,0,MAX(Calc!$G$376*(1+IF(Calc!$A$377&lt;='财富模型'!$E$11*12,'财富模型'!$E$10,'财富模型'!$E$12)/12)-IF('Calc'!$E$12=1,0,IF(Calc!$A$377&lt;='财富模型'!$E$11*12,'Calc'!$W$12,'Calc'!$Y$12)),0)))</x:f>
      </x:c>
      <x:c r="I377" t="n">
        <x:v>356</x:v>
      </x:c>
      <x:c r="J377" t="str">
        <x:f>IF(Calc!$I$377&gt;'Calc'!$B$8,"",MAX(Calc!$J$376*(1+'财富模型'!$E$6/12)+('Calc'!$B$5-'财富模型'!$E$5-(IF('Calc'!$E$13=1,'财富模型'!$E$9,'财富模型'!$M$5+IF(Calc!$I$377&lt;='财富模型'!$E$11*12,'Calc'!$W$13,'Calc'!$Y$13)-(IF('Calc'!$E$13=1,0,MIN(Calc!$K$376*(1+'财富模型'!$E$20/12)+'Calc'!$B$6,IF(Calc!$I$377&lt;='财富模型'!$E$11*12,'Calc'!$W$13,'Calc'!$Y$13))))))),0))</x:f>
      </x:c>
      <x:c r="K377" t="str">
        <x:f>IF(Calc!$I$377&gt;'Calc'!$B$8,"",MAX(Calc!$K$376*(1+'财富模型'!$E$20/12)+'Calc'!$B$6-(IF('Calc'!$E$13=1,0,MIN(Calc!$K$376*(1+'财富模型'!$E$20/12)+'Calc'!$B$6,IF(Calc!$I$377&lt;='财富模型'!$E$11*12,'Calc'!$W$13,'Calc'!$Y$13)))),0))</x:f>
      </x:c>
      <x:c r="L377" t="str">
        <x:f>IF(Calc!$I$377&gt;'Calc'!$B$8,"",IF('Calc'!$E$13=1,'财富模型'!$E$9,'财富模型'!$M$5+IF(Calc!$I$377&lt;='财富模型'!$E$11*12,'Calc'!$W$13,'Calc'!$Y$13)-(IF('Calc'!$E$13=1,0,MIN(Calc!$K$376*(1+'财富模型'!$E$20/12)+'Calc'!$B$6,IF(Calc!$I$377&lt;='财富模型'!$E$11*12,'Calc'!$W$13,'Calc'!$Y$13))))))</x:f>
      </x:c>
      <x:c r="M377" t="str">
        <x:f>IF(Calc!$I$377&gt;'Calc'!$B$8,"",IF('Calc'!$E$13=1,0,MIN(Calc!$K$376*(1+'财富模型'!$E$20/12)+'Calc'!$B$6,IF(Calc!$I$377&lt;='财富模型'!$E$11*12,'Calc'!$W$13,'Calc'!$Y$13))))</x:f>
      </x:c>
      <x:c r="N377" t="str">
        <x:f>IF(Calc!$I$377&gt;'Calc'!$B$8,"",'Calc'!$B$5-'财富模型'!$E$5-(IF('Calc'!$E$13=1,'财富模型'!$E$9,'财富模型'!$M$5+IF(Calc!$I$377&lt;='财富模型'!$E$11*12,'Calc'!$W$13,'Calc'!$Y$13)-(IF('Calc'!$E$13=1,0,MIN(Calc!$K$376*(1+'财富模型'!$E$20/12)+'Calc'!$B$6,IF(Calc!$I$377&lt;='财富模型'!$E$11*12,'Calc'!$W$13,'Calc'!$Y$13)))))))</x:f>
      </x:c>
      <x:c r="O377" t="str">
        <x:f>IF(Calc!$I$377&gt;'Calc'!$B$8,"",IF('Calc'!$E$13=1,0,MAX(Calc!$O$376*(1+IF(Calc!$I$377&lt;='财富模型'!$E$11*12,'财富模型'!$E$10,'财富模型'!$E$12)/12)-IF('Calc'!$E$13=1,0,IF(Calc!$I$377&lt;='财富模型'!$E$11*12,'Calc'!$W$13,'Calc'!$Y$13)),0)))</x:f>
      </x:c>
      <x:c r="Q377" t="n">
        <x:v>356</x:v>
      </x:c>
      <x:c r="R377" t="str">
        <x:f>IF(Calc!$Q$377&gt;'Calc'!$B$8,"",MAX(Calc!$R$376*(1+'财富模型'!$E$6/12)+('Calc'!$B$5-'财富模型'!$E$5-(IF('Calc'!$E$14=1,'财富模型'!$E$9,'财富模型'!$M$6+IF(Calc!$Q$377&lt;='财富模型'!$E$11*12,'Calc'!$W$14,'Calc'!$Y$14)-(IF('Calc'!$E$14=1,0,MIN(Calc!$S$376*(1+'财富模型'!$E$20/12)+'Calc'!$B$6,IF(Calc!$Q$377&lt;='财富模型'!$E$11*12,'Calc'!$W$14,'Calc'!$Y$14))))))),0))</x:f>
      </x:c>
      <x:c r="S377" t="str">
        <x:f>IF(Calc!$Q$377&gt;'Calc'!$B$8,"",MAX(Calc!$S$376*(1+'财富模型'!$E$20/12)+'Calc'!$B$6-(IF('Calc'!$E$14=1,0,MIN(Calc!$S$376*(1+'财富模型'!$E$20/12)+'Calc'!$B$6,IF(Calc!$Q$377&lt;='财富模型'!$E$11*12,'Calc'!$W$14,'Calc'!$Y$14)))),0))</x:f>
      </x:c>
      <x:c r="T377" t="str">
        <x:f>IF(Calc!$Q$377&gt;'Calc'!$B$8,"",IF('Calc'!$E$14=1,'财富模型'!$E$9,'财富模型'!$M$6+IF(Calc!$Q$377&lt;='财富模型'!$E$11*12,'Calc'!$W$14,'Calc'!$Y$14)-(IF('Calc'!$E$14=1,0,MIN(Calc!$S$376*(1+'财富模型'!$E$20/12)+'Calc'!$B$6,IF(Calc!$Q$377&lt;='财富模型'!$E$11*12,'Calc'!$W$14,'Calc'!$Y$14))))))</x:f>
      </x:c>
      <x:c r="U377" t="str">
        <x:f>IF(Calc!$Q$377&gt;'Calc'!$B$8,"",IF('Calc'!$E$14=1,0,MIN(Calc!$S$376*(1+'财富模型'!$E$20/12)+'Calc'!$B$6,IF(Calc!$Q$377&lt;='财富模型'!$E$11*12,'Calc'!$W$14,'Calc'!$Y$14))))</x:f>
      </x:c>
      <x:c r="V377" t="str">
        <x:f>IF(Calc!$Q$377&gt;'Calc'!$B$8,"",'Calc'!$B$5-'财富模型'!$E$5-(IF('Calc'!$E$14=1,'财富模型'!$E$9,'财富模型'!$M$6+IF(Calc!$Q$377&lt;='财富模型'!$E$11*12,'Calc'!$W$14,'Calc'!$Y$14)-(IF('Calc'!$E$14=1,0,MIN(Calc!$S$376*(1+'财富模型'!$E$20/12)+'Calc'!$B$6,IF(Calc!$Q$377&lt;='财富模型'!$E$11*12,'Calc'!$W$14,'Calc'!$Y$14)))))))</x:f>
      </x:c>
      <x:c r="W377" t="str">
        <x:f>IF(Calc!$Q$377&gt;'Calc'!$B$8,"",IF('Calc'!$E$14=1,0,MAX(Calc!$W$376*(1+IF(Calc!$Q$377&lt;='财富模型'!$E$11*12,'财富模型'!$E$10,'财富模型'!$E$12)/12)-IF('Calc'!$E$14=1,0,IF(Calc!$Q$377&lt;='财富模型'!$E$11*12,'Calc'!$W$14,'Calc'!$Y$14)),0)))</x:f>
      </x:c>
      <x:c r="Y377" t="n">
        <x:v>356</x:v>
      </x:c>
      <x:c r="Z377" t="str">
        <x:f>IF(Calc!$Y$377&gt;'Calc'!$B$8,"",MAX(Calc!$Z$376*(1+'财富模型'!$E$6/12)+('Calc'!$B$5-'财富模型'!$E$5-(IF('Calc'!$E$15=1,'财富模型'!$E$9,'财富模型'!$M$7+IF(Calc!$Y$377&lt;='财富模型'!$E$11*12,'Calc'!$W$15,'Calc'!$Y$15)-(IF('Calc'!$E$15=1,0,MIN(Calc!$AA$376*(1+'财富模型'!$E$20/12)+'Calc'!$B$6,IF(Calc!$Y$377&lt;='财富模型'!$E$11*12,'Calc'!$W$15,'Calc'!$Y$15))))))),0))</x:f>
      </x:c>
      <x:c r="AA377" t="str">
        <x:f>IF(Calc!$Y$377&gt;'Calc'!$B$8,"",MAX(Calc!$AA$376*(1+'财富模型'!$E$20/12)+'Calc'!$B$6-(IF('Calc'!$E$15=1,0,MIN(Calc!$AA$376*(1+'财富模型'!$E$20/12)+'Calc'!$B$6,IF(Calc!$Y$377&lt;='财富模型'!$E$11*12,'Calc'!$W$15,'Calc'!$Y$15)))),0))</x:f>
      </x:c>
      <x:c r="AB377" t="str">
        <x:f>IF(Calc!$Y$377&gt;'Calc'!$B$8,"",IF('Calc'!$E$15=1,'财富模型'!$E$9,'财富模型'!$M$7+IF(Calc!$Y$377&lt;='财富模型'!$E$11*12,'Calc'!$W$15,'Calc'!$Y$15)-(IF('Calc'!$E$15=1,0,MIN(Calc!$AA$376*(1+'财富模型'!$E$20/12)+'Calc'!$B$6,IF(Calc!$Y$377&lt;='财富模型'!$E$11*12,'Calc'!$W$15,'Calc'!$Y$15))))))</x:f>
      </x:c>
      <x:c r="AC377" t="str">
        <x:f>IF(Calc!$Y$377&gt;'Calc'!$B$8,"",IF('Calc'!$E$15=1,0,MIN(Calc!$AA$376*(1+'财富模型'!$E$20/12)+'Calc'!$B$6,IF(Calc!$Y$377&lt;='财富模型'!$E$11*12,'Calc'!$W$15,'Calc'!$Y$15))))</x:f>
      </x:c>
      <x:c r="AD377" t="str">
        <x:f>IF(Calc!$Y$377&gt;'Calc'!$B$8,"",'Calc'!$B$5-'财富模型'!$E$5-(IF('Calc'!$E$15=1,'财富模型'!$E$9,'财富模型'!$M$7+IF(Calc!$Y$377&lt;='财富模型'!$E$11*12,'Calc'!$W$15,'Calc'!$Y$15)-(IF('Calc'!$E$15=1,0,MIN(Calc!$AA$376*(1+'财富模型'!$E$20/12)+'Calc'!$B$6,IF(Calc!$Y$377&lt;='财富模型'!$E$11*12,'Calc'!$W$15,'Calc'!$Y$15)))))))</x:f>
      </x:c>
      <x:c r="AE377" t="str">
        <x:f>IF(Calc!$Y$377&gt;'Calc'!$B$8,"",IF('Calc'!$E$15=1,0,MAX(Calc!$AE$376*(1+IF(Calc!$Y$377&lt;='财富模型'!$E$11*12,'财富模型'!$E$10,'财富模型'!$E$12)/12)-IF('Calc'!$E$15=1,0,IF(Calc!$Y$377&lt;='财富模型'!$E$11*12,'Calc'!$W$15,'Calc'!$Y$15)),0)))</x:f>
      </x:c>
      <x:c r="AG377" t="n">
        <x:v>356</x:v>
      </x:c>
      <x:c r="AH377" t="str">
        <x:f>IF(Calc!$AG$377&gt;'Calc'!$B$8,"",MAX(Calc!$AH$376*(1+'财富模型'!$E$6/12)+('Calc'!$B$5-'财富模型'!$E$5-(IF('Calc'!$E$16=1,'财富模型'!$E$9,'财富模型'!$M$8+IF(Calc!$AG$377&lt;='财富模型'!$E$11*12,'Calc'!$W$16,'Calc'!$Y$16)-(IF('Calc'!$E$16=1,0,MIN(Calc!$AI$376*(1+'财富模型'!$E$20/12)+'Calc'!$B$6,IF(Calc!$AG$377&lt;='财富模型'!$E$11*12,'Calc'!$W$16,'Calc'!$Y$16))))))),0))</x:f>
      </x:c>
      <x:c r="AI377" t="str">
        <x:f>IF(Calc!$AG$377&gt;'Calc'!$B$8,"",MAX(Calc!$AI$376*(1+'财富模型'!$E$20/12)+'Calc'!$B$6-(IF('Calc'!$E$16=1,0,MIN(Calc!$AI$376*(1+'财富模型'!$E$20/12)+'Calc'!$B$6,IF(Calc!$AG$377&lt;='财富模型'!$E$11*12,'Calc'!$W$16,'Calc'!$Y$16)))),0))</x:f>
      </x:c>
      <x:c r="AJ377" t="str">
        <x:f>IF(Calc!$AG$377&gt;'Calc'!$B$8,"",IF('Calc'!$E$16=1,'财富模型'!$E$9,'财富模型'!$M$8+IF(Calc!$AG$377&lt;='财富模型'!$E$11*12,'Calc'!$W$16,'Calc'!$Y$16)-(IF('Calc'!$E$16=1,0,MIN(Calc!$AI$376*(1+'财富模型'!$E$20/12)+'Calc'!$B$6,IF(Calc!$AG$377&lt;='财富模型'!$E$11*12,'Calc'!$W$16,'Calc'!$Y$16))))))</x:f>
      </x:c>
      <x:c r="AK377" t="str">
        <x:f>IF(Calc!$AG$377&gt;'Calc'!$B$8,"",IF('Calc'!$E$16=1,0,MIN(Calc!$AI$376*(1+'财富模型'!$E$20/12)+'Calc'!$B$6,IF(Calc!$AG$377&lt;='财富模型'!$E$11*12,'Calc'!$W$16,'Calc'!$Y$16))))</x:f>
      </x:c>
      <x:c r="AL377" t="str">
        <x:f>IF(Calc!$AG$377&gt;'Calc'!$B$8,"",'Calc'!$B$5-'财富模型'!$E$5-(IF('Calc'!$E$16=1,'财富模型'!$E$9,'财富模型'!$M$8+IF(Calc!$AG$377&lt;='财富模型'!$E$11*12,'Calc'!$W$16,'Calc'!$Y$16)-(IF('Calc'!$E$16=1,0,MIN(Calc!$AI$376*(1+'财富模型'!$E$20/12)+'Calc'!$B$6,IF(Calc!$AG$377&lt;='财富模型'!$E$11*12,'Calc'!$W$16,'Calc'!$Y$16)))))))</x:f>
      </x:c>
      <x:c r="AM377" t="str">
        <x:f>IF(Calc!$AG$377&gt;'Calc'!$B$8,"",IF('Calc'!$E$16=1,0,MAX(Calc!$AM$376*(1+IF(Calc!$AG$377&lt;='财富模型'!$E$11*12,'财富模型'!$E$10,'财富模型'!$E$12)/12)-IF('Calc'!$E$16=1,0,IF(Calc!$AG$377&lt;='财富模型'!$E$11*12,'Calc'!$W$16,'Calc'!$Y$16)),0)))</x:f>
      </x:c>
      <x:c r="AO377" t="n">
        <x:v>356</x:v>
      </x:c>
      <x:c r="AP377" t="str">
        <x:f>IF(Calc!$AO$377&gt;'Calc'!$B$8,"",MAX(Calc!$AP$376*(1+'财富模型'!$E$6/12)+('Calc'!$B$5-'财富模型'!$E$5-(IF('Calc'!$E$17=1,'财富模型'!$E$9,'财富模型'!$M$9+IF(Calc!$AO$377&lt;='财富模型'!$E$11*12,'Calc'!$W$17,'Calc'!$Y$17)-(IF('Calc'!$E$17=1,0,MIN(Calc!$AQ$376*(1+'财富模型'!$E$20/12)+'Calc'!$B$6,IF(Calc!$AO$377&lt;='财富模型'!$E$11*12,'Calc'!$W$17,'Calc'!$Y$17))))))),0))</x:f>
      </x:c>
      <x:c r="AQ377" t="str">
        <x:f>IF(Calc!$AO$377&gt;'Calc'!$B$8,"",MAX(Calc!$AQ$376*(1+'财富模型'!$E$20/12)+'Calc'!$B$6-(IF('Calc'!$E$17=1,0,MIN(Calc!$AQ$376*(1+'财富模型'!$E$20/12)+'Calc'!$B$6,IF(Calc!$AO$377&lt;='财富模型'!$E$11*12,'Calc'!$W$17,'Calc'!$Y$17)))),0))</x:f>
      </x:c>
      <x:c r="AR377" t="str">
        <x:f>IF(Calc!$AO$377&gt;'Calc'!$B$8,"",IF('Calc'!$E$17=1,'财富模型'!$E$9,'财富模型'!$M$9+IF(Calc!$AO$377&lt;='财富模型'!$E$11*12,'Calc'!$W$17,'Calc'!$Y$17)-(IF('Calc'!$E$17=1,0,MIN(Calc!$AQ$376*(1+'财富模型'!$E$20/12)+'Calc'!$B$6,IF(Calc!$AO$377&lt;='财富模型'!$E$11*12,'Calc'!$W$17,'Calc'!$Y$17))))))</x:f>
      </x:c>
      <x:c r="AS377" t="str">
        <x:f>IF(Calc!$AO$377&gt;'Calc'!$B$8,"",IF('Calc'!$E$17=1,0,MIN(Calc!$AQ$376*(1+'财富模型'!$E$20/12)+'Calc'!$B$6,IF(Calc!$AO$377&lt;='财富模型'!$E$11*12,'Calc'!$W$17,'Calc'!$Y$17))))</x:f>
      </x:c>
      <x:c r="AT377" t="str">
        <x:f>IF(Calc!$AO$377&gt;'Calc'!$B$8,"",'Calc'!$B$5-'财富模型'!$E$5-(IF('Calc'!$E$17=1,'财富模型'!$E$9,'财富模型'!$M$9+IF(Calc!$AO$377&lt;='财富模型'!$E$11*12,'Calc'!$W$17,'Calc'!$Y$17)-(IF('Calc'!$E$17=1,0,MIN(Calc!$AQ$376*(1+'财富模型'!$E$20/12)+'Calc'!$B$6,IF(Calc!$AO$377&lt;='财富模型'!$E$11*12,'Calc'!$W$17,'Calc'!$Y$17)))))))</x:f>
      </x:c>
      <x:c r="AU377" t="str">
        <x:f>IF(Calc!$AO$377&gt;'Calc'!$B$8,"",IF('Calc'!$E$17=1,0,MAX(Calc!$AU$376*(1+IF(Calc!$AO$377&lt;='财富模型'!$E$11*12,'财富模型'!$E$10,'财富模型'!$E$12)/12)-IF('Calc'!$E$17=1,0,IF(Calc!$AO$377&lt;='财富模型'!$E$11*12,'Calc'!$W$17,'Calc'!$Y$17)),0)))</x:f>
      </x:c>
    </x:row>
    <x:row r="378">
      <x:c r="A378" t="n">
        <x:v>357</x:v>
      </x:c>
      <x:c r="B378" t="str">
        <x:f>IF(Calc!$A$378&gt;'Calc'!$B$8,"",MAX(Calc!$B$377*(1+'财富模型'!$E$6/12)+('Calc'!$B$5-'财富模型'!$E$5-(IF('Calc'!$E$12=1,'财富模型'!$E$9,'财富模型'!$M$4+IF(Calc!$A$378&lt;='财富模型'!$E$11*12,'Calc'!$W$12,'Calc'!$Y$12)-(IF('Calc'!$E$12=1,0,MIN(Calc!$C$377*(1+'财富模型'!$E$20/12)+'Calc'!$B$6,IF(Calc!$A$378&lt;='财富模型'!$E$11*12,'Calc'!$W$12,'Calc'!$Y$12))))))),0))</x:f>
      </x:c>
      <x:c r="C378" t="str">
        <x:f>IF(Calc!$A$378&gt;'Calc'!$B$8,"",MAX(Calc!$C$377*(1+'财富模型'!$E$20/12)+'Calc'!$B$6-(IF('Calc'!$E$12=1,0,MIN(Calc!$C$377*(1+'财富模型'!$E$20/12)+'Calc'!$B$6,IF(Calc!$A$378&lt;='财富模型'!$E$11*12,'Calc'!$W$12,'Calc'!$Y$12)))),0))</x:f>
      </x:c>
      <x:c r="D378" t="str">
        <x:f>IF(Calc!$A$378&gt;'Calc'!$B$8,"",IF('Calc'!$E$12=1,'财富模型'!$E$9,'财富模型'!$M$4+IF(Calc!$A$378&lt;='财富模型'!$E$11*12,'Calc'!$W$12,'Calc'!$Y$12)-(IF('Calc'!$E$12=1,0,MIN(Calc!$C$377*(1+'财富模型'!$E$20/12)+'Calc'!$B$6,IF(Calc!$A$378&lt;='财富模型'!$E$11*12,'Calc'!$W$12,'Calc'!$Y$12))))))</x:f>
      </x:c>
      <x:c r="E378" t="str">
        <x:f>IF(Calc!$A$378&gt;'Calc'!$B$8,"",IF('Calc'!$E$12=1,0,MIN(Calc!$C$377*(1+'财富模型'!$E$20/12)+'Calc'!$B$6,IF(Calc!$A$378&lt;='财富模型'!$E$11*12,'Calc'!$W$12,'Calc'!$Y$12))))</x:f>
      </x:c>
      <x:c r="F378" t="str">
        <x:f>IF(Calc!$A$378&gt;'Calc'!$B$8,"",'Calc'!$B$5-'财富模型'!$E$5-(IF('Calc'!$E$12=1,'财富模型'!$E$9,'财富模型'!$M$4+IF(Calc!$A$378&lt;='财富模型'!$E$11*12,'Calc'!$W$12,'Calc'!$Y$12)-(IF('Calc'!$E$12=1,0,MIN(Calc!$C$377*(1+'财富模型'!$E$20/12)+'Calc'!$B$6,IF(Calc!$A$378&lt;='财富模型'!$E$11*12,'Calc'!$W$12,'Calc'!$Y$12)))))))</x:f>
      </x:c>
      <x:c r="G378" t="str">
        <x:f>IF(Calc!$A$378&gt;'Calc'!$B$8,"",IF('Calc'!$E$12=1,0,MAX(Calc!$G$377*(1+IF(Calc!$A$378&lt;='财富模型'!$E$11*12,'财富模型'!$E$10,'财富模型'!$E$12)/12)-IF('Calc'!$E$12=1,0,IF(Calc!$A$378&lt;='财富模型'!$E$11*12,'Calc'!$W$12,'Calc'!$Y$12)),0)))</x:f>
      </x:c>
      <x:c r="I378" t="n">
        <x:v>357</x:v>
      </x:c>
      <x:c r="J378" t="str">
        <x:f>IF(Calc!$I$378&gt;'Calc'!$B$8,"",MAX(Calc!$J$377*(1+'财富模型'!$E$6/12)+('Calc'!$B$5-'财富模型'!$E$5-(IF('Calc'!$E$13=1,'财富模型'!$E$9,'财富模型'!$M$5+IF(Calc!$I$378&lt;='财富模型'!$E$11*12,'Calc'!$W$13,'Calc'!$Y$13)-(IF('Calc'!$E$13=1,0,MIN(Calc!$K$377*(1+'财富模型'!$E$20/12)+'Calc'!$B$6,IF(Calc!$I$378&lt;='财富模型'!$E$11*12,'Calc'!$W$13,'Calc'!$Y$13))))))),0))</x:f>
      </x:c>
      <x:c r="K378" t="str">
        <x:f>IF(Calc!$I$378&gt;'Calc'!$B$8,"",MAX(Calc!$K$377*(1+'财富模型'!$E$20/12)+'Calc'!$B$6-(IF('Calc'!$E$13=1,0,MIN(Calc!$K$377*(1+'财富模型'!$E$20/12)+'Calc'!$B$6,IF(Calc!$I$378&lt;='财富模型'!$E$11*12,'Calc'!$W$13,'Calc'!$Y$13)))),0))</x:f>
      </x:c>
      <x:c r="L378" t="str">
        <x:f>IF(Calc!$I$378&gt;'Calc'!$B$8,"",IF('Calc'!$E$13=1,'财富模型'!$E$9,'财富模型'!$M$5+IF(Calc!$I$378&lt;='财富模型'!$E$11*12,'Calc'!$W$13,'Calc'!$Y$13)-(IF('Calc'!$E$13=1,0,MIN(Calc!$K$377*(1+'财富模型'!$E$20/12)+'Calc'!$B$6,IF(Calc!$I$378&lt;='财富模型'!$E$11*12,'Calc'!$W$13,'Calc'!$Y$13))))))</x:f>
      </x:c>
      <x:c r="M378" t="str">
        <x:f>IF(Calc!$I$378&gt;'Calc'!$B$8,"",IF('Calc'!$E$13=1,0,MIN(Calc!$K$377*(1+'财富模型'!$E$20/12)+'Calc'!$B$6,IF(Calc!$I$378&lt;='财富模型'!$E$11*12,'Calc'!$W$13,'Calc'!$Y$13))))</x:f>
      </x:c>
      <x:c r="N378" t="str">
        <x:f>IF(Calc!$I$378&gt;'Calc'!$B$8,"",'Calc'!$B$5-'财富模型'!$E$5-(IF('Calc'!$E$13=1,'财富模型'!$E$9,'财富模型'!$M$5+IF(Calc!$I$378&lt;='财富模型'!$E$11*12,'Calc'!$W$13,'Calc'!$Y$13)-(IF('Calc'!$E$13=1,0,MIN(Calc!$K$377*(1+'财富模型'!$E$20/12)+'Calc'!$B$6,IF(Calc!$I$378&lt;='财富模型'!$E$11*12,'Calc'!$W$13,'Calc'!$Y$13)))))))</x:f>
      </x:c>
      <x:c r="O378" t="str">
        <x:f>IF(Calc!$I$378&gt;'Calc'!$B$8,"",IF('Calc'!$E$13=1,0,MAX(Calc!$O$377*(1+IF(Calc!$I$378&lt;='财富模型'!$E$11*12,'财富模型'!$E$10,'财富模型'!$E$12)/12)-IF('Calc'!$E$13=1,0,IF(Calc!$I$378&lt;='财富模型'!$E$11*12,'Calc'!$W$13,'Calc'!$Y$13)),0)))</x:f>
      </x:c>
      <x:c r="Q378" t="n">
        <x:v>357</x:v>
      </x:c>
      <x:c r="R378" t="str">
        <x:f>IF(Calc!$Q$378&gt;'Calc'!$B$8,"",MAX(Calc!$R$377*(1+'财富模型'!$E$6/12)+('Calc'!$B$5-'财富模型'!$E$5-(IF('Calc'!$E$14=1,'财富模型'!$E$9,'财富模型'!$M$6+IF(Calc!$Q$378&lt;='财富模型'!$E$11*12,'Calc'!$W$14,'Calc'!$Y$14)-(IF('Calc'!$E$14=1,0,MIN(Calc!$S$377*(1+'财富模型'!$E$20/12)+'Calc'!$B$6,IF(Calc!$Q$378&lt;='财富模型'!$E$11*12,'Calc'!$W$14,'Calc'!$Y$14))))))),0))</x:f>
      </x:c>
      <x:c r="S378" t="str">
        <x:f>IF(Calc!$Q$378&gt;'Calc'!$B$8,"",MAX(Calc!$S$377*(1+'财富模型'!$E$20/12)+'Calc'!$B$6-(IF('Calc'!$E$14=1,0,MIN(Calc!$S$377*(1+'财富模型'!$E$20/12)+'Calc'!$B$6,IF(Calc!$Q$378&lt;='财富模型'!$E$11*12,'Calc'!$W$14,'Calc'!$Y$14)))),0))</x:f>
      </x:c>
      <x:c r="T378" t="str">
        <x:f>IF(Calc!$Q$378&gt;'Calc'!$B$8,"",IF('Calc'!$E$14=1,'财富模型'!$E$9,'财富模型'!$M$6+IF(Calc!$Q$378&lt;='财富模型'!$E$11*12,'Calc'!$W$14,'Calc'!$Y$14)-(IF('Calc'!$E$14=1,0,MIN(Calc!$S$377*(1+'财富模型'!$E$20/12)+'Calc'!$B$6,IF(Calc!$Q$378&lt;='财富模型'!$E$11*12,'Calc'!$W$14,'Calc'!$Y$14))))))</x:f>
      </x:c>
      <x:c r="U378" t="str">
        <x:f>IF(Calc!$Q$378&gt;'Calc'!$B$8,"",IF('Calc'!$E$14=1,0,MIN(Calc!$S$377*(1+'财富模型'!$E$20/12)+'Calc'!$B$6,IF(Calc!$Q$378&lt;='财富模型'!$E$11*12,'Calc'!$W$14,'Calc'!$Y$14))))</x:f>
      </x:c>
      <x:c r="V378" t="str">
        <x:f>IF(Calc!$Q$378&gt;'Calc'!$B$8,"",'Calc'!$B$5-'财富模型'!$E$5-(IF('Calc'!$E$14=1,'财富模型'!$E$9,'财富模型'!$M$6+IF(Calc!$Q$378&lt;='财富模型'!$E$11*12,'Calc'!$W$14,'Calc'!$Y$14)-(IF('Calc'!$E$14=1,0,MIN(Calc!$S$377*(1+'财富模型'!$E$20/12)+'Calc'!$B$6,IF(Calc!$Q$378&lt;='财富模型'!$E$11*12,'Calc'!$W$14,'Calc'!$Y$14)))))))</x:f>
      </x:c>
      <x:c r="W378" t="str">
        <x:f>IF(Calc!$Q$378&gt;'Calc'!$B$8,"",IF('Calc'!$E$14=1,0,MAX(Calc!$W$377*(1+IF(Calc!$Q$378&lt;='财富模型'!$E$11*12,'财富模型'!$E$10,'财富模型'!$E$12)/12)-IF('Calc'!$E$14=1,0,IF(Calc!$Q$378&lt;='财富模型'!$E$11*12,'Calc'!$W$14,'Calc'!$Y$14)),0)))</x:f>
      </x:c>
      <x:c r="Y378" t="n">
        <x:v>357</x:v>
      </x:c>
      <x:c r="Z378" t="str">
        <x:f>IF(Calc!$Y$378&gt;'Calc'!$B$8,"",MAX(Calc!$Z$377*(1+'财富模型'!$E$6/12)+('Calc'!$B$5-'财富模型'!$E$5-(IF('Calc'!$E$15=1,'财富模型'!$E$9,'财富模型'!$M$7+IF(Calc!$Y$378&lt;='财富模型'!$E$11*12,'Calc'!$W$15,'Calc'!$Y$15)-(IF('Calc'!$E$15=1,0,MIN(Calc!$AA$377*(1+'财富模型'!$E$20/12)+'Calc'!$B$6,IF(Calc!$Y$378&lt;='财富模型'!$E$11*12,'Calc'!$W$15,'Calc'!$Y$15))))))),0))</x:f>
      </x:c>
      <x:c r="AA378" t="str">
        <x:f>IF(Calc!$Y$378&gt;'Calc'!$B$8,"",MAX(Calc!$AA$377*(1+'财富模型'!$E$20/12)+'Calc'!$B$6-(IF('Calc'!$E$15=1,0,MIN(Calc!$AA$377*(1+'财富模型'!$E$20/12)+'Calc'!$B$6,IF(Calc!$Y$378&lt;='财富模型'!$E$11*12,'Calc'!$W$15,'Calc'!$Y$15)))),0))</x:f>
      </x:c>
      <x:c r="AB378" t="str">
        <x:f>IF(Calc!$Y$378&gt;'Calc'!$B$8,"",IF('Calc'!$E$15=1,'财富模型'!$E$9,'财富模型'!$M$7+IF(Calc!$Y$378&lt;='财富模型'!$E$11*12,'Calc'!$W$15,'Calc'!$Y$15)-(IF('Calc'!$E$15=1,0,MIN(Calc!$AA$377*(1+'财富模型'!$E$20/12)+'Calc'!$B$6,IF(Calc!$Y$378&lt;='财富模型'!$E$11*12,'Calc'!$W$15,'Calc'!$Y$15))))))</x:f>
      </x:c>
      <x:c r="AC378" t="str">
        <x:f>IF(Calc!$Y$378&gt;'Calc'!$B$8,"",IF('Calc'!$E$15=1,0,MIN(Calc!$AA$377*(1+'财富模型'!$E$20/12)+'Calc'!$B$6,IF(Calc!$Y$378&lt;='财富模型'!$E$11*12,'Calc'!$W$15,'Calc'!$Y$15))))</x:f>
      </x:c>
      <x:c r="AD378" t="str">
        <x:f>IF(Calc!$Y$378&gt;'Calc'!$B$8,"",'Calc'!$B$5-'财富模型'!$E$5-(IF('Calc'!$E$15=1,'财富模型'!$E$9,'财富模型'!$M$7+IF(Calc!$Y$378&lt;='财富模型'!$E$11*12,'Calc'!$W$15,'Calc'!$Y$15)-(IF('Calc'!$E$15=1,0,MIN(Calc!$AA$377*(1+'财富模型'!$E$20/12)+'Calc'!$B$6,IF(Calc!$Y$378&lt;='财富模型'!$E$11*12,'Calc'!$W$15,'Calc'!$Y$15)))))))</x:f>
      </x:c>
      <x:c r="AE378" t="str">
        <x:f>IF(Calc!$Y$378&gt;'Calc'!$B$8,"",IF('Calc'!$E$15=1,0,MAX(Calc!$AE$377*(1+IF(Calc!$Y$378&lt;='财富模型'!$E$11*12,'财富模型'!$E$10,'财富模型'!$E$12)/12)-IF('Calc'!$E$15=1,0,IF(Calc!$Y$378&lt;='财富模型'!$E$11*12,'Calc'!$W$15,'Calc'!$Y$15)),0)))</x:f>
      </x:c>
      <x:c r="AG378" t="n">
        <x:v>357</x:v>
      </x:c>
      <x:c r="AH378" t="str">
        <x:f>IF(Calc!$AG$378&gt;'Calc'!$B$8,"",MAX(Calc!$AH$377*(1+'财富模型'!$E$6/12)+('Calc'!$B$5-'财富模型'!$E$5-(IF('Calc'!$E$16=1,'财富模型'!$E$9,'财富模型'!$M$8+IF(Calc!$AG$378&lt;='财富模型'!$E$11*12,'Calc'!$W$16,'Calc'!$Y$16)-(IF('Calc'!$E$16=1,0,MIN(Calc!$AI$377*(1+'财富模型'!$E$20/12)+'Calc'!$B$6,IF(Calc!$AG$378&lt;='财富模型'!$E$11*12,'Calc'!$W$16,'Calc'!$Y$16))))))),0))</x:f>
      </x:c>
      <x:c r="AI378" t="str">
        <x:f>IF(Calc!$AG$378&gt;'Calc'!$B$8,"",MAX(Calc!$AI$377*(1+'财富模型'!$E$20/12)+'Calc'!$B$6-(IF('Calc'!$E$16=1,0,MIN(Calc!$AI$377*(1+'财富模型'!$E$20/12)+'Calc'!$B$6,IF(Calc!$AG$378&lt;='财富模型'!$E$11*12,'Calc'!$W$16,'Calc'!$Y$16)))),0))</x:f>
      </x:c>
      <x:c r="AJ378" t="str">
        <x:f>IF(Calc!$AG$378&gt;'Calc'!$B$8,"",IF('Calc'!$E$16=1,'财富模型'!$E$9,'财富模型'!$M$8+IF(Calc!$AG$378&lt;='财富模型'!$E$11*12,'Calc'!$W$16,'Calc'!$Y$16)-(IF('Calc'!$E$16=1,0,MIN(Calc!$AI$377*(1+'财富模型'!$E$20/12)+'Calc'!$B$6,IF(Calc!$AG$378&lt;='财富模型'!$E$11*12,'Calc'!$W$16,'Calc'!$Y$16))))))</x:f>
      </x:c>
      <x:c r="AK378" t="str">
        <x:f>IF(Calc!$AG$378&gt;'Calc'!$B$8,"",IF('Calc'!$E$16=1,0,MIN(Calc!$AI$377*(1+'财富模型'!$E$20/12)+'Calc'!$B$6,IF(Calc!$AG$378&lt;='财富模型'!$E$11*12,'Calc'!$W$16,'Calc'!$Y$16))))</x:f>
      </x:c>
      <x:c r="AL378" t="str">
        <x:f>IF(Calc!$AG$378&gt;'Calc'!$B$8,"",'Calc'!$B$5-'财富模型'!$E$5-(IF('Calc'!$E$16=1,'财富模型'!$E$9,'财富模型'!$M$8+IF(Calc!$AG$378&lt;='财富模型'!$E$11*12,'Calc'!$W$16,'Calc'!$Y$16)-(IF('Calc'!$E$16=1,0,MIN(Calc!$AI$377*(1+'财富模型'!$E$20/12)+'Calc'!$B$6,IF(Calc!$AG$378&lt;='财富模型'!$E$11*12,'Calc'!$W$16,'Calc'!$Y$16)))))))</x:f>
      </x:c>
      <x:c r="AM378" t="str">
        <x:f>IF(Calc!$AG$378&gt;'Calc'!$B$8,"",IF('Calc'!$E$16=1,0,MAX(Calc!$AM$377*(1+IF(Calc!$AG$378&lt;='财富模型'!$E$11*12,'财富模型'!$E$10,'财富模型'!$E$12)/12)-IF('Calc'!$E$16=1,0,IF(Calc!$AG$378&lt;='财富模型'!$E$11*12,'Calc'!$W$16,'Calc'!$Y$16)),0)))</x:f>
      </x:c>
      <x:c r="AO378" t="n">
        <x:v>357</x:v>
      </x:c>
      <x:c r="AP378" t="str">
        <x:f>IF(Calc!$AO$378&gt;'Calc'!$B$8,"",MAX(Calc!$AP$377*(1+'财富模型'!$E$6/12)+('Calc'!$B$5-'财富模型'!$E$5-(IF('Calc'!$E$17=1,'财富模型'!$E$9,'财富模型'!$M$9+IF(Calc!$AO$378&lt;='财富模型'!$E$11*12,'Calc'!$W$17,'Calc'!$Y$17)-(IF('Calc'!$E$17=1,0,MIN(Calc!$AQ$377*(1+'财富模型'!$E$20/12)+'Calc'!$B$6,IF(Calc!$AO$378&lt;='财富模型'!$E$11*12,'Calc'!$W$17,'Calc'!$Y$17))))))),0))</x:f>
      </x:c>
      <x:c r="AQ378" t="str">
        <x:f>IF(Calc!$AO$378&gt;'Calc'!$B$8,"",MAX(Calc!$AQ$377*(1+'财富模型'!$E$20/12)+'Calc'!$B$6-(IF('Calc'!$E$17=1,0,MIN(Calc!$AQ$377*(1+'财富模型'!$E$20/12)+'Calc'!$B$6,IF(Calc!$AO$378&lt;='财富模型'!$E$11*12,'Calc'!$W$17,'Calc'!$Y$17)))),0))</x:f>
      </x:c>
      <x:c r="AR378" t="str">
        <x:f>IF(Calc!$AO$378&gt;'Calc'!$B$8,"",IF('Calc'!$E$17=1,'财富模型'!$E$9,'财富模型'!$M$9+IF(Calc!$AO$378&lt;='财富模型'!$E$11*12,'Calc'!$W$17,'Calc'!$Y$17)-(IF('Calc'!$E$17=1,0,MIN(Calc!$AQ$377*(1+'财富模型'!$E$20/12)+'Calc'!$B$6,IF(Calc!$AO$378&lt;='财富模型'!$E$11*12,'Calc'!$W$17,'Calc'!$Y$17))))))</x:f>
      </x:c>
      <x:c r="AS378" t="str">
        <x:f>IF(Calc!$AO$378&gt;'Calc'!$B$8,"",IF('Calc'!$E$17=1,0,MIN(Calc!$AQ$377*(1+'财富模型'!$E$20/12)+'Calc'!$B$6,IF(Calc!$AO$378&lt;='财富模型'!$E$11*12,'Calc'!$W$17,'Calc'!$Y$17))))</x:f>
      </x:c>
      <x:c r="AT378" t="str">
        <x:f>IF(Calc!$AO$378&gt;'Calc'!$B$8,"",'Calc'!$B$5-'财富模型'!$E$5-(IF('Calc'!$E$17=1,'财富模型'!$E$9,'财富模型'!$M$9+IF(Calc!$AO$378&lt;='财富模型'!$E$11*12,'Calc'!$W$17,'Calc'!$Y$17)-(IF('Calc'!$E$17=1,0,MIN(Calc!$AQ$377*(1+'财富模型'!$E$20/12)+'Calc'!$B$6,IF(Calc!$AO$378&lt;='财富模型'!$E$11*12,'Calc'!$W$17,'Calc'!$Y$17)))))))</x:f>
      </x:c>
      <x:c r="AU378" t="str">
        <x:f>IF(Calc!$AO$378&gt;'Calc'!$B$8,"",IF('Calc'!$E$17=1,0,MAX(Calc!$AU$377*(1+IF(Calc!$AO$378&lt;='财富模型'!$E$11*12,'财富模型'!$E$10,'财富模型'!$E$12)/12)-IF('Calc'!$E$17=1,0,IF(Calc!$AO$378&lt;='财富模型'!$E$11*12,'Calc'!$W$17,'Calc'!$Y$17)),0)))</x:f>
      </x:c>
    </x:row>
    <x:row r="379">
      <x:c r="A379" t="n">
        <x:v>358</x:v>
      </x:c>
      <x:c r="B379" t="str">
        <x:f>IF(Calc!$A$379&gt;'Calc'!$B$8,"",MAX(Calc!$B$378*(1+'财富模型'!$E$6/12)+('Calc'!$B$5-'财富模型'!$E$5-(IF('Calc'!$E$12=1,'财富模型'!$E$9,'财富模型'!$M$4+IF(Calc!$A$379&lt;='财富模型'!$E$11*12,'Calc'!$W$12,'Calc'!$Y$12)-(IF('Calc'!$E$12=1,0,MIN(Calc!$C$378*(1+'财富模型'!$E$20/12)+'Calc'!$B$6,IF(Calc!$A$379&lt;='财富模型'!$E$11*12,'Calc'!$W$12,'Calc'!$Y$12))))))),0))</x:f>
      </x:c>
      <x:c r="C379" t="str">
        <x:f>IF(Calc!$A$379&gt;'Calc'!$B$8,"",MAX(Calc!$C$378*(1+'财富模型'!$E$20/12)+'Calc'!$B$6-(IF('Calc'!$E$12=1,0,MIN(Calc!$C$378*(1+'财富模型'!$E$20/12)+'Calc'!$B$6,IF(Calc!$A$379&lt;='财富模型'!$E$11*12,'Calc'!$W$12,'Calc'!$Y$12)))),0))</x:f>
      </x:c>
      <x:c r="D379" t="str">
        <x:f>IF(Calc!$A$379&gt;'Calc'!$B$8,"",IF('Calc'!$E$12=1,'财富模型'!$E$9,'财富模型'!$M$4+IF(Calc!$A$379&lt;='财富模型'!$E$11*12,'Calc'!$W$12,'Calc'!$Y$12)-(IF('Calc'!$E$12=1,0,MIN(Calc!$C$378*(1+'财富模型'!$E$20/12)+'Calc'!$B$6,IF(Calc!$A$379&lt;='财富模型'!$E$11*12,'Calc'!$W$12,'Calc'!$Y$12))))))</x:f>
      </x:c>
      <x:c r="E379" t="str">
        <x:f>IF(Calc!$A$379&gt;'Calc'!$B$8,"",IF('Calc'!$E$12=1,0,MIN(Calc!$C$378*(1+'财富模型'!$E$20/12)+'Calc'!$B$6,IF(Calc!$A$379&lt;='财富模型'!$E$11*12,'Calc'!$W$12,'Calc'!$Y$12))))</x:f>
      </x:c>
      <x:c r="F379" t="str">
        <x:f>IF(Calc!$A$379&gt;'Calc'!$B$8,"",'Calc'!$B$5-'财富模型'!$E$5-(IF('Calc'!$E$12=1,'财富模型'!$E$9,'财富模型'!$M$4+IF(Calc!$A$379&lt;='财富模型'!$E$11*12,'Calc'!$W$12,'Calc'!$Y$12)-(IF('Calc'!$E$12=1,0,MIN(Calc!$C$378*(1+'财富模型'!$E$20/12)+'Calc'!$B$6,IF(Calc!$A$379&lt;='财富模型'!$E$11*12,'Calc'!$W$12,'Calc'!$Y$12)))))))</x:f>
      </x:c>
      <x:c r="G379" t="str">
        <x:f>IF(Calc!$A$379&gt;'Calc'!$B$8,"",IF('Calc'!$E$12=1,0,MAX(Calc!$G$378*(1+IF(Calc!$A$379&lt;='财富模型'!$E$11*12,'财富模型'!$E$10,'财富模型'!$E$12)/12)-IF('Calc'!$E$12=1,0,IF(Calc!$A$379&lt;='财富模型'!$E$11*12,'Calc'!$W$12,'Calc'!$Y$12)),0)))</x:f>
      </x:c>
      <x:c r="I379" t="n">
        <x:v>358</x:v>
      </x:c>
      <x:c r="J379" t="str">
        <x:f>IF(Calc!$I$379&gt;'Calc'!$B$8,"",MAX(Calc!$J$378*(1+'财富模型'!$E$6/12)+('Calc'!$B$5-'财富模型'!$E$5-(IF('Calc'!$E$13=1,'财富模型'!$E$9,'财富模型'!$M$5+IF(Calc!$I$379&lt;='财富模型'!$E$11*12,'Calc'!$W$13,'Calc'!$Y$13)-(IF('Calc'!$E$13=1,0,MIN(Calc!$K$378*(1+'财富模型'!$E$20/12)+'Calc'!$B$6,IF(Calc!$I$379&lt;='财富模型'!$E$11*12,'Calc'!$W$13,'Calc'!$Y$13))))))),0))</x:f>
      </x:c>
      <x:c r="K379" t="str">
        <x:f>IF(Calc!$I$379&gt;'Calc'!$B$8,"",MAX(Calc!$K$378*(1+'财富模型'!$E$20/12)+'Calc'!$B$6-(IF('Calc'!$E$13=1,0,MIN(Calc!$K$378*(1+'财富模型'!$E$20/12)+'Calc'!$B$6,IF(Calc!$I$379&lt;='财富模型'!$E$11*12,'Calc'!$W$13,'Calc'!$Y$13)))),0))</x:f>
      </x:c>
      <x:c r="L379" t="str">
        <x:f>IF(Calc!$I$379&gt;'Calc'!$B$8,"",IF('Calc'!$E$13=1,'财富模型'!$E$9,'财富模型'!$M$5+IF(Calc!$I$379&lt;='财富模型'!$E$11*12,'Calc'!$W$13,'Calc'!$Y$13)-(IF('Calc'!$E$13=1,0,MIN(Calc!$K$378*(1+'财富模型'!$E$20/12)+'Calc'!$B$6,IF(Calc!$I$379&lt;='财富模型'!$E$11*12,'Calc'!$W$13,'Calc'!$Y$13))))))</x:f>
      </x:c>
      <x:c r="M379" t="str">
        <x:f>IF(Calc!$I$379&gt;'Calc'!$B$8,"",IF('Calc'!$E$13=1,0,MIN(Calc!$K$378*(1+'财富模型'!$E$20/12)+'Calc'!$B$6,IF(Calc!$I$379&lt;='财富模型'!$E$11*12,'Calc'!$W$13,'Calc'!$Y$13))))</x:f>
      </x:c>
      <x:c r="N379" t="str">
        <x:f>IF(Calc!$I$379&gt;'Calc'!$B$8,"",'Calc'!$B$5-'财富模型'!$E$5-(IF('Calc'!$E$13=1,'财富模型'!$E$9,'财富模型'!$M$5+IF(Calc!$I$379&lt;='财富模型'!$E$11*12,'Calc'!$W$13,'Calc'!$Y$13)-(IF('Calc'!$E$13=1,0,MIN(Calc!$K$378*(1+'财富模型'!$E$20/12)+'Calc'!$B$6,IF(Calc!$I$379&lt;='财富模型'!$E$11*12,'Calc'!$W$13,'Calc'!$Y$13)))))))</x:f>
      </x:c>
      <x:c r="O379" t="str">
        <x:f>IF(Calc!$I$379&gt;'Calc'!$B$8,"",IF('Calc'!$E$13=1,0,MAX(Calc!$O$378*(1+IF(Calc!$I$379&lt;='财富模型'!$E$11*12,'财富模型'!$E$10,'财富模型'!$E$12)/12)-IF('Calc'!$E$13=1,0,IF(Calc!$I$379&lt;='财富模型'!$E$11*12,'Calc'!$W$13,'Calc'!$Y$13)),0)))</x:f>
      </x:c>
      <x:c r="Q379" t="n">
        <x:v>358</x:v>
      </x:c>
      <x:c r="R379" t="str">
        <x:f>IF(Calc!$Q$379&gt;'Calc'!$B$8,"",MAX(Calc!$R$378*(1+'财富模型'!$E$6/12)+('Calc'!$B$5-'财富模型'!$E$5-(IF('Calc'!$E$14=1,'财富模型'!$E$9,'财富模型'!$M$6+IF(Calc!$Q$379&lt;='财富模型'!$E$11*12,'Calc'!$W$14,'Calc'!$Y$14)-(IF('Calc'!$E$14=1,0,MIN(Calc!$S$378*(1+'财富模型'!$E$20/12)+'Calc'!$B$6,IF(Calc!$Q$379&lt;='财富模型'!$E$11*12,'Calc'!$W$14,'Calc'!$Y$14))))))),0))</x:f>
      </x:c>
      <x:c r="S379" t="str">
        <x:f>IF(Calc!$Q$379&gt;'Calc'!$B$8,"",MAX(Calc!$S$378*(1+'财富模型'!$E$20/12)+'Calc'!$B$6-(IF('Calc'!$E$14=1,0,MIN(Calc!$S$378*(1+'财富模型'!$E$20/12)+'Calc'!$B$6,IF(Calc!$Q$379&lt;='财富模型'!$E$11*12,'Calc'!$W$14,'Calc'!$Y$14)))),0))</x:f>
      </x:c>
      <x:c r="T379" t="str">
        <x:f>IF(Calc!$Q$379&gt;'Calc'!$B$8,"",IF('Calc'!$E$14=1,'财富模型'!$E$9,'财富模型'!$M$6+IF(Calc!$Q$379&lt;='财富模型'!$E$11*12,'Calc'!$W$14,'Calc'!$Y$14)-(IF('Calc'!$E$14=1,0,MIN(Calc!$S$378*(1+'财富模型'!$E$20/12)+'Calc'!$B$6,IF(Calc!$Q$379&lt;='财富模型'!$E$11*12,'Calc'!$W$14,'Calc'!$Y$14))))))</x:f>
      </x:c>
      <x:c r="U379" t="str">
        <x:f>IF(Calc!$Q$379&gt;'Calc'!$B$8,"",IF('Calc'!$E$14=1,0,MIN(Calc!$S$378*(1+'财富模型'!$E$20/12)+'Calc'!$B$6,IF(Calc!$Q$379&lt;='财富模型'!$E$11*12,'Calc'!$W$14,'Calc'!$Y$14))))</x:f>
      </x:c>
      <x:c r="V379" t="str">
        <x:f>IF(Calc!$Q$379&gt;'Calc'!$B$8,"",'Calc'!$B$5-'财富模型'!$E$5-(IF('Calc'!$E$14=1,'财富模型'!$E$9,'财富模型'!$M$6+IF(Calc!$Q$379&lt;='财富模型'!$E$11*12,'Calc'!$W$14,'Calc'!$Y$14)-(IF('Calc'!$E$14=1,0,MIN(Calc!$S$378*(1+'财富模型'!$E$20/12)+'Calc'!$B$6,IF(Calc!$Q$379&lt;='财富模型'!$E$11*12,'Calc'!$W$14,'Calc'!$Y$14)))))))</x:f>
      </x:c>
      <x:c r="W379" t="str">
        <x:f>IF(Calc!$Q$379&gt;'Calc'!$B$8,"",IF('Calc'!$E$14=1,0,MAX(Calc!$W$378*(1+IF(Calc!$Q$379&lt;='财富模型'!$E$11*12,'财富模型'!$E$10,'财富模型'!$E$12)/12)-IF('Calc'!$E$14=1,0,IF(Calc!$Q$379&lt;='财富模型'!$E$11*12,'Calc'!$W$14,'Calc'!$Y$14)),0)))</x:f>
      </x:c>
      <x:c r="Y379" t="n">
        <x:v>358</x:v>
      </x:c>
      <x:c r="Z379" t="str">
        <x:f>IF(Calc!$Y$379&gt;'Calc'!$B$8,"",MAX(Calc!$Z$378*(1+'财富模型'!$E$6/12)+('Calc'!$B$5-'财富模型'!$E$5-(IF('Calc'!$E$15=1,'财富模型'!$E$9,'财富模型'!$M$7+IF(Calc!$Y$379&lt;='财富模型'!$E$11*12,'Calc'!$W$15,'Calc'!$Y$15)-(IF('Calc'!$E$15=1,0,MIN(Calc!$AA$378*(1+'财富模型'!$E$20/12)+'Calc'!$B$6,IF(Calc!$Y$379&lt;='财富模型'!$E$11*12,'Calc'!$W$15,'Calc'!$Y$15))))))),0))</x:f>
      </x:c>
      <x:c r="AA379" t="str">
        <x:f>IF(Calc!$Y$379&gt;'Calc'!$B$8,"",MAX(Calc!$AA$378*(1+'财富模型'!$E$20/12)+'Calc'!$B$6-(IF('Calc'!$E$15=1,0,MIN(Calc!$AA$378*(1+'财富模型'!$E$20/12)+'Calc'!$B$6,IF(Calc!$Y$379&lt;='财富模型'!$E$11*12,'Calc'!$W$15,'Calc'!$Y$15)))),0))</x:f>
      </x:c>
      <x:c r="AB379" t="str">
        <x:f>IF(Calc!$Y$379&gt;'Calc'!$B$8,"",IF('Calc'!$E$15=1,'财富模型'!$E$9,'财富模型'!$M$7+IF(Calc!$Y$379&lt;='财富模型'!$E$11*12,'Calc'!$W$15,'Calc'!$Y$15)-(IF('Calc'!$E$15=1,0,MIN(Calc!$AA$378*(1+'财富模型'!$E$20/12)+'Calc'!$B$6,IF(Calc!$Y$379&lt;='财富模型'!$E$11*12,'Calc'!$W$15,'Calc'!$Y$15))))))</x:f>
      </x:c>
      <x:c r="AC379" t="str">
        <x:f>IF(Calc!$Y$379&gt;'Calc'!$B$8,"",IF('Calc'!$E$15=1,0,MIN(Calc!$AA$378*(1+'财富模型'!$E$20/12)+'Calc'!$B$6,IF(Calc!$Y$379&lt;='财富模型'!$E$11*12,'Calc'!$W$15,'Calc'!$Y$15))))</x:f>
      </x:c>
      <x:c r="AD379" t="str">
        <x:f>IF(Calc!$Y$379&gt;'Calc'!$B$8,"",'Calc'!$B$5-'财富模型'!$E$5-(IF('Calc'!$E$15=1,'财富模型'!$E$9,'财富模型'!$M$7+IF(Calc!$Y$379&lt;='财富模型'!$E$11*12,'Calc'!$W$15,'Calc'!$Y$15)-(IF('Calc'!$E$15=1,0,MIN(Calc!$AA$378*(1+'财富模型'!$E$20/12)+'Calc'!$B$6,IF(Calc!$Y$379&lt;='财富模型'!$E$11*12,'Calc'!$W$15,'Calc'!$Y$15)))))))</x:f>
      </x:c>
      <x:c r="AE379" t="str">
        <x:f>IF(Calc!$Y$379&gt;'Calc'!$B$8,"",IF('Calc'!$E$15=1,0,MAX(Calc!$AE$378*(1+IF(Calc!$Y$379&lt;='财富模型'!$E$11*12,'财富模型'!$E$10,'财富模型'!$E$12)/12)-IF('Calc'!$E$15=1,0,IF(Calc!$Y$379&lt;='财富模型'!$E$11*12,'Calc'!$W$15,'Calc'!$Y$15)),0)))</x:f>
      </x:c>
      <x:c r="AG379" t="n">
        <x:v>358</x:v>
      </x:c>
      <x:c r="AH379" t="str">
        <x:f>IF(Calc!$AG$379&gt;'Calc'!$B$8,"",MAX(Calc!$AH$378*(1+'财富模型'!$E$6/12)+('Calc'!$B$5-'财富模型'!$E$5-(IF('Calc'!$E$16=1,'财富模型'!$E$9,'财富模型'!$M$8+IF(Calc!$AG$379&lt;='财富模型'!$E$11*12,'Calc'!$W$16,'Calc'!$Y$16)-(IF('Calc'!$E$16=1,0,MIN(Calc!$AI$378*(1+'财富模型'!$E$20/12)+'Calc'!$B$6,IF(Calc!$AG$379&lt;='财富模型'!$E$11*12,'Calc'!$W$16,'Calc'!$Y$16))))))),0))</x:f>
      </x:c>
      <x:c r="AI379" t="str">
        <x:f>IF(Calc!$AG$379&gt;'Calc'!$B$8,"",MAX(Calc!$AI$378*(1+'财富模型'!$E$20/12)+'Calc'!$B$6-(IF('Calc'!$E$16=1,0,MIN(Calc!$AI$378*(1+'财富模型'!$E$20/12)+'Calc'!$B$6,IF(Calc!$AG$379&lt;='财富模型'!$E$11*12,'Calc'!$W$16,'Calc'!$Y$16)))),0))</x:f>
      </x:c>
      <x:c r="AJ379" t="str">
        <x:f>IF(Calc!$AG$379&gt;'Calc'!$B$8,"",IF('Calc'!$E$16=1,'财富模型'!$E$9,'财富模型'!$M$8+IF(Calc!$AG$379&lt;='财富模型'!$E$11*12,'Calc'!$W$16,'Calc'!$Y$16)-(IF('Calc'!$E$16=1,0,MIN(Calc!$AI$378*(1+'财富模型'!$E$20/12)+'Calc'!$B$6,IF(Calc!$AG$379&lt;='财富模型'!$E$11*12,'Calc'!$W$16,'Calc'!$Y$16))))))</x:f>
      </x:c>
      <x:c r="AK379" t="str">
        <x:f>IF(Calc!$AG$379&gt;'Calc'!$B$8,"",IF('Calc'!$E$16=1,0,MIN(Calc!$AI$378*(1+'财富模型'!$E$20/12)+'Calc'!$B$6,IF(Calc!$AG$379&lt;='财富模型'!$E$11*12,'Calc'!$W$16,'Calc'!$Y$16))))</x:f>
      </x:c>
      <x:c r="AL379" t="str">
        <x:f>IF(Calc!$AG$379&gt;'Calc'!$B$8,"",'Calc'!$B$5-'财富模型'!$E$5-(IF('Calc'!$E$16=1,'财富模型'!$E$9,'财富模型'!$M$8+IF(Calc!$AG$379&lt;='财富模型'!$E$11*12,'Calc'!$W$16,'Calc'!$Y$16)-(IF('Calc'!$E$16=1,0,MIN(Calc!$AI$378*(1+'财富模型'!$E$20/12)+'Calc'!$B$6,IF(Calc!$AG$379&lt;='财富模型'!$E$11*12,'Calc'!$W$16,'Calc'!$Y$16)))))))</x:f>
      </x:c>
      <x:c r="AM379" t="str">
        <x:f>IF(Calc!$AG$379&gt;'Calc'!$B$8,"",IF('Calc'!$E$16=1,0,MAX(Calc!$AM$378*(1+IF(Calc!$AG$379&lt;='财富模型'!$E$11*12,'财富模型'!$E$10,'财富模型'!$E$12)/12)-IF('Calc'!$E$16=1,0,IF(Calc!$AG$379&lt;='财富模型'!$E$11*12,'Calc'!$W$16,'Calc'!$Y$16)),0)))</x:f>
      </x:c>
      <x:c r="AO379" t="n">
        <x:v>358</x:v>
      </x:c>
      <x:c r="AP379" t="str">
        <x:f>IF(Calc!$AO$379&gt;'Calc'!$B$8,"",MAX(Calc!$AP$378*(1+'财富模型'!$E$6/12)+('Calc'!$B$5-'财富模型'!$E$5-(IF('Calc'!$E$17=1,'财富模型'!$E$9,'财富模型'!$M$9+IF(Calc!$AO$379&lt;='财富模型'!$E$11*12,'Calc'!$W$17,'Calc'!$Y$17)-(IF('Calc'!$E$17=1,0,MIN(Calc!$AQ$378*(1+'财富模型'!$E$20/12)+'Calc'!$B$6,IF(Calc!$AO$379&lt;='财富模型'!$E$11*12,'Calc'!$W$17,'Calc'!$Y$17))))))),0))</x:f>
      </x:c>
      <x:c r="AQ379" t="str">
        <x:f>IF(Calc!$AO$379&gt;'Calc'!$B$8,"",MAX(Calc!$AQ$378*(1+'财富模型'!$E$20/12)+'Calc'!$B$6-(IF('Calc'!$E$17=1,0,MIN(Calc!$AQ$378*(1+'财富模型'!$E$20/12)+'Calc'!$B$6,IF(Calc!$AO$379&lt;='财富模型'!$E$11*12,'Calc'!$W$17,'Calc'!$Y$17)))),0))</x:f>
      </x:c>
      <x:c r="AR379" t="str">
        <x:f>IF(Calc!$AO$379&gt;'Calc'!$B$8,"",IF('Calc'!$E$17=1,'财富模型'!$E$9,'财富模型'!$M$9+IF(Calc!$AO$379&lt;='财富模型'!$E$11*12,'Calc'!$W$17,'Calc'!$Y$17)-(IF('Calc'!$E$17=1,0,MIN(Calc!$AQ$378*(1+'财富模型'!$E$20/12)+'Calc'!$B$6,IF(Calc!$AO$379&lt;='财富模型'!$E$11*12,'Calc'!$W$17,'Calc'!$Y$17))))))</x:f>
      </x:c>
      <x:c r="AS379" t="str">
        <x:f>IF(Calc!$AO$379&gt;'Calc'!$B$8,"",IF('Calc'!$E$17=1,0,MIN(Calc!$AQ$378*(1+'财富模型'!$E$20/12)+'Calc'!$B$6,IF(Calc!$AO$379&lt;='财富模型'!$E$11*12,'Calc'!$W$17,'Calc'!$Y$17))))</x:f>
      </x:c>
      <x:c r="AT379" t="str">
        <x:f>IF(Calc!$AO$379&gt;'Calc'!$B$8,"",'Calc'!$B$5-'财富模型'!$E$5-(IF('Calc'!$E$17=1,'财富模型'!$E$9,'财富模型'!$M$9+IF(Calc!$AO$379&lt;='财富模型'!$E$11*12,'Calc'!$W$17,'Calc'!$Y$17)-(IF('Calc'!$E$17=1,0,MIN(Calc!$AQ$378*(1+'财富模型'!$E$20/12)+'Calc'!$B$6,IF(Calc!$AO$379&lt;='财富模型'!$E$11*12,'Calc'!$W$17,'Calc'!$Y$17)))))))</x:f>
      </x:c>
      <x:c r="AU379" t="str">
        <x:f>IF(Calc!$AO$379&gt;'Calc'!$B$8,"",IF('Calc'!$E$17=1,0,MAX(Calc!$AU$378*(1+IF(Calc!$AO$379&lt;='财富模型'!$E$11*12,'财富模型'!$E$10,'财富模型'!$E$12)/12)-IF('Calc'!$E$17=1,0,IF(Calc!$AO$379&lt;='财富模型'!$E$11*12,'Calc'!$W$17,'Calc'!$Y$17)),0)))</x:f>
      </x:c>
    </x:row>
    <x:row r="380">
      <x:c r="A380" t="n">
        <x:v>359</x:v>
      </x:c>
      <x:c r="B380" t="str">
        <x:f>IF(Calc!$A$380&gt;'Calc'!$B$8,"",MAX(Calc!$B$379*(1+'财富模型'!$E$6/12)+('Calc'!$B$5-'财富模型'!$E$5-(IF('Calc'!$E$12=1,'财富模型'!$E$9,'财富模型'!$M$4+IF(Calc!$A$380&lt;='财富模型'!$E$11*12,'Calc'!$W$12,'Calc'!$Y$12)-(IF('Calc'!$E$12=1,0,MIN(Calc!$C$379*(1+'财富模型'!$E$20/12)+'Calc'!$B$6,IF(Calc!$A$380&lt;='财富模型'!$E$11*12,'Calc'!$W$12,'Calc'!$Y$12))))))),0))</x:f>
      </x:c>
      <x:c r="C380" t="str">
        <x:f>IF(Calc!$A$380&gt;'Calc'!$B$8,"",MAX(Calc!$C$379*(1+'财富模型'!$E$20/12)+'Calc'!$B$6-(IF('Calc'!$E$12=1,0,MIN(Calc!$C$379*(1+'财富模型'!$E$20/12)+'Calc'!$B$6,IF(Calc!$A$380&lt;='财富模型'!$E$11*12,'Calc'!$W$12,'Calc'!$Y$12)))),0))</x:f>
      </x:c>
      <x:c r="D380" t="str">
        <x:f>IF(Calc!$A$380&gt;'Calc'!$B$8,"",IF('Calc'!$E$12=1,'财富模型'!$E$9,'财富模型'!$M$4+IF(Calc!$A$380&lt;='财富模型'!$E$11*12,'Calc'!$W$12,'Calc'!$Y$12)-(IF('Calc'!$E$12=1,0,MIN(Calc!$C$379*(1+'财富模型'!$E$20/12)+'Calc'!$B$6,IF(Calc!$A$380&lt;='财富模型'!$E$11*12,'Calc'!$W$12,'Calc'!$Y$12))))))</x:f>
      </x:c>
      <x:c r="E380" t="str">
        <x:f>IF(Calc!$A$380&gt;'Calc'!$B$8,"",IF('Calc'!$E$12=1,0,MIN(Calc!$C$379*(1+'财富模型'!$E$20/12)+'Calc'!$B$6,IF(Calc!$A$380&lt;='财富模型'!$E$11*12,'Calc'!$W$12,'Calc'!$Y$12))))</x:f>
      </x:c>
      <x:c r="F380" t="str">
        <x:f>IF(Calc!$A$380&gt;'Calc'!$B$8,"",'Calc'!$B$5-'财富模型'!$E$5-(IF('Calc'!$E$12=1,'财富模型'!$E$9,'财富模型'!$M$4+IF(Calc!$A$380&lt;='财富模型'!$E$11*12,'Calc'!$W$12,'Calc'!$Y$12)-(IF('Calc'!$E$12=1,0,MIN(Calc!$C$379*(1+'财富模型'!$E$20/12)+'Calc'!$B$6,IF(Calc!$A$380&lt;='财富模型'!$E$11*12,'Calc'!$W$12,'Calc'!$Y$12)))))))</x:f>
      </x:c>
      <x:c r="G380" t="str">
        <x:f>IF(Calc!$A$380&gt;'Calc'!$B$8,"",IF('Calc'!$E$12=1,0,MAX(Calc!$G$379*(1+IF(Calc!$A$380&lt;='财富模型'!$E$11*12,'财富模型'!$E$10,'财富模型'!$E$12)/12)-IF('Calc'!$E$12=1,0,IF(Calc!$A$380&lt;='财富模型'!$E$11*12,'Calc'!$W$12,'Calc'!$Y$12)),0)))</x:f>
      </x:c>
      <x:c r="I380" t="n">
        <x:v>359</x:v>
      </x:c>
      <x:c r="J380" t="str">
        <x:f>IF(Calc!$I$380&gt;'Calc'!$B$8,"",MAX(Calc!$J$379*(1+'财富模型'!$E$6/12)+('Calc'!$B$5-'财富模型'!$E$5-(IF('Calc'!$E$13=1,'财富模型'!$E$9,'财富模型'!$M$5+IF(Calc!$I$380&lt;='财富模型'!$E$11*12,'Calc'!$W$13,'Calc'!$Y$13)-(IF('Calc'!$E$13=1,0,MIN(Calc!$K$379*(1+'财富模型'!$E$20/12)+'Calc'!$B$6,IF(Calc!$I$380&lt;='财富模型'!$E$11*12,'Calc'!$W$13,'Calc'!$Y$13))))))),0))</x:f>
      </x:c>
      <x:c r="K380" t="str">
        <x:f>IF(Calc!$I$380&gt;'Calc'!$B$8,"",MAX(Calc!$K$379*(1+'财富模型'!$E$20/12)+'Calc'!$B$6-(IF('Calc'!$E$13=1,0,MIN(Calc!$K$379*(1+'财富模型'!$E$20/12)+'Calc'!$B$6,IF(Calc!$I$380&lt;='财富模型'!$E$11*12,'Calc'!$W$13,'Calc'!$Y$13)))),0))</x:f>
      </x:c>
      <x:c r="L380" t="str">
        <x:f>IF(Calc!$I$380&gt;'Calc'!$B$8,"",IF('Calc'!$E$13=1,'财富模型'!$E$9,'财富模型'!$M$5+IF(Calc!$I$380&lt;='财富模型'!$E$11*12,'Calc'!$W$13,'Calc'!$Y$13)-(IF('Calc'!$E$13=1,0,MIN(Calc!$K$379*(1+'财富模型'!$E$20/12)+'Calc'!$B$6,IF(Calc!$I$380&lt;='财富模型'!$E$11*12,'Calc'!$W$13,'Calc'!$Y$13))))))</x:f>
      </x:c>
      <x:c r="M380" t="str">
        <x:f>IF(Calc!$I$380&gt;'Calc'!$B$8,"",IF('Calc'!$E$13=1,0,MIN(Calc!$K$379*(1+'财富模型'!$E$20/12)+'Calc'!$B$6,IF(Calc!$I$380&lt;='财富模型'!$E$11*12,'Calc'!$W$13,'Calc'!$Y$13))))</x:f>
      </x:c>
      <x:c r="N380" t="str">
        <x:f>IF(Calc!$I$380&gt;'Calc'!$B$8,"",'Calc'!$B$5-'财富模型'!$E$5-(IF('Calc'!$E$13=1,'财富模型'!$E$9,'财富模型'!$M$5+IF(Calc!$I$380&lt;='财富模型'!$E$11*12,'Calc'!$W$13,'Calc'!$Y$13)-(IF('Calc'!$E$13=1,0,MIN(Calc!$K$379*(1+'财富模型'!$E$20/12)+'Calc'!$B$6,IF(Calc!$I$380&lt;='财富模型'!$E$11*12,'Calc'!$W$13,'Calc'!$Y$13)))))))</x:f>
      </x:c>
      <x:c r="O380" t="str">
        <x:f>IF(Calc!$I$380&gt;'Calc'!$B$8,"",IF('Calc'!$E$13=1,0,MAX(Calc!$O$379*(1+IF(Calc!$I$380&lt;='财富模型'!$E$11*12,'财富模型'!$E$10,'财富模型'!$E$12)/12)-IF('Calc'!$E$13=1,0,IF(Calc!$I$380&lt;='财富模型'!$E$11*12,'Calc'!$W$13,'Calc'!$Y$13)),0)))</x:f>
      </x:c>
      <x:c r="Q380" t="n">
        <x:v>359</x:v>
      </x:c>
      <x:c r="R380" t="str">
        <x:f>IF(Calc!$Q$380&gt;'Calc'!$B$8,"",MAX(Calc!$R$379*(1+'财富模型'!$E$6/12)+('Calc'!$B$5-'财富模型'!$E$5-(IF('Calc'!$E$14=1,'财富模型'!$E$9,'财富模型'!$M$6+IF(Calc!$Q$380&lt;='财富模型'!$E$11*12,'Calc'!$W$14,'Calc'!$Y$14)-(IF('Calc'!$E$14=1,0,MIN(Calc!$S$379*(1+'财富模型'!$E$20/12)+'Calc'!$B$6,IF(Calc!$Q$380&lt;='财富模型'!$E$11*12,'Calc'!$W$14,'Calc'!$Y$14))))))),0))</x:f>
      </x:c>
      <x:c r="S380" t="str">
        <x:f>IF(Calc!$Q$380&gt;'Calc'!$B$8,"",MAX(Calc!$S$379*(1+'财富模型'!$E$20/12)+'Calc'!$B$6-(IF('Calc'!$E$14=1,0,MIN(Calc!$S$379*(1+'财富模型'!$E$20/12)+'Calc'!$B$6,IF(Calc!$Q$380&lt;='财富模型'!$E$11*12,'Calc'!$W$14,'Calc'!$Y$14)))),0))</x:f>
      </x:c>
      <x:c r="T380" t="str">
        <x:f>IF(Calc!$Q$380&gt;'Calc'!$B$8,"",IF('Calc'!$E$14=1,'财富模型'!$E$9,'财富模型'!$M$6+IF(Calc!$Q$380&lt;='财富模型'!$E$11*12,'Calc'!$W$14,'Calc'!$Y$14)-(IF('Calc'!$E$14=1,0,MIN(Calc!$S$379*(1+'财富模型'!$E$20/12)+'Calc'!$B$6,IF(Calc!$Q$380&lt;='财富模型'!$E$11*12,'Calc'!$W$14,'Calc'!$Y$14))))))</x:f>
      </x:c>
      <x:c r="U380" t="str">
        <x:f>IF(Calc!$Q$380&gt;'Calc'!$B$8,"",IF('Calc'!$E$14=1,0,MIN(Calc!$S$379*(1+'财富模型'!$E$20/12)+'Calc'!$B$6,IF(Calc!$Q$380&lt;='财富模型'!$E$11*12,'Calc'!$W$14,'Calc'!$Y$14))))</x:f>
      </x:c>
      <x:c r="V380" t="str">
        <x:f>IF(Calc!$Q$380&gt;'Calc'!$B$8,"",'Calc'!$B$5-'财富模型'!$E$5-(IF('Calc'!$E$14=1,'财富模型'!$E$9,'财富模型'!$M$6+IF(Calc!$Q$380&lt;='财富模型'!$E$11*12,'Calc'!$W$14,'Calc'!$Y$14)-(IF('Calc'!$E$14=1,0,MIN(Calc!$S$379*(1+'财富模型'!$E$20/12)+'Calc'!$B$6,IF(Calc!$Q$380&lt;='财富模型'!$E$11*12,'Calc'!$W$14,'Calc'!$Y$14)))))))</x:f>
      </x:c>
      <x:c r="W380" t="str">
        <x:f>IF(Calc!$Q$380&gt;'Calc'!$B$8,"",IF('Calc'!$E$14=1,0,MAX(Calc!$W$379*(1+IF(Calc!$Q$380&lt;='财富模型'!$E$11*12,'财富模型'!$E$10,'财富模型'!$E$12)/12)-IF('Calc'!$E$14=1,0,IF(Calc!$Q$380&lt;='财富模型'!$E$11*12,'Calc'!$W$14,'Calc'!$Y$14)),0)))</x:f>
      </x:c>
      <x:c r="Y380" t="n">
        <x:v>359</x:v>
      </x:c>
      <x:c r="Z380" t="str">
        <x:f>IF(Calc!$Y$380&gt;'Calc'!$B$8,"",MAX(Calc!$Z$379*(1+'财富模型'!$E$6/12)+('Calc'!$B$5-'财富模型'!$E$5-(IF('Calc'!$E$15=1,'财富模型'!$E$9,'财富模型'!$M$7+IF(Calc!$Y$380&lt;='财富模型'!$E$11*12,'Calc'!$W$15,'Calc'!$Y$15)-(IF('Calc'!$E$15=1,0,MIN(Calc!$AA$379*(1+'财富模型'!$E$20/12)+'Calc'!$B$6,IF(Calc!$Y$380&lt;='财富模型'!$E$11*12,'Calc'!$W$15,'Calc'!$Y$15))))))),0))</x:f>
      </x:c>
      <x:c r="AA380" t="str">
        <x:f>IF(Calc!$Y$380&gt;'Calc'!$B$8,"",MAX(Calc!$AA$379*(1+'财富模型'!$E$20/12)+'Calc'!$B$6-(IF('Calc'!$E$15=1,0,MIN(Calc!$AA$379*(1+'财富模型'!$E$20/12)+'Calc'!$B$6,IF(Calc!$Y$380&lt;='财富模型'!$E$11*12,'Calc'!$W$15,'Calc'!$Y$15)))),0))</x:f>
      </x:c>
      <x:c r="AB380" t="str">
        <x:f>IF(Calc!$Y$380&gt;'Calc'!$B$8,"",IF('Calc'!$E$15=1,'财富模型'!$E$9,'财富模型'!$M$7+IF(Calc!$Y$380&lt;='财富模型'!$E$11*12,'Calc'!$W$15,'Calc'!$Y$15)-(IF('Calc'!$E$15=1,0,MIN(Calc!$AA$379*(1+'财富模型'!$E$20/12)+'Calc'!$B$6,IF(Calc!$Y$380&lt;='财富模型'!$E$11*12,'Calc'!$W$15,'Calc'!$Y$15))))))</x:f>
      </x:c>
      <x:c r="AC380" t="str">
        <x:f>IF(Calc!$Y$380&gt;'Calc'!$B$8,"",IF('Calc'!$E$15=1,0,MIN(Calc!$AA$379*(1+'财富模型'!$E$20/12)+'Calc'!$B$6,IF(Calc!$Y$380&lt;='财富模型'!$E$11*12,'Calc'!$W$15,'Calc'!$Y$15))))</x:f>
      </x:c>
      <x:c r="AD380" t="str">
        <x:f>IF(Calc!$Y$380&gt;'Calc'!$B$8,"",'Calc'!$B$5-'财富模型'!$E$5-(IF('Calc'!$E$15=1,'财富模型'!$E$9,'财富模型'!$M$7+IF(Calc!$Y$380&lt;='财富模型'!$E$11*12,'Calc'!$W$15,'Calc'!$Y$15)-(IF('Calc'!$E$15=1,0,MIN(Calc!$AA$379*(1+'财富模型'!$E$20/12)+'Calc'!$B$6,IF(Calc!$Y$380&lt;='财富模型'!$E$11*12,'Calc'!$W$15,'Calc'!$Y$15)))))))</x:f>
      </x:c>
      <x:c r="AE380" t="str">
        <x:f>IF(Calc!$Y$380&gt;'Calc'!$B$8,"",IF('Calc'!$E$15=1,0,MAX(Calc!$AE$379*(1+IF(Calc!$Y$380&lt;='财富模型'!$E$11*12,'财富模型'!$E$10,'财富模型'!$E$12)/12)-IF('Calc'!$E$15=1,0,IF(Calc!$Y$380&lt;='财富模型'!$E$11*12,'Calc'!$W$15,'Calc'!$Y$15)),0)))</x:f>
      </x:c>
      <x:c r="AG380" t="n">
        <x:v>359</x:v>
      </x:c>
      <x:c r="AH380" t="str">
        <x:f>IF(Calc!$AG$380&gt;'Calc'!$B$8,"",MAX(Calc!$AH$379*(1+'财富模型'!$E$6/12)+('Calc'!$B$5-'财富模型'!$E$5-(IF('Calc'!$E$16=1,'财富模型'!$E$9,'财富模型'!$M$8+IF(Calc!$AG$380&lt;='财富模型'!$E$11*12,'Calc'!$W$16,'Calc'!$Y$16)-(IF('Calc'!$E$16=1,0,MIN(Calc!$AI$379*(1+'财富模型'!$E$20/12)+'Calc'!$B$6,IF(Calc!$AG$380&lt;='财富模型'!$E$11*12,'Calc'!$W$16,'Calc'!$Y$16))))))),0))</x:f>
      </x:c>
      <x:c r="AI380" t="str">
        <x:f>IF(Calc!$AG$380&gt;'Calc'!$B$8,"",MAX(Calc!$AI$379*(1+'财富模型'!$E$20/12)+'Calc'!$B$6-(IF('Calc'!$E$16=1,0,MIN(Calc!$AI$379*(1+'财富模型'!$E$20/12)+'Calc'!$B$6,IF(Calc!$AG$380&lt;='财富模型'!$E$11*12,'Calc'!$W$16,'Calc'!$Y$16)))),0))</x:f>
      </x:c>
      <x:c r="AJ380" t="str">
        <x:f>IF(Calc!$AG$380&gt;'Calc'!$B$8,"",IF('Calc'!$E$16=1,'财富模型'!$E$9,'财富模型'!$M$8+IF(Calc!$AG$380&lt;='财富模型'!$E$11*12,'Calc'!$W$16,'Calc'!$Y$16)-(IF('Calc'!$E$16=1,0,MIN(Calc!$AI$379*(1+'财富模型'!$E$20/12)+'Calc'!$B$6,IF(Calc!$AG$380&lt;='财富模型'!$E$11*12,'Calc'!$W$16,'Calc'!$Y$16))))))</x:f>
      </x:c>
      <x:c r="AK380" t="str">
        <x:f>IF(Calc!$AG$380&gt;'Calc'!$B$8,"",IF('Calc'!$E$16=1,0,MIN(Calc!$AI$379*(1+'财富模型'!$E$20/12)+'Calc'!$B$6,IF(Calc!$AG$380&lt;='财富模型'!$E$11*12,'Calc'!$W$16,'Calc'!$Y$16))))</x:f>
      </x:c>
      <x:c r="AL380" t="str">
        <x:f>IF(Calc!$AG$380&gt;'Calc'!$B$8,"",'Calc'!$B$5-'财富模型'!$E$5-(IF('Calc'!$E$16=1,'财富模型'!$E$9,'财富模型'!$M$8+IF(Calc!$AG$380&lt;='财富模型'!$E$11*12,'Calc'!$W$16,'Calc'!$Y$16)-(IF('Calc'!$E$16=1,0,MIN(Calc!$AI$379*(1+'财富模型'!$E$20/12)+'Calc'!$B$6,IF(Calc!$AG$380&lt;='财富模型'!$E$11*12,'Calc'!$W$16,'Calc'!$Y$16)))))))</x:f>
      </x:c>
      <x:c r="AM380" t="str">
        <x:f>IF(Calc!$AG$380&gt;'Calc'!$B$8,"",IF('Calc'!$E$16=1,0,MAX(Calc!$AM$379*(1+IF(Calc!$AG$380&lt;='财富模型'!$E$11*12,'财富模型'!$E$10,'财富模型'!$E$12)/12)-IF('Calc'!$E$16=1,0,IF(Calc!$AG$380&lt;='财富模型'!$E$11*12,'Calc'!$W$16,'Calc'!$Y$16)),0)))</x:f>
      </x:c>
      <x:c r="AO380" t="n">
        <x:v>359</x:v>
      </x:c>
      <x:c r="AP380" t="str">
        <x:f>IF(Calc!$AO$380&gt;'Calc'!$B$8,"",MAX(Calc!$AP$379*(1+'财富模型'!$E$6/12)+('Calc'!$B$5-'财富模型'!$E$5-(IF('Calc'!$E$17=1,'财富模型'!$E$9,'财富模型'!$M$9+IF(Calc!$AO$380&lt;='财富模型'!$E$11*12,'Calc'!$W$17,'Calc'!$Y$17)-(IF('Calc'!$E$17=1,0,MIN(Calc!$AQ$379*(1+'财富模型'!$E$20/12)+'Calc'!$B$6,IF(Calc!$AO$380&lt;='财富模型'!$E$11*12,'Calc'!$W$17,'Calc'!$Y$17))))))),0))</x:f>
      </x:c>
      <x:c r="AQ380" t="str">
        <x:f>IF(Calc!$AO$380&gt;'Calc'!$B$8,"",MAX(Calc!$AQ$379*(1+'财富模型'!$E$20/12)+'Calc'!$B$6-(IF('Calc'!$E$17=1,0,MIN(Calc!$AQ$379*(1+'财富模型'!$E$20/12)+'Calc'!$B$6,IF(Calc!$AO$380&lt;='财富模型'!$E$11*12,'Calc'!$W$17,'Calc'!$Y$17)))),0))</x:f>
      </x:c>
      <x:c r="AR380" t="str">
        <x:f>IF(Calc!$AO$380&gt;'Calc'!$B$8,"",IF('Calc'!$E$17=1,'财富模型'!$E$9,'财富模型'!$M$9+IF(Calc!$AO$380&lt;='财富模型'!$E$11*12,'Calc'!$W$17,'Calc'!$Y$17)-(IF('Calc'!$E$17=1,0,MIN(Calc!$AQ$379*(1+'财富模型'!$E$20/12)+'Calc'!$B$6,IF(Calc!$AO$380&lt;='财富模型'!$E$11*12,'Calc'!$W$17,'Calc'!$Y$17))))))</x:f>
      </x:c>
      <x:c r="AS380" t="str">
        <x:f>IF(Calc!$AO$380&gt;'Calc'!$B$8,"",IF('Calc'!$E$17=1,0,MIN(Calc!$AQ$379*(1+'财富模型'!$E$20/12)+'Calc'!$B$6,IF(Calc!$AO$380&lt;='财富模型'!$E$11*12,'Calc'!$W$17,'Calc'!$Y$17))))</x:f>
      </x:c>
      <x:c r="AT380" t="str">
        <x:f>IF(Calc!$AO$380&gt;'Calc'!$B$8,"",'Calc'!$B$5-'财富模型'!$E$5-(IF('Calc'!$E$17=1,'财富模型'!$E$9,'财富模型'!$M$9+IF(Calc!$AO$380&lt;='财富模型'!$E$11*12,'Calc'!$W$17,'Calc'!$Y$17)-(IF('Calc'!$E$17=1,0,MIN(Calc!$AQ$379*(1+'财富模型'!$E$20/12)+'Calc'!$B$6,IF(Calc!$AO$380&lt;='财富模型'!$E$11*12,'Calc'!$W$17,'Calc'!$Y$17)))))))</x:f>
      </x:c>
      <x:c r="AU380" t="str">
        <x:f>IF(Calc!$AO$380&gt;'Calc'!$B$8,"",IF('Calc'!$E$17=1,0,MAX(Calc!$AU$379*(1+IF(Calc!$AO$380&lt;='财富模型'!$E$11*12,'财富模型'!$E$10,'财富模型'!$E$12)/12)-IF('Calc'!$E$17=1,0,IF(Calc!$AO$380&lt;='财富模型'!$E$11*12,'Calc'!$W$17,'Calc'!$Y$17)),0)))</x:f>
      </x:c>
    </x:row>
    <x:row r="381">
      <x:c r="A381" t="n">
        <x:v>360</x:v>
      </x:c>
      <x:c r="B381" t="str">
        <x:f>IF(Calc!$A$381&gt;'Calc'!$B$8,"",MAX(Calc!$B$380*(1+'财富模型'!$E$6/12)+('Calc'!$B$5-'财富模型'!$E$5-(IF('Calc'!$E$12=1,'财富模型'!$E$9,'财富模型'!$M$4+IF(Calc!$A$381&lt;='财富模型'!$E$11*12,'Calc'!$W$12,'Calc'!$Y$12)-(IF('Calc'!$E$12=1,0,MIN(Calc!$C$380*(1+'财富模型'!$E$20/12)+'Calc'!$B$6,IF(Calc!$A$381&lt;='财富模型'!$E$11*12,'Calc'!$W$12,'Calc'!$Y$12))))))),0))</x:f>
      </x:c>
      <x:c r="C381" t="str">
        <x:f>IF(Calc!$A$381&gt;'Calc'!$B$8,"",MAX(Calc!$C$380*(1+'财富模型'!$E$20/12)+'Calc'!$B$6-(IF('Calc'!$E$12=1,0,MIN(Calc!$C$380*(1+'财富模型'!$E$20/12)+'Calc'!$B$6,IF(Calc!$A$381&lt;='财富模型'!$E$11*12,'Calc'!$W$12,'Calc'!$Y$12)))),0))</x:f>
      </x:c>
      <x:c r="D381" t="str">
        <x:f>IF(Calc!$A$381&gt;'Calc'!$B$8,"",IF('Calc'!$E$12=1,'财富模型'!$E$9,'财富模型'!$M$4+IF(Calc!$A$381&lt;='财富模型'!$E$11*12,'Calc'!$W$12,'Calc'!$Y$12)-(IF('Calc'!$E$12=1,0,MIN(Calc!$C$380*(1+'财富模型'!$E$20/12)+'Calc'!$B$6,IF(Calc!$A$381&lt;='财富模型'!$E$11*12,'Calc'!$W$12,'Calc'!$Y$12))))))</x:f>
      </x:c>
      <x:c r="E381" t="str">
        <x:f>IF(Calc!$A$381&gt;'Calc'!$B$8,"",IF('Calc'!$E$12=1,0,MIN(Calc!$C$380*(1+'财富模型'!$E$20/12)+'Calc'!$B$6,IF(Calc!$A$381&lt;='财富模型'!$E$11*12,'Calc'!$W$12,'Calc'!$Y$12))))</x:f>
      </x:c>
      <x:c r="F381" t="str">
        <x:f>IF(Calc!$A$381&gt;'Calc'!$B$8,"",'Calc'!$B$5-'财富模型'!$E$5-(IF('Calc'!$E$12=1,'财富模型'!$E$9,'财富模型'!$M$4+IF(Calc!$A$381&lt;='财富模型'!$E$11*12,'Calc'!$W$12,'Calc'!$Y$12)-(IF('Calc'!$E$12=1,0,MIN(Calc!$C$380*(1+'财富模型'!$E$20/12)+'Calc'!$B$6,IF(Calc!$A$381&lt;='财富模型'!$E$11*12,'Calc'!$W$12,'Calc'!$Y$12)))))))</x:f>
      </x:c>
      <x:c r="G381" t="str">
        <x:f>IF(Calc!$A$381&gt;'Calc'!$B$8,"",IF('Calc'!$E$12=1,0,MAX(Calc!$G$380*(1+IF(Calc!$A$381&lt;='财富模型'!$E$11*12,'财富模型'!$E$10,'财富模型'!$E$12)/12)-IF('Calc'!$E$12=1,0,IF(Calc!$A$381&lt;='财富模型'!$E$11*12,'Calc'!$W$12,'Calc'!$Y$12)),0)))</x:f>
      </x:c>
      <x:c r="I381" t="n">
        <x:v>360</x:v>
      </x:c>
      <x:c r="J381" t="str">
        <x:f>IF(Calc!$I$381&gt;'Calc'!$B$8,"",MAX(Calc!$J$380*(1+'财富模型'!$E$6/12)+('Calc'!$B$5-'财富模型'!$E$5-(IF('Calc'!$E$13=1,'财富模型'!$E$9,'财富模型'!$M$5+IF(Calc!$I$381&lt;='财富模型'!$E$11*12,'Calc'!$W$13,'Calc'!$Y$13)-(IF('Calc'!$E$13=1,0,MIN(Calc!$K$380*(1+'财富模型'!$E$20/12)+'Calc'!$B$6,IF(Calc!$I$381&lt;='财富模型'!$E$11*12,'Calc'!$W$13,'Calc'!$Y$13))))))),0))</x:f>
      </x:c>
      <x:c r="K381" t="str">
        <x:f>IF(Calc!$I$381&gt;'Calc'!$B$8,"",MAX(Calc!$K$380*(1+'财富模型'!$E$20/12)+'Calc'!$B$6-(IF('Calc'!$E$13=1,0,MIN(Calc!$K$380*(1+'财富模型'!$E$20/12)+'Calc'!$B$6,IF(Calc!$I$381&lt;='财富模型'!$E$11*12,'Calc'!$W$13,'Calc'!$Y$13)))),0))</x:f>
      </x:c>
      <x:c r="L381" t="str">
        <x:f>IF(Calc!$I$381&gt;'Calc'!$B$8,"",IF('Calc'!$E$13=1,'财富模型'!$E$9,'财富模型'!$M$5+IF(Calc!$I$381&lt;='财富模型'!$E$11*12,'Calc'!$W$13,'Calc'!$Y$13)-(IF('Calc'!$E$13=1,0,MIN(Calc!$K$380*(1+'财富模型'!$E$20/12)+'Calc'!$B$6,IF(Calc!$I$381&lt;='财富模型'!$E$11*12,'Calc'!$W$13,'Calc'!$Y$13))))))</x:f>
      </x:c>
      <x:c r="M381" t="str">
        <x:f>IF(Calc!$I$381&gt;'Calc'!$B$8,"",IF('Calc'!$E$13=1,0,MIN(Calc!$K$380*(1+'财富模型'!$E$20/12)+'Calc'!$B$6,IF(Calc!$I$381&lt;='财富模型'!$E$11*12,'Calc'!$W$13,'Calc'!$Y$13))))</x:f>
      </x:c>
      <x:c r="N381" t="str">
        <x:f>IF(Calc!$I$381&gt;'Calc'!$B$8,"",'Calc'!$B$5-'财富模型'!$E$5-(IF('Calc'!$E$13=1,'财富模型'!$E$9,'财富模型'!$M$5+IF(Calc!$I$381&lt;='财富模型'!$E$11*12,'Calc'!$W$13,'Calc'!$Y$13)-(IF('Calc'!$E$13=1,0,MIN(Calc!$K$380*(1+'财富模型'!$E$20/12)+'Calc'!$B$6,IF(Calc!$I$381&lt;='财富模型'!$E$11*12,'Calc'!$W$13,'Calc'!$Y$13)))))))</x:f>
      </x:c>
      <x:c r="O381" t="str">
        <x:f>IF(Calc!$I$381&gt;'Calc'!$B$8,"",IF('Calc'!$E$13=1,0,MAX(Calc!$O$380*(1+IF(Calc!$I$381&lt;='财富模型'!$E$11*12,'财富模型'!$E$10,'财富模型'!$E$12)/12)-IF('Calc'!$E$13=1,0,IF(Calc!$I$381&lt;='财富模型'!$E$11*12,'Calc'!$W$13,'Calc'!$Y$13)),0)))</x:f>
      </x:c>
      <x:c r="Q381" t="n">
        <x:v>360</x:v>
      </x:c>
      <x:c r="R381" t="str">
        <x:f>IF(Calc!$Q$381&gt;'Calc'!$B$8,"",MAX(Calc!$R$380*(1+'财富模型'!$E$6/12)+('Calc'!$B$5-'财富模型'!$E$5-(IF('Calc'!$E$14=1,'财富模型'!$E$9,'财富模型'!$M$6+IF(Calc!$Q$381&lt;='财富模型'!$E$11*12,'Calc'!$W$14,'Calc'!$Y$14)-(IF('Calc'!$E$14=1,0,MIN(Calc!$S$380*(1+'财富模型'!$E$20/12)+'Calc'!$B$6,IF(Calc!$Q$381&lt;='财富模型'!$E$11*12,'Calc'!$W$14,'Calc'!$Y$14))))))),0))</x:f>
      </x:c>
      <x:c r="S381" t="str">
        <x:f>IF(Calc!$Q$381&gt;'Calc'!$B$8,"",MAX(Calc!$S$380*(1+'财富模型'!$E$20/12)+'Calc'!$B$6-(IF('Calc'!$E$14=1,0,MIN(Calc!$S$380*(1+'财富模型'!$E$20/12)+'Calc'!$B$6,IF(Calc!$Q$381&lt;='财富模型'!$E$11*12,'Calc'!$W$14,'Calc'!$Y$14)))),0))</x:f>
      </x:c>
      <x:c r="T381" t="str">
        <x:f>IF(Calc!$Q$381&gt;'Calc'!$B$8,"",IF('Calc'!$E$14=1,'财富模型'!$E$9,'财富模型'!$M$6+IF(Calc!$Q$381&lt;='财富模型'!$E$11*12,'Calc'!$W$14,'Calc'!$Y$14)-(IF('Calc'!$E$14=1,0,MIN(Calc!$S$380*(1+'财富模型'!$E$20/12)+'Calc'!$B$6,IF(Calc!$Q$381&lt;='财富模型'!$E$11*12,'Calc'!$W$14,'Calc'!$Y$14))))))</x:f>
      </x:c>
      <x:c r="U381" t="str">
        <x:f>IF(Calc!$Q$381&gt;'Calc'!$B$8,"",IF('Calc'!$E$14=1,0,MIN(Calc!$S$380*(1+'财富模型'!$E$20/12)+'Calc'!$B$6,IF(Calc!$Q$381&lt;='财富模型'!$E$11*12,'Calc'!$W$14,'Calc'!$Y$14))))</x:f>
      </x:c>
      <x:c r="V381" t="str">
        <x:f>IF(Calc!$Q$381&gt;'Calc'!$B$8,"",'Calc'!$B$5-'财富模型'!$E$5-(IF('Calc'!$E$14=1,'财富模型'!$E$9,'财富模型'!$M$6+IF(Calc!$Q$381&lt;='财富模型'!$E$11*12,'Calc'!$W$14,'Calc'!$Y$14)-(IF('Calc'!$E$14=1,0,MIN(Calc!$S$380*(1+'财富模型'!$E$20/12)+'Calc'!$B$6,IF(Calc!$Q$381&lt;='财富模型'!$E$11*12,'Calc'!$W$14,'Calc'!$Y$14)))))))</x:f>
      </x:c>
      <x:c r="W381" t="str">
        <x:f>IF(Calc!$Q$381&gt;'Calc'!$B$8,"",IF('Calc'!$E$14=1,0,MAX(Calc!$W$380*(1+IF(Calc!$Q$381&lt;='财富模型'!$E$11*12,'财富模型'!$E$10,'财富模型'!$E$12)/12)-IF('Calc'!$E$14=1,0,IF(Calc!$Q$381&lt;='财富模型'!$E$11*12,'Calc'!$W$14,'Calc'!$Y$14)),0)))</x:f>
      </x:c>
      <x:c r="Y381" t="n">
        <x:v>360</x:v>
      </x:c>
      <x:c r="Z381" t="str">
        <x:f>IF(Calc!$Y$381&gt;'Calc'!$B$8,"",MAX(Calc!$Z$380*(1+'财富模型'!$E$6/12)+('Calc'!$B$5-'财富模型'!$E$5-(IF('Calc'!$E$15=1,'财富模型'!$E$9,'财富模型'!$M$7+IF(Calc!$Y$381&lt;='财富模型'!$E$11*12,'Calc'!$W$15,'Calc'!$Y$15)-(IF('Calc'!$E$15=1,0,MIN(Calc!$AA$380*(1+'财富模型'!$E$20/12)+'Calc'!$B$6,IF(Calc!$Y$381&lt;='财富模型'!$E$11*12,'Calc'!$W$15,'Calc'!$Y$15))))))),0))</x:f>
      </x:c>
      <x:c r="AA381" t="str">
        <x:f>IF(Calc!$Y$381&gt;'Calc'!$B$8,"",MAX(Calc!$AA$380*(1+'财富模型'!$E$20/12)+'Calc'!$B$6-(IF('Calc'!$E$15=1,0,MIN(Calc!$AA$380*(1+'财富模型'!$E$20/12)+'Calc'!$B$6,IF(Calc!$Y$381&lt;='财富模型'!$E$11*12,'Calc'!$W$15,'Calc'!$Y$15)))),0))</x:f>
      </x:c>
      <x:c r="AB381" t="str">
        <x:f>IF(Calc!$Y$381&gt;'Calc'!$B$8,"",IF('Calc'!$E$15=1,'财富模型'!$E$9,'财富模型'!$M$7+IF(Calc!$Y$381&lt;='财富模型'!$E$11*12,'Calc'!$W$15,'Calc'!$Y$15)-(IF('Calc'!$E$15=1,0,MIN(Calc!$AA$380*(1+'财富模型'!$E$20/12)+'Calc'!$B$6,IF(Calc!$Y$381&lt;='财富模型'!$E$11*12,'Calc'!$W$15,'Calc'!$Y$15))))))</x:f>
      </x:c>
      <x:c r="AC381" t="str">
        <x:f>IF(Calc!$Y$381&gt;'Calc'!$B$8,"",IF('Calc'!$E$15=1,0,MIN(Calc!$AA$380*(1+'财富模型'!$E$20/12)+'Calc'!$B$6,IF(Calc!$Y$381&lt;='财富模型'!$E$11*12,'Calc'!$W$15,'Calc'!$Y$15))))</x:f>
      </x:c>
      <x:c r="AD381" t="str">
        <x:f>IF(Calc!$Y$381&gt;'Calc'!$B$8,"",'Calc'!$B$5-'财富模型'!$E$5-(IF('Calc'!$E$15=1,'财富模型'!$E$9,'财富模型'!$M$7+IF(Calc!$Y$381&lt;='财富模型'!$E$11*12,'Calc'!$W$15,'Calc'!$Y$15)-(IF('Calc'!$E$15=1,0,MIN(Calc!$AA$380*(1+'财富模型'!$E$20/12)+'Calc'!$B$6,IF(Calc!$Y$381&lt;='财富模型'!$E$11*12,'Calc'!$W$15,'Calc'!$Y$15)))))))</x:f>
      </x:c>
      <x:c r="AE381" t="str">
        <x:f>IF(Calc!$Y$381&gt;'Calc'!$B$8,"",IF('Calc'!$E$15=1,0,MAX(Calc!$AE$380*(1+IF(Calc!$Y$381&lt;='财富模型'!$E$11*12,'财富模型'!$E$10,'财富模型'!$E$12)/12)-IF('Calc'!$E$15=1,0,IF(Calc!$Y$381&lt;='财富模型'!$E$11*12,'Calc'!$W$15,'Calc'!$Y$15)),0)))</x:f>
      </x:c>
      <x:c r="AG381" t="n">
        <x:v>360</x:v>
      </x:c>
      <x:c r="AH381" t="str">
        <x:f>IF(Calc!$AG$381&gt;'Calc'!$B$8,"",MAX(Calc!$AH$380*(1+'财富模型'!$E$6/12)+('Calc'!$B$5-'财富模型'!$E$5-(IF('Calc'!$E$16=1,'财富模型'!$E$9,'财富模型'!$M$8+IF(Calc!$AG$381&lt;='财富模型'!$E$11*12,'Calc'!$W$16,'Calc'!$Y$16)-(IF('Calc'!$E$16=1,0,MIN(Calc!$AI$380*(1+'财富模型'!$E$20/12)+'Calc'!$B$6,IF(Calc!$AG$381&lt;='财富模型'!$E$11*12,'Calc'!$W$16,'Calc'!$Y$16))))))),0))</x:f>
      </x:c>
      <x:c r="AI381" t="str">
        <x:f>IF(Calc!$AG$381&gt;'Calc'!$B$8,"",MAX(Calc!$AI$380*(1+'财富模型'!$E$20/12)+'Calc'!$B$6-(IF('Calc'!$E$16=1,0,MIN(Calc!$AI$380*(1+'财富模型'!$E$20/12)+'Calc'!$B$6,IF(Calc!$AG$381&lt;='财富模型'!$E$11*12,'Calc'!$W$16,'Calc'!$Y$16)))),0))</x:f>
      </x:c>
      <x:c r="AJ381" t="str">
        <x:f>IF(Calc!$AG$381&gt;'Calc'!$B$8,"",IF('Calc'!$E$16=1,'财富模型'!$E$9,'财富模型'!$M$8+IF(Calc!$AG$381&lt;='财富模型'!$E$11*12,'Calc'!$W$16,'Calc'!$Y$16)-(IF('Calc'!$E$16=1,0,MIN(Calc!$AI$380*(1+'财富模型'!$E$20/12)+'Calc'!$B$6,IF(Calc!$AG$381&lt;='财富模型'!$E$11*12,'Calc'!$W$16,'Calc'!$Y$16))))))</x:f>
      </x:c>
      <x:c r="AK381" t="str">
        <x:f>IF(Calc!$AG$381&gt;'Calc'!$B$8,"",IF('Calc'!$E$16=1,0,MIN(Calc!$AI$380*(1+'财富模型'!$E$20/12)+'Calc'!$B$6,IF(Calc!$AG$381&lt;='财富模型'!$E$11*12,'Calc'!$W$16,'Calc'!$Y$16))))</x:f>
      </x:c>
      <x:c r="AL381" t="str">
        <x:f>IF(Calc!$AG$381&gt;'Calc'!$B$8,"",'Calc'!$B$5-'财富模型'!$E$5-(IF('Calc'!$E$16=1,'财富模型'!$E$9,'财富模型'!$M$8+IF(Calc!$AG$381&lt;='财富模型'!$E$11*12,'Calc'!$W$16,'Calc'!$Y$16)-(IF('Calc'!$E$16=1,0,MIN(Calc!$AI$380*(1+'财富模型'!$E$20/12)+'Calc'!$B$6,IF(Calc!$AG$381&lt;='财富模型'!$E$11*12,'Calc'!$W$16,'Calc'!$Y$16)))))))</x:f>
      </x:c>
      <x:c r="AM381" t="str">
        <x:f>IF(Calc!$AG$381&gt;'Calc'!$B$8,"",IF('Calc'!$E$16=1,0,MAX(Calc!$AM$380*(1+IF(Calc!$AG$381&lt;='财富模型'!$E$11*12,'财富模型'!$E$10,'财富模型'!$E$12)/12)-IF('Calc'!$E$16=1,0,IF(Calc!$AG$381&lt;='财富模型'!$E$11*12,'Calc'!$W$16,'Calc'!$Y$16)),0)))</x:f>
      </x:c>
      <x:c r="AO381" t="n">
        <x:v>360</x:v>
      </x:c>
      <x:c r="AP381" t="str">
        <x:f>IF(Calc!$AO$381&gt;'Calc'!$B$8,"",MAX(Calc!$AP$380*(1+'财富模型'!$E$6/12)+('Calc'!$B$5-'财富模型'!$E$5-(IF('Calc'!$E$17=1,'财富模型'!$E$9,'财富模型'!$M$9+IF(Calc!$AO$381&lt;='财富模型'!$E$11*12,'Calc'!$W$17,'Calc'!$Y$17)-(IF('Calc'!$E$17=1,0,MIN(Calc!$AQ$380*(1+'财富模型'!$E$20/12)+'Calc'!$B$6,IF(Calc!$AO$381&lt;='财富模型'!$E$11*12,'Calc'!$W$17,'Calc'!$Y$17))))))),0))</x:f>
      </x:c>
      <x:c r="AQ381" t="str">
        <x:f>IF(Calc!$AO$381&gt;'Calc'!$B$8,"",MAX(Calc!$AQ$380*(1+'财富模型'!$E$20/12)+'Calc'!$B$6-(IF('Calc'!$E$17=1,0,MIN(Calc!$AQ$380*(1+'财富模型'!$E$20/12)+'Calc'!$B$6,IF(Calc!$AO$381&lt;='财富模型'!$E$11*12,'Calc'!$W$17,'Calc'!$Y$17)))),0))</x:f>
      </x:c>
      <x:c r="AR381" t="str">
        <x:f>IF(Calc!$AO$381&gt;'Calc'!$B$8,"",IF('Calc'!$E$17=1,'财富模型'!$E$9,'财富模型'!$M$9+IF(Calc!$AO$381&lt;='财富模型'!$E$11*12,'Calc'!$W$17,'Calc'!$Y$17)-(IF('Calc'!$E$17=1,0,MIN(Calc!$AQ$380*(1+'财富模型'!$E$20/12)+'Calc'!$B$6,IF(Calc!$AO$381&lt;='财富模型'!$E$11*12,'Calc'!$W$17,'Calc'!$Y$17))))))</x:f>
      </x:c>
      <x:c r="AS381" t="str">
        <x:f>IF(Calc!$AO$381&gt;'Calc'!$B$8,"",IF('Calc'!$E$17=1,0,MIN(Calc!$AQ$380*(1+'财富模型'!$E$20/12)+'Calc'!$B$6,IF(Calc!$AO$381&lt;='财富模型'!$E$11*12,'Calc'!$W$17,'Calc'!$Y$17))))</x:f>
      </x:c>
      <x:c r="AT381" t="str">
        <x:f>IF(Calc!$AO$381&gt;'Calc'!$B$8,"",'Calc'!$B$5-'财富模型'!$E$5-(IF('Calc'!$E$17=1,'财富模型'!$E$9,'财富模型'!$M$9+IF(Calc!$AO$381&lt;='财富模型'!$E$11*12,'Calc'!$W$17,'Calc'!$Y$17)-(IF('Calc'!$E$17=1,0,MIN(Calc!$AQ$380*(1+'财富模型'!$E$20/12)+'Calc'!$B$6,IF(Calc!$AO$381&lt;='财富模型'!$E$11*12,'Calc'!$W$17,'Calc'!$Y$17)))))))</x:f>
      </x:c>
      <x:c r="AU381" t="str">
        <x:f>IF(Calc!$AO$381&gt;'Calc'!$B$8,"",IF('Calc'!$E$17=1,0,MAX(Calc!$AU$380*(1+IF(Calc!$AO$381&lt;='财富模型'!$E$11*12,'财富模型'!$E$10,'财富模型'!$E$12)/12)-IF('Calc'!$E$17=1,0,IF(Calc!$AO$381&lt;='财富模型'!$E$11*12,'Calc'!$W$17,'Calc'!$Y$17)),0)))</x:f>
      </x:c>
    </x:row>
  </x:sheetData>
  <x:pageMargins left="0.7" right="0.7" top="0.75" bottom="0.75" header="0.3" footer="0.3"/>
</x:worksheet>
</file>